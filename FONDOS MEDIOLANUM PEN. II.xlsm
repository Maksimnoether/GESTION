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Victor y Fede\GESTION\"/>
    </mc:Choice>
  </mc:AlternateContent>
  <xr:revisionPtr revIDLastSave="0" documentId="13_ncr:1_{59A60D60-0F86-4ADC-8A2B-C72F6CFC377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artera Med pensiones II" sheetId="1" r:id="rId1"/>
    <sheet name="TEMPLATE RF" sheetId="3" r:id="rId2"/>
    <sheet name="TRABAJO" sheetId="4" r:id="rId3"/>
    <sheet name="Nominales por Vencimientos" sheetId="6" r:id="rId4"/>
  </sheets>
  <definedNames>
    <definedName name="_xlnm._FilterDatabase" localSheetId="0" hidden="1">'Cartera Med pensiones II'!$A$1:$IV$1</definedName>
    <definedName name="_xlnm._FilterDatabase" localSheetId="1" hidden="1">'TEMPLATE RF'!$A$10:$AM$222</definedName>
    <definedName name="_xlnm._FilterDatabase" localSheetId="2" hidden="1">TRABAJO!$A$6:$AN$192</definedName>
  </definedNames>
  <calcPr calcId="181029"/>
  <pivotCaches>
    <pivotCache cacheId="36" r:id="rId5"/>
    <pivotCache cacheId="41" r:id="rId6"/>
  </pivotCaches>
</workbook>
</file>

<file path=xl/calcChain.xml><?xml version="1.0" encoding="utf-8"?>
<calcChain xmlns="http://schemas.openxmlformats.org/spreadsheetml/2006/main">
  <c r="O191" i="4" l="1"/>
  <c r="P191" i="4"/>
  <c r="Q191" i="4"/>
  <c r="R191" i="4"/>
  <c r="S191" i="4"/>
  <c r="T191" i="4"/>
  <c r="V191" i="4" s="1"/>
  <c r="U191" i="4"/>
  <c r="X191" i="4"/>
  <c r="Y191" i="4"/>
  <c r="Z191" i="4"/>
  <c r="AA191" i="4"/>
  <c r="AB191" i="4"/>
  <c r="AC191" i="4"/>
  <c r="AD191" i="4"/>
  <c r="AE191" i="4"/>
  <c r="AF191" i="4"/>
  <c r="AG191" i="4"/>
  <c r="AH191" i="4"/>
  <c r="AI191" i="4"/>
  <c r="AJ191" i="4"/>
  <c r="AK191" i="4"/>
  <c r="AL191" i="4"/>
  <c r="O192" i="4"/>
  <c r="P192" i="4"/>
  <c r="Q192" i="4"/>
  <c r="R192" i="4"/>
  <c r="S192" i="4"/>
  <c r="T192" i="4"/>
  <c r="V192" i="4" s="1"/>
  <c r="U192" i="4"/>
  <c r="X192" i="4"/>
  <c r="Y192" i="4"/>
  <c r="Z192" i="4"/>
  <c r="AA192" i="4"/>
  <c r="AB192" i="4"/>
  <c r="AC192" i="4"/>
  <c r="AD192" i="4"/>
  <c r="AE192" i="4"/>
  <c r="AF192" i="4"/>
  <c r="AG192" i="4"/>
  <c r="AH192" i="4"/>
  <c r="AI192" i="4"/>
  <c r="AJ192" i="4"/>
  <c r="AK192" i="4"/>
  <c r="AL192" i="4"/>
  <c r="O8" i="4"/>
  <c r="P36" i="4"/>
  <c r="P171" i="4"/>
  <c r="P47" i="4"/>
  <c r="O10" i="4"/>
  <c r="O25" i="4"/>
  <c r="P75" i="4"/>
  <c r="P157" i="4"/>
  <c r="O79" i="4"/>
  <c r="P42" i="4"/>
  <c r="P100" i="4"/>
  <c r="O157" i="4"/>
  <c r="O36" i="4"/>
  <c r="O47" i="4"/>
  <c r="O42" i="4"/>
  <c r="P79" i="4"/>
  <c r="P10" i="4"/>
  <c r="O75" i="4"/>
  <c r="O171" i="4"/>
  <c r="P25" i="4"/>
  <c r="O100" i="4"/>
  <c r="O22" i="4"/>
  <c r="P18" i="4"/>
  <c r="O186" i="4"/>
  <c r="O33" i="4"/>
  <c r="P121" i="4"/>
  <c r="P184" i="4"/>
  <c r="O38" i="4"/>
  <c r="O13" i="4"/>
  <c r="O14" i="4"/>
  <c r="O169" i="4"/>
  <c r="P22" i="4"/>
  <c r="O121" i="4"/>
  <c r="O184" i="4"/>
  <c r="P13" i="4"/>
  <c r="P38" i="4"/>
  <c r="O18" i="4"/>
  <c r="P33" i="4"/>
  <c r="P169" i="4"/>
  <c r="P14" i="4"/>
  <c r="P186" i="4"/>
  <c r="P83" i="4"/>
  <c r="P104" i="4"/>
  <c r="P155" i="4"/>
  <c r="P165" i="4"/>
  <c r="O117" i="4"/>
  <c r="O40" i="4"/>
  <c r="O59" i="4"/>
  <c r="P176" i="4"/>
  <c r="O137" i="4"/>
  <c r="O143" i="4"/>
  <c r="P117" i="4"/>
  <c r="P59" i="4"/>
  <c r="O104" i="4"/>
  <c r="P137" i="4"/>
  <c r="O83" i="4"/>
  <c r="O165" i="4"/>
  <c r="P40" i="4"/>
  <c r="O176" i="4"/>
  <c r="P143" i="4"/>
  <c r="O155" i="4"/>
  <c r="P118" i="4"/>
  <c r="P115" i="4"/>
  <c r="P166" i="4"/>
  <c r="O58" i="4"/>
  <c r="P167" i="4"/>
  <c r="P80" i="4"/>
  <c r="O179" i="4"/>
  <c r="O95" i="4"/>
  <c r="P161" i="4"/>
  <c r="P95" i="4"/>
  <c r="P179" i="4"/>
  <c r="O80" i="4"/>
  <c r="P8" i="4"/>
  <c r="O161" i="4"/>
  <c r="P58" i="4"/>
  <c r="O166" i="4"/>
  <c r="O167" i="4"/>
  <c r="O118" i="4"/>
  <c r="O115" i="4"/>
  <c r="P72" i="4"/>
  <c r="O174" i="4"/>
  <c r="O144" i="4"/>
  <c r="P44" i="4"/>
  <c r="P189" i="4"/>
  <c r="P98" i="4"/>
  <c r="O62" i="4"/>
  <c r="O56" i="4"/>
  <c r="P131" i="4"/>
  <c r="O44" i="4"/>
  <c r="O72" i="4"/>
  <c r="O98" i="4"/>
  <c r="O189" i="4"/>
  <c r="O131" i="4"/>
  <c r="P139" i="4"/>
  <c r="P174" i="4"/>
  <c r="P144" i="4"/>
  <c r="P56" i="4"/>
  <c r="O139" i="4"/>
  <c r="P62" i="4"/>
  <c r="P150" i="4"/>
  <c r="P138" i="4"/>
  <c r="P128" i="4"/>
  <c r="P53" i="4"/>
  <c r="O61" i="4"/>
  <c r="P16" i="4"/>
  <c r="P69" i="4"/>
  <c r="P78" i="4"/>
  <c r="P123" i="4"/>
  <c r="P135" i="4"/>
  <c r="O16" i="4"/>
  <c r="O123" i="4"/>
  <c r="O78" i="4"/>
  <c r="P61" i="4"/>
  <c r="O135" i="4"/>
  <c r="O53" i="4"/>
  <c r="O138" i="4"/>
  <c r="O69" i="4"/>
  <c r="O128" i="4"/>
  <c r="O150" i="4"/>
  <c r="O110" i="4"/>
  <c r="O130" i="4"/>
  <c r="O54" i="4"/>
  <c r="P30" i="4"/>
  <c r="O9" i="4"/>
  <c r="P23" i="4"/>
  <c r="P109" i="4"/>
  <c r="P125" i="4"/>
  <c r="O182" i="4"/>
  <c r="O113" i="4"/>
  <c r="O23" i="4"/>
  <c r="P113" i="4"/>
  <c r="O109" i="4"/>
  <c r="P54" i="4"/>
  <c r="O125" i="4"/>
  <c r="P9" i="4"/>
  <c r="P110" i="4"/>
  <c r="P182" i="4"/>
  <c r="P130" i="4"/>
  <c r="O30" i="4"/>
  <c r="O11" i="4"/>
  <c r="P84" i="4"/>
  <c r="P43" i="4"/>
  <c r="P180" i="4"/>
  <c r="P21" i="4"/>
  <c r="P71" i="4"/>
  <c r="P26" i="4"/>
  <c r="O87" i="4"/>
  <c r="P172" i="4"/>
  <c r="P37" i="4"/>
  <c r="O71" i="4"/>
  <c r="P87" i="4"/>
  <c r="O180" i="4"/>
  <c r="O43" i="4"/>
  <c r="O21" i="4"/>
  <c r="O172" i="4"/>
  <c r="P11" i="4"/>
  <c r="O37" i="4"/>
  <c r="O26" i="4"/>
  <c r="O84" i="4"/>
  <c r="O168" i="4"/>
  <c r="P7" i="4"/>
  <c r="O101" i="4"/>
  <c r="O32" i="4"/>
  <c r="P52" i="4"/>
  <c r="P168" i="4"/>
  <c r="O93" i="4"/>
  <c r="P185" i="4"/>
  <c r="O156" i="4"/>
  <c r="P64" i="4"/>
  <c r="P86" i="4"/>
  <c r="P156" i="4"/>
  <c r="O7" i="4"/>
  <c r="P101" i="4"/>
  <c r="O86" i="4"/>
  <c r="O52" i="4"/>
  <c r="O64" i="4"/>
  <c r="P32" i="4"/>
  <c r="P93" i="4"/>
  <c r="O185" i="4"/>
  <c r="P108" i="4"/>
  <c r="P57" i="4"/>
  <c r="O81" i="4"/>
  <c r="P24" i="4"/>
  <c r="O175" i="4"/>
  <c r="O49" i="4"/>
  <c r="P96" i="4"/>
  <c r="P20" i="4"/>
  <c r="O188" i="4"/>
  <c r="O162" i="4"/>
  <c r="P175" i="4"/>
  <c r="P162" i="4"/>
  <c r="P49" i="4"/>
  <c r="O24" i="4"/>
  <c r="O20" i="4"/>
  <c r="O96" i="4"/>
  <c r="P188" i="4"/>
  <c r="O108" i="4"/>
  <c r="P81" i="4"/>
  <c r="O57" i="4"/>
  <c r="O51" i="4"/>
  <c r="P116" i="4"/>
  <c r="O92" i="4"/>
  <c r="P190" i="4"/>
  <c r="P41" i="4"/>
  <c r="P107" i="4"/>
  <c r="O147" i="4"/>
  <c r="P146" i="4"/>
  <c r="O12" i="4"/>
  <c r="O45" i="4"/>
  <c r="O116" i="4"/>
  <c r="P51" i="4"/>
  <c r="O190" i="4"/>
  <c r="O146" i="4"/>
  <c r="P92" i="4"/>
  <c r="P45" i="4"/>
  <c r="P147" i="4"/>
  <c r="P12" i="4"/>
  <c r="O107" i="4"/>
  <c r="O41" i="4"/>
  <c r="O114" i="4"/>
  <c r="P181" i="4"/>
  <c r="O177" i="4"/>
  <c r="P178" i="4"/>
  <c r="P127" i="4"/>
  <c r="O89" i="4"/>
  <c r="O178" i="4"/>
  <c r="P76" i="4"/>
  <c r="P142" i="4"/>
  <c r="O106" i="4"/>
  <c r="P89" i="4"/>
  <c r="P114" i="4"/>
  <c r="O142" i="4"/>
  <c r="P145" i="4"/>
  <c r="O76" i="4"/>
  <c r="P106" i="4"/>
  <c r="O127" i="4"/>
  <c r="O145" i="4"/>
  <c r="O181" i="4"/>
  <c r="P177" i="4"/>
  <c r="P15" i="4"/>
  <c r="O163" i="4"/>
  <c r="O60" i="4"/>
  <c r="O124" i="4"/>
  <c r="O82" i="4"/>
  <c r="P124" i="4"/>
  <c r="O153" i="4"/>
  <c r="O15" i="4"/>
  <c r="P163" i="4"/>
  <c r="O126" i="4"/>
  <c r="P112" i="4"/>
  <c r="P94" i="4"/>
  <c r="O94" i="4"/>
  <c r="P126" i="4"/>
  <c r="P153" i="4"/>
  <c r="P164" i="4"/>
  <c r="O112" i="4"/>
  <c r="O164" i="4"/>
  <c r="P60" i="4"/>
  <c r="P82" i="4"/>
  <c r="P187" i="4"/>
  <c r="P183" i="4"/>
  <c r="O91" i="4"/>
  <c r="O55" i="4"/>
  <c r="P90" i="4"/>
  <c r="O28" i="4"/>
  <c r="P134" i="4"/>
  <c r="O90" i="4"/>
  <c r="P97" i="4"/>
  <c r="O134" i="4"/>
  <c r="O105" i="4"/>
  <c r="P105" i="4"/>
  <c r="O70" i="4"/>
  <c r="P70" i="4"/>
  <c r="O183" i="4"/>
  <c r="O187" i="4"/>
  <c r="P55" i="4"/>
  <c r="P91" i="4"/>
  <c r="P28" i="4"/>
  <c r="O97" i="4"/>
  <c r="O152" i="4"/>
  <c r="O133" i="4"/>
  <c r="O68" i="4"/>
  <c r="P77" i="4"/>
  <c r="O88" i="4"/>
  <c r="O103" i="4"/>
  <c r="O149" i="4"/>
  <c r="P136" i="4"/>
  <c r="O74" i="4"/>
  <c r="P85" i="4"/>
  <c r="P48" i="4"/>
  <c r="O66" i="4"/>
  <c r="O120" i="4"/>
  <c r="P68" i="4"/>
  <c r="O159" i="4"/>
  <c r="O148" i="4"/>
  <c r="P173" i="4"/>
  <c r="O154" i="4"/>
  <c r="P122" i="4"/>
  <c r="O67" i="4"/>
  <c r="P111" i="4"/>
  <c r="P103" i="4"/>
  <c r="P133" i="4"/>
  <c r="P149" i="4"/>
  <c r="P67" i="4"/>
  <c r="O136" i="4"/>
  <c r="P152" i="4"/>
  <c r="O173" i="4"/>
  <c r="P88" i="4"/>
  <c r="P74" i="4"/>
  <c r="O122" i="4"/>
  <c r="P66" i="4"/>
  <c r="O111" i="4"/>
  <c r="O48" i="4"/>
  <c r="P159" i="4"/>
  <c r="P148" i="4"/>
  <c r="O85" i="4"/>
  <c r="P154" i="4"/>
  <c r="O77" i="4"/>
  <c r="P120" i="4"/>
  <c r="P99" i="4"/>
  <c r="O50" i="4"/>
  <c r="P63" i="4"/>
  <c r="P141" i="4"/>
  <c r="O17" i="4"/>
  <c r="O35" i="4"/>
  <c r="P160" i="4"/>
  <c r="P158" i="4"/>
  <c r="O160" i="4"/>
  <c r="O119" i="4"/>
  <c r="P50" i="4"/>
  <c r="O39" i="4"/>
  <c r="O141" i="4"/>
  <c r="P35" i="4"/>
  <c r="O99" i="4"/>
  <c r="P39" i="4"/>
  <c r="O158" i="4"/>
  <c r="P17" i="4"/>
  <c r="O63" i="4"/>
  <c r="P119" i="4"/>
  <c r="O102" i="4"/>
  <c r="O129" i="4"/>
  <c r="O31" i="4"/>
  <c r="P129" i="4"/>
  <c r="P65" i="4"/>
  <c r="O170" i="4"/>
  <c r="O65" i="4"/>
  <c r="P151" i="4"/>
  <c r="P140" i="4"/>
  <c r="O19" i="4"/>
  <c r="O140" i="4"/>
  <c r="O73" i="4"/>
  <c r="O34" i="4"/>
  <c r="P102" i="4"/>
  <c r="P170" i="4"/>
  <c r="P19" i="4"/>
  <c r="P31" i="4"/>
  <c r="P34" i="4"/>
  <c r="P73" i="4"/>
  <c r="O151" i="4"/>
  <c r="O132" i="4"/>
  <c r="O29" i="4"/>
  <c r="P132" i="4"/>
  <c r="P29" i="4"/>
  <c r="O46" i="4"/>
  <c r="P46" i="4"/>
  <c r="P27" i="4"/>
  <c r="O27" i="4"/>
  <c r="AE8" i="4"/>
  <c r="AE10" i="4"/>
  <c r="AE12" i="4"/>
  <c r="AE14" i="4"/>
  <c r="AE16" i="4"/>
  <c r="AE18" i="4"/>
  <c r="AE20" i="4"/>
  <c r="AE22" i="4"/>
  <c r="AE24" i="4"/>
  <c r="AE26" i="4"/>
  <c r="AE28" i="4"/>
  <c r="AE30" i="4"/>
  <c r="AE32" i="4"/>
  <c r="AE34" i="4"/>
  <c r="AE36" i="4"/>
  <c r="AE38" i="4"/>
  <c r="AE40" i="4"/>
  <c r="AF8" i="4"/>
  <c r="X9" i="4"/>
  <c r="AF10" i="4"/>
  <c r="X11" i="4"/>
  <c r="AF12" i="4"/>
  <c r="X13" i="4"/>
  <c r="AF14" i="4"/>
  <c r="X15" i="4"/>
  <c r="AF16" i="4"/>
  <c r="X17" i="4"/>
  <c r="AF18" i="4"/>
  <c r="X19" i="4"/>
  <c r="AF20" i="4"/>
  <c r="X21" i="4"/>
  <c r="AF22" i="4"/>
  <c r="X23" i="4"/>
  <c r="AF24" i="4"/>
  <c r="X25" i="4"/>
  <c r="AF26" i="4"/>
  <c r="X27" i="4"/>
  <c r="AF28" i="4"/>
  <c r="X29" i="4"/>
  <c r="AF30" i="4"/>
  <c r="X31" i="4"/>
  <c r="AF32" i="4"/>
  <c r="X33" i="4"/>
  <c r="AF34" i="4"/>
  <c r="X35" i="4"/>
  <c r="AF36" i="4"/>
  <c r="X37" i="4"/>
  <c r="AF38" i="4"/>
  <c r="X39" i="4"/>
  <c r="AF40" i="4"/>
  <c r="X41" i="4"/>
  <c r="AF42" i="4"/>
  <c r="X43" i="4"/>
  <c r="AF44" i="4"/>
  <c r="X45" i="4"/>
  <c r="AF46" i="4"/>
  <c r="X47" i="4"/>
  <c r="Q8" i="4"/>
  <c r="AG8" i="4"/>
  <c r="Y9" i="4"/>
  <c r="Q10" i="4"/>
  <c r="AG10" i="4"/>
  <c r="Y11" i="4"/>
  <c r="Q12" i="4"/>
  <c r="AG12" i="4"/>
  <c r="Y13" i="4"/>
  <c r="Q14" i="4"/>
  <c r="AG14" i="4"/>
  <c r="Y15" i="4"/>
  <c r="Q16" i="4"/>
  <c r="AG16" i="4"/>
  <c r="Y17" i="4"/>
  <c r="Q18" i="4"/>
  <c r="AG18" i="4"/>
  <c r="Y19" i="4"/>
  <c r="Q20" i="4"/>
  <c r="AG20" i="4"/>
  <c r="Y21" i="4"/>
  <c r="Q22" i="4"/>
  <c r="AG22" i="4"/>
  <c r="Y23" i="4"/>
  <c r="Q24" i="4"/>
  <c r="AG24" i="4"/>
  <c r="Y25" i="4"/>
  <c r="Q26" i="4"/>
  <c r="AG26" i="4"/>
  <c r="Y27" i="4"/>
  <c r="Q28" i="4"/>
  <c r="AG28" i="4"/>
  <c r="Y29" i="4"/>
  <c r="Q30" i="4"/>
  <c r="AG30" i="4"/>
  <c r="Y31" i="4"/>
  <c r="Q32" i="4"/>
  <c r="AG32" i="4"/>
  <c r="Y33" i="4"/>
  <c r="Q34" i="4"/>
  <c r="AG34" i="4"/>
  <c r="Y35" i="4"/>
  <c r="Q36" i="4"/>
  <c r="AG36" i="4"/>
  <c r="Y37" i="4"/>
  <c r="Q38" i="4"/>
  <c r="AG38" i="4"/>
  <c r="Y39" i="4"/>
  <c r="Q40" i="4"/>
  <c r="AG40" i="4"/>
  <c r="Y41" i="4"/>
  <c r="Q42" i="4"/>
  <c r="AG42" i="4"/>
  <c r="Y43" i="4"/>
  <c r="Q44" i="4"/>
  <c r="AG44" i="4"/>
  <c r="Y45" i="4"/>
  <c r="Q46" i="4"/>
  <c r="AG46" i="4"/>
  <c r="Y47" i="4"/>
  <c r="Q48" i="4"/>
  <c r="AG48" i="4"/>
  <c r="Y49" i="4"/>
  <c r="Q50" i="4"/>
  <c r="AG50" i="4"/>
  <c r="Y51" i="4"/>
  <c r="Q52" i="4"/>
  <c r="AG52" i="4"/>
  <c r="Y53" i="4"/>
  <c r="Q54" i="4"/>
  <c r="AG54" i="4"/>
  <c r="Y55" i="4"/>
  <c r="Q56" i="4"/>
  <c r="AG56" i="4"/>
  <c r="Y57" i="4"/>
  <c r="Q58" i="4"/>
  <c r="AG58" i="4"/>
  <c r="Y59" i="4"/>
  <c r="Q60" i="4"/>
  <c r="AG60" i="4"/>
  <c r="Y61" i="4"/>
  <c r="Q62" i="4"/>
  <c r="AG62" i="4"/>
  <c r="Y63" i="4"/>
  <c r="Q64" i="4"/>
  <c r="AG64" i="4"/>
  <c r="Y65" i="4"/>
  <c r="Q66" i="4"/>
  <c r="AG66" i="4"/>
  <c r="Y67" i="4"/>
  <c r="Q68" i="4"/>
  <c r="AG68" i="4"/>
  <c r="Y69" i="4"/>
  <c r="Q70" i="4"/>
  <c r="AG70" i="4"/>
  <c r="Y71" i="4"/>
  <c r="Q72" i="4"/>
  <c r="AG72" i="4"/>
  <c r="Y73" i="4"/>
  <c r="Q74" i="4"/>
  <c r="AG74" i="4"/>
  <c r="Y75" i="4"/>
  <c r="R8" i="4"/>
  <c r="AH8" i="4"/>
  <c r="Z9" i="4"/>
  <c r="R10" i="4"/>
  <c r="AH10" i="4"/>
  <c r="Z11" i="4"/>
  <c r="R12" i="4"/>
  <c r="AH12" i="4"/>
  <c r="Z13" i="4"/>
  <c r="R14" i="4"/>
  <c r="AH14" i="4"/>
  <c r="Z15" i="4"/>
  <c r="R16" i="4"/>
  <c r="AH16" i="4"/>
  <c r="Z17" i="4"/>
  <c r="R18" i="4"/>
  <c r="AH18" i="4"/>
  <c r="Z19" i="4"/>
  <c r="R20" i="4"/>
  <c r="AH20" i="4"/>
  <c r="Z21" i="4"/>
  <c r="R22" i="4"/>
  <c r="AH22" i="4"/>
  <c r="Z23" i="4"/>
  <c r="R24" i="4"/>
  <c r="AH24" i="4"/>
  <c r="Z25" i="4"/>
  <c r="R26" i="4"/>
  <c r="AH26" i="4"/>
  <c r="Z27" i="4"/>
  <c r="R28" i="4"/>
  <c r="AH28" i="4"/>
  <c r="Z29" i="4"/>
  <c r="R30" i="4"/>
  <c r="AH30" i="4"/>
  <c r="Z31" i="4"/>
  <c r="R32" i="4"/>
  <c r="AH32" i="4"/>
  <c r="Z33" i="4"/>
  <c r="R34" i="4"/>
  <c r="AH34" i="4"/>
  <c r="Z35" i="4"/>
  <c r="R36" i="4"/>
  <c r="AH36" i="4"/>
  <c r="Z37" i="4"/>
  <c r="R38" i="4"/>
  <c r="AH38" i="4"/>
  <c r="Z39" i="4"/>
  <c r="R40" i="4"/>
  <c r="AH40" i="4"/>
  <c r="Z41" i="4"/>
  <c r="R42" i="4"/>
  <c r="AH42" i="4"/>
  <c r="Z43" i="4"/>
  <c r="R44" i="4"/>
  <c r="AH44" i="4"/>
  <c r="Z45" i="4"/>
  <c r="R46" i="4"/>
  <c r="AH46" i="4"/>
  <c r="Z47" i="4"/>
  <c r="R48" i="4"/>
  <c r="AH48" i="4"/>
  <c r="Z49" i="4"/>
  <c r="R50" i="4"/>
  <c r="AH50" i="4"/>
  <c r="Z51" i="4"/>
  <c r="R52" i="4"/>
  <c r="AH52" i="4"/>
  <c r="Z53" i="4"/>
  <c r="R54" i="4"/>
  <c r="AH54" i="4"/>
  <c r="Z55" i="4"/>
  <c r="R56" i="4"/>
  <c r="S8" i="4"/>
  <c r="AI8" i="4"/>
  <c r="AA9" i="4"/>
  <c r="S10" i="4"/>
  <c r="AI10" i="4"/>
  <c r="AA11" i="4"/>
  <c r="S12" i="4"/>
  <c r="AI12" i="4"/>
  <c r="AA13" i="4"/>
  <c r="S14" i="4"/>
  <c r="AI14" i="4"/>
  <c r="AA15" i="4"/>
  <c r="T8" i="4"/>
  <c r="AJ8" i="4"/>
  <c r="AB9" i="4"/>
  <c r="T10" i="4"/>
  <c r="AJ10" i="4"/>
  <c r="AB11" i="4"/>
  <c r="T12" i="4"/>
  <c r="AJ12" i="4"/>
  <c r="AB13" i="4"/>
  <c r="T14" i="4"/>
  <c r="AJ14" i="4"/>
  <c r="AB15" i="4"/>
  <c r="T16" i="4"/>
  <c r="AJ16" i="4"/>
  <c r="AB17" i="4"/>
  <c r="T18" i="4"/>
  <c r="AJ18" i="4"/>
  <c r="AB19" i="4"/>
  <c r="T20" i="4"/>
  <c r="AJ20" i="4"/>
  <c r="AB21" i="4"/>
  <c r="T22" i="4"/>
  <c r="AJ22" i="4"/>
  <c r="AB23" i="4"/>
  <c r="T24" i="4"/>
  <c r="AJ24" i="4"/>
  <c r="AB25" i="4"/>
  <c r="T26" i="4"/>
  <c r="AJ26" i="4"/>
  <c r="AB27" i="4"/>
  <c r="T28" i="4"/>
  <c r="AJ28" i="4"/>
  <c r="AB29" i="4"/>
  <c r="T30" i="4"/>
  <c r="AJ30" i="4"/>
  <c r="AB31" i="4"/>
  <c r="T32" i="4"/>
  <c r="AJ32" i="4"/>
  <c r="AB33" i="4"/>
  <c r="U8" i="4"/>
  <c r="AK8" i="4"/>
  <c r="AC9" i="4"/>
  <c r="U10" i="4"/>
  <c r="AK10" i="4"/>
  <c r="AC11" i="4"/>
  <c r="U12" i="4"/>
  <c r="AK12" i="4"/>
  <c r="AC13" i="4"/>
  <c r="U14" i="4"/>
  <c r="AK14" i="4"/>
  <c r="AC15" i="4"/>
  <c r="U16" i="4"/>
  <c r="AK16" i="4"/>
  <c r="AC17" i="4"/>
  <c r="U18" i="4"/>
  <c r="AK18" i="4"/>
  <c r="AC19" i="4"/>
  <c r="U20" i="4"/>
  <c r="AK20" i="4"/>
  <c r="AC21" i="4"/>
  <c r="U22" i="4"/>
  <c r="AK22" i="4"/>
  <c r="AC23" i="4"/>
  <c r="U24" i="4"/>
  <c r="AK24" i="4"/>
  <c r="AC25" i="4"/>
  <c r="U26" i="4"/>
  <c r="AK26" i="4"/>
  <c r="AC27" i="4"/>
  <c r="U28" i="4"/>
  <c r="AK28" i="4"/>
  <c r="AC29" i="4"/>
  <c r="U30" i="4"/>
  <c r="AK30" i="4"/>
  <c r="AC31" i="4"/>
  <c r="U32" i="4"/>
  <c r="AK32" i="4"/>
  <c r="AC33" i="4"/>
  <c r="U34" i="4"/>
  <c r="AK34" i="4"/>
  <c r="AC35" i="4"/>
  <c r="U36" i="4"/>
  <c r="AK36" i="4"/>
  <c r="AC37" i="4"/>
  <c r="U38" i="4"/>
  <c r="AK38" i="4"/>
  <c r="AC39" i="4"/>
  <c r="AL8" i="4"/>
  <c r="AD9" i="4"/>
  <c r="AL10" i="4"/>
  <c r="AD11" i="4"/>
  <c r="AL12" i="4"/>
  <c r="AD13" i="4"/>
  <c r="AL14" i="4"/>
  <c r="AD15" i="4"/>
  <c r="AL16" i="4"/>
  <c r="AD17" i="4"/>
  <c r="AL18" i="4"/>
  <c r="AD19" i="4"/>
  <c r="AL20" i="4"/>
  <c r="AD21" i="4"/>
  <c r="AL22" i="4"/>
  <c r="AD23" i="4"/>
  <c r="AL24" i="4"/>
  <c r="AD25" i="4"/>
  <c r="AL26" i="4"/>
  <c r="AD27" i="4"/>
  <c r="AL28" i="4"/>
  <c r="AD29" i="4"/>
  <c r="AL30" i="4"/>
  <c r="AD31" i="4"/>
  <c r="AL32" i="4"/>
  <c r="AD33" i="4"/>
  <c r="AL34" i="4"/>
  <c r="AD35" i="4"/>
  <c r="AL36" i="4"/>
  <c r="AD37" i="4"/>
  <c r="AL38" i="4"/>
  <c r="AD39" i="4"/>
  <c r="AL40" i="4"/>
  <c r="AD41" i="4"/>
  <c r="AL42" i="4"/>
  <c r="AD43" i="4"/>
  <c r="AL44" i="4"/>
  <c r="AD45" i="4"/>
  <c r="AL46" i="4"/>
  <c r="AD47" i="4"/>
  <c r="AL48" i="4"/>
  <c r="AD49" i="4"/>
  <c r="AL50" i="4"/>
  <c r="AD51" i="4"/>
  <c r="AL52" i="4"/>
  <c r="AD53" i="4"/>
  <c r="AL54" i="4"/>
  <c r="AD55" i="4"/>
  <c r="AL56" i="4"/>
  <c r="AD57" i="4"/>
  <c r="AL58" i="4"/>
  <c r="AD59" i="4"/>
  <c r="AL60" i="4"/>
  <c r="AD61" i="4"/>
  <c r="AL62" i="4"/>
  <c r="AD63" i="4"/>
  <c r="AL64" i="4"/>
  <c r="AD65" i="4"/>
  <c r="AL66" i="4"/>
  <c r="AD67" i="4"/>
  <c r="AL68" i="4"/>
  <c r="AD69" i="4"/>
  <c r="AL70" i="4"/>
  <c r="AD71" i="4"/>
  <c r="AL72" i="4"/>
  <c r="AD73" i="4"/>
  <c r="AL74" i="4"/>
  <c r="AD75" i="4"/>
  <c r="AL76" i="4"/>
  <c r="AD77" i="4"/>
  <c r="AL78" i="4"/>
  <c r="AD79" i="4"/>
  <c r="AE9" i="4"/>
  <c r="AE11" i="4"/>
  <c r="AE13" i="4"/>
  <c r="AE15" i="4"/>
  <c r="AE17" i="4"/>
  <c r="AE19" i="4"/>
  <c r="AE21" i="4"/>
  <c r="AE23" i="4"/>
  <c r="AE25" i="4"/>
  <c r="AE27" i="4"/>
  <c r="AE29" i="4"/>
  <c r="AE31" i="4"/>
  <c r="AE33" i="4"/>
  <c r="AE35" i="4"/>
  <c r="AE37" i="4"/>
  <c r="AE39" i="4"/>
  <c r="AE41" i="4"/>
  <c r="AE43" i="4"/>
  <c r="AE45" i="4"/>
  <c r="AE47" i="4"/>
  <c r="AE49" i="4"/>
  <c r="AE51" i="4"/>
  <c r="AE53" i="4"/>
  <c r="AE55" i="4"/>
  <c r="AE57" i="4"/>
  <c r="AE59" i="4"/>
  <c r="AE61" i="4"/>
  <c r="X8" i="4"/>
  <c r="AF9" i="4"/>
  <c r="X10" i="4"/>
  <c r="AF11" i="4"/>
  <c r="X12" i="4"/>
  <c r="AF13" i="4"/>
  <c r="X14" i="4"/>
  <c r="AF15" i="4"/>
  <c r="X16" i="4"/>
  <c r="AF17" i="4"/>
  <c r="X18" i="4"/>
  <c r="AF19" i="4"/>
  <c r="X20" i="4"/>
  <c r="AF21" i="4"/>
  <c r="X22" i="4"/>
  <c r="AF23" i="4"/>
  <c r="X24" i="4"/>
  <c r="AF25" i="4"/>
  <c r="X26" i="4"/>
  <c r="AF27" i="4"/>
  <c r="X28" i="4"/>
  <c r="AF29" i="4"/>
  <c r="X30" i="4"/>
  <c r="AF31" i="4"/>
  <c r="X32" i="4"/>
  <c r="AF33" i="4"/>
  <c r="X34" i="4"/>
  <c r="AF35" i="4"/>
  <c r="X36" i="4"/>
  <c r="AF37" i="4"/>
  <c r="X38" i="4"/>
  <c r="Y8" i="4"/>
  <c r="Q9" i="4"/>
  <c r="AG9" i="4"/>
  <c r="Y10" i="4"/>
  <c r="Q11" i="4"/>
  <c r="AG11" i="4"/>
  <c r="Y12" i="4"/>
  <c r="Q13" i="4"/>
  <c r="AG13" i="4"/>
  <c r="Y14" i="4"/>
  <c r="Q15" i="4"/>
  <c r="AG15" i="4"/>
  <c r="Y16" i="4"/>
  <c r="Q17" i="4"/>
  <c r="AG17" i="4"/>
  <c r="Y18" i="4"/>
  <c r="Q19" i="4"/>
  <c r="AG19" i="4"/>
  <c r="Y20" i="4"/>
  <c r="Q21" i="4"/>
  <c r="AG21" i="4"/>
  <c r="Y22" i="4"/>
  <c r="Q23" i="4"/>
  <c r="AG23" i="4"/>
  <c r="Y24" i="4"/>
  <c r="Q25" i="4"/>
  <c r="AG25" i="4"/>
  <c r="Y26" i="4"/>
  <c r="Q27" i="4"/>
  <c r="AG27" i="4"/>
  <c r="Y28" i="4"/>
  <c r="Q29" i="4"/>
  <c r="AG29" i="4"/>
  <c r="Y30" i="4"/>
  <c r="Q31" i="4"/>
  <c r="AG31" i="4"/>
  <c r="Y32" i="4"/>
  <c r="Z8" i="4"/>
  <c r="R9" i="4"/>
  <c r="AH9" i="4"/>
  <c r="Z10" i="4"/>
  <c r="R11" i="4"/>
  <c r="AH11" i="4"/>
  <c r="Z12" i="4"/>
  <c r="R13" i="4"/>
  <c r="AH13" i="4"/>
  <c r="Z14" i="4"/>
  <c r="R15" i="4"/>
  <c r="AH15" i="4"/>
  <c r="Z16" i="4"/>
  <c r="R17" i="4"/>
  <c r="AH17" i="4"/>
  <c r="Z18" i="4"/>
  <c r="R19" i="4"/>
  <c r="AH19" i="4"/>
  <c r="Z20" i="4"/>
  <c r="R21" i="4"/>
  <c r="AH21" i="4"/>
  <c r="Z22" i="4"/>
  <c r="R23" i="4"/>
  <c r="AH23" i="4"/>
  <c r="Z24" i="4"/>
  <c r="R25" i="4"/>
  <c r="AH25" i="4"/>
  <c r="Z26" i="4"/>
  <c r="R27" i="4"/>
  <c r="AH27" i="4"/>
  <c r="Z28" i="4"/>
  <c r="R29" i="4"/>
  <c r="AH29" i="4"/>
  <c r="Z30" i="4"/>
  <c r="R31" i="4"/>
  <c r="AH31" i="4"/>
  <c r="Z32" i="4"/>
  <c r="R33" i="4"/>
  <c r="AH33" i="4"/>
  <c r="Z34" i="4"/>
  <c r="R35" i="4"/>
  <c r="AH35" i="4"/>
  <c r="Z36" i="4"/>
  <c r="R37" i="4"/>
  <c r="AH37" i="4"/>
  <c r="Z38" i="4"/>
  <c r="R39" i="4"/>
  <c r="AH39" i="4"/>
  <c r="Z40" i="4"/>
  <c r="R41" i="4"/>
  <c r="AH41" i="4"/>
  <c r="Z42" i="4"/>
  <c r="R43" i="4"/>
  <c r="AH43" i="4"/>
  <c r="Z44" i="4"/>
  <c r="R45" i="4"/>
  <c r="AH45" i="4"/>
  <c r="Z46" i="4"/>
  <c r="R47" i="4"/>
  <c r="AH47" i="4"/>
  <c r="Z48" i="4"/>
  <c r="R49" i="4"/>
  <c r="AH49" i="4"/>
  <c r="Z50" i="4"/>
  <c r="R51" i="4"/>
  <c r="AH51" i="4"/>
  <c r="Z52" i="4"/>
  <c r="R53" i="4"/>
  <c r="AH53" i="4"/>
  <c r="Z54" i="4"/>
  <c r="R55" i="4"/>
  <c r="AH55" i="4"/>
  <c r="Z56" i="4"/>
  <c r="R57" i="4"/>
  <c r="AH57" i="4"/>
  <c r="Z58" i="4"/>
  <c r="R59" i="4"/>
  <c r="AH59" i="4"/>
  <c r="Z60" i="4"/>
  <c r="R61" i="4"/>
  <c r="AH61" i="4"/>
  <c r="Z62" i="4"/>
  <c r="R63" i="4"/>
  <c r="AH63" i="4"/>
  <c r="Z64" i="4"/>
  <c r="R65" i="4"/>
  <c r="AH65" i="4"/>
  <c r="Z66" i="4"/>
  <c r="R67" i="4"/>
  <c r="AH67" i="4"/>
  <c r="Z68" i="4"/>
  <c r="R69" i="4"/>
  <c r="AH69" i="4"/>
  <c r="Z70" i="4"/>
  <c r="R71" i="4"/>
  <c r="AH71" i="4"/>
  <c r="Z72" i="4"/>
  <c r="R73" i="4"/>
  <c r="AH73" i="4"/>
  <c r="Z74" i="4"/>
  <c r="R75" i="4"/>
  <c r="AH75" i="4"/>
  <c r="Z76" i="4"/>
  <c r="R77" i="4"/>
  <c r="AH77" i="4"/>
  <c r="Z78" i="4"/>
  <c r="R79" i="4"/>
  <c r="AH79" i="4"/>
  <c r="Z80" i="4"/>
  <c r="AA8" i="4"/>
  <c r="S9" i="4"/>
  <c r="AI9" i="4"/>
  <c r="AA10" i="4"/>
  <c r="S11" i="4"/>
  <c r="AI11" i="4"/>
  <c r="AA12" i="4"/>
  <c r="S13" i="4"/>
  <c r="AI13" i="4"/>
  <c r="AA14" i="4"/>
  <c r="S15" i="4"/>
  <c r="AI15" i="4"/>
  <c r="AA16" i="4"/>
  <c r="S17" i="4"/>
  <c r="AI17" i="4"/>
  <c r="AA18" i="4"/>
  <c r="S19" i="4"/>
  <c r="AI19" i="4"/>
  <c r="AA20" i="4"/>
  <c r="S21" i="4"/>
  <c r="AI21" i="4"/>
  <c r="AA22" i="4"/>
  <c r="S23" i="4"/>
  <c r="AI23" i="4"/>
  <c r="AA24" i="4"/>
  <c r="S25" i="4"/>
  <c r="AI25" i="4"/>
  <c r="AA26" i="4"/>
  <c r="S27" i="4"/>
  <c r="AI27" i="4"/>
  <c r="AA28" i="4"/>
  <c r="S29" i="4"/>
  <c r="AI29" i="4"/>
  <c r="AA30" i="4"/>
  <c r="S31" i="4"/>
  <c r="AI31" i="4"/>
  <c r="AA32" i="4"/>
  <c r="S33" i="4"/>
  <c r="AI33" i="4"/>
  <c r="AA34" i="4"/>
  <c r="S35" i="4"/>
  <c r="AI35" i="4"/>
  <c r="AA36" i="4"/>
  <c r="S37" i="4"/>
  <c r="AI37" i="4"/>
  <c r="AA38" i="4"/>
  <c r="S39" i="4"/>
  <c r="AI39" i="4"/>
  <c r="AA40" i="4"/>
  <c r="S41" i="4"/>
  <c r="AI41" i="4"/>
  <c r="AA42" i="4"/>
  <c r="S43" i="4"/>
  <c r="AI43" i="4"/>
  <c r="AA44" i="4"/>
  <c r="S45" i="4"/>
  <c r="AI45" i="4"/>
  <c r="AA46" i="4"/>
  <c r="S47" i="4"/>
  <c r="AI47" i="4"/>
  <c r="AA48" i="4"/>
  <c r="S49" i="4"/>
  <c r="AI49" i="4"/>
  <c r="AA50" i="4"/>
  <c r="S51" i="4"/>
  <c r="AI51" i="4"/>
  <c r="AA52" i="4"/>
  <c r="S53" i="4"/>
  <c r="AI53" i="4"/>
  <c r="AA54" i="4"/>
  <c r="S55" i="4"/>
  <c r="AI55" i="4"/>
  <c r="AA56" i="4"/>
  <c r="S57" i="4"/>
  <c r="AI57" i="4"/>
  <c r="AA58" i="4"/>
  <c r="S59" i="4"/>
  <c r="AI59" i="4"/>
  <c r="AA60" i="4"/>
  <c r="S61" i="4"/>
  <c r="AI61" i="4"/>
  <c r="AA62" i="4"/>
  <c r="S63" i="4"/>
  <c r="AI63" i="4"/>
  <c r="AA64" i="4"/>
  <c r="S65" i="4"/>
  <c r="AI65" i="4"/>
  <c r="AA66" i="4"/>
  <c r="S67" i="4"/>
  <c r="AI67" i="4"/>
  <c r="AA68" i="4"/>
  <c r="S69" i="4"/>
  <c r="AI69" i="4"/>
  <c r="AA70" i="4"/>
  <c r="S71" i="4"/>
  <c r="AI71" i="4"/>
  <c r="AA72" i="4"/>
  <c r="S73" i="4"/>
  <c r="AI73" i="4"/>
  <c r="AA74" i="4"/>
  <c r="S75" i="4"/>
  <c r="AI75" i="4"/>
  <c r="AA76" i="4"/>
  <c r="S77" i="4"/>
  <c r="AI77" i="4"/>
  <c r="AB8" i="4"/>
  <c r="T9" i="4"/>
  <c r="AJ9" i="4"/>
  <c r="AB10" i="4"/>
  <c r="T11" i="4"/>
  <c r="AJ11" i="4"/>
  <c r="AB12" i="4"/>
  <c r="T13" i="4"/>
  <c r="AJ13" i="4"/>
  <c r="AB14" i="4"/>
  <c r="T15" i="4"/>
  <c r="AJ15" i="4"/>
  <c r="AB16" i="4"/>
  <c r="T17" i="4"/>
  <c r="AJ17" i="4"/>
  <c r="AB18" i="4"/>
  <c r="T19" i="4"/>
  <c r="AJ19" i="4"/>
  <c r="AB20" i="4"/>
  <c r="T21" i="4"/>
  <c r="AJ21" i="4"/>
  <c r="AB22" i="4"/>
  <c r="T23" i="4"/>
  <c r="AJ23" i="4"/>
  <c r="AB24" i="4"/>
  <c r="T25" i="4"/>
  <c r="AJ25" i="4"/>
  <c r="AB26" i="4"/>
  <c r="T27" i="4"/>
  <c r="AJ27" i="4"/>
  <c r="AB28" i="4"/>
  <c r="T29" i="4"/>
  <c r="AJ29" i="4"/>
  <c r="AB30" i="4"/>
  <c r="T31" i="4"/>
  <c r="AJ31" i="4"/>
  <c r="AB32" i="4"/>
  <c r="T33" i="4"/>
  <c r="AJ33" i="4"/>
  <c r="AB34" i="4"/>
  <c r="T35" i="4"/>
  <c r="AJ35" i="4"/>
  <c r="AB36" i="4"/>
  <c r="AC8" i="4"/>
  <c r="AK13" i="4"/>
  <c r="AL17" i="4"/>
  <c r="AA21" i="4"/>
  <c r="U25" i="4"/>
  <c r="AD28" i="4"/>
  <c r="S32" i="4"/>
  <c r="AI34" i="4"/>
  <c r="AJ36" i="4"/>
  <c r="AD38" i="4"/>
  <c r="T40" i="4"/>
  <c r="AB41" i="4"/>
  <c r="AI42" i="4"/>
  <c r="AL43" i="4"/>
  <c r="T45" i="4"/>
  <c r="X46" i="4"/>
  <c r="AB47" i="4"/>
  <c r="AD48" i="4"/>
  <c r="AF49" i="4"/>
  <c r="AF50" i="4"/>
  <c r="AJ51" i="4"/>
  <c r="AJ52" i="4"/>
  <c r="AL53" i="4"/>
  <c r="AD8" i="4"/>
  <c r="AL13" i="4"/>
  <c r="S18" i="4"/>
  <c r="AK21" i="4"/>
  <c r="AI28" i="4"/>
  <c r="AC32" i="4"/>
  <c r="AJ34" i="4"/>
  <c r="Q37" i="4"/>
  <c r="AI38" i="4"/>
  <c r="U40" i="4"/>
  <c r="AC41" i="4"/>
  <c r="AJ42" i="4"/>
  <c r="U45" i="4"/>
  <c r="Y46" i="4"/>
  <c r="AC47" i="4"/>
  <c r="AE48" i="4"/>
  <c r="AG49" i="4"/>
  <c r="AI50" i="4"/>
  <c r="AK51" i="4"/>
  <c r="AK52" i="4"/>
  <c r="Q55" i="4"/>
  <c r="S56" i="4"/>
  <c r="T57" i="4"/>
  <c r="R58" i="4"/>
  <c r="Q59" i="4"/>
  <c r="AJ62" i="4"/>
  <c r="AG63" i="4"/>
  <c r="AE64" i="4"/>
  <c r="U9" i="4"/>
  <c r="AC14" i="4"/>
  <c r="AC18" i="4"/>
  <c r="AL21" i="4"/>
  <c r="AA25" i="4"/>
  <c r="U29" i="4"/>
  <c r="AD32" i="4"/>
  <c r="Q35" i="4"/>
  <c r="T37" i="4"/>
  <c r="AJ38" i="4"/>
  <c r="X40" i="4"/>
  <c r="AF41" i="4"/>
  <c r="AK42" i="4"/>
  <c r="S44" i="4"/>
  <c r="AB46" i="4"/>
  <c r="AF47" i="4"/>
  <c r="AF48" i="4"/>
  <c r="AJ49" i="4"/>
  <c r="AJ50" i="4"/>
  <c r="AL51" i="4"/>
  <c r="T55" i="4"/>
  <c r="T56" i="4"/>
  <c r="U57" i="4"/>
  <c r="S58" i="4"/>
  <c r="T59" i="4"/>
  <c r="R60" i="4"/>
  <c r="Q61" i="4"/>
  <c r="AK62" i="4"/>
  <c r="AJ63" i="4"/>
  <c r="AF64" i="4"/>
  <c r="AC65" i="4"/>
  <c r="AB66" i="4"/>
  <c r="X67" i="4"/>
  <c r="U68" i="4"/>
  <c r="T69" i="4"/>
  <c r="AK70" i="4"/>
  <c r="AJ71" i="4"/>
  <c r="AF72" i="4"/>
  <c r="AC73" i="4"/>
  <c r="AB74" i="4"/>
  <c r="X75" i="4"/>
  <c r="T76" i="4"/>
  <c r="AK77" i="4"/>
  <c r="AE78" i="4"/>
  <c r="Y79" i="4"/>
  <c r="S80" i="4"/>
  <c r="AK80" i="4"/>
  <c r="AC81" i="4"/>
  <c r="U82" i="4"/>
  <c r="AK82" i="4"/>
  <c r="AC83" i="4"/>
  <c r="U84" i="4"/>
  <c r="AK84" i="4"/>
  <c r="AC85" i="4"/>
  <c r="U86" i="4"/>
  <c r="AK86" i="4"/>
  <c r="AC87" i="4"/>
  <c r="U88" i="4"/>
  <c r="AK88" i="4"/>
  <c r="AC89" i="4"/>
  <c r="U90" i="4"/>
  <c r="AK90" i="4"/>
  <c r="AC91" i="4"/>
  <c r="U92" i="4"/>
  <c r="AK92" i="4"/>
  <c r="AC93" i="4"/>
  <c r="U94" i="4"/>
  <c r="AK94" i="4"/>
  <c r="AC95" i="4"/>
  <c r="U96" i="4"/>
  <c r="AK96" i="4"/>
  <c r="AC97" i="4"/>
  <c r="U98" i="4"/>
  <c r="AK98" i="4"/>
  <c r="AC99" i="4"/>
  <c r="U100" i="4"/>
  <c r="AK100" i="4"/>
  <c r="AC101" i="4"/>
  <c r="U102" i="4"/>
  <c r="AK102" i="4"/>
  <c r="AC103" i="4"/>
  <c r="U104" i="4"/>
  <c r="AK104" i="4"/>
  <c r="AC105" i="4"/>
  <c r="U106" i="4"/>
  <c r="AK106" i="4"/>
  <c r="AC107" i="4"/>
  <c r="U108" i="4"/>
  <c r="AK108" i="4"/>
  <c r="AC109" i="4"/>
  <c r="U110" i="4"/>
  <c r="AK110" i="4"/>
  <c r="AC111" i="4"/>
  <c r="U112" i="4"/>
  <c r="AK112" i="4"/>
  <c r="AC113" i="4"/>
  <c r="AD14" i="4"/>
  <c r="AD18" i="4"/>
  <c r="S22" i="4"/>
  <c r="AK25" i="4"/>
  <c r="AI32" i="4"/>
  <c r="U35" i="4"/>
  <c r="U37" i="4"/>
  <c r="Y40" i="4"/>
  <c r="AG41" i="4"/>
  <c r="T44" i="4"/>
  <c r="AC46" i="4"/>
  <c r="AG47" i="4"/>
  <c r="AI48" i="4"/>
  <c r="AK49" i="4"/>
  <c r="AK50" i="4"/>
  <c r="Q53" i="4"/>
  <c r="S54" i="4"/>
  <c r="U55" i="4"/>
  <c r="U56" i="4"/>
  <c r="T58" i="4"/>
  <c r="U59" i="4"/>
  <c r="S60" i="4"/>
  <c r="T61" i="4"/>
  <c r="R62" i="4"/>
  <c r="AK63" i="4"/>
  <c r="AH64" i="4"/>
  <c r="AE65" i="4"/>
  <c r="AC66" i="4"/>
  <c r="Z67" i="4"/>
  <c r="U69" i="4"/>
  <c r="R70" i="4"/>
  <c r="AK71" i="4"/>
  <c r="AH72" i="4"/>
  <c r="AE73" i="4"/>
  <c r="AC74" i="4"/>
  <c r="Z75" i="4"/>
  <c r="U76" i="4"/>
  <c r="Q77" i="4"/>
  <c r="AL77" i="4"/>
  <c r="AF78" i="4"/>
  <c r="Z79" i="4"/>
  <c r="T80" i="4"/>
  <c r="AL80" i="4"/>
  <c r="AD81" i="4"/>
  <c r="AL82" i="4"/>
  <c r="AD83" i="4"/>
  <c r="AL84" i="4"/>
  <c r="AD85" i="4"/>
  <c r="AL86" i="4"/>
  <c r="AD87" i="4"/>
  <c r="AL88" i="4"/>
  <c r="AD89" i="4"/>
  <c r="AL90" i="4"/>
  <c r="AD91" i="4"/>
  <c r="AL92" i="4"/>
  <c r="AD93" i="4"/>
  <c r="AL94" i="4"/>
  <c r="AD95" i="4"/>
  <c r="AL96" i="4"/>
  <c r="AD97" i="4"/>
  <c r="AL98" i="4"/>
  <c r="AD99" i="4"/>
  <c r="AL100" i="4"/>
  <c r="AD101" i="4"/>
  <c r="AL102" i="4"/>
  <c r="AD103" i="4"/>
  <c r="AL104" i="4"/>
  <c r="AD105" i="4"/>
  <c r="AL106" i="4"/>
  <c r="AD107" i="4"/>
  <c r="AL108" i="4"/>
  <c r="AD109" i="4"/>
  <c r="AL110" i="4"/>
  <c r="AD111" i="4"/>
  <c r="AL112" i="4"/>
  <c r="AD113" i="4"/>
  <c r="AL114" i="4"/>
  <c r="AD115" i="4"/>
  <c r="AL116" i="4"/>
  <c r="AD117" i="4"/>
  <c r="AL118" i="4"/>
  <c r="AD119" i="4"/>
  <c r="AL120" i="4"/>
  <c r="AD121" i="4"/>
  <c r="AK9" i="4"/>
  <c r="U15" i="4"/>
  <c r="AI18" i="4"/>
  <c r="AC22" i="4"/>
  <c r="AL25" i="4"/>
  <c r="AA29" i="4"/>
  <c r="Q33" i="4"/>
  <c r="Q39" i="4"/>
  <c r="AB40" i="4"/>
  <c r="AJ41" i="4"/>
  <c r="Q43" i="4"/>
  <c r="U44" i="4"/>
  <c r="AA45" i="4"/>
  <c r="AD46" i="4"/>
  <c r="AJ47" i="4"/>
  <c r="AJ48" i="4"/>
  <c r="AL49" i="4"/>
  <c r="T53" i="4"/>
  <c r="T54" i="4"/>
  <c r="X56" i="4"/>
  <c r="U58" i="4"/>
  <c r="T60" i="4"/>
  <c r="U61" i="4"/>
  <c r="S62" i="4"/>
  <c r="AL63" i="4"/>
  <c r="AI64" i="4"/>
  <c r="AF65" i="4"/>
  <c r="AD66" i="4"/>
  <c r="AA67" i="4"/>
  <c r="X68" i="4"/>
  <c r="S70" i="4"/>
  <c r="AL71" i="4"/>
  <c r="AI72" i="4"/>
  <c r="AF73" i="4"/>
  <c r="AD74" i="4"/>
  <c r="AA75" i="4"/>
  <c r="T77" i="4"/>
  <c r="AG78" i="4"/>
  <c r="AA79" i="4"/>
  <c r="U80" i="4"/>
  <c r="AE81" i="4"/>
  <c r="AE83" i="4"/>
  <c r="AE85" i="4"/>
  <c r="AE87" i="4"/>
  <c r="AE89" i="4"/>
  <c r="AE91" i="4"/>
  <c r="AE93" i="4"/>
  <c r="AE95" i="4"/>
  <c r="AE97" i="4"/>
  <c r="AE99" i="4"/>
  <c r="AL9" i="4"/>
  <c r="U19" i="4"/>
  <c r="AD22" i="4"/>
  <c r="S26" i="4"/>
  <c r="AK29" i="4"/>
  <c r="U33" i="4"/>
  <c r="AA35" i="4"/>
  <c r="AA37" i="4"/>
  <c r="T39" i="4"/>
  <c r="AC40" i="4"/>
  <c r="AK41" i="4"/>
  <c r="T43" i="4"/>
  <c r="X44" i="4"/>
  <c r="AB45" i="4"/>
  <c r="AE46" i="4"/>
  <c r="AK47" i="4"/>
  <c r="AK48" i="4"/>
  <c r="Q51" i="4"/>
  <c r="S52" i="4"/>
  <c r="U53" i="4"/>
  <c r="U54" i="4"/>
  <c r="Y56" i="4"/>
  <c r="AC10" i="4"/>
  <c r="AK15" i="4"/>
  <c r="AI22" i="4"/>
  <c r="AC26" i="4"/>
  <c r="AL29" i="4"/>
  <c r="AB35" i="4"/>
  <c r="AB37" i="4"/>
  <c r="U39" i="4"/>
  <c r="AD40" i="4"/>
  <c r="AL41" i="4"/>
  <c r="U43" i="4"/>
  <c r="Y44" i="4"/>
  <c r="AC45" i="4"/>
  <c r="AI46" i="4"/>
  <c r="AL47" i="4"/>
  <c r="T51" i="4"/>
  <c r="T52" i="4"/>
  <c r="X54" i="4"/>
  <c r="X55" i="4"/>
  <c r="AB56" i="4"/>
  <c r="Z57" i="4"/>
  <c r="Y58" i="4"/>
  <c r="X59" i="4"/>
  <c r="X60" i="4"/>
  <c r="U62" i="4"/>
  <c r="T63" i="4"/>
  <c r="AK64" i="4"/>
  <c r="AJ65" i="4"/>
  <c r="AF66" i="4"/>
  <c r="AC67" i="4"/>
  <c r="AB68" i="4"/>
  <c r="X69" i="4"/>
  <c r="U70" i="4"/>
  <c r="T71" i="4"/>
  <c r="AK72" i="4"/>
  <c r="AJ73" i="4"/>
  <c r="AF74" i="4"/>
  <c r="AC75" i="4"/>
  <c r="Y76" i="4"/>
  <c r="Q78" i="4"/>
  <c r="AI78" i="4"/>
  <c r="AC79" i="4"/>
  <c r="X80" i="4"/>
  <c r="Q81" i="4"/>
  <c r="AG81" i="4"/>
  <c r="Y82" i="4"/>
  <c r="Q83" i="4"/>
  <c r="AG83" i="4"/>
  <c r="Y84" i="4"/>
  <c r="Q85" i="4"/>
  <c r="AG85" i="4"/>
  <c r="Y86" i="4"/>
  <c r="Q87" i="4"/>
  <c r="AG87" i="4"/>
  <c r="Y88" i="4"/>
  <c r="Q89" i="4"/>
  <c r="AD10" i="4"/>
  <c r="AL15" i="4"/>
  <c r="AA19" i="4"/>
  <c r="U23" i="4"/>
  <c r="AD26" i="4"/>
  <c r="S30" i="4"/>
  <c r="AA33" i="4"/>
  <c r="AG35" i="4"/>
  <c r="AG37" i="4"/>
  <c r="AI40" i="4"/>
  <c r="S42" i="4"/>
  <c r="AB44" i="4"/>
  <c r="AF45" i="4"/>
  <c r="AJ46" i="4"/>
  <c r="Q49" i="4"/>
  <c r="S50" i="4"/>
  <c r="U51" i="4"/>
  <c r="U52" i="4"/>
  <c r="Y54" i="4"/>
  <c r="AA55" i="4"/>
  <c r="AC56" i="4"/>
  <c r="AA57" i="4"/>
  <c r="AB58" i="4"/>
  <c r="Z59" i="4"/>
  <c r="Y60" i="4"/>
  <c r="U11" i="4"/>
  <c r="S16" i="4"/>
  <c r="AK19" i="4"/>
  <c r="AI26" i="4"/>
  <c r="AC30" i="4"/>
  <c r="AG33" i="4"/>
  <c r="AK35" i="4"/>
  <c r="AJ37" i="4"/>
  <c r="AA39" i="4"/>
  <c r="AJ40" i="4"/>
  <c r="T42" i="4"/>
  <c r="AC44" i="4"/>
  <c r="AG45" i="4"/>
  <c r="AK46" i="4"/>
  <c r="T49" i="4"/>
  <c r="T50" i="4"/>
  <c r="X52" i="4"/>
  <c r="X53" i="4"/>
  <c r="AB54" i="4"/>
  <c r="AB55" i="4"/>
  <c r="AD56" i="4"/>
  <c r="AB57" i="4"/>
  <c r="AC58" i="4"/>
  <c r="AA59" i="4"/>
  <c r="AB60" i="4"/>
  <c r="Z61" i="4"/>
  <c r="X62" i="4"/>
  <c r="S64" i="4"/>
  <c r="AL65" i="4"/>
  <c r="AI66" i="4"/>
  <c r="AF67" i="4"/>
  <c r="AD68" i="4"/>
  <c r="AA69" i="4"/>
  <c r="X70" i="4"/>
  <c r="S72" i="4"/>
  <c r="AL73" i="4"/>
  <c r="AI74" i="4"/>
  <c r="AF75" i="4"/>
  <c r="AC76" i="4"/>
  <c r="X77" i="4"/>
  <c r="S78" i="4"/>
  <c r="AK78" i="4"/>
  <c r="AF79" i="4"/>
  <c r="AA80" i="4"/>
  <c r="S81" i="4"/>
  <c r="AI81" i="4"/>
  <c r="AA82" i="4"/>
  <c r="S83" i="4"/>
  <c r="AI83" i="4"/>
  <c r="AA84" i="4"/>
  <c r="S85" i="4"/>
  <c r="AI85" i="4"/>
  <c r="AA86" i="4"/>
  <c r="S87" i="4"/>
  <c r="AI87" i="4"/>
  <c r="AA88" i="4"/>
  <c r="S89" i="4"/>
  <c r="AI89" i="4"/>
  <c r="AA90" i="4"/>
  <c r="S91" i="4"/>
  <c r="AI91" i="4"/>
  <c r="AA92" i="4"/>
  <c r="S93" i="4"/>
  <c r="AI93" i="4"/>
  <c r="AA94" i="4"/>
  <c r="S95" i="4"/>
  <c r="AI95" i="4"/>
  <c r="AA96" i="4"/>
  <c r="S97" i="4"/>
  <c r="AI97" i="4"/>
  <c r="AA98" i="4"/>
  <c r="S99" i="4"/>
  <c r="AI99" i="4"/>
  <c r="AA100" i="4"/>
  <c r="S101" i="4"/>
  <c r="AI101" i="4"/>
  <c r="AA102" i="4"/>
  <c r="S103" i="4"/>
  <c r="AI103" i="4"/>
  <c r="AA104" i="4"/>
  <c r="S105" i="4"/>
  <c r="AI105" i="4"/>
  <c r="AA106" i="4"/>
  <c r="S107" i="4"/>
  <c r="AI107" i="4"/>
  <c r="AA108" i="4"/>
  <c r="S109" i="4"/>
  <c r="AC16" i="4"/>
  <c r="AL19" i="4"/>
  <c r="AA23" i="4"/>
  <c r="U27" i="4"/>
  <c r="AD30" i="4"/>
  <c r="AK33" i="4"/>
  <c r="AL35" i="4"/>
  <c r="AK37" i="4"/>
  <c r="AB39" i="4"/>
  <c r="AK40" i="4"/>
  <c r="U42" i="4"/>
  <c r="AA43" i="4"/>
  <c r="AD44" i="4"/>
  <c r="AJ45" i="4"/>
  <c r="S48" i="4"/>
  <c r="U49" i="4"/>
  <c r="U50" i="4"/>
  <c r="Y52" i="4"/>
  <c r="AA53" i="4"/>
  <c r="AC54" i="4"/>
  <c r="AC55" i="4"/>
  <c r="AE56" i="4"/>
  <c r="AC57" i="4"/>
  <c r="AD58" i="4"/>
  <c r="AB59" i="4"/>
  <c r="AC60" i="4"/>
  <c r="AA61" i="4"/>
  <c r="Y62" i="4"/>
  <c r="T64" i="4"/>
  <c r="Q65" i="4"/>
  <c r="AJ66" i="4"/>
  <c r="AG67" i="4"/>
  <c r="AE68" i="4"/>
  <c r="AB69" i="4"/>
  <c r="Y70" i="4"/>
  <c r="T72" i="4"/>
  <c r="Q73" i="4"/>
  <c r="AJ74" i="4"/>
  <c r="AG75" i="4"/>
  <c r="AD76" i="4"/>
  <c r="Y77" i="4"/>
  <c r="T78" i="4"/>
  <c r="AG79" i="4"/>
  <c r="AB80" i="4"/>
  <c r="T81" i="4"/>
  <c r="AJ81" i="4"/>
  <c r="AB82" i="4"/>
  <c r="T83" i="4"/>
  <c r="AK11" i="4"/>
  <c r="AD16" i="4"/>
  <c r="S20" i="4"/>
  <c r="AK23" i="4"/>
  <c r="AI30" i="4"/>
  <c r="AL33" i="4"/>
  <c r="S36" i="4"/>
  <c r="AL37" i="4"/>
  <c r="AF39" i="4"/>
  <c r="X42" i="4"/>
  <c r="AB43" i="4"/>
  <c r="AE44" i="4"/>
  <c r="AK45" i="4"/>
  <c r="Q47" i="4"/>
  <c r="T48" i="4"/>
  <c r="X50" i="4"/>
  <c r="X51" i="4"/>
  <c r="AB52" i="4"/>
  <c r="AB53" i="4"/>
  <c r="AD54" i="4"/>
  <c r="AF55" i="4"/>
  <c r="AF56" i="4"/>
  <c r="AF57" i="4"/>
  <c r="AE58" i="4"/>
  <c r="AC59" i="4"/>
  <c r="AD60" i="4"/>
  <c r="AB61" i="4"/>
  <c r="AB62" i="4"/>
  <c r="X63" i="4"/>
  <c r="U64" i="4"/>
  <c r="T65" i="4"/>
  <c r="AK66" i="4"/>
  <c r="AJ67" i="4"/>
  <c r="AF68" i="4"/>
  <c r="AC69" i="4"/>
  <c r="AB70" i="4"/>
  <c r="X71" i="4"/>
  <c r="U72" i="4"/>
  <c r="T73" i="4"/>
  <c r="AK74" i="4"/>
  <c r="AJ75" i="4"/>
  <c r="AE76" i="4"/>
  <c r="Z77" i="4"/>
  <c r="U78" i="4"/>
  <c r="AI79" i="4"/>
  <c r="AC80" i="4"/>
  <c r="U81" i="4"/>
  <c r="AK81" i="4"/>
  <c r="AC82" i="4"/>
  <c r="U83" i="4"/>
  <c r="AK83" i="4"/>
  <c r="AC84" i="4"/>
  <c r="U85" i="4"/>
  <c r="AK85" i="4"/>
  <c r="AC86" i="4"/>
  <c r="U87" i="4"/>
  <c r="AK87" i="4"/>
  <c r="AC88" i="4"/>
  <c r="U89" i="4"/>
  <c r="AK89" i="4"/>
  <c r="AC90" i="4"/>
  <c r="U91" i="4"/>
  <c r="AK91" i="4"/>
  <c r="AC92" i="4"/>
  <c r="U93" i="4"/>
  <c r="AK93" i="4"/>
  <c r="AC94" i="4"/>
  <c r="U95" i="4"/>
  <c r="AK95" i="4"/>
  <c r="AC96" i="4"/>
  <c r="U97" i="4"/>
  <c r="AK97" i="4"/>
  <c r="AC98" i="4"/>
  <c r="U99" i="4"/>
  <c r="AK99" i="4"/>
  <c r="AC100" i="4"/>
  <c r="U101" i="4"/>
  <c r="AK101" i="4"/>
  <c r="AC102" i="4"/>
  <c r="U103" i="4"/>
  <c r="AK103" i="4"/>
  <c r="AC104" i="4"/>
  <c r="U105" i="4"/>
  <c r="AK105" i="4"/>
  <c r="AC106" i="4"/>
  <c r="U107" i="4"/>
  <c r="AK107" i="4"/>
  <c r="AC108" i="4"/>
  <c r="U109" i="4"/>
  <c r="AK109" i="4"/>
  <c r="AC110" i="4"/>
  <c r="U111" i="4"/>
  <c r="AK111" i="4"/>
  <c r="AC112" i="4"/>
  <c r="U113" i="4"/>
  <c r="AK113" i="4"/>
  <c r="AC114" i="4"/>
  <c r="U115" i="4"/>
  <c r="AK115" i="4"/>
  <c r="AC116" i="4"/>
  <c r="U117" i="4"/>
  <c r="AK117" i="4"/>
  <c r="AC118" i="4"/>
  <c r="AL11" i="4"/>
  <c r="AI16" i="4"/>
  <c r="AC20" i="4"/>
  <c r="AL23" i="4"/>
  <c r="AA27" i="4"/>
  <c r="U31" i="4"/>
  <c r="S34" i="4"/>
  <c r="T36" i="4"/>
  <c r="S38" i="4"/>
  <c r="AG39" i="4"/>
  <c r="Q41" i="4"/>
  <c r="Y42" i="4"/>
  <c r="AC43" i="4"/>
  <c r="AI44" i="4"/>
  <c r="AL45" i="4"/>
  <c r="T47" i="4"/>
  <c r="U48" i="4"/>
  <c r="Y50" i="4"/>
  <c r="AA51" i="4"/>
  <c r="AC52" i="4"/>
  <c r="AC53" i="4"/>
  <c r="AE54" i="4"/>
  <c r="AG55" i="4"/>
  <c r="AH56" i="4"/>
  <c r="AG57" i="4"/>
  <c r="AF58" i="4"/>
  <c r="AF59" i="4"/>
  <c r="AE60" i="4"/>
  <c r="AC61" i="4"/>
  <c r="AC62" i="4"/>
  <c r="AC12" i="4"/>
  <c r="U17" i="4"/>
  <c r="AD20" i="4"/>
  <c r="S24" i="4"/>
  <c r="AK27" i="4"/>
  <c r="T34" i="4"/>
  <c r="Y36" i="4"/>
  <c r="T38" i="4"/>
  <c r="AJ39" i="4"/>
  <c r="T41" i="4"/>
  <c r="AB42" i="4"/>
  <c r="AF43" i="4"/>
  <c r="AJ44" i="4"/>
  <c r="U47" i="4"/>
  <c r="X48" i="4"/>
  <c r="X49" i="4"/>
  <c r="AB50" i="4"/>
  <c r="AB51" i="4"/>
  <c r="AD52" i="4"/>
  <c r="AF53" i="4"/>
  <c r="AF54" i="4"/>
  <c r="AJ55" i="4"/>
  <c r="AI56" i="4"/>
  <c r="AJ57" i="4"/>
  <c r="AH58" i="4"/>
  <c r="AG59" i="4"/>
  <c r="AF60" i="4"/>
  <c r="AF61" i="4"/>
  <c r="AD62" i="4"/>
  <c r="AA63" i="4"/>
  <c r="X64" i="4"/>
  <c r="S66" i="4"/>
  <c r="AL67" i="4"/>
  <c r="AI68" i="4"/>
  <c r="AF69" i="4"/>
  <c r="AD70" i="4"/>
  <c r="AA71" i="4"/>
  <c r="X72" i="4"/>
  <c r="S74" i="4"/>
  <c r="AD12" i="4"/>
  <c r="AI20" i="4"/>
  <c r="AC24" i="4"/>
  <c r="AL27" i="4"/>
  <c r="AA31" i="4"/>
  <c r="Y34" i="4"/>
  <c r="AC36" i="4"/>
  <c r="Y38" i="4"/>
  <c r="AK39" i="4"/>
  <c r="U41" i="4"/>
  <c r="AC42" i="4"/>
  <c r="AG43" i="4"/>
  <c r="AK44" i="4"/>
  <c r="S46" i="4"/>
  <c r="Y48" i="4"/>
  <c r="AA49" i="4"/>
  <c r="AC50" i="4"/>
  <c r="AC51" i="4"/>
  <c r="AE52" i="4"/>
  <c r="AG53" i="4"/>
  <c r="AI54" i="4"/>
  <c r="AK55" i="4"/>
  <c r="AJ56" i="4"/>
  <c r="AK57" i="4"/>
  <c r="AI58" i="4"/>
  <c r="AJ59" i="4"/>
  <c r="AH60" i="4"/>
  <c r="AG61" i="4"/>
  <c r="AE62" i="4"/>
  <c r="AB63" i="4"/>
  <c r="Y64" i="4"/>
  <c r="T66" i="4"/>
  <c r="Q67" i="4"/>
  <c r="AJ68" i="4"/>
  <c r="AG69" i="4"/>
  <c r="AE70" i="4"/>
  <c r="U13" i="4"/>
  <c r="AA17" i="4"/>
  <c r="U21" i="4"/>
  <c r="AD24" i="4"/>
  <c r="S28" i="4"/>
  <c r="AK31" i="4"/>
  <c r="AC34" i="4"/>
  <c r="AD36" i="4"/>
  <c r="AB38" i="4"/>
  <c r="AL39" i="4"/>
  <c r="AD42" i="4"/>
  <c r="AJ43" i="4"/>
  <c r="T46" i="4"/>
  <c r="AB48" i="4"/>
  <c r="AB49" i="4"/>
  <c r="AD50" i="4"/>
  <c r="AF51" i="4"/>
  <c r="AF52" i="4"/>
  <c r="AJ53" i="4"/>
  <c r="AJ54" i="4"/>
  <c r="AL55" i="4"/>
  <c r="AK56" i="4"/>
  <c r="AL57" i="4"/>
  <c r="AJ58" i="4"/>
  <c r="AK59" i="4"/>
  <c r="AI60" i="4"/>
  <c r="AJ61" i="4"/>
  <c r="AF62" i="4"/>
  <c r="AC63" i="4"/>
  <c r="AB64" i="4"/>
  <c r="X65" i="4"/>
  <c r="U66" i="4"/>
  <c r="T67" i="4"/>
  <c r="AK17" i="4"/>
  <c r="AI24" i="4"/>
  <c r="AC28" i="4"/>
  <c r="AL31" i="4"/>
  <c r="AD34" i="4"/>
  <c r="AI36" i="4"/>
  <c r="AC38" i="4"/>
  <c r="S40" i="4"/>
  <c r="AA41" i="4"/>
  <c r="AE42" i="4"/>
  <c r="AK43" i="4"/>
  <c r="Q45" i="4"/>
  <c r="U46" i="4"/>
  <c r="AA47" i="4"/>
  <c r="AC48" i="4"/>
  <c r="AC49" i="4"/>
  <c r="AE50" i="4"/>
  <c r="AG51" i="4"/>
  <c r="AI52" i="4"/>
  <c r="AK53" i="4"/>
  <c r="AK54" i="4"/>
  <c r="AK58" i="4"/>
  <c r="AL59" i="4"/>
  <c r="AJ60" i="4"/>
  <c r="AK61" i="4"/>
  <c r="AH62" i="4"/>
  <c r="AE63" i="4"/>
  <c r="AC64" i="4"/>
  <c r="Z65" i="4"/>
  <c r="U67" i="4"/>
  <c r="R68" i="4"/>
  <c r="AK69" i="4"/>
  <c r="AH70" i="4"/>
  <c r="AE71" i="4"/>
  <c r="AC72" i="4"/>
  <c r="Z73" i="4"/>
  <c r="U75" i="4"/>
  <c r="Q76" i="4"/>
  <c r="AJ76" i="4"/>
  <c r="AF77" i="4"/>
  <c r="AB78" i="4"/>
  <c r="AH80" i="4"/>
  <c r="Z81" i="4"/>
  <c r="R82" i="4"/>
  <c r="AH82" i="4"/>
  <c r="Z83" i="4"/>
  <c r="R84" i="4"/>
  <c r="Q57" i="4"/>
  <c r="U63" i="4"/>
  <c r="Y66" i="4"/>
  <c r="Q69" i="4"/>
  <c r="AB71" i="4"/>
  <c r="AA73" i="4"/>
  <c r="AB75" i="4"/>
  <c r="U77" i="4"/>
  <c r="AH78" i="4"/>
  <c r="AF81" i="4"/>
  <c r="T84" i="4"/>
  <c r="X85" i="4"/>
  <c r="Z86" i="4"/>
  <c r="Z87" i="4"/>
  <c r="AD88" i="4"/>
  <c r="AB89" i="4"/>
  <c r="AD90" i="4"/>
  <c r="AA91" i="4"/>
  <c r="AB92" i="4"/>
  <c r="Z93" i="4"/>
  <c r="Z94" i="4"/>
  <c r="Y95" i="4"/>
  <c r="Y96" i="4"/>
  <c r="X97" i="4"/>
  <c r="X98" i="4"/>
  <c r="T100" i="4"/>
  <c r="R101" i="4"/>
  <c r="AJ102" i="4"/>
  <c r="AH103" i="4"/>
  <c r="AF104" i="4"/>
  <c r="AB105" i="4"/>
  <c r="Z106" i="4"/>
  <c r="X107" i="4"/>
  <c r="T108" i="4"/>
  <c r="R109" i="4"/>
  <c r="AH110" i="4"/>
  <c r="AE111" i="4"/>
  <c r="Z112" i="4"/>
  <c r="Q114" i="4"/>
  <c r="AI114" i="4"/>
  <c r="AC115" i="4"/>
  <c r="X116" i="4"/>
  <c r="R117" i="4"/>
  <c r="AJ117" i="4"/>
  <c r="AE118" i="4"/>
  <c r="X119" i="4"/>
  <c r="Q120" i="4"/>
  <c r="AH120" i="4"/>
  <c r="AA121" i="4"/>
  <c r="T122" i="4"/>
  <c r="AK122" i="4"/>
  <c r="AC123" i="4"/>
  <c r="U124" i="4"/>
  <c r="AK124" i="4"/>
  <c r="AC125" i="4"/>
  <c r="U126" i="4"/>
  <c r="AK126" i="4"/>
  <c r="AC127" i="4"/>
  <c r="U128" i="4"/>
  <c r="AK128" i="4"/>
  <c r="AC129" i="4"/>
  <c r="U130" i="4"/>
  <c r="AK130" i="4"/>
  <c r="AC131" i="4"/>
  <c r="U132" i="4"/>
  <c r="AK132" i="4"/>
  <c r="AC133" i="4"/>
  <c r="U134" i="4"/>
  <c r="AK134" i="4"/>
  <c r="AC135" i="4"/>
  <c r="U136" i="4"/>
  <c r="AK136" i="4"/>
  <c r="AC137" i="4"/>
  <c r="U138" i="4"/>
  <c r="AK138" i="4"/>
  <c r="AC139" i="4"/>
  <c r="X57" i="4"/>
  <c r="Z63" i="4"/>
  <c r="AE66" i="4"/>
  <c r="AC71" i="4"/>
  <c r="AB73" i="4"/>
  <c r="AE75" i="4"/>
  <c r="AJ78" i="4"/>
  <c r="Y80" i="4"/>
  <c r="AH81" i="4"/>
  <c r="R83" i="4"/>
  <c r="X84" i="4"/>
  <c r="Y85" i="4"/>
  <c r="AB86" i="4"/>
  <c r="AA87" i="4"/>
  <c r="AE88" i="4"/>
  <c r="AF89" i="4"/>
  <c r="AE90" i="4"/>
  <c r="AB91" i="4"/>
  <c r="AD92" i="4"/>
  <c r="AA93" i="4"/>
  <c r="AB94" i="4"/>
  <c r="Z95" i="4"/>
  <c r="Z96" i="4"/>
  <c r="Y97" i="4"/>
  <c r="Y98" i="4"/>
  <c r="X99" i="4"/>
  <c r="T101" i="4"/>
  <c r="Q102" i="4"/>
  <c r="AJ103" i="4"/>
  <c r="AG104" i="4"/>
  <c r="AE105" i="4"/>
  <c r="AB106" i="4"/>
  <c r="Y107" i="4"/>
  <c r="T109" i="4"/>
  <c r="AI110" i="4"/>
  <c r="AF111" i="4"/>
  <c r="AA112" i="4"/>
  <c r="AF63" i="4"/>
  <c r="AH66" i="4"/>
  <c r="Z69" i="4"/>
  <c r="AF71" i="4"/>
  <c r="AG73" i="4"/>
  <c r="AK75" i="4"/>
  <c r="AA77" i="4"/>
  <c r="Q79" i="4"/>
  <c r="AD80" i="4"/>
  <c r="AL81" i="4"/>
  <c r="Z84" i="4"/>
  <c r="Z85" i="4"/>
  <c r="AD86" i="4"/>
  <c r="AB87" i="4"/>
  <c r="AF88" i="4"/>
  <c r="AG89" i="4"/>
  <c r="AF90" i="4"/>
  <c r="AF91" i="4"/>
  <c r="AE92" i="4"/>
  <c r="AB93" i="4"/>
  <c r="AD94" i="4"/>
  <c r="AA95" i="4"/>
  <c r="AB96" i="4"/>
  <c r="Z97" i="4"/>
  <c r="Z98" i="4"/>
  <c r="Y99" i="4"/>
  <c r="X100" i="4"/>
  <c r="R102" i="4"/>
  <c r="AL103" i="4"/>
  <c r="AH104" i="4"/>
  <c r="AF105" i="4"/>
  <c r="AD106" i="4"/>
  <c r="Z107" i="4"/>
  <c r="X108" i="4"/>
  <c r="Q110" i="4"/>
  <c r="AJ110" i="4"/>
  <c r="AG111" i="4"/>
  <c r="AB112" i="4"/>
  <c r="X113" i="4"/>
  <c r="S114" i="4"/>
  <c r="AK114" i="4"/>
  <c r="AF115" i="4"/>
  <c r="Z116" i="4"/>
  <c r="T117" i="4"/>
  <c r="AG118" i="4"/>
  <c r="Z119" i="4"/>
  <c r="S120" i="4"/>
  <c r="AJ120" i="4"/>
  <c r="AC121" i="4"/>
  <c r="AE123" i="4"/>
  <c r="AE125" i="4"/>
  <c r="AE127" i="4"/>
  <c r="AE129" i="4"/>
  <c r="AE131" i="4"/>
  <c r="AE133" i="4"/>
  <c r="AE135" i="4"/>
  <c r="AE137" i="4"/>
  <c r="AE139" i="4"/>
  <c r="AE141" i="4"/>
  <c r="AE143" i="4"/>
  <c r="AE145" i="4"/>
  <c r="AE147" i="4"/>
  <c r="AE149" i="4"/>
  <c r="AE151" i="4"/>
  <c r="AE153" i="4"/>
  <c r="AE155" i="4"/>
  <c r="AE157" i="4"/>
  <c r="AE159" i="4"/>
  <c r="AE161" i="4"/>
  <c r="X58" i="4"/>
  <c r="AE69" i="4"/>
  <c r="AG71" i="4"/>
  <c r="AK73" i="4"/>
  <c r="AL75" i="4"/>
  <c r="AB77" i="4"/>
  <c r="S79" i="4"/>
  <c r="AE80" i="4"/>
  <c r="AB84" i="4"/>
  <c r="AA85" i="4"/>
  <c r="AE86" i="4"/>
  <c r="AF87" i="4"/>
  <c r="AG88" i="4"/>
  <c r="AH89" i="4"/>
  <c r="AG90" i="4"/>
  <c r="AG91" i="4"/>
  <c r="AF92" i="4"/>
  <c r="AF93" i="4"/>
  <c r="AE94" i="4"/>
  <c r="AB95" i="4"/>
  <c r="AD96" i="4"/>
  <c r="AA97" i="4"/>
  <c r="AB98" i="4"/>
  <c r="Z99" i="4"/>
  <c r="Y100" i="4"/>
  <c r="S102" i="4"/>
  <c r="Q103" i="4"/>
  <c r="AI104" i="4"/>
  <c r="AG105" i="4"/>
  <c r="AE106" i="4"/>
  <c r="AA107" i="4"/>
  <c r="Y108" i="4"/>
  <c r="R110" i="4"/>
  <c r="AH111" i="4"/>
  <c r="AD112" i="4"/>
  <c r="Y113" i="4"/>
  <c r="T114" i="4"/>
  <c r="AG115" i="4"/>
  <c r="AA116" i="4"/>
  <c r="AH118" i="4"/>
  <c r="AA119" i="4"/>
  <c r="T120" i="4"/>
  <c r="AK120" i="4"/>
  <c r="AE121" i="4"/>
  <c r="X122" i="4"/>
  <c r="AF123" i="4"/>
  <c r="X124" i="4"/>
  <c r="AF125" i="4"/>
  <c r="X126" i="4"/>
  <c r="AF127" i="4"/>
  <c r="X128" i="4"/>
  <c r="AF129" i="4"/>
  <c r="X130" i="4"/>
  <c r="AF131" i="4"/>
  <c r="X132" i="4"/>
  <c r="AF133" i="4"/>
  <c r="X134" i="4"/>
  <c r="AF135" i="4"/>
  <c r="X136" i="4"/>
  <c r="AF137" i="4"/>
  <c r="X138" i="4"/>
  <c r="AF139" i="4"/>
  <c r="X140" i="4"/>
  <c r="AF141" i="4"/>
  <c r="X142" i="4"/>
  <c r="AF143" i="4"/>
  <c r="X144" i="4"/>
  <c r="AF145" i="4"/>
  <c r="X146" i="4"/>
  <c r="AF147" i="4"/>
  <c r="X148" i="4"/>
  <c r="AF149" i="4"/>
  <c r="X150" i="4"/>
  <c r="R64" i="4"/>
  <c r="AJ69" i="4"/>
  <c r="R74" i="4"/>
  <c r="AC77" i="4"/>
  <c r="T79" i="4"/>
  <c r="AF80" i="4"/>
  <c r="X83" i="4"/>
  <c r="AD84" i="4"/>
  <c r="AB85" i="4"/>
  <c r="AF86" i="4"/>
  <c r="AH87" i="4"/>
  <c r="AH88" i="4"/>
  <c r="AJ89" i="4"/>
  <c r="AH90" i="4"/>
  <c r="AH91" i="4"/>
  <c r="AG92" i="4"/>
  <c r="AG93" i="4"/>
  <c r="AF94" i="4"/>
  <c r="AF95" i="4"/>
  <c r="AE96" i="4"/>
  <c r="AB97" i="4"/>
  <c r="AD98" i="4"/>
  <c r="AA99" i="4"/>
  <c r="Z100" i="4"/>
  <c r="X101" i="4"/>
  <c r="T102" i="4"/>
  <c r="R103" i="4"/>
  <c r="AJ104" i="4"/>
  <c r="AH105" i="4"/>
  <c r="AF106" i="4"/>
  <c r="AB107" i="4"/>
  <c r="Z108" i="4"/>
  <c r="X109" i="4"/>
  <c r="S110" i="4"/>
  <c r="AL69" i="4"/>
  <c r="R72" i="4"/>
  <c r="T74" i="4"/>
  <c r="AE77" i="4"/>
  <c r="U79" i="4"/>
  <c r="AG80" i="4"/>
  <c r="Q82" i="4"/>
  <c r="Y83" i="4"/>
  <c r="AE84" i="4"/>
  <c r="AF85" i="4"/>
  <c r="AG86" i="4"/>
  <c r="AJ87" i="4"/>
  <c r="AI88" i="4"/>
  <c r="AL89" i="4"/>
  <c r="AI90" i="4"/>
  <c r="AJ91" i="4"/>
  <c r="AH92" i="4"/>
  <c r="AH93" i="4"/>
  <c r="AG94" i="4"/>
  <c r="AG95" i="4"/>
  <c r="AF96" i="4"/>
  <c r="AF97" i="4"/>
  <c r="AE98" i="4"/>
  <c r="AB99" i="4"/>
  <c r="AB100" i="4"/>
  <c r="Y101" i="4"/>
  <c r="T103" i="4"/>
  <c r="Q104" i="4"/>
  <c r="AJ105" i="4"/>
  <c r="AG106" i="4"/>
  <c r="AE107" i="4"/>
  <c r="AB108" i="4"/>
  <c r="Y109" i="4"/>
  <c r="T110" i="4"/>
  <c r="Q111" i="4"/>
  <c r="AJ111" i="4"/>
  <c r="AF112" i="4"/>
  <c r="AA113" i="4"/>
  <c r="Q115" i="4"/>
  <c r="AI115" i="4"/>
  <c r="AD116" i="4"/>
  <c r="X117" i="4"/>
  <c r="R118" i="4"/>
  <c r="AJ118" i="4"/>
  <c r="AC119" i="4"/>
  <c r="AG121" i="4"/>
  <c r="Z122" i="4"/>
  <c r="R123" i="4"/>
  <c r="AH123" i="4"/>
  <c r="Z124" i="4"/>
  <c r="R125" i="4"/>
  <c r="AH125" i="4"/>
  <c r="Z126" i="4"/>
  <c r="R127" i="4"/>
  <c r="AD64" i="4"/>
  <c r="AB67" i="4"/>
  <c r="U74" i="4"/>
  <c r="R76" i="4"/>
  <c r="AG77" i="4"/>
  <c r="AI80" i="4"/>
  <c r="S82" i="4"/>
  <c r="AA83" i="4"/>
  <c r="AF84" i="4"/>
  <c r="AH85" i="4"/>
  <c r="AH86" i="4"/>
  <c r="AL87" i="4"/>
  <c r="AJ88" i="4"/>
  <c r="AJ90" i="4"/>
  <c r="AL91" i="4"/>
  <c r="AI92" i="4"/>
  <c r="AJ93" i="4"/>
  <c r="AH94" i="4"/>
  <c r="AH95" i="4"/>
  <c r="AG96" i="4"/>
  <c r="AG97" i="4"/>
  <c r="AF98" i="4"/>
  <c r="AF99" i="4"/>
  <c r="AD100" i="4"/>
  <c r="Z101" i="4"/>
  <c r="X102" i="4"/>
  <c r="R104" i="4"/>
  <c r="AL105" i="4"/>
  <c r="AH106" i="4"/>
  <c r="AF107" i="4"/>
  <c r="AD108" i="4"/>
  <c r="Z109" i="4"/>
  <c r="R111" i="4"/>
  <c r="AL111" i="4"/>
  <c r="AG112" i="4"/>
  <c r="AB113" i="4"/>
  <c r="X114" i="4"/>
  <c r="R115" i="4"/>
  <c r="AJ115" i="4"/>
  <c r="AE116" i="4"/>
  <c r="Y117" i="4"/>
  <c r="S118" i="4"/>
  <c r="AK118" i="4"/>
  <c r="AE119" i="4"/>
  <c r="X120" i="4"/>
  <c r="Q121" i="4"/>
  <c r="AH121" i="4"/>
  <c r="AA122" i="4"/>
  <c r="S123" i="4"/>
  <c r="AI123" i="4"/>
  <c r="AA124" i="4"/>
  <c r="S125" i="4"/>
  <c r="AI125" i="4"/>
  <c r="AA126" i="4"/>
  <c r="S127" i="4"/>
  <c r="AI127" i="4"/>
  <c r="AA128" i="4"/>
  <c r="S129" i="4"/>
  <c r="AI129" i="4"/>
  <c r="AA130" i="4"/>
  <c r="S131" i="4"/>
  <c r="AI131" i="4"/>
  <c r="AA132" i="4"/>
  <c r="S133" i="4"/>
  <c r="AI133" i="4"/>
  <c r="AA134" i="4"/>
  <c r="S135" i="4"/>
  <c r="AI135" i="4"/>
  <c r="U60" i="4"/>
  <c r="AJ64" i="4"/>
  <c r="AE67" i="4"/>
  <c r="T70" i="4"/>
  <c r="Y72" i="4"/>
  <c r="X74" i="4"/>
  <c r="S76" i="4"/>
  <c r="AJ77" i="4"/>
  <c r="X79" i="4"/>
  <c r="AJ80" i="4"/>
  <c r="T82" i="4"/>
  <c r="AB83" i="4"/>
  <c r="AG84" i="4"/>
  <c r="AJ85" i="4"/>
  <c r="AI86" i="4"/>
  <c r="AJ92" i="4"/>
  <c r="AL93" i="4"/>
  <c r="AI94" i="4"/>
  <c r="AJ95" i="4"/>
  <c r="AH96" i="4"/>
  <c r="AH97" i="4"/>
  <c r="AG98" i="4"/>
  <c r="AG99" i="4"/>
  <c r="AE100" i="4"/>
  <c r="AK60" i="4"/>
  <c r="AK67" i="4"/>
  <c r="AB72" i="4"/>
  <c r="Y74" i="4"/>
  <c r="X76" i="4"/>
  <c r="AB79" i="4"/>
  <c r="X82" i="4"/>
  <c r="AF83" i="4"/>
  <c r="AH84" i="4"/>
  <c r="AL85" i="4"/>
  <c r="AJ86" i="4"/>
  <c r="R89" i="4"/>
  <c r="Q90" i="4"/>
  <c r="Q91" i="4"/>
  <c r="AJ94" i="4"/>
  <c r="AL95" i="4"/>
  <c r="AI96" i="4"/>
  <c r="AJ97" i="4"/>
  <c r="AH98" i="4"/>
  <c r="AH99" i="4"/>
  <c r="AF100" i="4"/>
  <c r="AB101" i="4"/>
  <c r="Z102" i="4"/>
  <c r="X103" i="4"/>
  <c r="T104" i="4"/>
  <c r="R105" i="4"/>
  <c r="AJ106" i="4"/>
  <c r="AH107" i="4"/>
  <c r="AF108" i="4"/>
  <c r="AB109" i="4"/>
  <c r="Y110" i="4"/>
  <c r="T111" i="4"/>
  <c r="AI112" i="4"/>
  <c r="AF113" i="4"/>
  <c r="Z114" i="4"/>
  <c r="T115" i="4"/>
  <c r="AG116" i="4"/>
  <c r="AA117" i="4"/>
  <c r="U118" i="4"/>
  <c r="U65" i="4"/>
  <c r="S68" i="4"/>
  <c r="AC70" i="4"/>
  <c r="AD72" i="4"/>
  <c r="AE74" i="4"/>
  <c r="AB76" i="4"/>
  <c r="R78" i="4"/>
  <c r="AE79" i="4"/>
  <c r="R81" i="4"/>
  <c r="Z82" i="4"/>
  <c r="AH83" i="4"/>
  <c r="AI84" i="4"/>
  <c r="Q88" i="4"/>
  <c r="T89" i="4"/>
  <c r="R90" i="4"/>
  <c r="R91" i="4"/>
  <c r="Q92" i="4"/>
  <c r="Q93" i="4"/>
  <c r="AJ96" i="4"/>
  <c r="AL97" i="4"/>
  <c r="AI98" i="4"/>
  <c r="AJ99" i="4"/>
  <c r="AG100" i="4"/>
  <c r="AE101" i="4"/>
  <c r="AB102" i="4"/>
  <c r="Y103" i="4"/>
  <c r="T105" i="4"/>
  <c r="Q106" i="4"/>
  <c r="AJ107" i="4"/>
  <c r="AG108" i="4"/>
  <c r="AE109" i="4"/>
  <c r="Z110" i="4"/>
  <c r="Q112" i="4"/>
  <c r="AJ112" i="4"/>
  <c r="AG113" i="4"/>
  <c r="AA114" i="4"/>
  <c r="AH116" i="4"/>
  <c r="AB117" i="4"/>
  <c r="Q119" i="4"/>
  <c r="AH119" i="4"/>
  <c r="AA120" i="4"/>
  <c r="T121" i="4"/>
  <c r="AK121" i="4"/>
  <c r="AD122" i="4"/>
  <c r="AL123" i="4"/>
  <c r="AD124" i="4"/>
  <c r="AL125" i="4"/>
  <c r="AD126" i="4"/>
  <c r="AL127" i="4"/>
  <c r="AD128" i="4"/>
  <c r="AL129" i="4"/>
  <c r="AD130" i="4"/>
  <c r="AL131" i="4"/>
  <c r="AD132" i="4"/>
  <c r="AL133" i="4"/>
  <c r="AD134" i="4"/>
  <c r="AL135" i="4"/>
  <c r="AD136" i="4"/>
  <c r="AL137" i="4"/>
  <c r="AD138" i="4"/>
  <c r="AL139" i="4"/>
  <c r="AD140" i="4"/>
  <c r="AL141" i="4"/>
  <c r="AD142" i="4"/>
  <c r="AL143" i="4"/>
  <c r="AD144" i="4"/>
  <c r="AL145" i="4"/>
  <c r="AD146" i="4"/>
  <c r="AL147" i="4"/>
  <c r="AD148" i="4"/>
  <c r="AL149" i="4"/>
  <c r="AD150" i="4"/>
  <c r="AL151" i="4"/>
  <c r="AD152" i="4"/>
  <c r="AL153" i="4"/>
  <c r="X61" i="4"/>
  <c r="AA65" i="4"/>
  <c r="T68" i="4"/>
  <c r="AF70" i="4"/>
  <c r="AE72" i="4"/>
  <c r="AH74" i="4"/>
  <c r="AF76" i="4"/>
  <c r="AJ79" i="4"/>
  <c r="AD82" i="4"/>
  <c r="AJ83" i="4"/>
  <c r="AJ84" i="4"/>
  <c r="R87" i="4"/>
  <c r="R88" i="4"/>
  <c r="S90" i="4"/>
  <c r="T91" i="4"/>
  <c r="R92" i="4"/>
  <c r="R93" i="4"/>
  <c r="Q94" i="4"/>
  <c r="Q95" i="4"/>
  <c r="AJ98" i="4"/>
  <c r="AL99" i="4"/>
  <c r="AH100" i="4"/>
  <c r="AF101" i="4"/>
  <c r="AD102" i="4"/>
  <c r="Z103" i="4"/>
  <c r="X104" i="4"/>
  <c r="R106" i="4"/>
  <c r="AL107" i="4"/>
  <c r="AH108" i="4"/>
  <c r="AF109" i="4"/>
  <c r="AA110" i="4"/>
  <c r="R112" i="4"/>
  <c r="AH113" i="4"/>
  <c r="AB114" i="4"/>
  <c r="Q116" i="4"/>
  <c r="AI116" i="4"/>
  <c r="AC117" i="4"/>
  <c r="X118" i="4"/>
  <c r="R119" i="4"/>
  <c r="AI119" i="4"/>
  <c r="AB120" i="4"/>
  <c r="U121" i="4"/>
  <c r="AL121" i="4"/>
  <c r="AE122" i="4"/>
  <c r="AE124" i="4"/>
  <c r="AE126" i="4"/>
  <c r="AE128" i="4"/>
  <c r="AE130" i="4"/>
  <c r="AE132" i="4"/>
  <c r="AE134" i="4"/>
  <c r="AE136" i="4"/>
  <c r="AE138" i="4"/>
  <c r="AE140" i="4"/>
  <c r="AE142" i="4"/>
  <c r="AE144" i="4"/>
  <c r="AE146" i="4"/>
  <c r="AE148" i="4"/>
  <c r="AE150" i="4"/>
  <c r="AE152" i="4"/>
  <c r="AE154" i="4"/>
  <c r="AE156" i="4"/>
  <c r="AE158" i="4"/>
  <c r="AL61" i="4"/>
  <c r="AB65" i="4"/>
  <c r="Y68" i="4"/>
  <c r="AI70" i="4"/>
  <c r="AJ72" i="4"/>
  <c r="AG76" i="4"/>
  <c r="X78" i="4"/>
  <c r="AK79" i="4"/>
  <c r="AE82" i="4"/>
  <c r="AL83" i="4"/>
  <c r="Q86" i="4"/>
  <c r="T87" i="4"/>
  <c r="S88" i="4"/>
  <c r="T90" i="4"/>
  <c r="S92" i="4"/>
  <c r="T93" i="4"/>
  <c r="R94" i="4"/>
  <c r="R95" i="4"/>
  <c r="Q96" i="4"/>
  <c r="Q97" i="4"/>
  <c r="AI100" i="4"/>
  <c r="AG101" i="4"/>
  <c r="AE102" i="4"/>
  <c r="AA103" i="4"/>
  <c r="Y104" i="4"/>
  <c r="S106" i="4"/>
  <c r="Q107" i="4"/>
  <c r="AI108" i="4"/>
  <c r="AG109" i="4"/>
  <c r="AB110" i="4"/>
  <c r="X111" i="4"/>
  <c r="S112" i="4"/>
  <c r="T62" i="4"/>
  <c r="AG65" i="4"/>
  <c r="AC68" i="4"/>
  <c r="AJ70" i="4"/>
  <c r="Q75" i="4"/>
  <c r="AH76" i="4"/>
  <c r="Y78" i="4"/>
  <c r="AL79" i="4"/>
  <c r="X81" i="4"/>
  <c r="AF82" i="4"/>
  <c r="R85" i="4"/>
  <c r="R86" i="4"/>
  <c r="T88" i="4"/>
  <c r="X89" i="4"/>
  <c r="X90" i="4"/>
  <c r="AK65" i="4"/>
  <c r="AH68" i="4"/>
  <c r="Q71" i="4"/>
  <c r="U73" i="4"/>
  <c r="T75" i="4"/>
  <c r="AI76" i="4"/>
  <c r="AA78" i="4"/>
  <c r="Y81" i="4"/>
  <c r="AG82" i="4"/>
  <c r="T85" i="4"/>
  <c r="S86" i="4"/>
  <c r="X88" i="4"/>
  <c r="Y89" i="4"/>
  <c r="Y90" i="4"/>
  <c r="X91" i="4"/>
  <c r="X92" i="4"/>
  <c r="T94" i="4"/>
  <c r="S96" i="4"/>
  <c r="T97" i="4"/>
  <c r="R98" i="4"/>
  <c r="R99" i="4"/>
  <c r="Q100" i="4"/>
  <c r="AJ101" i="4"/>
  <c r="AG102" i="4"/>
  <c r="AE103" i="4"/>
  <c r="AB104" i="4"/>
  <c r="Y105" i="4"/>
  <c r="T107" i="4"/>
  <c r="Q108" i="4"/>
  <c r="AI109" i="4"/>
  <c r="AE110" i="4"/>
  <c r="Z111" i="4"/>
  <c r="R113" i="4"/>
  <c r="AL113" i="4"/>
  <c r="AF114" i="4"/>
  <c r="Z115" i="4"/>
  <c r="T116" i="4"/>
  <c r="AG117" i="4"/>
  <c r="AA118" i="4"/>
  <c r="U119" i="4"/>
  <c r="AL119" i="4"/>
  <c r="AE120" i="4"/>
  <c r="X121" i="4"/>
  <c r="Q122" i="4"/>
  <c r="AH122" i="4"/>
  <c r="Z123" i="4"/>
  <c r="R124" i="4"/>
  <c r="AH124" i="4"/>
  <c r="Z125" i="4"/>
  <c r="R126" i="4"/>
  <c r="AH126" i="4"/>
  <c r="Z127" i="4"/>
  <c r="R128" i="4"/>
  <c r="AH128" i="4"/>
  <c r="Z129" i="4"/>
  <c r="R130" i="4"/>
  <c r="AH130" i="4"/>
  <c r="Z131" i="4"/>
  <c r="AI62" i="4"/>
  <c r="R66" i="4"/>
  <c r="AK68" i="4"/>
  <c r="U71" i="4"/>
  <c r="AK76" i="4"/>
  <c r="AC78" i="4"/>
  <c r="Q80" i="4"/>
  <c r="AA81" i="4"/>
  <c r="AI82" i="4"/>
  <c r="Q84" i="4"/>
  <c r="T86" i="4"/>
  <c r="X87" i="4"/>
  <c r="Z88" i="4"/>
  <c r="Z89" i="4"/>
  <c r="Z90" i="4"/>
  <c r="Y91" i="4"/>
  <c r="Y92" i="4"/>
  <c r="X93" i="4"/>
  <c r="X94" i="4"/>
  <c r="T96" i="4"/>
  <c r="S98" i="4"/>
  <c r="T99" i="4"/>
  <c r="R100" i="4"/>
  <c r="AL101" i="4"/>
  <c r="AH102" i="4"/>
  <c r="AF103" i="4"/>
  <c r="AD104" i="4"/>
  <c r="Z105" i="4"/>
  <c r="X106" i="4"/>
  <c r="R108" i="4"/>
  <c r="AJ109" i="4"/>
  <c r="AF110" i="4"/>
  <c r="AA111" i="4"/>
  <c r="X112" i="4"/>
  <c r="S113" i="4"/>
  <c r="AG114" i="4"/>
  <c r="AA115" i="4"/>
  <c r="U116" i="4"/>
  <c r="AH117" i="4"/>
  <c r="AB118" i="4"/>
  <c r="AF120" i="4"/>
  <c r="Y121" i="4"/>
  <c r="R122" i="4"/>
  <c r="AI122" i="4"/>
  <c r="AA123" i="4"/>
  <c r="S124" i="4"/>
  <c r="AI124" i="4"/>
  <c r="AA125" i="4"/>
  <c r="S126" i="4"/>
  <c r="AI126" i="4"/>
  <c r="AA127" i="4"/>
  <c r="S128" i="4"/>
  <c r="AI128" i="4"/>
  <c r="AA129" i="4"/>
  <c r="S130" i="4"/>
  <c r="AI130" i="4"/>
  <c r="AA131" i="4"/>
  <c r="S132" i="4"/>
  <c r="AI132" i="4"/>
  <c r="AA133" i="4"/>
  <c r="S134" i="4"/>
  <c r="AI134" i="4"/>
  <c r="AA135" i="4"/>
  <c r="S136" i="4"/>
  <c r="AI136" i="4"/>
  <c r="AA137" i="4"/>
  <c r="S138" i="4"/>
  <c r="AI138" i="4"/>
  <c r="AA139" i="4"/>
  <c r="Q63" i="4"/>
  <c r="X66" i="4"/>
  <c r="Z71" i="4"/>
  <c r="X73" i="4"/>
  <c r="AD78" i="4"/>
  <c r="R80" i="4"/>
  <c r="AB81" i="4"/>
  <c r="AJ82" i="4"/>
  <c r="S84" i="4"/>
  <c r="X86" i="4"/>
  <c r="Y87" i="4"/>
  <c r="AB88" i="4"/>
  <c r="AA89" i="4"/>
  <c r="AB90" i="4"/>
  <c r="Z91" i="4"/>
  <c r="Z92" i="4"/>
  <c r="Y93" i="4"/>
  <c r="Y94" i="4"/>
  <c r="X95" i="4"/>
  <c r="X96" i="4"/>
  <c r="T98" i="4"/>
  <c r="S100" i="4"/>
  <c r="Q101" i="4"/>
  <c r="AI102" i="4"/>
  <c r="AG103" i="4"/>
  <c r="AE104" i="4"/>
  <c r="AA105" i="4"/>
  <c r="Y106" i="4"/>
  <c r="S108" i="4"/>
  <c r="Q109" i="4"/>
  <c r="AL109" i="4"/>
  <c r="AG110" i="4"/>
  <c r="AB111" i="4"/>
  <c r="Y112" i="4"/>
  <c r="T113" i="4"/>
  <c r="AH114" i="4"/>
  <c r="AB115" i="4"/>
  <c r="Q117" i="4"/>
  <c r="AI117" i="4"/>
  <c r="AD118" i="4"/>
  <c r="AG120" i="4"/>
  <c r="Z121" i="4"/>
  <c r="S122" i="4"/>
  <c r="AJ122" i="4"/>
  <c r="AB123" i="4"/>
  <c r="T124" i="4"/>
  <c r="AJ124" i="4"/>
  <c r="AB125" i="4"/>
  <c r="T126" i="4"/>
  <c r="AJ126" i="4"/>
  <c r="AB127" i="4"/>
  <c r="T128" i="4"/>
  <c r="AJ128" i="4"/>
  <c r="AB129" i="4"/>
  <c r="T130" i="4"/>
  <c r="AJ130" i="4"/>
  <c r="AB131" i="4"/>
  <c r="T132" i="4"/>
  <c r="AJ132" i="4"/>
  <c r="AB133" i="4"/>
  <c r="T134" i="4"/>
  <c r="AJ134" i="4"/>
  <c r="AB135" i="4"/>
  <c r="T136" i="4"/>
  <c r="AJ136" i="4"/>
  <c r="AB137" i="4"/>
  <c r="T138" i="4"/>
  <c r="AJ138" i="4"/>
  <c r="AB139" i="4"/>
  <c r="T140" i="4"/>
  <c r="AJ140" i="4"/>
  <c r="AB141" i="4"/>
  <c r="T142" i="4"/>
  <c r="AJ142" i="4"/>
  <c r="AB143" i="4"/>
  <c r="T144" i="4"/>
  <c r="AJ144" i="4"/>
  <c r="AB145" i="4"/>
  <c r="T146" i="4"/>
  <c r="AJ146" i="4"/>
  <c r="AB147" i="4"/>
  <c r="T148" i="4"/>
  <c r="AJ148" i="4"/>
  <c r="AB149" i="4"/>
  <c r="T150" i="4"/>
  <c r="AJ150" i="4"/>
  <c r="AB151" i="4"/>
  <c r="T152" i="4"/>
  <c r="AJ152" i="4"/>
  <c r="AB153" i="4"/>
  <c r="T154" i="4"/>
  <c r="AJ154" i="4"/>
  <c r="AB155" i="4"/>
  <c r="T156" i="4"/>
  <c r="AJ156" i="4"/>
  <c r="AB157" i="4"/>
  <c r="T158" i="4"/>
  <c r="AJ158" i="4"/>
  <c r="AB159" i="4"/>
  <c r="T160" i="4"/>
  <c r="AJ160" i="4"/>
  <c r="AB161" i="4"/>
  <c r="T162" i="4"/>
  <c r="AJ162" i="4"/>
  <c r="AB163" i="4"/>
  <c r="T164" i="4"/>
  <c r="AJ164" i="4"/>
  <c r="AB165" i="4"/>
  <c r="T166" i="4"/>
  <c r="AJ166" i="4"/>
  <c r="AB103" i="4"/>
  <c r="AD110" i="4"/>
  <c r="U114" i="4"/>
  <c r="AF116" i="4"/>
  <c r="AG122" i="4"/>
  <c r="AC124" i="4"/>
  <c r="Y126" i="4"/>
  <c r="AD129" i="4"/>
  <c r="R131" i="4"/>
  <c r="AB132" i="4"/>
  <c r="AJ133" i="4"/>
  <c r="T135" i="4"/>
  <c r="AA136" i="4"/>
  <c r="AG137" i="4"/>
  <c r="AH138" i="4"/>
  <c r="AL140" i="4"/>
  <c r="AK141" i="4"/>
  <c r="AK142" i="4"/>
  <c r="AJ143" i="4"/>
  <c r="AI144" i="4"/>
  <c r="AI145" i="4"/>
  <c r="AH146" i="4"/>
  <c r="AH147" i="4"/>
  <c r="AG148" i="4"/>
  <c r="AG149" i="4"/>
  <c r="AF150" i="4"/>
  <c r="AD151" i="4"/>
  <c r="AA152" i="4"/>
  <c r="Y153" i="4"/>
  <c r="R155" i="4"/>
  <c r="AK155" i="4"/>
  <c r="AG156" i="4"/>
  <c r="AC157" i="4"/>
  <c r="Y158" i="4"/>
  <c r="T159" i="4"/>
  <c r="AH160" i="4"/>
  <c r="AC161" i="4"/>
  <c r="X162" i="4"/>
  <c r="Q163" i="4"/>
  <c r="AH163" i="4"/>
  <c r="AA164" i="4"/>
  <c r="T165" i="4"/>
  <c r="AK165" i="4"/>
  <c r="AD166" i="4"/>
  <c r="AE168" i="4"/>
  <c r="AE170" i="4"/>
  <c r="AE172" i="4"/>
  <c r="AE174" i="4"/>
  <c r="AE176" i="4"/>
  <c r="AE178" i="4"/>
  <c r="AE180" i="4"/>
  <c r="AE182" i="4"/>
  <c r="AE184" i="4"/>
  <c r="AE186" i="4"/>
  <c r="AE188" i="4"/>
  <c r="AE190" i="4"/>
  <c r="AG180" i="4"/>
  <c r="AG182" i="4"/>
  <c r="Q184" i="4"/>
  <c r="Y187" i="4"/>
  <c r="AG188" i="4"/>
  <c r="Y189" i="4"/>
  <c r="Q190" i="4"/>
  <c r="T92" i="4"/>
  <c r="S104" i="4"/>
  <c r="S111" i="4"/>
  <c r="Y114" i="4"/>
  <c r="AJ116" i="4"/>
  <c r="S119" i="4"/>
  <c r="R121" i="4"/>
  <c r="AL122" i="4"/>
  <c r="AF124" i="4"/>
  <c r="AB126" i="4"/>
  <c r="Q128" i="4"/>
  <c r="AG129" i="4"/>
  <c r="T131" i="4"/>
  <c r="AC132" i="4"/>
  <c r="AK133" i="4"/>
  <c r="U135" i="4"/>
  <c r="AB136" i="4"/>
  <c r="AH137" i="4"/>
  <c r="AL138" i="4"/>
  <c r="Q140" i="4"/>
  <c r="Q141" i="4"/>
  <c r="AL142" i="4"/>
  <c r="AK143" i="4"/>
  <c r="AK144" i="4"/>
  <c r="AJ145" i="4"/>
  <c r="AI146" i="4"/>
  <c r="AI147" i="4"/>
  <c r="AH148" i="4"/>
  <c r="AH149" i="4"/>
  <c r="AG150" i="4"/>
  <c r="AF151" i="4"/>
  <c r="AB152" i="4"/>
  <c r="Z153" i="4"/>
  <c r="X154" i="4"/>
  <c r="S155" i="4"/>
  <c r="AL155" i="4"/>
  <c r="AH156" i="4"/>
  <c r="AD157" i="4"/>
  <c r="Z158" i="4"/>
  <c r="U159" i="4"/>
  <c r="Q160" i="4"/>
  <c r="AI160" i="4"/>
  <c r="AD161" i="4"/>
  <c r="Y162" i="4"/>
  <c r="R163" i="4"/>
  <c r="AI163" i="4"/>
  <c r="AB164" i="4"/>
  <c r="U165" i="4"/>
  <c r="AL165" i="4"/>
  <c r="AE166" i="4"/>
  <c r="X167" i="4"/>
  <c r="AF168" i="4"/>
  <c r="X169" i="4"/>
  <c r="AF170" i="4"/>
  <c r="X171" i="4"/>
  <c r="AF172" i="4"/>
  <c r="X173" i="4"/>
  <c r="AF174" i="4"/>
  <c r="X175" i="4"/>
  <c r="AF176" i="4"/>
  <c r="X177" i="4"/>
  <c r="AF178" i="4"/>
  <c r="X179" i="4"/>
  <c r="AF180" i="4"/>
  <c r="X181" i="4"/>
  <c r="AF182" i="4"/>
  <c r="X183" i="4"/>
  <c r="AF184" i="4"/>
  <c r="X185" i="4"/>
  <c r="AF186" i="4"/>
  <c r="X187" i="4"/>
  <c r="AF188" i="4"/>
  <c r="X189" i="4"/>
  <c r="AF190" i="4"/>
  <c r="AI149" i="4"/>
  <c r="AG151" i="4"/>
  <c r="AC152" i="4"/>
  <c r="AA153" i="4"/>
  <c r="Y154" i="4"/>
  <c r="AA158" i="4"/>
  <c r="R160" i="4"/>
  <c r="AK160" i="4"/>
  <c r="AF161" i="4"/>
  <c r="Z162" i="4"/>
  <c r="S163" i="4"/>
  <c r="AJ163" i="4"/>
  <c r="AC164" i="4"/>
  <c r="AF166" i="4"/>
  <c r="Y167" i="4"/>
  <c r="AG168" i="4"/>
  <c r="AG170" i="4"/>
  <c r="Q172" i="4"/>
  <c r="AG172" i="4"/>
  <c r="AG174" i="4"/>
  <c r="Y175" i="4"/>
  <c r="Q176" i="4"/>
  <c r="AG176" i="4"/>
  <c r="Q178" i="4"/>
  <c r="Y179" i="4"/>
  <c r="Q182" i="4"/>
  <c r="Y183" i="4"/>
  <c r="AG184" i="4"/>
  <c r="Q186" i="4"/>
  <c r="Q188" i="4"/>
  <c r="AC155" i="4"/>
  <c r="AK164" i="4"/>
  <c r="X168" i="4"/>
  <c r="X172" i="4"/>
  <c r="Z104" i="4"/>
  <c r="Y111" i="4"/>
  <c r="AD114" i="4"/>
  <c r="AK116" i="4"/>
  <c r="T119" i="4"/>
  <c r="S121" i="4"/>
  <c r="Q123" i="4"/>
  <c r="AG124" i="4"/>
  <c r="AC126" i="4"/>
  <c r="AH129" i="4"/>
  <c r="U131" i="4"/>
  <c r="AF132" i="4"/>
  <c r="X135" i="4"/>
  <c r="AC136" i="4"/>
  <c r="AI137" i="4"/>
  <c r="Q139" i="4"/>
  <c r="R140" i="4"/>
  <c r="R141" i="4"/>
  <c r="Q142" i="4"/>
  <c r="Q143" i="4"/>
  <c r="AL144" i="4"/>
  <c r="AK145" i="4"/>
  <c r="AK146" i="4"/>
  <c r="AJ147" i="4"/>
  <c r="AI148" i="4"/>
  <c r="AH150" i="4"/>
  <c r="T155" i="4"/>
  <c r="AI156" i="4"/>
  <c r="AF157" i="4"/>
  <c r="Q168" i="4"/>
  <c r="Y169" i="4"/>
  <c r="Q170" i="4"/>
  <c r="Y171" i="4"/>
  <c r="Y173" i="4"/>
  <c r="Q174" i="4"/>
  <c r="Y177" i="4"/>
  <c r="AG178" i="4"/>
  <c r="Q180" i="4"/>
  <c r="Y181" i="4"/>
  <c r="Y185" i="4"/>
  <c r="AG186" i="4"/>
  <c r="AG190" i="4"/>
  <c r="AE183" i="4"/>
  <c r="X147" i="4"/>
  <c r="AG154" i="4"/>
  <c r="U161" i="4"/>
  <c r="Z163" i="4"/>
  <c r="S94" i="4"/>
  <c r="Q105" i="4"/>
  <c r="AI111" i="4"/>
  <c r="AE114" i="4"/>
  <c r="S117" i="4"/>
  <c r="Y119" i="4"/>
  <c r="T123" i="4"/>
  <c r="AL124" i="4"/>
  <c r="AF126" i="4"/>
  <c r="Y128" i="4"/>
  <c r="AJ129" i="4"/>
  <c r="X131" i="4"/>
  <c r="AG132" i="4"/>
  <c r="Q134" i="4"/>
  <c r="Y135" i="4"/>
  <c r="AF136" i="4"/>
  <c r="AJ137" i="4"/>
  <c r="R139" i="4"/>
  <c r="S140" i="4"/>
  <c r="S141" i="4"/>
  <c r="R142" i="4"/>
  <c r="R143" i="4"/>
  <c r="Q144" i="4"/>
  <c r="Q145" i="4"/>
  <c r="AL146" i="4"/>
  <c r="AK147" i="4"/>
  <c r="AK148" i="4"/>
  <c r="AJ149" i="4"/>
  <c r="AI150" i="4"/>
  <c r="AH151" i="4"/>
  <c r="AF152" i="4"/>
  <c r="AC153" i="4"/>
  <c r="Z154" i="4"/>
  <c r="U155" i="4"/>
  <c r="Q156" i="4"/>
  <c r="AK156" i="4"/>
  <c r="AG157" i="4"/>
  <c r="AB158" i="4"/>
  <c r="X159" i="4"/>
  <c r="S160" i="4"/>
  <c r="AL160" i="4"/>
  <c r="AG161" i="4"/>
  <c r="AA162" i="4"/>
  <c r="T163" i="4"/>
  <c r="AK163" i="4"/>
  <c r="AD164" i="4"/>
  <c r="AG166" i="4"/>
  <c r="Z167" i="4"/>
  <c r="R168" i="4"/>
  <c r="AH168" i="4"/>
  <c r="Z169" i="4"/>
  <c r="R170" i="4"/>
  <c r="AH170" i="4"/>
  <c r="Z171" i="4"/>
  <c r="R172" i="4"/>
  <c r="AH172" i="4"/>
  <c r="Z173" i="4"/>
  <c r="R174" i="4"/>
  <c r="AH174" i="4"/>
  <c r="Z175" i="4"/>
  <c r="R176" i="4"/>
  <c r="AH176" i="4"/>
  <c r="Z177" i="4"/>
  <c r="R178" i="4"/>
  <c r="AH178" i="4"/>
  <c r="Z179" i="4"/>
  <c r="R180" i="4"/>
  <c r="AH180" i="4"/>
  <c r="Z181" i="4"/>
  <c r="R182" i="4"/>
  <c r="AH182" i="4"/>
  <c r="Z183" i="4"/>
  <c r="R184" i="4"/>
  <c r="AH184" i="4"/>
  <c r="Z185" i="4"/>
  <c r="R186" i="4"/>
  <c r="AH186" i="4"/>
  <c r="Z187" i="4"/>
  <c r="R188" i="4"/>
  <c r="AH188" i="4"/>
  <c r="Z189" i="4"/>
  <c r="R190" i="4"/>
  <c r="AH190" i="4"/>
  <c r="Q166" i="4"/>
  <c r="AH166" i="4"/>
  <c r="AA167" i="4"/>
  <c r="S168" i="4"/>
  <c r="AI168" i="4"/>
  <c r="AA169" i="4"/>
  <c r="S170" i="4"/>
  <c r="AI170" i="4"/>
  <c r="AA171" i="4"/>
  <c r="S172" i="4"/>
  <c r="AI172" i="4"/>
  <c r="AA173" i="4"/>
  <c r="S174" i="4"/>
  <c r="AI174" i="4"/>
  <c r="AA175" i="4"/>
  <c r="AA179" i="4"/>
  <c r="S180" i="4"/>
  <c r="AA181" i="4"/>
  <c r="S184" i="4"/>
  <c r="AI184" i="4"/>
  <c r="AI188" i="4"/>
  <c r="AA189" i="4"/>
  <c r="S190" i="4"/>
  <c r="T184" i="4"/>
  <c r="AJ184" i="4"/>
  <c r="AB185" i="4"/>
  <c r="AJ186" i="4"/>
  <c r="T188" i="4"/>
  <c r="AB189" i="4"/>
  <c r="AF162" i="4"/>
  <c r="AI164" i="4"/>
  <c r="AC165" i="4"/>
  <c r="AE169" i="4"/>
  <c r="AE173" i="4"/>
  <c r="AE175" i="4"/>
  <c r="AE179" i="4"/>
  <c r="AE181" i="4"/>
  <c r="AE185" i="4"/>
  <c r="AE187" i="4"/>
  <c r="T151" i="4"/>
  <c r="AG162" i="4"/>
  <c r="AF167" i="4"/>
  <c r="X170" i="4"/>
  <c r="T95" i="4"/>
  <c r="X105" i="4"/>
  <c r="AJ114" i="4"/>
  <c r="AB119" i="4"/>
  <c r="U123" i="4"/>
  <c r="Q125" i="4"/>
  <c r="AG126" i="4"/>
  <c r="Z128" i="4"/>
  <c r="AK129" i="4"/>
  <c r="Y131" i="4"/>
  <c r="AH132" i="4"/>
  <c r="R134" i="4"/>
  <c r="Z135" i="4"/>
  <c r="AG136" i="4"/>
  <c r="AK137" i="4"/>
  <c r="S139" i="4"/>
  <c r="U140" i="4"/>
  <c r="T141" i="4"/>
  <c r="S142" i="4"/>
  <c r="S143" i="4"/>
  <c r="R144" i="4"/>
  <c r="R145" i="4"/>
  <c r="Q146" i="4"/>
  <c r="Q147" i="4"/>
  <c r="AL148" i="4"/>
  <c r="AK149" i="4"/>
  <c r="AK150" i="4"/>
  <c r="AI151" i="4"/>
  <c r="AG152" i="4"/>
  <c r="AD153" i="4"/>
  <c r="AA154" i="4"/>
  <c r="R156" i="4"/>
  <c r="AL156" i="4"/>
  <c r="AH157" i="4"/>
  <c r="AC158" i="4"/>
  <c r="Y159" i="4"/>
  <c r="U160" i="4"/>
  <c r="AH161" i="4"/>
  <c r="AB162" i="4"/>
  <c r="U163" i="4"/>
  <c r="AL163" i="4"/>
  <c r="AE164" i="4"/>
  <c r="X165" i="4"/>
  <c r="S176" i="4"/>
  <c r="AI176" i="4"/>
  <c r="AA177" i="4"/>
  <c r="S178" i="4"/>
  <c r="AI178" i="4"/>
  <c r="AI180" i="4"/>
  <c r="S182" i="4"/>
  <c r="AI182" i="4"/>
  <c r="AA183" i="4"/>
  <c r="AA185" i="4"/>
  <c r="S186" i="4"/>
  <c r="AI186" i="4"/>
  <c r="AA187" i="4"/>
  <c r="S188" i="4"/>
  <c r="AI190" i="4"/>
  <c r="T182" i="4"/>
  <c r="AJ182" i="4"/>
  <c r="AB183" i="4"/>
  <c r="T186" i="4"/>
  <c r="AB187" i="4"/>
  <c r="AJ188" i="4"/>
  <c r="T190" i="4"/>
  <c r="AJ190" i="4"/>
  <c r="Y163" i="4"/>
  <c r="AE167" i="4"/>
  <c r="U149" i="4"/>
  <c r="R96" i="4"/>
  <c r="T112" i="4"/>
  <c r="Z117" i="4"/>
  <c r="AF119" i="4"/>
  <c r="AB121" i="4"/>
  <c r="X123" i="4"/>
  <c r="T125" i="4"/>
  <c r="AL126" i="4"/>
  <c r="AB128" i="4"/>
  <c r="AD131" i="4"/>
  <c r="AL132" i="4"/>
  <c r="AD135" i="4"/>
  <c r="AH136" i="4"/>
  <c r="T139" i="4"/>
  <c r="U141" i="4"/>
  <c r="U142" i="4"/>
  <c r="T143" i="4"/>
  <c r="S144" i="4"/>
  <c r="S145" i="4"/>
  <c r="R146" i="4"/>
  <c r="R147" i="4"/>
  <c r="Q148" i="4"/>
  <c r="Q149" i="4"/>
  <c r="AL150" i="4"/>
  <c r="AJ151" i="4"/>
  <c r="AH152" i="4"/>
  <c r="AF153" i="4"/>
  <c r="AB154" i="4"/>
  <c r="X155" i="4"/>
  <c r="S156" i="4"/>
  <c r="AI157" i="4"/>
  <c r="AD158" i="4"/>
  <c r="Z159" i="4"/>
  <c r="Q161" i="4"/>
  <c r="AI161" i="4"/>
  <c r="AC162" i="4"/>
  <c r="AF164" i="4"/>
  <c r="Y165" i="4"/>
  <c r="R166" i="4"/>
  <c r="AI166" i="4"/>
  <c r="AB167" i="4"/>
  <c r="T168" i="4"/>
  <c r="AJ168" i="4"/>
  <c r="AB169" i="4"/>
  <c r="T170" i="4"/>
  <c r="AJ170" i="4"/>
  <c r="AB171" i="4"/>
  <c r="T172" i="4"/>
  <c r="AJ172" i="4"/>
  <c r="AB173" i="4"/>
  <c r="T174" i="4"/>
  <c r="AJ174" i="4"/>
  <c r="AB175" i="4"/>
  <c r="T176" i="4"/>
  <c r="AJ176" i="4"/>
  <c r="AB177" i="4"/>
  <c r="T178" i="4"/>
  <c r="AJ178" i="4"/>
  <c r="AB179" i="4"/>
  <c r="T180" i="4"/>
  <c r="AJ180" i="4"/>
  <c r="AB181" i="4"/>
  <c r="R97" i="4"/>
  <c r="T106" i="4"/>
  <c r="AE112" i="4"/>
  <c r="S115" i="4"/>
  <c r="AE117" i="4"/>
  <c r="AG119" i="4"/>
  <c r="AF121" i="4"/>
  <c r="Y123" i="4"/>
  <c r="U125" i="4"/>
  <c r="Q127" i="4"/>
  <c r="AC128" i="4"/>
  <c r="Q130" i="4"/>
  <c r="AG131" i="4"/>
  <c r="Q133" i="4"/>
  <c r="Y134" i="4"/>
  <c r="AG135" i="4"/>
  <c r="AL136" i="4"/>
  <c r="Q138" i="4"/>
  <c r="U139" i="4"/>
  <c r="Y140" i="4"/>
  <c r="X141" i="4"/>
  <c r="U143" i="4"/>
  <c r="U144" i="4"/>
  <c r="T145" i="4"/>
  <c r="S146" i="4"/>
  <c r="S147" i="4"/>
  <c r="R148" i="4"/>
  <c r="R149" i="4"/>
  <c r="Q150" i="4"/>
  <c r="Q151" i="4"/>
  <c r="AK151" i="4"/>
  <c r="AI152" i="4"/>
  <c r="AG153" i="4"/>
  <c r="AC154" i="4"/>
  <c r="Y155" i="4"/>
  <c r="U156" i="4"/>
  <c r="Q157" i="4"/>
  <c r="AJ157" i="4"/>
  <c r="AF158" i="4"/>
  <c r="AA159" i="4"/>
  <c r="X160" i="4"/>
  <c r="R161" i="4"/>
  <c r="AJ161" i="4"/>
  <c r="AD162" i="4"/>
  <c r="AG164" i="4"/>
  <c r="Z165" i="4"/>
  <c r="S166" i="4"/>
  <c r="AK166" i="4"/>
  <c r="AC167" i="4"/>
  <c r="U168" i="4"/>
  <c r="AK168" i="4"/>
  <c r="AC169" i="4"/>
  <c r="U170" i="4"/>
  <c r="AK170" i="4"/>
  <c r="AC171" i="4"/>
  <c r="U172" i="4"/>
  <c r="AK172" i="4"/>
  <c r="AC173" i="4"/>
  <c r="U174" i="4"/>
  <c r="AK174" i="4"/>
  <c r="AC175" i="4"/>
  <c r="U176" i="4"/>
  <c r="AK176" i="4"/>
  <c r="AC177" i="4"/>
  <c r="U178" i="4"/>
  <c r="AK178" i="4"/>
  <c r="AC179" i="4"/>
  <c r="U180" i="4"/>
  <c r="AK180" i="4"/>
  <c r="AC181" i="4"/>
  <c r="U182" i="4"/>
  <c r="AK182" i="4"/>
  <c r="AC183" i="4"/>
  <c r="U184" i="4"/>
  <c r="AK184" i="4"/>
  <c r="AC185" i="4"/>
  <c r="U186" i="4"/>
  <c r="AK186" i="4"/>
  <c r="AC187" i="4"/>
  <c r="U188" i="4"/>
  <c r="AK188" i="4"/>
  <c r="AC189" i="4"/>
  <c r="U190" i="4"/>
  <c r="AK190" i="4"/>
  <c r="Q98" i="4"/>
  <c r="AI106" i="4"/>
  <c r="AH112" i="4"/>
  <c r="X115" i="4"/>
  <c r="AF117" i="4"/>
  <c r="AJ119" i="4"/>
  <c r="AI121" i="4"/>
  <c r="AD123" i="4"/>
  <c r="X125" i="4"/>
  <c r="T127" i="4"/>
  <c r="AF128" i="4"/>
  <c r="AH131" i="4"/>
  <c r="R133" i="4"/>
  <c r="Z134" i="4"/>
  <c r="AH135" i="4"/>
  <c r="Q137" i="4"/>
  <c r="R138" i="4"/>
  <c r="X139" i="4"/>
  <c r="Z140" i="4"/>
  <c r="Y141" i="4"/>
  <c r="Y142" i="4"/>
  <c r="X143" i="4"/>
  <c r="U145" i="4"/>
  <c r="U146" i="4"/>
  <c r="T147" i="4"/>
  <c r="S148" i="4"/>
  <c r="S149" i="4"/>
  <c r="R150" i="4"/>
  <c r="R151" i="4"/>
  <c r="AK152" i="4"/>
  <c r="AH153" i="4"/>
  <c r="AD154" i="4"/>
  <c r="Z155" i="4"/>
  <c r="R157" i="4"/>
  <c r="AK157" i="4"/>
  <c r="AG158" i="4"/>
  <c r="AC159" i="4"/>
  <c r="Y160" i="4"/>
  <c r="S161" i="4"/>
  <c r="AK161" i="4"/>
  <c r="AE162" i="4"/>
  <c r="X163" i="4"/>
  <c r="Q164" i="4"/>
  <c r="AH164" i="4"/>
  <c r="AA165" i="4"/>
  <c r="U166" i="4"/>
  <c r="AL166" i="4"/>
  <c r="AD167" i="4"/>
  <c r="AL168" i="4"/>
  <c r="AD169" i="4"/>
  <c r="AL170" i="4"/>
  <c r="AD171" i="4"/>
  <c r="AL172" i="4"/>
  <c r="AD173" i="4"/>
  <c r="AL174" i="4"/>
  <c r="AD175" i="4"/>
  <c r="AL176" i="4"/>
  <c r="AD177" i="4"/>
  <c r="AL178" i="4"/>
  <c r="AD179" i="4"/>
  <c r="AL180" i="4"/>
  <c r="AD181" i="4"/>
  <c r="AL182" i="4"/>
  <c r="AD183" i="4"/>
  <c r="AL184" i="4"/>
  <c r="AD185" i="4"/>
  <c r="AL186" i="4"/>
  <c r="AD187" i="4"/>
  <c r="AL188" i="4"/>
  <c r="AD189" i="4"/>
  <c r="AL190" i="4"/>
  <c r="U127" i="4"/>
  <c r="AG128" i="4"/>
  <c r="Y130" i="4"/>
  <c r="AJ131" i="4"/>
  <c r="T133" i="4"/>
  <c r="AB134" i="4"/>
  <c r="AJ135" i="4"/>
  <c r="R137" i="4"/>
  <c r="Y139" i="4"/>
  <c r="Z141" i="4"/>
  <c r="Y143" i="4"/>
  <c r="Y144" i="4"/>
  <c r="X145" i="4"/>
  <c r="U147" i="4"/>
  <c r="T149" i="4"/>
  <c r="S151" i="4"/>
  <c r="Q152" i="4"/>
  <c r="AI153" i="4"/>
  <c r="AF154" i="4"/>
  <c r="AA155" i="4"/>
  <c r="X156" i="4"/>
  <c r="S157" i="4"/>
  <c r="AL157" i="4"/>
  <c r="AH158" i="4"/>
  <c r="AD159" i="4"/>
  <c r="Z160" i="4"/>
  <c r="T161" i="4"/>
  <c r="AL161" i="4"/>
  <c r="R164" i="4"/>
  <c r="AE171" i="4"/>
  <c r="AE177" i="4"/>
  <c r="AJ153" i="4"/>
  <c r="Q99" i="4"/>
  <c r="R107" i="4"/>
  <c r="Y115" i="4"/>
  <c r="AL117" i="4"/>
  <c r="AK119" i="4"/>
  <c r="AJ121" i="4"/>
  <c r="AG123" i="4"/>
  <c r="Y125" i="4"/>
  <c r="AA140" i="4"/>
  <c r="Z142" i="4"/>
  <c r="U148" i="4"/>
  <c r="S150" i="4"/>
  <c r="AL152" i="4"/>
  <c r="R152" i="4"/>
  <c r="Y156" i="4"/>
  <c r="AA160" i="4"/>
  <c r="AD165" i="4"/>
  <c r="AG107" i="4"/>
  <c r="Q113" i="4"/>
  <c r="AE115" i="4"/>
  <c r="Q118" i="4"/>
  <c r="R120" i="4"/>
  <c r="AJ123" i="4"/>
  <c r="AD125" i="4"/>
  <c r="X127" i="4"/>
  <c r="AL128" i="4"/>
  <c r="Z130" i="4"/>
  <c r="AK131" i="4"/>
  <c r="U133" i="4"/>
  <c r="AC134" i="4"/>
  <c r="AK135" i="4"/>
  <c r="S137" i="4"/>
  <c r="Y138" i="4"/>
  <c r="Z139" i="4"/>
  <c r="AB140" i="4"/>
  <c r="AA141" i="4"/>
  <c r="AA142" i="4"/>
  <c r="Z143" i="4"/>
  <c r="Z144" i="4"/>
  <c r="Y145" i="4"/>
  <c r="Y146" i="4"/>
  <c r="AF159" i="4"/>
  <c r="S164" i="4"/>
  <c r="AF169" i="4"/>
  <c r="AF171" i="4"/>
  <c r="AJ100" i="4"/>
  <c r="AH115" i="4"/>
  <c r="T118" i="4"/>
  <c r="U120" i="4"/>
  <c r="AK123" i="4"/>
  <c r="AG125" i="4"/>
  <c r="Y127" i="4"/>
  <c r="Q129" i="4"/>
  <c r="AB130" i="4"/>
  <c r="X133" i="4"/>
  <c r="AF134" i="4"/>
  <c r="T137" i="4"/>
  <c r="Z138" i="4"/>
  <c r="AD139" i="4"/>
  <c r="AC140" i="4"/>
  <c r="AC141" i="4"/>
  <c r="AB142" i="4"/>
  <c r="AA143" i="4"/>
  <c r="AA144" i="4"/>
  <c r="Z145" i="4"/>
  <c r="Z146" i="4"/>
  <c r="Y147" i="4"/>
  <c r="Y148" i="4"/>
  <c r="X149" i="4"/>
  <c r="U151" i="4"/>
  <c r="S152" i="4"/>
  <c r="Q153" i="4"/>
  <c r="AK153" i="4"/>
  <c r="AH154" i="4"/>
  <c r="AD155" i="4"/>
  <c r="Z156" i="4"/>
  <c r="U157" i="4"/>
  <c r="Q158" i="4"/>
  <c r="AK158" i="4"/>
  <c r="AG159" i="4"/>
  <c r="AB160" i="4"/>
  <c r="AH162" i="4"/>
  <c r="AA163" i="4"/>
  <c r="U164" i="4"/>
  <c r="AL164" i="4"/>
  <c r="AE165" i="4"/>
  <c r="X166" i="4"/>
  <c r="Q167" i="4"/>
  <c r="AG167" i="4"/>
  <c r="Y168" i="4"/>
  <c r="Q169" i="4"/>
  <c r="AG169" i="4"/>
  <c r="Y170" i="4"/>
  <c r="Q171" i="4"/>
  <c r="AG171" i="4"/>
  <c r="Y172" i="4"/>
  <c r="Q173" i="4"/>
  <c r="AG173" i="4"/>
  <c r="Y174" i="4"/>
  <c r="Q175" i="4"/>
  <c r="AG175" i="4"/>
  <c r="Y176" i="4"/>
  <c r="Q177" i="4"/>
  <c r="AG177" i="4"/>
  <c r="Y178" i="4"/>
  <c r="AA101" i="4"/>
  <c r="AE108" i="4"/>
  <c r="Z113" i="4"/>
  <c r="AL115" i="4"/>
  <c r="Y118" i="4"/>
  <c r="Y120" i="4"/>
  <c r="U122" i="4"/>
  <c r="AJ125" i="4"/>
  <c r="AD127" i="4"/>
  <c r="R129" i="4"/>
  <c r="AC130" i="4"/>
  <c r="Q132" i="4"/>
  <c r="Y133" i="4"/>
  <c r="AG134" i="4"/>
  <c r="Q136" i="4"/>
  <c r="U137" i="4"/>
  <c r="AA138" i="4"/>
  <c r="AG139" i="4"/>
  <c r="AF140" i="4"/>
  <c r="AD141" i="4"/>
  <c r="AC142" i="4"/>
  <c r="AC143" i="4"/>
  <c r="AB144" i="4"/>
  <c r="AA145" i="4"/>
  <c r="AA146" i="4"/>
  <c r="Z147" i="4"/>
  <c r="Z148" i="4"/>
  <c r="Y149" i="4"/>
  <c r="Y150" i="4"/>
  <c r="X151" i="4"/>
  <c r="U152" i="4"/>
  <c r="R153" i="4"/>
  <c r="AI154" i="4"/>
  <c r="AF155" i="4"/>
  <c r="AA156" i="4"/>
  <c r="R158" i="4"/>
  <c r="AL158" i="4"/>
  <c r="AH159" i="4"/>
  <c r="AC160" i="4"/>
  <c r="Q162" i="4"/>
  <c r="AI162" i="4"/>
  <c r="AC163" i="4"/>
  <c r="AF165" i="4"/>
  <c r="Y166" i="4"/>
  <c r="R167" i="4"/>
  <c r="AH167" i="4"/>
  <c r="Z168" i="4"/>
  <c r="R169" i="4"/>
  <c r="AH169" i="4"/>
  <c r="Z170" i="4"/>
  <c r="R171" i="4"/>
  <c r="AH171" i="4"/>
  <c r="Z172" i="4"/>
  <c r="R173" i="4"/>
  <c r="AH173" i="4"/>
  <c r="Z174" i="4"/>
  <c r="R175" i="4"/>
  <c r="AH175" i="4"/>
  <c r="Z176" i="4"/>
  <c r="R177" i="4"/>
  <c r="AH177" i="4"/>
  <c r="Z178" i="4"/>
  <c r="R179" i="4"/>
  <c r="AH179" i="4"/>
  <c r="Z180" i="4"/>
  <c r="R181" i="4"/>
  <c r="AH181" i="4"/>
  <c r="Z182" i="4"/>
  <c r="R183" i="4"/>
  <c r="AH101" i="4"/>
  <c r="AJ108" i="4"/>
  <c r="AE113" i="4"/>
  <c r="R116" i="4"/>
  <c r="Z118" i="4"/>
  <c r="Z120" i="4"/>
  <c r="Y122" i="4"/>
  <c r="Q124" i="4"/>
  <c r="AK125" i="4"/>
  <c r="AG127" i="4"/>
  <c r="T129" i="4"/>
  <c r="AF130" i="4"/>
  <c r="R132" i="4"/>
  <c r="Z133" i="4"/>
  <c r="AH134" i="4"/>
  <c r="R136" i="4"/>
  <c r="X137" i="4"/>
  <c r="AB138" i="4"/>
  <c r="AH139" i="4"/>
  <c r="AG140" i="4"/>
  <c r="AG141" i="4"/>
  <c r="AF142" i="4"/>
  <c r="AD143" i="4"/>
  <c r="AC144" i="4"/>
  <c r="AC145" i="4"/>
  <c r="AB146" i="4"/>
  <c r="AA147" i="4"/>
  <c r="AA148" i="4"/>
  <c r="Z149" i="4"/>
  <c r="Z150" i="4"/>
  <c r="Y151" i="4"/>
  <c r="S153" i="4"/>
  <c r="Q154" i="4"/>
  <c r="AK154" i="4"/>
  <c r="AG155" i="4"/>
  <c r="AB156" i="4"/>
  <c r="X157" i="4"/>
  <c r="S158" i="4"/>
  <c r="AI159" i="4"/>
  <c r="AD160" i="4"/>
  <c r="X161" i="4"/>
  <c r="R162" i="4"/>
  <c r="AK162" i="4"/>
  <c r="AD163" i="4"/>
  <c r="AG165" i="4"/>
  <c r="Z166" i="4"/>
  <c r="S167" i="4"/>
  <c r="AI167" i="4"/>
  <c r="AA168" i="4"/>
  <c r="S169" i="4"/>
  <c r="AI169" i="4"/>
  <c r="AA170" i="4"/>
  <c r="S171" i="4"/>
  <c r="AI171" i="4"/>
  <c r="AA172" i="4"/>
  <c r="S173" i="4"/>
  <c r="AI173" i="4"/>
  <c r="AA174" i="4"/>
  <c r="S175" i="4"/>
  <c r="AI175" i="4"/>
  <c r="AA176" i="4"/>
  <c r="S177" i="4"/>
  <c r="AI177" i="4"/>
  <c r="AA178" i="4"/>
  <c r="S179" i="4"/>
  <c r="AI179" i="4"/>
  <c r="AA180" i="4"/>
  <c r="S181" i="4"/>
  <c r="AI181" i="4"/>
  <c r="AA182" i="4"/>
  <c r="S183" i="4"/>
  <c r="AI183" i="4"/>
  <c r="AA184" i="4"/>
  <c r="S185" i="4"/>
  <c r="AI185" i="4"/>
  <c r="AA186" i="4"/>
  <c r="S187" i="4"/>
  <c r="AI187" i="4"/>
  <c r="AA188" i="4"/>
  <c r="S189" i="4"/>
  <c r="AI189" i="4"/>
  <c r="AA190" i="4"/>
  <c r="Y102" i="4"/>
  <c r="AA109" i="4"/>
  <c r="AI113" i="4"/>
  <c r="S116" i="4"/>
  <c r="AF118" i="4"/>
  <c r="AC120" i="4"/>
  <c r="AB122" i="4"/>
  <c r="AH127" i="4"/>
  <c r="U129" i="4"/>
  <c r="AG130" i="4"/>
  <c r="AD133" i="4"/>
  <c r="AL134" i="4"/>
  <c r="Y137" i="4"/>
  <c r="AC138" i="4"/>
  <c r="AI139" i="4"/>
  <c r="AH140" i="4"/>
  <c r="AH141" i="4"/>
  <c r="AG142" i="4"/>
  <c r="AG143" i="4"/>
  <c r="AF102" i="4"/>
  <c r="AH109" i="4"/>
  <c r="AJ113" i="4"/>
  <c r="Y116" i="4"/>
  <c r="AI118" i="4"/>
  <c r="AD120" i="4"/>
  <c r="AC122" i="4"/>
  <c r="Y124" i="4"/>
  <c r="Q126" i="4"/>
  <c r="AJ127" i="4"/>
  <c r="X129" i="4"/>
  <c r="AL130" i="4"/>
  <c r="Y132" i="4"/>
  <c r="AG133" i="4"/>
  <c r="Q135" i="4"/>
  <c r="Y136" i="4"/>
  <c r="Z137" i="4"/>
  <c r="AF138" i="4"/>
  <c r="AJ139" i="4"/>
  <c r="AI140" i="4"/>
  <c r="AI141" i="4"/>
  <c r="AH142" i="4"/>
  <c r="AH143" i="4"/>
  <c r="AG144" i="4"/>
  <c r="AG145" i="4"/>
  <c r="AF146" i="4"/>
  <c r="AD147" i="4"/>
  <c r="AC148" i="4"/>
  <c r="AC149" i="4"/>
  <c r="AB150" i="4"/>
  <c r="AA151" i="4"/>
  <c r="Y152" i="4"/>
  <c r="U153" i="4"/>
  <c r="S154" i="4"/>
  <c r="AI155" i="4"/>
  <c r="AD156" i="4"/>
  <c r="Z157" i="4"/>
  <c r="R159" i="4"/>
  <c r="AK159" i="4"/>
  <c r="AF160" i="4"/>
  <c r="Z161" i="4"/>
  <c r="U162" i="4"/>
  <c r="AF163" i="4"/>
  <c r="Y164" i="4"/>
  <c r="R165" i="4"/>
  <c r="AI165" i="4"/>
  <c r="AB166" i="4"/>
  <c r="U167" i="4"/>
  <c r="AK167" i="4"/>
  <c r="AC168" i="4"/>
  <c r="U169" i="4"/>
  <c r="AK169" i="4"/>
  <c r="AC170" i="4"/>
  <c r="U171" i="4"/>
  <c r="AK171" i="4"/>
  <c r="AC172" i="4"/>
  <c r="U173" i="4"/>
  <c r="AK173" i="4"/>
  <c r="AC174" i="4"/>
  <c r="U175" i="4"/>
  <c r="AK175" i="4"/>
  <c r="AC176" i="4"/>
  <c r="U177" i="4"/>
  <c r="AK177" i="4"/>
  <c r="AC178" i="4"/>
  <c r="U179" i="4"/>
  <c r="AK179" i="4"/>
  <c r="AC180" i="4"/>
  <c r="U181" i="4"/>
  <c r="AK181" i="4"/>
  <c r="AC182" i="4"/>
  <c r="U183" i="4"/>
  <c r="AK183" i="4"/>
  <c r="AC184" i="4"/>
  <c r="U185" i="4"/>
  <c r="AK185" i="4"/>
  <c r="AC186" i="4"/>
  <c r="U187" i="4"/>
  <c r="AK187" i="4"/>
  <c r="AC188" i="4"/>
  <c r="U189" i="4"/>
  <c r="AK189" i="4"/>
  <c r="AC190" i="4"/>
  <c r="AE189" i="4"/>
  <c r="U150" i="4"/>
  <c r="AI158" i="4"/>
  <c r="X110" i="4"/>
  <c r="R114" i="4"/>
  <c r="AB116" i="4"/>
  <c r="AI120" i="4"/>
  <c r="AF122" i="4"/>
  <c r="AB124" i="4"/>
  <c r="AK127" i="4"/>
  <c r="Y129" i="4"/>
  <c r="Q131" i="4"/>
  <c r="Z132" i="4"/>
  <c r="AH133" i="4"/>
  <c r="R135" i="4"/>
  <c r="Z136" i="4"/>
  <c r="AD137" i="4"/>
  <c r="AG138" i="4"/>
  <c r="AK139" i="4"/>
  <c r="AK140" i="4"/>
  <c r="AJ141" i="4"/>
  <c r="AI142" i="4"/>
  <c r="AI143" i="4"/>
  <c r="AH144" i="4"/>
  <c r="AH145" i="4"/>
  <c r="AG146" i="4"/>
  <c r="AG147" i="4"/>
  <c r="AF148" i="4"/>
  <c r="AD149" i="4"/>
  <c r="AC150" i="4"/>
  <c r="AC151" i="4"/>
  <c r="Z152" i="4"/>
  <c r="X153" i="4"/>
  <c r="U154" i="4"/>
  <c r="Q155" i="4"/>
  <c r="AJ155" i="4"/>
  <c r="AF156" i="4"/>
  <c r="AA157" i="4"/>
  <c r="X158" i="4"/>
  <c r="S159" i="4"/>
  <c r="AL159" i="4"/>
  <c r="AG160" i="4"/>
  <c r="AA161" i="4"/>
  <c r="AG163" i="4"/>
  <c r="Z164" i="4"/>
  <c r="S165" i="4"/>
  <c r="AJ165" i="4"/>
  <c r="AC166" i="4"/>
  <c r="AL167" i="4"/>
  <c r="AD168" i="4"/>
  <c r="AL169" i="4"/>
  <c r="AD170" i="4"/>
  <c r="AL171" i="4"/>
  <c r="AD172" i="4"/>
  <c r="AL173" i="4"/>
  <c r="AD174" i="4"/>
  <c r="AL175" i="4"/>
  <c r="AD176" i="4"/>
  <c r="AL177" i="4"/>
  <c r="AD178" i="4"/>
  <c r="AL179" i="4"/>
  <c r="AD180" i="4"/>
  <c r="AL181" i="4"/>
  <c r="AD182" i="4"/>
  <c r="AL183" i="4"/>
  <c r="AD184" i="4"/>
  <c r="AL185" i="4"/>
  <c r="AD186" i="4"/>
  <c r="AL187" i="4"/>
  <c r="AD188" i="4"/>
  <c r="AL189" i="4"/>
  <c r="AD190" i="4"/>
  <c r="T157" i="4"/>
  <c r="AF144" i="4"/>
  <c r="Q159" i="4"/>
  <c r="AB170" i="4"/>
  <c r="T177" i="4"/>
  <c r="T181" i="4"/>
  <c r="Z184" i="4"/>
  <c r="R187" i="4"/>
  <c r="AH189" i="4"/>
  <c r="AJ159" i="4"/>
  <c r="T171" i="4"/>
  <c r="AF177" i="4"/>
  <c r="AF181" i="4"/>
  <c r="AB184" i="4"/>
  <c r="AD145" i="4"/>
  <c r="AC146" i="4"/>
  <c r="AE160" i="4"/>
  <c r="AJ171" i="4"/>
  <c r="AJ177" i="4"/>
  <c r="AG181" i="4"/>
  <c r="AF187" i="4"/>
  <c r="X190" i="4"/>
  <c r="AC147" i="4"/>
  <c r="Y161" i="4"/>
  <c r="AB172" i="4"/>
  <c r="X178" i="4"/>
  <c r="AJ181" i="4"/>
  <c r="Q185" i="4"/>
  <c r="AG187" i="4"/>
  <c r="Y190" i="4"/>
  <c r="X188" i="4"/>
  <c r="AF179" i="4"/>
  <c r="AH185" i="4"/>
  <c r="Y184" i="4"/>
  <c r="AB148" i="4"/>
  <c r="S162" i="4"/>
  <c r="T173" i="4"/>
  <c r="AB178" i="4"/>
  <c r="X182" i="4"/>
  <c r="R185" i="4"/>
  <c r="AH187" i="4"/>
  <c r="Z190" i="4"/>
  <c r="AA149" i="4"/>
  <c r="AF173" i="4"/>
  <c r="AL162" i="4"/>
  <c r="Y182" i="4"/>
  <c r="T185" i="4"/>
  <c r="AJ187" i="4"/>
  <c r="AB190" i="4"/>
  <c r="AB174" i="4"/>
  <c r="Q183" i="4"/>
  <c r="Z188" i="4"/>
  <c r="T187" i="4"/>
  <c r="AA150" i="4"/>
  <c r="AE163" i="4"/>
  <c r="AJ173" i="4"/>
  <c r="Q179" i="4"/>
  <c r="AB182" i="4"/>
  <c r="AF185" i="4"/>
  <c r="Y188" i="4"/>
  <c r="T189" i="4"/>
  <c r="AG189" i="4"/>
  <c r="Z151" i="4"/>
  <c r="X164" i="4"/>
  <c r="X174" i="4"/>
  <c r="T179" i="4"/>
  <c r="AG185" i="4"/>
  <c r="X152" i="4"/>
  <c r="Q165" i="4"/>
  <c r="T153" i="4"/>
  <c r="AH165" i="4"/>
  <c r="AG179" i="4"/>
  <c r="T183" i="4"/>
  <c r="AJ185" i="4"/>
  <c r="AB188" i="4"/>
  <c r="AB180" i="4"/>
  <c r="AB186" i="4"/>
  <c r="Q187" i="4"/>
  <c r="AJ189" i="4"/>
  <c r="R154" i="4"/>
  <c r="AA166" i="4"/>
  <c r="T175" i="4"/>
  <c r="AJ179" i="4"/>
  <c r="AF183" i="4"/>
  <c r="X186" i="4"/>
  <c r="Q189" i="4"/>
  <c r="AL154" i="4"/>
  <c r="T167" i="4"/>
  <c r="AF175" i="4"/>
  <c r="X180" i="4"/>
  <c r="AG183" i="4"/>
  <c r="Y186" i="4"/>
  <c r="AJ183" i="4"/>
  <c r="U158" i="4"/>
  <c r="Q181" i="4"/>
  <c r="AH155" i="4"/>
  <c r="AJ167" i="4"/>
  <c r="AJ175" i="4"/>
  <c r="Y180" i="4"/>
  <c r="AH183" i="4"/>
  <c r="Z186" i="4"/>
  <c r="R189" i="4"/>
  <c r="AF189" i="4"/>
  <c r="AJ169" i="4"/>
  <c r="AC156" i="4"/>
  <c r="AB168" i="4"/>
  <c r="X176" i="4"/>
  <c r="Y157" i="4"/>
  <c r="T169" i="4"/>
  <c r="AB176" i="4"/>
  <c r="X184" i="4"/>
  <c r="Q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U7" i="4"/>
  <c r="T7" i="4"/>
  <c r="V7" i="4" s="1"/>
  <c r="S7" i="4"/>
  <c r="R7" i="4"/>
  <c r="W192" i="4" l="1"/>
  <c r="W191" i="4"/>
  <c r="W7" i="4"/>
  <c r="Y3" i="4"/>
  <c r="X3" i="4"/>
  <c r="AI214" i="3"/>
  <c r="W169" i="4"/>
  <c r="W185" i="4"/>
  <c r="V118" i="4"/>
  <c r="W180" i="4"/>
  <c r="V139" i="4"/>
  <c r="V151" i="4"/>
  <c r="V92" i="4"/>
  <c r="W158" i="4"/>
  <c r="W142" i="4"/>
  <c r="W126" i="4"/>
  <c r="V107" i="4"/>
  <c r="V169" i="4"/>
  <c r="V185" i="4"/>
  <c r="W118" i="4"/>
  <c r="V180" i="4"/>
  <c r="W139" i="4"/>
  <c r="W151" i="4"/>
  <c r="W92" i="4"/>
  <c r="V158" i="4"/>
  <c r="V142" i="4"/>
  <c r="V126" i="4"/>
  <c r="W107" i="4"/>
  <c r="W90" i="4"/>
  <c r="W111" i="4"/>
  <c r="W79" i="4"/>
  <c r="W100" i="4"/>
  <c r="W47" i="4"/>
  <c r="W72" i="4"/>
  <c r="W51" i="4"/>
  <c r="V61" i="4"/>
  <c r="V37" i="4"/>
  <c r="V27" i="4"/>
  <c r="V11" i="4"/>
  <c r="W20" i="4"/>
  <c r="W43" i="4"/>
  <c r="W58" i="4"/>
  <c r="W57" i="4"/>
  <c r="V25" i="4"/>
  <c r="V9" i="4"/>
  <c r="W39" i="4"/>
  <c r="V45" i="4"/>
  <c r="V69" i="4"/>
  <c r="W167" i="4"/>
  <c r="W173" i="4"/>
  <c r="V161" i="4"/>
  <c r="W178" i="4"/>
  <c r="V125" i="4"/>
  <c r="V188" i="4"/>
  <c r="V165" i="4"/>
  <c r="W156" i="4"/>
  <c r="W140" i="4"/>
  <c r="W124" i="4"/>
  <c r="V97" i="4"/>
  <c r="V87" i="4"/>
  <c r="V104" i="4"/>
  <c r="V120" i="4"/>
  <c r="V84" i="4"/>
  <c r="V36" i="4"/>
  <c r="V64" i="4"/>
  <c r="V43" i="4"/>
  <c r="V58" i="4"/>
  <c r="V57" i="4"/>
  <c r="W25" i="4"/>
  <c r="W9" i="4"/>
  <c r="V18" i="4"/>
  <c r="W18" i="4"/>
  <c r="W23" i="4"/>
  <c r="V16" i="4"/>
  <c r="W14" i="4"/>
  <c r="V123" i="4"/>
  <c r="W35" i="4"/>
  <c r="V12" i="4"/>
  <c r="V17" i="4"/>
  <c r="V162" i="4"/>
  <c r="W56" i="4"/>
  <c r="V72" i="4"/>
  <c r="V167" i="4"/>
  <c r="V173" i="4"/>
  <c r="W161" i="4"/>
  <c r="V178" i="4"/>
  <c r="W125" i="4"/>
  <c r="W188" i="4"/>
  <c r="W165" i="4"/>
  <c r="V156" i="4"/>
  <c r="V140" i="4"/>
  <c r="V124" i="4"/>
  <c r="W97" i="4"/>
  <c r="W87" i="4"/>
  <c r="W104" i="4"/>
  <c r="W120" i="4"/>
  <c r="W84" i="4"/>
  <c r="W36" i="4"/>
  <c r="W64" i="4"/>
  <c r="V44" i="4"/>
  <c r="V14" i="4"/>
  <c r="W150" i="4"/>
  <c r="W99" i="4"/>
  <c r="V121" i="4"/>
  <c r="V48" i="4"/>
  <c r="V60" i="4"/>
  <c r="V28" i="4"/>
  <c r="W28" i="4"/>
  <c r="V146" i="4"/>
  <c r="W175" i="4"/>
  <c r="W171" i="4"/>
  <c r="V149" i="4"/>
  <c r="V176" i="4"/>
  <c r="V112" i="4"/>
  <c r="V184" i="4"/>
  <c r="W159" i="4"/>
  <c r="W154" i="4"/>
  <c r="W138" i="4"/>
  <c r="V113" i="4"/>
  <c r="V94" i="4"/>
  <c r="V91" i="4"/>
  <c r="V82" i="4"/>
  <c r="V114" i="4"/>
  <c r="V67" i="4"/>
  <c r="V73" i="4"/>
  <c r="V50" i="4"/>
  <c r="V32" i="4"/>
  <c r="W134" i="4"/>
  <c r="V42" i="4"/>
  <c r="W19" i="4"/>
  <c r="V19" i="4"/>
  <c r="W12" i="4"/>
  <c r="W129" i="4"/>
  <c r="W74" i="4"/>
  <c r="W63" i="4"/>
  <c r="V31" i="4"/>
  <c r="W8" i="4"/>
  <c r="V90" i="4"/>
  <c r="V175" i="4"/>
  <c r="V171" i="4"/>
  <c r="W149" i="4"/>
  <c r="W176" i="4"/>
  <c r="W112" i="4"/>
  <c r="W184" i="4"/>
  <c r="V159" i="4"/>
  <c r="V154" i="4"/>
  <c r="V138" i="4"/>
  <c r="W113" i="4"/>
  <c r="W94" i="4"/>
  <c r="W91" i="4"/>
  <c r="W82" i="4"/>
  <c r="W114" i="4"/>
  <c r="W67" i="4"/>
  <c r="W73" i="4"/>
  <c r="W50" i="4"/>
  <c r="V39" i="4"/>
  <c r="W44" i="4"/>
  <c r="W45" i="4"/>
  <c r="V23" i="4"/>
  <c r="W32" i="4"/>
  <c r="W16" i="4"/>
  <c r="V163" i="4"/>
  <c r="V135" i="4"/>
  <c r="W136" i="4"/>
  <c r="V85" i="4"/>
  <c r="V70" i="4"/>
  <c r="V46" i="4"/>
  <c r="V49" i="4"/>
  <c r="V76" i="4"/>
  <c r="V40" i="4"/>
  <c r="W21" i="4"/>
  <c r="V30" i="4"/>
  <c r="W166" i="4"/>
  <c r="V75" i="4"/>
  <c r="V110" i="4"/>
  <c r="V66" i="4"/>
  <c r="W141" i="4"/>
  <c r="W89" i="4"/>
  <c r="W24" i="4"/>
  <c r="V13" i="4"/>
  <c r="V100" i="4"/>
  <c r="W27" i="4"/>
  <c r="W183" i="4"/>
  <c r="W181" i="4"/>
  <c r="V133" i="4"/>
  <c r="W174" i="4"/>
  <c r="W190" i="4"/>
  <c r="W152" i="4"/>
  <c r="V98" i="4"/>
  <c r="V68" i="4"/>
  <c r="V117" i="4"/>
  <c r="V65" i="4"/>
  <c r="V77" i="4"/>
  <c r="W81" i="4"/>
  <c r="V15" i="4"/>
  <c r="W22" i="4"/>
  <c r="V51" i="4"/>
  <c r="W37" i="4"/>
  <c r="V183" i="4"/>
  <c r="V181" i="4"/>
  <c r="W133" i="4"/>
  <c r="V174" i="4"/>
  <c r="V190" i="4"/>
  <c r="W163" i="4"/>
  <c r="W135" i="4"/>
  <c r="V152" i="4"/>
  <c r="V136" i="4"/>
  <c r="W98" i="4"/>
  <c r="W85" i="4"/>
  <c r="W68" i="4"/>
  <c r="W70" i="4"/>
  <c r="W117" i="4"/>
  <c r="W46" i="4"/>
  <c r="W65" i="4"/>
  <c r="W49" i="4"/>
  <c r="W77" i="4"/>
  <c r="W76" i="4"/>
  <c r="W40" i="4"/>
  <c r="V21" i="4"/>
  <c r="W30" i="4"/>
  <c r="V47" i="4"/>
  <c r="V20" i="4"/>
  <c r="V153" i="4"/>
  <c r="W177" i="4"/>
  <c r="V147" i="4"/>
  <c r="W172" i="4"/>
  <c r="V186" i="4"/>
  <c r="V109" i="4"/>
  <c r="W145" i="4"/>
  <c r="W86" i="4"/>
  <c r="W122" i="4"/>
  <c r="W153" i="4"/>
  <c r="V177" i="4"/>
  <c r="W147" i="4"/>
  <c r="V172" i="4"/>
  <c r="W186" i="4"/>
  <c r="W123" i="4"/>
  <c r="V166" i="4"/>
  <c r="V150" i="4"/>
  <c r="V134" i="4"/>
  <c r="V99" i="4"/>
  <c r="W75" i="4"/>
  <c r="W121" i="4"/>
  <c r="W110" i="4"/>
  <c r="W109" i="4"/>
  <c r="W66" i="4"/>
  <c r="W48" i="4"/>
  <c r="W42" i="4"/>
  <c r="W60" i="4"/>
  <c r="W69" i="4"/>
  <c r="V35" i="4"/>
  <c r="W179" i="4"/>
  <c r="W157" i="4"/>
  <c r="V127" i="4"/>
  <c r="V170" i="4"/>
  <c r="V182" i="4"/>
  <c r="W155" i="4"/>
  <c r="V164" i="4"/>
  <c r="W148" i="4"/>
  <c r="W132" i="4"/>
  <c r="V96" i="4"/>
  <c r="V88" i="4"/>
  <c r="V105" i="4"/>
  <c r="V103" i="4"/>
  <c r="V101" i="4"/>
  <c r="W41" i="4"/>
  <c r="V83" i="4"/>
  <c r="V71" i="4"/>
  <c r="V54" i="4"/>
  <c r="V59" i="4"/>
  <c r="W33" i="4"/>
  <c r="W17" i="4"/>
  <c r="V26" i="4"/>
  <c r="V10" i="4"/>
  <c r="V132" i="4"/>
  <c r="W96" i="4"/>
  <c r="W88" i="4"/>
  <c r="W105" i="4"/>
  <c r="W103" i="4"/>
  <c r="V41" i="4"/>
  <c r="W83" i="4"/>
  <c r="W54" i="4"/>
  <c r="W59" i="4"/>
  <c r="V179" i="4"/>
  <c r="V157" i="4"/>
  <c r="W127" i="4"/>
  <c r="W170" i="4"/>
  <c r="W182" i="4"/>
  <c r="V155" i="4"/>
  <c r="W164" i="4"/>
  <c r="V148" i="4"/>
  <c r="W101" i="4"/>
  <c r="W71" i="4"/>
  <c r="V33" i="4"/>
  <c r="W26" i="4"/>
  <c r="W10" i="4"/>
  <c r="V168" i="4"/>
  <c r="V130" i="4"/>
  <c r="W38" i="4"/>
  <c r="W53" i="4"/>
  <c r="W189" i="4"/>
  <c r="V129" i="4"/>
  <c r="V145" i="4"/>
  <c r="W168" i="4"/>
  <c r="V141" i="4"/>
  <c r="V119" i="4"/>
  <c r="W162" i="4"/>
  <c r="W146" i="4"/>
  <c r="W130" i="4"/>
  <c r="V86" i="4"/>
  <c r="V62" i="4"/>
  <c r="V89" i="4"/>
  <c r="V74" i="4"/>
  <c r="V122" i="4"/>
  <c r="V38" i="4"/>
  <c r="V81" i="4"/>
  <c r="V63" i="4"/>
  <c r="V53" i="4"/>
  <c r="V56" i="4"/>
  <c r="W31" i="4"/>
  <c r="W15" i="4"/>
  <c r="V24" i="4"/>
  <c r="V8" i="4"/>
  <c r="W119" i="4"/>
  <c r="W62" i="4"/>
  <c r="V111" i="4"/>
  <c r="W61" i="4"/>
  <c r="V189" i="4"/>
  <c r="W187" i="4"/>
  <c r="V137" i="4"/>
  <c r="V106" i="4"/>
  <c r="V143" i="4"/>
  <c r="V95" i="4"/>
  <c r="V131" i="4"/>
  <c r="W160" i="4"/>
  <c r="W144" i="4"/>
  <c r="W128" i="4"/>
  <c r="V116" i="4"/>
  <c r="W93" i="4"/>
  <c r="V115" i="4"/>
  <c r="V102" i="4"/>
  <c r="V108" i="4"/>
  <c r="V34" i="4"/>
  <c r="V78" i="4"/>
  <c r="V52" i="4"/>
  <c r="V80" i="4"/>
  <c r="V55" i="4"/>
  <c r="W29" i="4"/>
  <c r="W13" i="4"/>
  <c r="V22" i="4"/>
  <c r="W78" i="4"/>
  <c r="W80" i="4"/>
  <c r="W55" i="4"/>
  <c r="V79" i="4"/>
  <c r="W11" i="4"/>
  <c r="V187" i="4"/>
  <c r="W137" i="4"/>
  <c r="W106" i="4"/>
  <c r="W143" i="4"/>
  <c r="W95" i="4"/>
  <c r="W131" i="4"/>
  <c r="V160" i="4"/>
  <c r="V144" i="4"/>
  <c r="V128" i="4"/>
  <c r="W116" i="4"/>
  <c r="V93" i="4"/>
  <c r="W115" i="4"/>
  <c r="W102" i="4"/>
  <c r="W108" i="4"/>
  <c r="W34" i="4"/>
  <c r="W52" i="4"/>
  <c r="V29" i="4"/>
  <c r="E13" i="3"/>
  <c r="W3" i="4" l="1"/>
  <c r="F13" i="3"/>
  <c r="O214" i="3"/>
  <c r="P214" i="3"/>
  <c r="AL214" i="3"/>
  <c r="AC214" i="3"/>
  <c r="AK214" i="3"/>
  <c r="X214" i="3"/>
  <c r="U214" i="3"/>
  <c r="Z214" i="3"/>
  <c r="Y214" i="3"/>
  <c r="S214" i="3"/>
  <c r="T214" i="3"/>
  <c r="Q214" i="3"/>
  <c r="R214" i="3"/>
  <c r="AA214" i="3"/>
  <c r="AJ214" i="3"/>
  <c r="AB214" i="3"/>
  <c r="AG214" i="3"/>
  <c r="AH214" i="3"/>
  <c r="N214" i="3"/>
  <c r="AE214" i="3"/>
  <c r="AD214" i="3"/>
  <c r="AF214" i="3"/>
  <c r="L4" i="4" l="1"/>
  <c r="V214" i="3"/>
  <c r="W214" i="3"/>
  <c r="AN214" i="3" s="1"/>
  <c r="M110" i="4"/>
  <c r="M186" i="4"/>
  <c r="M75" i="4"/>
  <c r="M94" i="4"/>
  <c r="L106" i="4"/>
  <c r="M114" i="4"/>
  <c r="M181" i="4"/>
  <c r="L101" i="4"/>
  <c r="L147" i="4"/>
  <c r="M104" i="4"/>
  <c r="M48" i="4"/>
  <c r="L72" i="4"/>
  <c r="M107" i="4"/>
  <c r="L96" i="4"/>
  <c r="M189" i="4"/>
  <c r="M123" i="4"/>
  <c r="L115" i="4"/>
  <c r="M12" i="4"/>
  <c r="M176" i="4"/>
  <c r="L107" i="4"/>
  <c r="M72" i="4"/>
  <c r="M115" i="4"/>
  <c r="L189" i="4"/>
  <c r="L48" i="4"/>
  <c r="M96" i="4"/>
  <c r="L123" i="4"/>
  <c r="L12" i="4"/>
  <c r="L176" i="4"/>
  <c r="L104" i="4"/>
  <c r="M184" i="4"/>
  <c r="L39" i="4"/>
  <c r="M32" i="4"/>
  <c r="L102" i="4"/>
  <c r="M148" i="4"/>
  <c r="L172" i="4"/>
  <c r="M124" i="4"/>
  <c r="M168" i="4"/>
  <c r="M7" i="4"/>
  <c r="L184" i="4"/>
  <c r="L168" i="4"/>
  <c r="M102" i="4"/>
  <c r="M172" i="4"/>
  <c r="L32" i="4"/>
  <c r="L148" i="4"/>
  <c r="L124" i="4"/>
  <c r="L7" i="4"/>
  <c r="M39" i="4"/>
  <c r="L119" i="4"/>
  <c r="L63" i="4"/>
  <c r="L74" i="4"/>
  <c r="L88" i="4"/>
  <c r="M95" i="4"/>
  <c r="L183" i="4"/>
  <c r="M20" i="4"/>
  <c r="M121" i="4"/>
  <c r="M79" i="4"/>
  <c r="M185" i="4"/>
  <c r="M183" i="4"/>
  <c r="L121" i="4"/>
  <c r="M119" i="4"/>
  <c r="L79" i="4"/>
  <c r="M63" i="4"/>
  <c r="M74" i="4"/>
  <c r="L185" i="4"/>
  <c r="L95" i="4"/>
  <c r="L20" i="4"/>
  <c r="M88" i="4"/>
  <c r="L182" i="4"/>
  <c r="L23" i="4"/>
  <c r="M18" i="4"/>
  <c r="M68" i="4"/>
  <c r="M105" i="4"/>
  <c r="M154" i="4"/>
  <c r="L65" i="4"/>
  <c r="M67" i="4"/>
  <c r="M45" i="4"/>
  <c r="L68" i="4"/>
  <c r="M65" i="4"/>
  <c r="L18" i="4"/>
  <c r="L45" i="4"/>
  <c r="M182" i="4"/>
  <c r="L105" i="4"/>
  <c r="M23" i="4"/>
  <c r="L67" i="4"/>
  <c r="L154" i="4"/>
  <c r="L29" i="4"/>
  <c r="L26" i="4"/>
  <c r="L90" i="4"/>
  <c r="M97" i="4"/>
  <c r="L165" i="4"/>
  <c r="M87" i="4"/>
  <c r="L139" i="4"/>
  <c r="L41" i="4"/>
  <c r="L38" i="4"/>
  <c r="L149" i="4"/>
  <c r="M165" i="4"/>
  <c r="M139" i="4"/>
  <c r="M41" i="4"/>
  <c r="M90" i="4"/>
  <c r="M38" i="4"/>
  <c r="M29" i="4"/>
  <c r="M26" i="4"/>
  <c r="L87" i="4"/>
  <c r="L97" i="4"/>
  <c r="M149" i="4"/>
  <c r="L166" i="4"/>
  <c r="L146" i="4"/>
  <c r="L61" i="4"/>
  <c r="L73" i="4"/>
  <c r="M76" i="4"/>
  <c r="L133" i="4"/>
  <c r="M190" i="4"/>
  <c r="M57" i="4"/>
  <c r="L76" i="4"/>
  <c r="L108" i="4"/>
  <c r="M61" i="4"/>
  <c r="M146" i="4"/>
  <c r="M10" i="4"/>
  <c r="M73" i="4"/>
  <c r="M166" i="4"/>
  <c r="L190" i="4"/>
  <c r="M133" i="4"/>
  <c r="M108" i="4"/>
  <c r="L57" i="4"/>
  <c r="L130" i="4"/>
  <c r="M179" i="4"/>
  <c r="L103" i="4"/>
  <c r="M162" i="4"/>
  <c r="M8" i="4"/>
  <c r="L40" i="4"/>
  <c r="M131" i="4"/>
  <c r="L167" i="4"/>
  <c r="M155" i="4"/>
  <c r="L52" i="4"/>
  <c r="L155" i="4"/>
  <c r="M52" i="4"/>
  <c r="L179" i="4"/>
  <c r="M167" i="4"/>
  <c r="M103" i="4"/>
  <c r="M40" i="4"/>
  <c r="L8" i="4"/>
  <c r="L131" i="4"/>
  <c r="M130" i="4"/>
  <c r="L162" i="4"/>
  <c r="L111" i="4"/>
  <c r="L144" i="4"/>
  <c r="M34" i="4"/>
  <c r="M11" i="4"/>
  <c r="M126" i="4"/>
  <c r="L71" i="4"/>
  <c r="L47" i="4"/>
  <c r="L113" i="4"/>
  <c r="M31" i="4"/>
  <c r="L126" i="4"/>
  <c r="M111" i="4"/>
  <c r="L31" i="4"/>
  <c r="M71" i="4"/>
  <c r="L11" i="4"/>
  <c r="M113" i="4"/>
  <c r="M144" i="4"/>
  <c r="M47" i="4"/>
  <c r="L34" i="4"/>
  <c r="M64" i="4"/>
  <c r="L28" i="4"/>
  <c r="L129" i="4"/>
  <c r="L35" i="4"/>
  <c r="L25" i="4"/>
  <c r="L178" i="4"/>
  <c r="M15" i="4"/>
  <c r="M28" i="4"/>
  <c r="M58" i="4"/>
  <c r="L132" i="4"/>
  <c r="M82" i="4"/>
  <c r="L15" i="4"/>
  <c r="L64" i="4"/>
  <c r="M132" i="4"/>
  <c r="M178" i="4"/>
  <c r="M35" i="4"/>
  <c r="L58" i="4"/>
  <c r="L82" i="4"/>
  <c r="M25" i="4"/>
  <c r="M129" i="4"/>
  <c r="L17" i="4"/>
  <c r="L175" i="4"/>
  <c r="L51" i="4"/>
  <c r="M175" i="4"/>
  <c r="L21" i="4"/>
  <c r="L37" i="4"/>
  <c r="L171" i="4"/>
  <c r="L83" i="4"/>
  <c r="L33" i="4"/>
  <c r="M112" i="4"/>
  <c r="M187" i="4"/>
  <c r="M51" i="4"/>
  <c r="M33" i="4"/>
  <c r="M37" i="4"/>
  <c r="L112" i="4"/>
  <c r="M83" i="4"/>
  <c r="M17" i="4"/>
  <c r="M171" i="4"/>
  <c r="M21" i="4"/>
  <c r="L187" i="4"/>
  <c r="L60" i="4"/>
  <c r="M36" i="4"/>
  <c r="M89" i="4"/>
  <c r="L54" i="4"/>
  <c r="L13" i="4"/>
  <c r="M99" i="4"/>
  <c r="L116" i="4"/>
  <c r="L188" i="4"/>
  <c r="M161" i="4"/>
  <c r="L81" i="4"/>
  <c r="L89" i="4"/>
  <c r="M188" i="4"/>
  <c r="M60" i="4"/>
  <c r="L36" i="4"/>
  <c r="M116" i="4"/>
  <c r="M54" i="4"/>
  <c r="M81" i="4"/>
  <c r="L161" i="4"/>
  <c r="L99" i="4"/>
  <c r="M13" i="4"/>
  <c r="M150" i="4"/>
  <c r="M49" i="4"/>
  <c r="L122" i="4"/>
  <c r="L169" i="4"/>
  <c r="M100" i="4"/>
  <c r="M127" i="4"/>
  <c r="M128" i="4"/>
  <c r="M125" i="4"/>
  <c r="L128" i="4"/>
  <c r="M157" i="4"/>
  <c r="M70" i="4"/>
  <c r="L70" i="4"/>
  <c r="L127" i="4"/>
  <c r="L125" i="4"/>
  <c r="M122" i="4"/>
  <c r="M169" i="4"/>
  <c r="L150" i="4"/>
  <c r="L157" i="4"/>
  <c r="L100" i="4"/>
  <c r="L49" i="4"/>
  <c r="L140" i="4"/>
  <c r="L91" i="4"/>
  <c r="M180" i="4"/>
  <c r="L170" i="4"/>
  <c r="M93" i="4"/>
  <c r="L14" i="4"/>
  <c r="L78" i="4"/>
  <c r="M159" i="4"/>
  <c r="M92" i="4"/>
  <c r="M14" i="4"/>
  <c r="M170" i="4"/>
  <c r="M140" i="4"/>
  <c r="L93" i="4"/>
  <c r="L159" i="4"/>
  <c r="M91" i="4"/>
  <c r="L180" i="4"/>
  <c r="L92" i="4"/>
  <c r="M78" i="4"/>
  <c r="L118" i="4"/>
  <c r="M85" i="4"/>
  <c r="L143" i="4"/>
  <c r="L42" i="4"/>
  <c r="M77" i="4"/>
  <c r="M69" i="4"/>
  <c r="M141" i="4"/>
  <c r="M55" i="4"/>
  <c r="M109" i="4"/>
  <c r="M44" i="4"/>
  <c r="L44" i="4"/>
  <c r="L55" i="4"/>
  <c r="L85" i="4"/>
  <c r="L109" i="4"/>
  <c r="L77" i="4"/>
  <c r="M42" i="4"/>
  <c r="L141" i="4"/>
  <c r="M118" i="4"/>
  <c r="L69" i="4"/>
  <c r="M143" i="4"/>
  <c r="L19" i="4"/>
  <c r="L30" i="4"/>
  <c r="L84" i="4"/>
  <c r="L66" i="4"/>
  <c r="M138" i="4"/>
  <c r="L137" i="4"/>
  <c r="M137" i="4"/>
  <c r="L138" i="4"/>
  <c r="M84" i="4"/>
  <c r="M19" i="4"/>
  <c r="M66" i="4"/>
  <c r="M30" i="4"/>
  <c r="M136" i="4"/>
  <c r="L158" i="4"/>
  <c r="M43" i="4"/>
  <c r="L136" i="4"/>
  <c r="M142" i="4"/>
  <c r="L9" i="4"/>
  <c r="M120" i="4"/>
  <c r="L164" i="4"/>
  <c r="M9" i="4"/>
  <c r="M164" i="4"/>
  <c r="M152" i="4"/>
  <c r="L177" i="4"/>
  <c r="L117" i="4"/>
  <c r="L43" i="4"/>
  <c r="L152" i="4"/>
  <c r="M117" i="4"/>
  <c r="L120" i="4"/>
  <c r="M177" i="4"/>
  <c r="M158" i="4"/>
  <c r="L142" i="4"/>
  <c r="M24" i="4"/>
  <c r="L50" i="4"/>
  <c r="M62" i="4"/>
  <c r="M56" i="4"/>
  <c r="M80" i="4"/>
  <c r="L22" i="4"/>
  <c r="L16" i="4"/>
  <c r="M145" i="4"/>
  <c r="M59" i="4"/>
  <c r="M173" i="4"/>
  <c r="M22" i="4"/>
  <c r="L80" i="4"/>
  <c r="L62" i="4"/>
  <c r="M50" i="4"/>
  <c r="L145" i="4"/>
  <c r="L24" i="4"/>
  <c r="L59" i="4"/>
  <c r="M16" i="4"/>
  <c r="L173" i="4"/>
  <c r="L56" i="4"/>
  <c r="L98" i="4"/>
  <c r="L160" i="4"/>
  <c r="L174" i="4"/>
  <c r="L134" i="4"/>
  <c r="M163" i="4"/>
  <c r="L156" i="4"/>
  <c r="M151" i="4"/>
  <c r="L153" i="4"/>
  <c r="M53" i="4"/>
  <c r="M86" i="4"/>
  <c r="L151" i="4"/>
  <c r="L53" i="4"/>
  <c r="M134" i="4"/>
  <c r="L163" i="4"/>
  <c r="M98" i="4"/>
  <c r="M153" i="4"/>
  <c r="M174" i="4"/>
  <c r="M156" i="4"/>
  <c r="L86" i="4"/>
  <c r="M160" i="4"/>
  <c r="L46" i="4"/>
  <c r="M27" i="4"/>
  <c r="H16" i="3"/>
  <c r="L75" i="4" l="1"/>
  <c r="L191" i="4"/>
  <c r="M192" i="4"/>
  <c r="M191" i="4"/>
  <c r="L192" i="4"/>
  <c r="L186" i="4"/>
  <c r="L10" i="4"/>
  <c r="M135" i="4"/>
  <c r="M101" i="4"/>
  <c r="L181" i="4"/>
  <c r="L94" i="4"/>
  <c r="L110" i="4"/>
  <c r="M147" i="4"/>
  <c r="M106" i="4"/>
  <c r="L114" i="4"/>
  <c r="L135" i="4"/>
  <c r="AM214" i="3"/>
  <c r="A18" i="3"/>
  <c r="M46" i="4"/>
  <c r="L27" i="4"/>
  <c r="A17" i="3" l="1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5" i="3"/>
  <c r="A216" i="3"/>
  <c r="A217" i="3"/>
  <c r="A218" i="3"/>
  <c r="A219" i="3"/>
  <c r="A220" i="3"/>
  <c r="A221" i="3"/>
  <c r="A222" i="3"/>
  <c r="A16" i="3"/>
  <c r="I10" i="3"/>
  <c r="P14" i="3"/>
  <c r="O14" i="3"/>
  <c r="L13" i="3"/>
  <c r="L92" i="3" s="1"/>
  <c r="E12" i="3"/>
  <c r="L214" i="3"/>
  <c r="M214" i="3"/>
  <c r="AL211" i="3"/>
  <c r="M213" i="3"/>
  <c r="AK211" i="3"/>
  <c r="N213" i="3"/>
  <c r="Y212" i="3"/>
  <c r="N212" i="3"/>
  <c r="R213" i="3"/>
  <c r="AA211" i="3"/>
  <c r="R211" i="3"/>
  <c r="AA213" i="3"/>
  <c r="X211" i="3"/>
  <c r="AJ211" i="3"/>
  <c r="AG212" i="3"/>
  <c r="AI211" i="3"/>
  <c r="P213" i="3"/>
  <c r="AE213" i="3"/>
  <c r="AH213" i="3"/>
  <c r="AC213" i="3"/>
  <c r="AF213" i="3"/>
  <c r="Z213" i="3"/>
  <c r="P211" i="3"/>
  <c r="Q211" i="3"/>
  <c r="AD213" i="3"/>
  <c r="X213" i="3"/>
  <c r="AL213" i="3"/>
  <c r="L211" i="3"/>
  <c r="AD211" i="3"/>
  <c r="AJ212" i="3"/>
  <c r="AK213" i="3"/>
  <c r="P212" i="3"/>
  <c r="AG211" i="3"/>
  <c r="Y213" i="3"/>
  <c r="AC211" i="3"/>
  <c r="U213" i="3"/>
  <c r="T213" i="3"/>
  <c r="Q213" i="3"/>
  <c r="T211" i="3"/>
  <c r="AH211" i="3"/>
  <c r="AB212" i="3"/>
  <c r="AK212" i="3"/>
  <c r="O213" i="3"/>
  <c r="O212" i="3"/>
  <c r="AD212" i="3"/>
  <c r="AE212" i="3"/>
  <c r="AL212" i="3"/>
  <c r="AI212" i="3"/>
  <c r="Q212" i="3"/>
  <c r="AI213" i="3"/>
  <c r="Y211" i="3"/>
  <c r="AA212" i="3"/>
  <c r="AG213" i="3"/>
  <c r="AC212" i="3"/>
  <c r="Z211" i="3"/>
  <c r="AE211" i="3"/>
  <c r="AJ213" i="3"/>
  <c r="Z212" i="3"/>
  <c r="U211" i="3"/>
  <c r="R212" i="3"/>
  <c r="T212" i="3"/>
  <c r="M212" i="3"/>
  <c r="AH212" i="3"/>
  <c r="L213" i="3"/>
  <c r="N211" i="3"/>
  <c r="AF211" i="3"/>
  <c r="U212" i="3"/>
  <c r="O211" i="3"/>
  <c r="AF212" i="3"/>
  <c r="AB211" i="3"/>
  <c r="S213" i="3"/>
  <c r="M211" i="3"/>
  <c r="AB213" i="3"/>
  <c r="S212" i="3"/>
  <c r="L212" i="3"/>
  <c r="X212" i="3"/>
  <c r="S211" i="3"/>
  <c r="L138" i="3"/>
  <c r="M98" i="3"/>
  <c r="M194" i="3"/>
  <c r="U18" i="3"/>
  <c r="O18" i="3"/>
  <c r="AI18" i="3"/>
  <c r="AB18" i="3"/>
  <c r="AF18" i="3"/>
  <c r="AD18" i="3"/>
  <c r="AK18" i="3"/>
  <c r="AA18" i="3"/>
  <c r="R18" i="3"/>
  <c r="Y18" i="3"/>
  <c r="AJ18" i="3"/>
  <c r="AC18" i="3"/>
  <c r="AE18" i="3"/>
  <c r="AG18" i="3"/>
  <c r="AL18" i="3"/>
  <c r="S18" i="3"/>
  <c r="Y210" i="3"/>
  <c r="T18" i="3"/>
  <c r="Q18" i="3"/>
  <c r="N18" i="3"/>
  <c r="P18" i="3"/>
  <c r="L16" i="3"/>
  <c r="Z18" i="3"/>
  <c r="X18" i="3"/>
  <c r="AH18" i="3"/>
  <c r="M168" i="3" l="1"/>
  <c r="L110" i="3"/>
  <c r="L184" i="3"/>
  <c r="L157" i="3"/>
  <c r="L137" i="3"/>
  <c r="M117" i="3"/>
  <c r="M101" i="3"/>
  <c r="L19" i="3"/>
  <c r="M159" i="3"/>
  <c r="L98" i="3"/>
  <c r="M47" i="3"/>
  <c r="L168" i="3"/>
  <c r="M102" i="3"/>
  <c r="M143" i="3"/>
  <c r="M160" i="3"/>
  <c r="L174" i="3"/>
  <c r="M204" i="3"/>
  <c r="L183" i="3"/>
  <c r="M140" i="3"/>
  <c r="L38" i="3"/>
  <c r="M210" i="3"/>
  <c r="L103" i="3"/>
  <c r="M190" i="3"/>
  <c r="L126" i="3"/>
  <c r="M87" i="3"/>
  <c r="L99" i="3"/>
  <c r="L56" i="3"/>
  <c r="M122" i="3"/>
  <c r="M93" i="3"/>
  <c r="L81" i="3"/>
  <c r="L77" i="3"/>
  <c r="M64" i="3"/>
  <c r="M170" i="3"/>
  <c r="M180" i="3"/>
  <c r="L30" i="3"/>
  <c r="M58" i="3"/>
  <c r="L59" i="3"/>
  <c r="M67" i="3"/>
  <c r="M174" i="3"/>
  <c r="L27" i="3"/>
  <c r="L195" i="3"/>
  <c r="M179" i="3"/>
  <c r="M114" i="3"/>
  <c r="M138" i="3"/>
  <c r="M198" i="3"/>
  <c r="L17" i="3"/>
  <c r="M20" i="3"/>
  <c r="L70" i="3"/>
  <c r="L190" i="3"/>
  <c r="M38" i="3"/>
  <c r="M155" i="3"/>
  <c r="M86" i="3"/>
  <c r="M110" i="3"/>
  <c r="M27" i="3"/>
  <c r="M100" i="3"/>
  <c r="M46" i="3"/>
  <c r="L24" i="3"/>
  <c r="M60" i="3"/>
  <c r="L208" i="3"/>
  <c r="M19" i="3"/>
  <c r="M115" i="3"/>
  <c r="M103" i="3"/>
  <c r="L191" i="3"/>
  <c r="L162" i="3"/>
  <c r="L36" i="3"/>
  <c r="L134" i="3"/>
  <c r="M83" i="3"/>
  <c r="L86" i="3"/>
  <c r="M59" i="3"/>
  <c r="L135" i="3"/>
  <c r="M176" i="3"/>
  <c r="M139" i="3"/>
  <c r="M144" i="3"/>
  <c r="M71" i="3"/>
  <c r="L71" i="3"/>
  <c r="L52" i="3"/>
  <c r="L43" i="3"/>
  <c r="L148" i="3"/>
  <c r="L74" i="3"/>
  <c r="M40" i="3"/>
  <c r="L171" i="3"/>
  <c r="L42" i="3"/>
  <c r="L91" i="3"/>
  <c r="L26" i="3"/>
  <c r="M152" i="3"/>
  <c r="M16" i="3"/>
  <c r="L64" i="3"/>
  <c r="L23" i="3"/>
  <c r="L20" i="3"/>
  <c r="L180" i="3"/>
  <c r="L170" i="3"/>
  <c r="L115" i="3"/>
  <c r="M36" i="3"/>
  <c r="L66" i="3"/>
  <c r="L194" i="3"/>
  <c r="L154" i="3"/>
  <c r="L94" i="3"/>
  <c r="M158" i="3"/>
  <c r="L176" i="3"/>
  <c r="L67" i="3"/>
  <c r="L142" i="3"/>
  <c r="M167" i="3"/>
  <c r="L106" i="3"/>
  <c r="L204" i="3"/>
  <c r="L192" i="3"/>
  <c r="M88" i="3"/>
  <c r="M184" i="3"/>
  <c r="M90" i="3"/>
  <c r="M156" i="3"/>
  <c r="L60" i="3"/>
  <c r="M91" i="3"/>
  <c r="L18" i="3"/>
  <c r="M132" i="3"/>
  <c r="M123" i="3"/>
  <c r="M63" i="3"/>
  <c r="M31" i="3"/>
  <c r="M68" i="3"/>
  <c r="L188" i="3"/>
  <c r="L68" i="3"/>
  <c r="M39" i="3"/>
  <c r="M195" i="3"/>
  <c r="M43" i="3"/>
  <c r="L146" i="3"/>
  <c r="M130" i="3"/>
  <c r="L143" i="3"/>
  <c r="L88" i="3"/>
  <c r="M147" i="3"/>
  <c r="M120" i="3"/>
  <c r="M172" i="3"/>
  <c r="M21" i="3"/>
  <c r="L147" i="3"/>
  <c r="M183" i="3"/>
  <c r="M78" i="3"/>
  <c r="L150" i="3"/>
  <c r="L163" i="3"/>
  <c r="L104" i="3"/>
  <c r="M56" i="3"/>
  <c r="L53" i="3"/>
  <c r="L182" i="3"/>
  <c r="L44" i="3"/>
  <c r="M199" i="3"/>
  <c r="M42" i="3"/>
  <c r="M171" i="3"/>
  <c r="L199" i="3"/>
  <c r="L202" i="3"/>
  <c r="M136" i="3"/>
  <c r="M96" i="3"/>
  <c r="M112" i="3"/>
  <c r="M54" i="3"/>
  <c r="M119" i="3"/>
  <c r="L119" i="3"/>
  <c r="M201" i="3"/>
  <c r="L206" i="3"/>
  <c r="L132" i="3"/>
  <c r="M124" i="3"/>
  <c r="L118" i="3"/>
  <c r="M111" i="3"/>
  <c r="L131" i="3"/>
  <c r="L185" i="3"/>
  <c r="M181" i="3"/>
  <c r="L153" i="3"/>
  <c r="M41" i="3"/>
  <c r="L210" i="3"/>
  <c r="M191" i="3"/>
  <c r="M151" i="3"/>
  <c r="M70" i="3"/>
  <c r="L151" i="3"/>
  <c r="M30" i="3"/>
  <c r="M66" i="3"/>
  <c r="M76" i="3"/>
  <c r="M97" i="3"/>
  <c r="L159" i="3"/>
  <c r="M134" i="3"/>
  <c r="M22" i="3"/>
  <c r="L175" i="3"/>
  <c r="L155" i="3"/>
  <c r="L83" i="3"/>
  <c r="M135" i="3"/>
  <c r="L102" i="3"/>
  <c r="M126" i="3"/>
  <c r="M94" i="3"/>
  <c r="M95" i="3"/>
  <c r="M187" i="3"/>
  <c r="L95" i="3"/>
  <c r="L187" i="3"/>
  <c r="L167" i="3"/>
  <c r="L144" i="3"/>
  <c r="L145" i="3"/>
  <c r="L186" i="3"/>
  <c r="L116" i="3"/>
  <c r="L51" i="3"/>
  <c r="M178" i="3"/>
  <c r="M106" i="3"/>
  <c r="M35" i="3"/>
  <c r="M52" i="3"/>
  <c r="L48" i="3"/>
  <c r="L35" i="3"/>
  <c r="L31" i="3"/>
  <c r="L75" i="3"/>
  <c r="M99" i="3"/>
  <c r="L39" i="3"/>
  <c r="M81" i="3"/>
  <c r="L46" i="3"/>
  <c r="L130" i="3"/>
  <c r="L128" i="3"/>
  <c r="L21" i="3"/>
  <c r="L196" i="3"/>
  <c r="M148" i="3"/>
  <c r="L120" i="3"/>
  <c r="M150" i="3"/>
  <c r="M24" i="3"/>
  <c r="M74" i="3"/>
  <c r="L90" i="3"/>
  <c r="M166" i="3"/>
  <c r="M44" i="3"/>
  <c r="M182" i="3"/>
  <c r="L156" i="3"/>
  <c r="L107" i="3"/>
  <c r="L84" i="3"/>
  <c r="L32" i="3"/>
  <c r="M84" i="3"/>
  <c r="M85" i="3"/>
  <c r="L34" i="3"/>
  <c r="M80" i="3"/>
  <c r="M200" i="3"/>
  <c r="M34" i="3"/>
  <c r="L80" i="3"/>
  <c r="L165" i="3"/>
  <c r="M18" i="3"/>
  <c r="L54" i="3"/>
  <c r="L140" i="3"/>
  <c r="L124" i="3"/>
  <c r="M206" i="3"/>
  <c r="M121" i="3"/>
  <c r="M131" i="3"/>
  <c r="L111" i="3"/>
  <c r="L152" i="3"/>
  <c r="L76" i="3"/>
  <c r="L79" i="3"/>
  <c r="M162" i="3"/>
  <c r="M79" i="3"/>
  <c r="M175" i="3"/>
  <c r="L58" i="3"/>
  <c r="L22" i="3"/>
  <c r="M153" i="3"/>
  <c r="M154" i="3"/>
  <c r="L33" i="3"/>
  <c r="L158" i="3"/>
  <c r="L72" i="3"/>
  <c r="M72" i="3"/>
  <c r="L160" i="3"/>
  <c r="M108" i="3"/>
  <c r="M28" i="3"/>
  <c r="L28" i="3"/>
  <c r="L108" i="3"/>
  <c r="M186" i="3"/>
  <c r="L87" i="3"/>
  <c r="M142" i="3"/>
  <c r="L139" i="3"/>
  <c r="L178" i="3"/>
  <c r="M77" i="3"/>
  <c r="M116" i="3"/>
  <c r="M51" i="3"/>
  <c r="M188" i="3"/>
  <c r="M48" i="3"/>
  <c r="L100" i="3"/>
  <c r="M192" i="3"/>
  <c r="M146" i="3"/>
  <c r="M50" i="3"/>
  <c r="M75" i="3"/>
  <c r="L50" i="3"/>
  <c r="M62" i="3"/>
  <c r="M128" i="3"/>
  <c r="L62" i="3"/>
  <c r="L179" i="3"/>
  <c r="M55" i="3"/>
  <c r="L172" i="3"/>
  <c r="L55" i="3"/>
  <c r="M196" i="3"/>
  <c r="L207" i="3"/>
  <c r="M163" i="3"/>
  <c r="M207" i="3"/>
  <c r="L78" i="3"/>
  <c r="L114" i="3"/>
  <c r="M107" i="3"/>
  <c r="L166" i="3"/>
  <c r="M104" i="3"/>
  <c r="L40" i="3"/>
  <c r="L122" i="3"/>
  <c r="M82" i="3"/>
  <c r="L82" i="3"/>
  <c r="M32" i="3"/>
  <c r="L112" i="3"/>
  <c r="L96" i="3"/>
  <c r="M202" i="3"/>
  <c r="L200" i="3"/>
  <c r="L136" i="3"/>
  <c r="L47" i="3"/>
  <c r="M185" i="3"/>
  <c r="M208" i="3"/>
  <c r="L63" i="3"/>
  <c r="M26" i="3"/>
  <c r="L113" i="3"/>
  <c r="L164" i="3"/>
  <c r="L123" i="3"/>
  <c r="L127" i="3"/>
  <c r="M61" i="3"/>
  <c r="M53" i="3"/>
  <c r="M92" i="3"/>
  <c r="L203" i="3"/>
  <c r="AI209" i="3"/>
  <c r="Z209" i="3"/>
  <c r="O209" i="3"/>
  <c r="AG209" i="3"/>
  <c r="AJ209" i="3"/>
  <c r="R209" i="3"/>
  <c r="AB209" i="3"/>
  <c r="S209" i="3"/>
  <c r="U209" i="3"/>
  <c r="AL209" i="3"/>
  <c r="Q209" i="3"/>
  <c r="N209" i="3"/>
  <c r="AF209" i="3"/>
  <c r="T209" i="3"/>
  <c r="AH209" i="3"/>
  <c r="X209" i="3"/>
  <c r="Y209" i="3"/>
  <c r="AE209" i="3"/>
  <c r="AK209" i="3"/>
  <c r="AC209" i="3"/>
  <c r="P209" i="3"/>
  <c r="AA209" i="3"/>
  <c r="AD209" i="3"/>
  <c r="AK205" i="3"/>
  <c r="Y205" i="3"/>
  <c r="T205" i="3"/>
  <c r="AC205" i="3"/>
  <c r="S205" i="3"/>
  <c r="AL205" i="3"/>
  <c r="AB205" i="3"/>
  <c r="AH205" i="3"/>
  <c r="AE205" i="3"/>
  <c r="O205" i="3"/>
  <c r="N205" i="3"/>
  <c r="P205" i="3"/>
  <c r="Z205" i="3"/>
  <c r="AG205" i="3"/>
  <c r="R205" i="3"/>
  <c r="AF205" i="3"/>
  <c r="Q205" i="3"/>
  <c r="AI205" i="3"/>
  <c r="AJ205" i="3"/>
  <c r="AD205" i="3"/>
  <c r="X205" i="3"/>
  <c r="U205" i="3"/>
  <c r="AA205" i="3"/>
  <c r="Z201" i="3"/>
  <c r="AC201" i="3"/>
  <c r="P201" i="3"/>
  <c r="O201" i="3"/>
  <c r="AG201" i="3"/>
  <c r="AE201" i="3"/>
  <c r="AF201" i="3"/>
  <c r="S201" i="3"/>
  <c r="N201" i="3"/>
  <c r="R201" i="3"/>
  <c r="U201" i="3"/>
  <c r="AJ201" i="3"/>
  <c r="AK201" i="3"/>
  <c r="AI201" i="3"/>
  <c r="AH201" i="3"/>
  <c r="AB201" i="3"/>
  <c r="Q201" i="3"/>
  <c r="AA201" i="3"/>
  <c r="T201" i="3"/>
  <c r="X201" i="3"/>
  <c r="AL201" i="3"/>
  <c r="Y201" i="3"/>
  <c r="AD201" i="3"/>
  <c r="S197" i="3"/>
  <c r="X197" i="3"/>
  <c r="AH197" i="3"/>
  <c r="P197" i="3"/>
  <c r="AI197" i="3"/>
  <c r="AJ197" i="3"/>
  <c r="O197" i="3"/>
  <c r="Y197" i="3"/>
  <c r="AF197" i="3"/>
  <c r="AC197" i="3"/>
  <c r="AE197" i="3"/>
  <c r="Z197" i="3"/>
  <c r="AK197" i="3"/>
  <c r="U197" i="3"/>
  <c r="AG197" i="3"/>
  <c r="R197" i="3"/>
  <c r="N197" i="3"/>
  <c r="Q197" i="3"/>
  <c r="AB197" i="3"/>
  <c r="T197" i="3"/>
  <c r="AL197" i="3"/>
  <c r="AD197" i="3"/>
  <c r="AA197" i="3"/>
  <c r="S193" i="3"/>
  <c r="T193" i="3"/>
  <c r="U193" i="3"/>
  <c r="AJ193" i="3"/>
  <c r="AK193" i="3"/>
  <c r="X193" i="3"/>
  <c r="AB193" i="3"/>
  <c r="AF193" i="3"/>
  <c r="Q193" i="3"/>
  <c r="P193" i="3"/>
  <c r="AI193" i="3"/>
  <c r="R193" i="3"/>
  <c r="AH193" i="3"/>
  <c r="Z193" i="3"/>
  <c r="AE193" i="3"/>
  <c r="AL193" i="3"/>
  <c r="Y193" i="3"/>
  <c r="O193" i="3"/>
  <c r="N193" i="3"/>
  <c r="AC193" i="3"/>
  <c r="AG193" i="3"/>
  <c r="AD193" i="3"/>
  <c r="AA193" i="3"/>
  <c r="AI189" i="3"/>
  <c r="Y189" i="3"/>
  <c r="T189" i="3"/>
  <c r="P189" i="3"/>
  <c r="O189" i="3"/>
  <c r="AE189" i="3"/>
  <c r="AG189" i="3"/>
  <c r="Q189" i="3"/>
  <c r="AB189" i="3"/>
  <c r="AC189" i="3"/>
  <c r="Z189" i="3"/>
  <c r="AF189" i="3"/>
  <c r="S189" i="3"/>
  <c r="R189" i="3"/>
  <c r="U189" i="3"/>
  <c r="AL189" i="3"/>
  <c r="N189" i="3"/>
  <c r="X189" i="3"/>
  <c r="AJ189" i="3"/>
  <c r="AH189" i="3"/>
  <c r="AK189" i="3"/>
  <c r="AD189" i="3"/>
  <c r="AA189" i="3"/>
  <c r="AG177" i="3"/>
  <c r="AH177" i="3"/>
  <c r="N177" i="3"/>
  <c r="Q177" i="3"/>
  <c r="AI177" i="3"/>
  <c r="Z177" i="3"/>
  <c r="AE177" i="3"/>
  <c r="P177" i="3"/>
  <c r="AL177" i="3"/>
  <c r="O177" i="3"/>
  <c r="AB177" i="3"/>
  <c r="T177" i="3"/>
  <c r="Y177" i="3"/>
  <c r="X177" i="3"/>
  <c r="R177" i="3"/>
  <c r="U177" i="3"/>
  <c r="AC177" i="3"/>
  <c r="S177" i="3"/>
  <c r="AK177" i="3"/>
  <c r="AJ177" i="3"/>
  <c r="AF177" i="3"/>
  <c r="AD177" i="3"/>
  <c r="AA177" i="3"/>
  <c r="AI173" i="3"/>
  <c r="T173" i="3"/>
  <c r="AB173" i="3"/>
  <c r="Q173" i="3"/>
  <c r="AC173" i="3"/>
  <c r="AL173" i="3"/>
  <c r="S173" i="3"/>
  <c r="AF173" i="3"/>
  <c r="X173" i="3"/>
  <c r="AE173" i="3"/>
  <c r="AG173" i="3"/>
  <c r="O173" i="3"/>
  <c r="N173" i="3"/>
  <c r="AK173" i="3"/>
  <c r="Y173" i="3"/>
  <c r="AH173" i="3"/>
  <c r="P173" i="3"/>
  <c r="Z173" i="3"/>
  <c r="AJ173" i="3"/>
  <c r="U173" i="3"/>
  <c r="R173" i="3"/>
  <c r="AA173" i="3"/>
  <c r="AD173" i="3"/>
  <c r="X169" i="3"/>
  <c r="N169" i="3"/>
  <c r="O169" i="3"/>
  <c r="AF169" i="3"/>
  <c r="AI169" i="3"/>
  <c r="AH169" i="3"/>
  <c r="R169" i="3"/>
  <c r="AK169" i="3"/>
  <c r="Z169" i="3"/>
  <c r="T169" i="3"/>
  <c r="P169" i="3"/>
  <c r="AE169" i="3"/>
  <c r="S169" i="3"/>
  <c r="U169" i="3"/>
  <c r="AB169" i="3"/>
  <c r="AL169" i="3"/>
  <c r="AJ169" i="3"/>
  <c r="Y169" i="3"/>
  <c r="AG169" i="3"/>
  <c r="AC169" i="3"/>
  <c r="Q169" i="3"/>
  <c r="AA169" i="3"/>
  <c r="AD169" i="3"/>
  <c r="X165" i="3"/>
  <c r="AJ165" i="3"/>
  <c r="AE165" i="3"/>
  <c r="R165" i="3"/>
  <c r="AI165" i="3"/>
  <c r="AK165" i="3"/>
  <c r="O165" i="3"/>
  <c r="AF165" i="3"/>
  <c r="Y165" i="3"/>
  <c r="Q165" i="3"/>
  <c r="AB165" i="3"/>
  <c r="AA165" i="3"/>
  <c r="AL165" i="3"/>
  <c r="T165" i="3"/>
  <c r="AC165" i="3"/>
  <c r="N165" i="3"/>
  <c r="AG165" i="3"/>
  <c r="U165" i="3"/>
  <c r="S165" i="3"/>
  <c r="P165" i="3"/>
  <c r="AD165" i="3"/>
  <c r="Z165" i="3"/>
  <c r="AH165" i="3"/>
  <c r="O161" i="3"/>
  <c r="AI161" i="3"/>
  <c r="U161" i="3"/>
  <c r="N161" i="3"/>
  <c r="P161" i="3"/>
  <c r="Z161" i="3"/>
  <c r="Y161" i="3"/>
  <c r="AH161" i="3"/>
  <c r="AK161" i="3"/>
  <c r="T161" i="3"/>
  <c r="AF161" i="3"/>
  <c r="X161" i="3"/>
  <c r="Q161" i="3"/>
  <c r="AE161" i="3"/>
  <c r="R161" i="3"/>
  <c r="AG161" i="3"/>
  <c r="S161" i="3"/>
  <c r="AC161" i="3"/>
  <c r="AB161" i="3"/>
  <c r="AJ161" i="3"/>
  <c r="AL161" i="3"/>
  <c r="AA161" i="3"/>
  <c r="AD161" i="3"/>
  <c r="AI149" i="3"/>
  <c r="O149" i="3"/>
  <c r="Y149" i="3"/>
  <c r="N149" i="3"/>
  <c r="AL149" i="3"/>
  <c r="AF149" i="3"/>
  <c r="Z149" i="3"/>
  <c r="T149" i="3"/>
  <c r="P149" i="3"/>
  <c r="Q149" i="3"/>
  <c r="AK149" i="3"/>
  <c r="AC149" i="3"/>
  <c r="S149" i="3"/>
  <c r="U149" i="3"/>
  <c r="X149" i="3"/>
  <c r="AJ149" i="3"/>
  <c r="AE149" i="3"/>
  <c r="AG149" i="3"/>
  <c r="AB149" i="3"/>
  <c r="AH149" i="3"/>
  <c r="AD149" i="3"/>
  <c r="R149" i="3"/>
  <c r="AA149" i="3"/>
  <c r="N145" i="3"/>
  <c r="AI145" i="3"/>
  <c r="Z145" i="3"/>
  <c r="S145" i="3"/>
  <c r="AL145" i="3"/>
  <c r="X145" i="3"/>
  <c r="AF145" i="3"/>
  <c r="U145" i="3"/>
  <c r="AJ145" i="3"/>
  <c r="T145" i="3"/>
  <c r="P145" i="3"/>
  <c r="AH145" i="3"/>
  <c r="O145" i="3"/>
  <c r="Q145" i="3"/>
  <c r="Y145" i="3"/>
  <c r="AE145" i="3"/>
  <c r="AK145" i="3"/>
  <c r="AG145" i="3"/>
  <c r="R145" i="3"/>
  <c r="AC145" i="3"/>
  <c r="AD145" i="3"/>
  <c r="AA145" i="3"/>
  <c r="AB145" i="3"/>
  <c r="Z141" i="3"/>
  <c r="AF141" i="3"/>
  <c r="AH141" i="3"/>
  <c r="R141" i="3"/>
  <c r="AJ141" i="3"/>
  <c r="U141" i="3"/>
  <c r="X141" i="3"/>
  <c r="S141" i="3"/>
  <c r="AE141" i="3"/>
  <c r="AL141" i="3"/>
  <c r="T141" i="3"/>
  <c r="AB141" i="3"/>
  <c r="Q141" i="3"/>
  <c r="Y141" i="3"/>
  <c r="P141" i="3"/>
  <c r="AG141" i="3"/>
  <c r="AI141" i="3"/>
  <c r="AA141" i="3"/>
  <c r="AK141" i="3"/>
  <c r="AC141" i="3"/>
  <c r="AD141" i="3"/>
  <c r="N141" i="3"/>
  <c r="O141" i="3"/>
  <c r="U137" i="3"/>
  <c r="S137" i="3"/>
  <c r="AL137" i="3"/>
  <c r="AI137" i="3"/>
  <c r="Q137" i="3"/>
  <c r="T137" i="3"/>
  <c r="AK137" i="3"/>
  <c r="P137" i="3"/>
  <c r="AD137" i="3"/>
  <c r="Z137" i="3"/>
  <c r="O137" i="3"/>
  <c r="Y137" i="3"/>
  <c r="AA137" i="3"/>
  <c r="AF137" i="3"/>
  <c r="AH137" i="3"/>
  <c r="AC137" i="3"/>
  <c r="X137" i="3"/>
  <c r="AE137" i="3"/>
  <c r="R137" i="3"/>
  <c r="AG137" i="3"/>
  <c r="N137" i="3"/>
  <c r="AB137" i="3"/>
  <c r="AJ137" i="3"/>
  <c r="AB133" i="3"/>
  <c r="AI133" i="3"/>
  <c r="AC133" i="3"/>
  <c r="AL133" i="3"/>
  <c r="AJ133" i="3"/>
  <c r="AG133" i="3"/>
  <c r="Q133" i="3"/>
  <c r="N133" i="3"/>
  <c r="AE133" i="3"/>
  <c r="R133" i="3"/>
  <c r="AK133" i="3"/>
  <c r="U133" i="3"/>
  <c r="X133" i="3"/>
  <c r="O133" i="3"/>
  <c r="T133" i="3"/>
  <c r="Z133" i="3"/>
  <c r="AF133" i="3"/>
  <c r="P133" i="3"/>
  <c r="AH133" i="3"/>
  <c r="S133" i="3"/>
  <c r="AD133" i="3"/>
  <c r="AA133" i="3"/>
  <c r="Y133" i="3"/>
  <c r="AG129" i="3"/>
  <c r="P129" i="3"/>
  <c r="AC129" i="3"/>
  <c r="Q129" i="3"/>
  <c r="AB129" i="3"/>
  <c r="AL129" i="3"/>
  <c r="O129" i="3"/>
  <c r="AJ129" i="3"/>
  <c r="Z129" i="3"/>
  <c r="AI129" i="3"/>
  <c r="AH129" i="3"/>
  <c r="S129" i="3"/>
  <c r="X129" i="3"/>
  <c r="AF129" i="3"/>
  <c r="Y129" i="3"/>
  <c r="N129" i="3"/>
  <c r="AD129" i="3"/>
  <c r="R129" i="3"/>
  <c r="T129" i="3"/>
  <c r="U129" i="3"/>
  <c r="AA129" i="3"/>
  <c r="AK129" i="3"/>
  <c r="AE129" i="3"/>
  <c r="AI125" i="3"/>
  <c r="AG125" i="3"/>
  <c r="O125" i="3"/>
  <c r="AJ125" i="3"/>
  <c r="AB125" i="3"/>
  <c r="R125" i="3"/>
  <c r="P125" i="3"/>
  <c r="N125" i="3"/>
  <c r="Y125" i="3"/>
  <c r="S125" i="3"/>
  <c r="T125" i="3"/>
  <c r="Q125" i="3"/>
  <c r="AL125" i="3"/>
  <c r="AF125" i="3"/>
  <c r="AK125" i="3"/>
  <c r="X125" i="3"/>
  <c r="AE125" i="3"/>
  <c r="U125" i="3"/>
  <c r="AH125" i="3"/>
  <c r="Z125" i="3"/>
  <c r="AC125" i="3"/>
  <c r="AA125" i="3"/>
  <c r="AD125" i="3"/>
  <c r="X121" i="3"/>
  <c r="AI121" i="3"/>
  <c r="AB121" i="3"/>
  <c r="AK121" i="3"/>
  <c r="S121" i="3"/>
  <c r="Y121" i="3"/>
  <c r="AJ121" i="3"/>
  <c r="R121" i="3"/>
  <c r="P121" i="3"/>
  <c r="AC121" i="3"/>
  <c r="U121" i="3"/>
  <c r="AG121" i="3"/>
  <c r="T121" i="3"/>
  <c r="AH121" i="3"/>
  <c r="AF121" i="3"/>
  <c r="Z121" i="3"/>
  <c r="AE121" i="3"/>
  <c r="AL121" i="3"/>
  <c r="O121" i="3"/>
  <c r="N121" i="3"/>
  <c r="AA121" i="3"/>
  <c r="Q121" i="3"/>
  <c r="AD121" i="3"/>
  <c r="AG117" i="3"/>
  <c r="AB117" i="3"/>
  <c r="AK117" i="3"/>
  <c r="AF117" i="3"/>
  <c r="Z117" i="3"/>
  <c r="AL117" i="3"/>
  <c r="Q117" i="3"/>
  <c r="S117" i="3"/>
  <c r="AI117" i="3"/>
  <c r="R117" i="3"/>
  <c r="P117" i="3"/>
  <c r="AE117" i="3"/>
  <c r="T117" i="3"/>
  <c r="Y117" i="3"/>
  <c r="X117" i="3"/>
  <c r="AH117" i="3"/>
  <c r="AC117" i="3"/>
  <c r="O117" i="3"/>
  <c r="N117" i="3"/>
  <c r="AD117" i="3"/>
  <c r="U117" i="3"/>
  <c r="AA117" i="3"/>
  <c r="AJ117" i="3"/>
  <c r="R113" i="3"/>
  <c r="AE113" i="3"/>
  <c r="U113" i="3"/>
  <c r="AC113" i="3"/>
  <c r="N113" i="3"/>
  <c r="T113" i="3"/>
  <c r="S113" i="3"/>
  <c r="AF113" i="3"/>
  <c r="O113" i="3"/>
  <c r="Q113" i="3"/>
  <c r="AD113" i="3"/>
  <c r="AA113" i="3"/>
  <c r="Z113" i="3"/>
  <c r="AK113" i="3"/>
  <c r="AB113" i="3"/>
  <c r="AH113" i="3"/>
  <c r="X113" i="3"/>
  <c r="AJ113" i="3"/>
  <c r="AG113" i="3"/>
  <c r="P113" i="3"/>
  <c r="AL113" i="3"/>
  <c r="Y113" i="3"/>
  <c r="AI113" i="3"/>
  <c r="AI109" i="3"/>
  <c r="AL109" i="3"/>
  <c r="AH109" i="3"/>
  <c r="T109" i="3"/>
  <c r="AC109" i="3"/>
  <c r="AB109" i="3"/>
  <c r="AG109" i="3"/>
  <c r="AE109" i="3"/>
  <c r="P109" i="3"/>
  <c r="O109" i="3"/>
  <c r="R109" i="3"/>
  <c r="U109" i="3"/>
  <c r="Y109" i="3"/>
  <c r="Q109" i="3"/>
  <c r="AJ109" i="3"/>
  <c r="X109" i="3"/>
  <c r="AK109" i="3"/>
  <c r="N109" i="3"/>
  <c r="S109" i="3"/>
  <c r="Z109" i="3"/>
  <c r="AF109" i="3"/>
  <c r="AA109" i="3"/>
  <c r="AD109" i="3"/>
  <c r="Z105" i="3"/>
  <c r="Q105" i="3"/>
  <c r="AK105" i="3"/>
  <c r="AL105" i="3"/>
  <c r="AE105" i="3"/>
  <c r="R105" i="3"/>
  <c r="O105" i="3"/>
  <c r="Y105" i="3"/>
  <c r="T105" i="3"/>
  <c r="AG105" i="3"/>
  <c r="AB105" i="3"/>
  <c r="AJ105" i="3"/>
  <c r="U105" i="3"/>
  <c r="N105" i="3"/>
  <c r="AI105" i="3"/>
  <c r="P105" i="3"/>
  <c r="S105" i="3"/>
  <c r="X105" i="3"/>
  <c r="AF105" i="3"/>
  <c r="AH105" i="3"/>
  <c r="AC105" i="3"/>
  <c r="AD105" i="3"/>
  <c r="AA105" i="3"/>
  <c r="AL101" i="3"/>
  <c r="O101" i="3"/>
  <c r="Y101" i="3"/>
  <c r="AE101" i="3"/>
  <c r="AH101" i="3"/>
  <c r="Z101" i="3"/>
  <c r="S101" i="3"/>
  <c r="T101" i="3"/>
  <c r="AF101" i="3"/>
  <c r="AI101" i="3"/>
  <c r="Q101" i="3"/>
  <c r="AK101" i="3"/>
  <c r="AC101" i="3"/>
  <c r="N101" i="3"/>
  <c r="AG101" i="3"/>
  <c r="P101" i="3"/>
  <c r="AJ101" i="3"/>
  <c r="AB101" i="3"/>
  <c r="R101" i="3"/>
  <c r="U101" i="3"/>
  <c r="X101" i="3"/>
  <c r="AA101" i="3"/>
  <c r="AD101" i="3"/>
  <c r="AF97" i="3"/>
  <c r="Q97" i="3"/>
  <c r="T97" i="3"/>
  <c r="AE97" i="3"/>
  <c r="AK97" i="3"/>
  <c r="R97" i="3"/>
  <c r="AJ97" i="3"/>
  <c r="AH97" i="3"/>
  <c r="S97" i="3"/>
  <c r="X97" i="3"/>
  <c r="Y97" i="3"/>
  <c r="U97" i="3"/>
  <c r="Z97" i="3"/>
  <c r="AL97" i="3"/>
  <c r="AB97" i="3"/>
  <c r="N97" i="3"/>
  <c r="AC97" i="3"/>
  <c r="AA97" i="3"/>
  <c r="AD97" i="3"/>
  <c r="P97" i="3"/>
  <c r="O97" i="3"/>
  <c r="AG97" i="3"/>
  <c r="AI97" i="3"/>
  <c r="AH93" i="3"/>
  <c r="X93" i="3"/>
  <c r="AJ93" i="3"/>
  <c r="AG93" i="3"/>
  <c r="S93" i="3"/>
  <c r="Q93" i="3"/>
  <c r="P93" i="3"/>
  <c r="AK93" i="3"/>
  <c r="AL93" i="3"/>
  <c r="T93" i="3"/>
  <c r="AE93" i="3"/>
  <c r="N93" i="3"/>
  <c r="Z93" i="3"/>
  <c r="U93" i="3"/>
  <c r="AC93" i="3"/>
  <c r="AI93" i="3"/>
  <c r="AB93" i="3"/>
  <c r="R93" i="3"/>
  <c r="Y93" i="3"/>
  <c r="O93" i="3"/>
  <c r="AF93" i="3"/>
  <c r="AD93" i="3"/>
  <c r="AA93" i="3"/>
  <c r="P89" i="3"/>
  <c r="Z89" i="3"/>
  <c r="AI89" i="3"/>
  <c r="X89" i="3"/>
  <c r="S89" i="3"/>
  <c r="AC89" i="3"/>
  <c r="Q89" i="3"/>
  <c r="N89" i="3"/>
  <c r="AJ89" i="3"/>
  <c r="T89" i="3"/>
  <c r="U89" i="3"/>
  <c r="R89" i="3"/>
  <c r="O89" i="3"/>
  <c r="AL89" i="3"/>
  <c r="Y89" i="3"/>
  <c r="AK89" i="3"/>
  <c r="AF89" i="3"/>
  <c r="AD89" i="3"/>
  <c r="AA89" i="3"/>
  <c r="AE89" i="3"/>
  <c r="AG89" i="3"/>
  <c r="AB89" i="3"/>
  <c r="AH89" i="3"/>
  <c r="R85" i="3"/>
  <c r="X85" i="3"/>
  <c r="Z85" i="3"/>
  <c r="T85" i="3"/>
  <c r="AG85" i="3"/>
  <c r="AE85" i="3"/>
  <c r="P85" i="3"/>
  <c r="O85" i="3"/>
  <c r="AF85" i="3"/>
  <c r="U85" i="3"/>
  <c r="N85" i="3"/>
  <c r="S85" i="3"/>
  <c r="Y85" i="3"/>
  <c r="AI85" i="3"/>
  <c r="AB85" i="3"/>
  <c r="Q85" i="3"/>
  <c r="AC85" i="3"/>
  <c r="AH85" i="3"/>
  <c r="AK85" i="3"/>
  <c r="AL85" i="3"/>
  <c r="AA85" i="3"/>
  <c r="AJ85" i="3"/>
  <c r="AD85" i="3"/>
  <c r="Y81" i="3"/>
  <c r="AJ81" i="3"/>
  <c r="AG81" i="3"/>
  <c r="AI81" i="3"/>
  <c r="AC81" i="3"/>
  <c r="Z81" i="3"/>
  <c r="U81" i="3"/>
  <c r="Q81" i="3"/>
  <c r="AK81" i="3"/>
  <c r="S81" i="3"/>
  <c r="AL81" i="3"/>
  <c r="R81" i="3"/>
  <c r="AB81" i="3"/>
  <c r="T81" i="3"/>
  <c r="AF81" i="3"/>
  <c r="AH81" i="3"/>
  <c r="N81" i="3"/>
  <c r="P81" i="3"/>
  <c r="X81" i="3"/>
  <c r="O81" i="3"/>
  <c r="AE81" i="3"/>
  <c r="AD81" i="3"/>
  <c r="AA81" i="3"/>
  <c r="AE77" i="3"/>
  <c r="AF77" i="3"/>
  <c r="X77" i="3"/>
  <c r="O77" i="3"/>
  <c r="T77" i="3"/>
  <c r="P77" i="3"/>
  <c r="U77" i="3"/>
  <c r="R77" i="3"/>
  <c r="Q77" i="3"/>
  <c r="Y77" i="3"/>
  <c r="N77" i="3"/>
  <c r="AG77" i="3"/>
  <c r="AC77" i="3"/>
  <c r="AJ77" i="3"/>
  <c r="AL77" i="3"/>
  <c r="AH77" i="3"/>
  <c r="AB77" i="3"/>
  <c r="S77" i="3"/>
  <c r="AI77" i="3"/>
  <c r="AK77" i="3"/>
  <c r="Z77" i="3"/>
  <c r="AD77" i="3"/>
  <c r="AA77" i="3"/>
  <c r="AE73" i="3"/>
  <c r="T73" i="3"/>
  <c r="S73" i="3"/>
  <c r="AB73" i="3"/>
  <c r="U73" i="3"/>
  <c r="N73" i="3"/>
  <c r="Y73" i="3"/>
  <c r="R73" i="3"/>
  <c r="AL73" i="3"/>
  <c r="X73" i="3"/>
  <c r="AG73" i="3"/>
  <c r="Q73" i="3"/>
  <c r="P73" i="3"/>
  <c r="AC73" i="3"/>
  <c r="AI73" i="3"/>
  <c r="AK73" i="3"/>
  <c r="Z73" i="3"/>
  <c r="AH73" i="3"/>
  <c r="O73" i="3"/>
  <c r="AF73" i="3"/>
  <c r="AJ73" i="3"/>
  <c r="AA73" i="3"/>
  <c r="AD73" i="3"/>
  <c r="AB69" i="3"/>
  <c r="AH69" i="3"/>
  <c r="AF69" i="3"/>
  <c r="AC69" i="3"/>
  <c r="AE69" i="3"/>
  <c r="P69" i="3"/>
  <c r="AG69" i="3"/>
  <c r="T69" i="3"/>
  <c r="S69" i="3"/>
  <c r="Q69" i="3"/>
  <c r="U69" i="3"/>
  <c r="AI69" i="3"/>
  <c r="AJ69" i="3"/>
  <c r="X69" i="3"/>
  <c r="N69" i="3"/>
  <c r="R69" i="3"/>
  <c r="O69" i="3"/>
  <c r="Z69" i="3"/>
  <c r="AK69" i="3"/>
  <c r="Y69" i="3"/>
  <c r="AA69" i="3"/>
  <c r="AD69" i="3"/>
  <c r="AL69" i="3"/>
  <c r="AF65" i="3"/>
  <c r="AL65" i="3"/>
  <c r="AG65" i="3"/>
  <c r="Y65" i="3"/>
  <c r="AI65" i="3"/>
  <c r="AE65" i="3"/>
  <c r="AC65" i="3"/>
  <c r="S65" i="3"/>
  <c r="Z65" i="3"/>
  <c r="AB65" i="3"/>
  <c r="Q65" i="3"/>
  <c r="N65" i="3"/>
  <c r="X65" i="3"/>
  <c r="AK65" i="3"/>
  <c r="AH65" i="3"/>
  <c r="AA65" i="3"/>
  <c r="O65" i="3"/>
  <c r="P65" i="3"/>
  <c r="AD65" i="3"/>
  <c r="T65" i="3"/>
  <c r="U65" i="3"/>
  <c r="AJ65" i="3"/>
  <c r="R65" i="3"/>
  <c r="AB57" i="3"/>
  <c r="AF57" i="3"/>
  <c r="U57" i="3"/>
  <c r="AK57" i="3"/>
  <c r="P57" i="3"/>
  <c r="AJ57" i="3"/>
  <c r="Y57" i="3"/>
  <c r="R57" i="3"/>
  <c r="AE57" i="3"/>
  <c r="X57" i="3"/>
  <c r="N57" i="3"/>
  <c r="AI57" i="3"/>
  <c r="AD57" i="3"/>
  <c r="AC57" i="3"/>
  <c r="AG57" i="3"/>
  <c r="O57" i="3"/>
  <c r="AL57" i="3"/>
  <c r="T57" i="3"/>
  <c r="AH57" i="3"/>
  <c r="Q57" i="3"/>
  <c r="Z57" i="3"/>
  <c r="AA57" i="3"/>
  <c r="S57" i="3"/>
  <c r="R49" i="3"/>
  <c r="AC49" i="3"/>
  <c r="U49" i="3"/>
  <c r="AI49" i="3"/>
  <c r="X49" i="3"/>
  <c r="S49" i="3"/>
  <c r="Q49" i="3"/>
  <c r="AD49" i="3"/>
  <c r="AA49" i="3"/>
  <c r="AJ49" i="3"/>
  <c r="AH49" i="3"/>
  <c r="Z49" i="3"/>
  <c r="AK49" i="3"/>
  <c r="AE49" i="3"/>
  <c r="T49" i="3"/>
  <c r="O49" i="3"/>
  <c r="AG49" i="3"/>
  <c r="AF49" i="3"/>
  <c r="N49" i="3"/>
  <c r="Y49" i="3"/>
  <c r="AL49" i="3"/>
  <c r="P49" i="3"/>
  <c r="AB49" i="3"/>
  <c r="U45" i="3"/>
  <c r="O45" i="3"/>
  <c r="AF45" i="3"/>
  <c r="X45" i="3"/>
  <c r="N45" i="3"/>
  <c r="AB45" i="3"/>
  <c r="Q45" i="3"/>
  <c r="P45" i="3"/>
  <c r="R45" i="3"/>
  <c r="AI45" i="3"/>
  <c r="AJ45" i="3"/>
  <c r="Y45" i="3"/>
  <c r="S45" i="3"/>
  <c r="AE45" i="3"/>
  <c r="AH45" i="3"/>
  <c r="AC45" i="3"/>
  <c r="Z45" i="3"/>
  <c r="AK45" i="3"/>
  <c r="AG45" i="3"/>
  <c r="T45" i="3"/>
  <c r="AD45" i="3"/>
  <c r="AA45" i="3"/>
  <c r="AL45" i="3"/>
  <c r="AG37" i="3"/>
  <c r="AF37" i="3"/>
  <c r="Q37" i="3"/>
  <c r="AL37" i="3"/>
  <c r="U37" i="3"/>
  <c r="Y37" i="3"/>
  <c r="R37" i="3"/>
  <c r="AE37" i="3"/>
  <c r="AJ37" i="3"/>
  <c r="T37" i="3"/>
  <c r="AI37" i="3"/>
  <c r="AH37" i="3"/>
  <c r="P37" i="3"/>
  <c r="AK37" i="3"/>
  <c r="O37" i="3"/>
  <c r="AC37" i="3"/>
  <c r="X37" i="3"/>
  <c r="S37" i="3"/>
  <c r="Z37" i="3"/>
  <c r="N37" i="3"/>
  <c r="AB37" i="3"/>
  <c r="AA37" i="3"/>
  <c r="AD37" i="3"/>
  <c r="T33" i="3"/>
  <c r="AF33" i="3"/>
  <c r="Z33" i="3"/>
  <c r="AK33" i="3"/>
  <c r="X33" i="3"/>
  <c r="Q33" i="3"/>
  <c r="N33" i="3"/>
  <c r="U33" i="3"/>
  <c r="AB33" i="3"/>
  <c r="O33" i="3"/>
  <c r="Y33" i="3"/>
  <c r="P33" i="3"/>
  <c r="AL33" i="3"/>
  <c r="AG33" i="3"/>
  <c r="S33" i="3"/>
  <c r="AE33" i="3"/>
  <c r="R33" i="3"/>
  <c r="AC33" i="3"/>
  <c r="AI33" i="3"/>
  <c r="AJ33" i="3"/>
  <c r="AD33" i="3"/>
  <c r="AH33" i="3"/>
  <c r="AA33" i="3"/>
  <c r="AC29" i="3"/>
  <c r="AB29" i="3"/>
  <c r="Q29" i="3"/>
  <c r="P29" i="3"/>
  <c r="O29" i="3"/>
  <c r="X29" i="3"/>
  <c r="AI29" i="3"/>
  <c r="S29" i="3"/>
  <c r="N29" i="3"/>
  <c r="AF29" i="3"/>
  <c r="AJ29" i="3"/>
  <c r="AH29" i="3"/>
  <c r="AL29" i="3"/>
  <c r="AE29" i="3"/>
  <c r="AK29" i="3"/>
  <c r="AG29" i="3"/>
  <c r="Z29" i="3"/>
  <c r="R29" i="3"/>
  <c r="U29" i="3"/>
  <c r="T29" i="3"/>
  <c r="Y29" i="3"/>
  <c r="AD29" i="3"/>
  <c r="AA29" i="3"/>
  <c r="O25" i="3"/>
  <c r="AC25" i="3"/>
  <c r="R25" i="3"/>
  <c r="AJ25" i="3"/>
  <c r="T25" i="3"/>
  <c r="Q25" i="3"/>
  <c r="AE25" i="3"/>
  <c r="N25" i="3"/>
  <c r="P25" i="3"/>
  <c r="AF25" i="3"/>
  <c r="AI25" i="3"/>
  <c r="AK25" i="3"/>
  <c r="S25" i="3"/>
  <c r="AB25" i="3"/>
  <c r="AL25" i="3"/>
  <c r="Y25" i="3"/>
  <c r="U25" i="3"/>
  <c r="AG25" i="3"/>
  <c r="X25" i="3"/>
  <c r="AH25" i="3"/>
  <c r="Z25" i="3"/>
  <c r="AD25" i="3"/>
  <c r="AA25" i="3"/>
  <c r="Q21" i="3"/>
  <c r="T21" i="3"/>
  <c r="O21" i="3"/>
  <c r="AI21" i="3"/>
  <c r="AH21" i="3"/>
  <c r="U21" i="3"/>
  <c r="R21" i="3"/>
  <c r="AK21" i="3"/>
  <c r="X21" i="3"/>
  <c r="N21" i="3"/>
  <c r="S21" i="3"/>
  <c r="Z21" i="3"/>
  <c r="Y21" i="3"/>
  <c r="AF21" i="3"/>
  <c r="P21" i="3"/>
  <c r="AL21" i="3"/>
  <c r="AB21" i="3"/>
  <c r="AE21" i="3"/>
  <c r="AJ21" i="3"/>
  <c r="AC21" i="3"/>
  <c r="AG21" i="3"/>
  <c r="AA21" i="3"/>
  <c r="AD21" i="3"/>
  <c r="M177" i="3"/>
  <c r="L73" i="3"/>
  <c r="L97" i="3"/>
  <c r="M73" i="3"/>
  <c r="L181" i="3"/>
  <c r="M45" i="3"/>
  <c r="M57" i="3"/>
  <c r="L57" i="3"/>
  <c r="L65" i="3"/>
  <c r="M205" i="3"/>
  <c r="L205" i="3"/>
  <c r="L29" i="3"/>
  <c r="L49" i="3"/>
  <c r="L25" i="3"/>
  <c r="M25" i="3"/>
  <c r="M69" i="3"/>
  <c r="M105" i="3"/>
  <c r="L105" i="3"/>
  <c r="M141" i="3"/>
  <c r="L121" i="3"/>
  <c r="M113" i="3"/>
  <c r="M89" i="3"/>
  <c r="P208" i="3"/>
  <c r="AF208" i="3"/>
  <c r="AK208" i="3"/>
  <c r="Q208" i="3"/>
  <c r="AE208" i="3"/>
  <c r="Y208" i="3"/>
  <c r="AI208" i="3"/>
  <c r="AL208" i="3"/>
  <c r="R208" i="3"/>
  <c r="AB208" i="3"/>
  <c r="AC208" i="3"/>
  <c r="S208" i="3"/>
  <c r="N208" i="3"/>
  <c r="T208" i="3"/>
  <c r="AG208" i="3"/>
  <c r="X208" i="3"/>
  <c r="Z208" i="3"/>
  <c r="AH208" i="3"/>
  <c r="O208" i="3"/>
  <c r="AJ208" i="3"/>
  <c r="AD208" i="3"/>
  <c r="AA208" i="3"/>
  <c r="U208" i="3"/>
  <c r="AG204" i="3"/>
  <c r="AC204" i="3"/>
  <c r="T204" i="3"/>
  <c r="U204" i="3"/>
  <c r="S204" i="3"/>
  <c r="P204" i="3"/>
  <c r="AF204" i="3"/>
  <c r="AE204" i="3"/>
  <c r="AK204" i="3"/>
  <c r="N204" i="3"/>
  <c r="AB204" i="3"/>
  <c r="Q204" i="3"/>
  <c r="AJ204" i="3"/>
  <c r="Z204" i="3"/>
  <c r="O204" i="3"/>
  <c r="Y204" i="3"/>
  <c r="X204" i="3"/>
  <c r="AD204" i="3"/>
  <c r="AA204" i="3"/>
  <c r="R204" i="3"/>
  <c r="AH204" i="3"/>
  <c r="AI204" i="3"/>
  <c r="AL204" i="3"/>
  <c r="AB200" i="3"/>
  <c r="Q200" i="3"/>
  <c r="U200" i="3"/>
  <c r="O200" i="3"/>
  <c r="AG200" i="3"/>
  <c r="AK200" i="3"/>
  <c r="AH200" i="3"/>
  <c r="AE200" i="3"/>
  <c r="Y200" i="3"/>
  <c r="P200" i="3"/>
  <c r="AF200" i="3"/>
  <c r="X200" i="3"/>
  <c r="T200" i="3"/>
  <c r="Z200" i="3"/>
  <c r="AJ200" i="3"/>
  <c r="AC200" i="3"/>
  <c r="AL200" i="3"/>
  <c r="R200" i="3"/>
  <c r="N200" i="3"/>
  <c r="AI200" i="3"/>
  <c r="S200" i="3"/>
  <c r="AA200" i="3"/>
  <c r="AD200" i="3"/>
  <c r="AB196" i="3"/>
  <c r="Q196" i="3"/>
  <c r="AL196" i="3"/>
  <c r="Y196" i="3"/>
  <c r="P196" i="3"/>
  <c r="R196" i="3"/>
  <c r="Z196" i="3"/>
  <c r="AJ196" i="3"/>
  <c r="O196" i="3"/>
  <c r="S196" i="3"/>
  <c r="AI196" i="3"/>
  <c r="T196" i="3"/>
  <c r="AE196" i="3"/>
  <c r="AC196" i="3"/>
  <c r="N196" i="3"/>
  <c r="AG196" i="3"/>
  <c r="U196" i="3"/>
  <c r="AK196" i="3"/>
  <c r="AA196" i="3"/>
  <c r="X196" i="3"/>
  <c r="AD196" i="3"/>
  <c r="AH196" i="3"/>
  <c r="AF196" i="3"/>
  <c r="Y192" i="3"/>
  <c r="Q192" i="3"/>
  <c r="S192" i="3"/>
  <c r="U192" i="3"/>
  <c r="AI192" i="3"/>
  <c r="O192" i="3"/>
  <c r="AC192" i="3"/>
  <c r="P192" i="3"/>
  <c r="Z192" i="3"/>
  <c r="N192" i="3"/>
  <c r="AF192" i="3"/>
  <c r="AB192" i="3"/>
  <c r="T192" i="3"/>
  <c r="AJ192" i="3"/>
  <c r="R192" i="3"/>
  <c r="AK192" i="3"/>
  <c r="AG192" i="3"/>
  <c r="X192" i="3"/>
  <c r="AH192" i="3"/>
  <c r="AE192" i="3"/>
  <c r="AL192" i="3"/>
  <c r="AA192" i="3"/>
  <c r="AD192" i="3"/>
  <c r="N188" i="3"/>
  <c r="P188" i="3"/>
  <c r="Q188" i="3"/>
  <c r="O188" i="3"/>
  <c r="AE188" i="3"/>
  <c r="R188" i="3"/>
  <c r="X188" i="3"/>
  <c r="AF188" i="3"/>
  <c r="AL188" i="3"/>
  <c r="AJ188" i="3"/>
  <c r="AI188" i="3"/>
  <c r="AB188" i="3"/>
  <c r="S188" i="3"/>
  <c r="AH188" i="3"/>
  <c r="Y188" i="3"/>
  <c r="AG188" i="3"/>
  <c r="U188" i="3"/>
  <c r="T188" i="3"/>
  <c r="AC188" i="3"/>
  <c r="AK188" i="3"/>
  <c r="Z188" i="3"/>
  <c r="AA188" i="3"/>
  <c r="AD188" i="3"/>
  <c r="AK184" i="3"/>
  <c r="Y184" i="3"/>
  <c r="X184" i="3"/>
  <c r="R184" i="3"/>
  <c r="AB184" i="3"/>
  <c r="AC184" i="3"/>
  <c r="AI184" i="3"/>
  <c r="P184" i="3"/>
  <c r="S184" i="3"/>
  <c r="N184" i="3"/>
  <c r="AE184" i="3"/>
  <c r="AF184" i="3"/>
  <c r="AJ184" i="3"/>
  <c r="O184" i="3"/>
  <c r="U184" i="3"/>
  <c r="AH184" i="3"/>
  <c r="AL184" i="3"/>
  <c r="Z184" i="3"/>
  <c r="AG184" i="3"/>
  <c r="T184" i="3"/>
  <c r="Q184" i="3"/>
  <c r="AA184" i="3"/>
  <c r="AD184" i="3"/>
  <c r="Y176" i="3"/>
  <c r="S176" i="3"/>
  <c r="AC176" i="3"/>
  <c r="O176" i="3"/>
  <c r="U176" i="3"/>
  <c r="X176" i="3"/>
  <c r="AK176" i="3"/>
  <c r="Z176" i="3"/>
  <c r="AL176" i="3"/>
  <c r="AJ176" i="3"/>
  <c r="Q176" i="3"/>
  <c r="N176" i="3"/>
  <c r="R176" i="3"/>
  <c r="AB176" i="3"/>
  <c r="AF176" i="3"/>
  <c r="T176" i="3"/>
  <c r="AH176" i="3"/>
  <c r="AE176" i="3"/>
  <c r="P176" i="3"/>
  <c r="AG176" i="3"/>
  <c r="AI176" i="3"/>
  <c r="AA176" i="3"/>
  <c r="AD176" i="3"/>
  <c r="N172" i="3"/>
  <c r="AE172" i="3"/>
  <c r="AI172" i="3"/>
  <c r="Q172" i="3"/>
  <c r="R172" i="3"/>
  <c r="O172" i="3"/>
  <c r="Z172" i="3"/>
  <c r="P172" i="3"/>
  <c r="AH172" i="3"/>
  <c r="AL172" i="3"/>
  <c r="AB172" i="3"/>
  <c r="AG172" i="3"/>
  <c r="T172" i="3"/>
  <c r="AJ172" i="3"/>
  <c r="X172" i="3"/>
  <c r="U172" i="3"/>
  <c r="S172" i="3"/>
  <c r="Y172" i="3"/>
  <c r="AK172" i="3"/>
  <c r="AA172" i="3"/>
  <c r="AD172" i="3"/>
  <c r="AC172" i="3"/>
  <c r="AF172" i="3"/>
  <c r="AJ168" i="3"/>
  <c r="AE168" i="3"/>
  <c r="AK168" i="3"/>
  <c r="X168" i="3"/>
  <c r="Y168" i="3"/>
  <c r="AH168" i="3"/>
  <c r="T168" i="3"/>
  <c r="O168" i="3"/>
  <c r="AF168" i="3"/>
  <c r="AL168" i="3"/>
  <c r="R168" i="3"/>
  <c r="AG168" i="3"/>
  <c r="AI168" i="3"/>
  <c r="AC168" i="3"/>
  <c r="AB168" i="3"/>
  <c r="N168" i="3"/>
  <c r="Q168" i="3"/>
  <c r="AA168" i="3"/>
  <c r="P168" i="3"/>
  <c r="Z168" i="3"/>
  <c r="S168" i="3"/>
  <c r="U168" i="3"/>
  <c r="AD168" i="3"/>
  <c r="AC164" i="3"/>
  <c r="AJ164" i="3"/>
  <c r="U164" i="3"/>
  <c r="AK164" i="3"/>
  <c r="AH164" i="3"/>
  <c r="Q164" i="3"/>
  <c r="X164" i="3"/>
  <c r="AL164" i="3"/>
  <c r="AE164" i="3"/>
  <c r="N164" i="3"/>
  <c r="Y164" i="3"/>
  <c r="AI164" i="3"/>
  <c r="R164" i="3"/>
  <c r="Z164" i="3"/>
  <c r="S164" i="3"/>
  <c r="O164" i="3"/>
  <c r="T164" i="3"/>
  <c r="P164" i="3"/>
  <c r="AB164" i="3"/>
  <c r="AG164" i="3"/>
  <c r="AF164" i="3"/>
  <c r="AA164" i="3"/>
  <c r="AD164" i="3"/>
  <c r="T156" i="3"/>
  <c r="AC156" i="3"/>
  <c r="O156" i="3"/>
  <c r="AE156" i="3"/>
  <c r="AF156" i="3"/>
  <c r="AK156" i="3"/>
  <c r="AH156" i="3"/>
  <c r="N156" i="3"/>
  <c r="AI156" i="3"/>
  <c r="S156" i="3"/>
  <c r="AL156" i="3"/>
  <c r="Q156" i="3"/>
  <c r="X156" i="3"/>
  <c r="P156" i="3"/>
  <c r="AJ156" i="3"/>
  <c r="U156" i="3"/>
  <c r="Z156" i="3"/>
  <c r="Y156" i="3"/>
  <c r="AB156" i="3"/>
  <c r="AG156" i="3"/>
  <c r="R156" i="3"/>
  <c r="AA156" i="3"/>
  <c r="AD156" i="3"/>
  <c r="T152" i="3"/>
  <c r="AB152" i="3"/>
  <c r="Q152" i="3"/>
  <c r="AJ152" i="3"/>
  <c r="P152" i="3"/>
  <c r="AF152" i="3"/>
  <c r="O152" i="3"/>
  <c r="AK152" i="3"/>
  <c r="Y152" i="3"/>
  <c r="R152" i="3"/>
  <c r="AH152" i="3"/>
  <c r="AE152" i="3"/>
  <c r="AG152" i="3"/>
  <c r="N152" i="3"/>
  <c r="AL152" i="3"/>
  <c r="S152" i="3"/>
  <c r="U152" i="3"/>
  <c r="Z152" i="3"/>
  <c r="AI152" i="3"/>
  <c r="X152" i="3"/>
  <c r="AC152" i="3"/>
  <c r="AA152" i="3"/>
  <c r="AD152" i="3"/>
  <c r="AH148" i="3"/>
  <c r="S148" i="3"/>
  <c r="Z148" i="3"/>
  <c r="Y148" i="3"/>
  <c r="T148" i="3"/>
  <c r="U148" i="3"/>
  <c r="R148" i="3"/>
  <c r="AI148" i="3"/>
  <c r="O148" i="3"/>
  <c r="AB148" i="3"/>
  <c r="AE148" i="3"/>
  <c r="AC148" i="3"/>
  <c r="N148" i="3"/>
  <c r="Q148" i="3"/>
  <c r="AK148" i="3"/>
  <c r="AL148" i="3"/>
  <c r="X148" i="3"/>
  <c r="AG148" i="3"/>
  <c r="AF148" i="3"/>
  <c r="AJ148" i="3"/>
  <c r="P148" i="3"/>
  <c r="AA148" i="3"/>
  <c r="AD148" i="3"/>
  <c r="Z144" i="3"/>
  <c r="AE144" i="3"/>
  <c r="O144" i="3"/>
  <c r="AI144" i="3"/>
  <c r="AK144" i="3"/>
  <c r="AC144" i="3"/>
  <c r="S144" i="3"/>
  <c r="X144" i="3"/>
  <c r="AJ144" i="3"/>
  <c r="U144" i="3"/>
  <c r="T144" i="3"/>
  <c r="AH144" i="3"/>
  <c r="AF144" i="3"/>
  <c r="Q144" i="3"/>
  <c r="AB144" i="3"/>
  <c r="AG144" i="3"/>
  <c r="AL144" i="3"/>
  <c r="P144" i="3"/>
  <c r="N144" i="3"/>
  <c r="Y144" i="3"/>
  <c r="R144" i="3"/>
  <c r="AD144" i="3"/>
  <c r="AA144" i="3"/>
  <c r="AI140" i="3"/>
  <c r="Z140" i="3"/>
  <c r="AJ140" i="3"/>
  <c r="T140" i="3"/>
  <c r="N140" i="3"/>
  <c r="AG140" i="3"/>
  <c r="AD140" i="3"/>
  <c r="AE140" i="3"/>
  <c r="P140" i="3"/>
  <c r="O140" i="3"/>
  <c r="AA140" i="3"/>
  <c r="Y140" i="3"/>
  <c r="AH140" i="3"/>
  <c r="AF140" i="3"/>
  <c r="Q140" i="3"/>
  <c r="R140" i="3"/>
  <c r="AK140" i="3"/>
  <c r="AC140" i="3"/>
  <c r="AL140" i="3"/>
  <c r="X140" i="3"/>
  <c r="S140" i="3"/>
  <c r="AB140" i="3"/>
  <c r="U140" i="3"/>
  <c r="T136" i="3"/>
  <c r="AE136" i="3"/>
  <c r="AI136" i="3"/>
  <c r="AB136" i="3"/>
  <c r="U136" i="3"/>
  <c r="AK136" i="3"/>
  <c r="R136" i="3"/>
  <c r="AH136" i="3"/>
  <c r="AL136" i="3"/>
  <c r="X136" i="3"/>
  <c r="P136" i="3"/>
  <c r="AG136" i="3"/>
  <c r="Y136" i="3"/>
  <c r="AJ136" i="3"/>
  <c r="AF136" i="3"/>
  <c r="O136" i="3"/>
  <c r="Z136" i="3"/>
  <c r="AC136" i="3"/>
  <c r="S136" i="3"/>
  <c r="N136" i="3"/>
  <c r="Q136" i="3"/>
  <c r="AA136" i="3"/>
  <c r="AD136" i="3"/>
  <c r="AG132" i="3"/>
  <c r="R132" i="3"/>
  <c r="U132" i="3"/>
  <c r="AL132" i="3"/>
  <c r="AB132" i="3"/>
  <c r="Q132" i="3"/>
  <c r="Z132" i="3"/>
  <c r="AC132" i="3"/>
  <c r="AE132" i="3"/>
  <c r="AH132" i="3"/>
  <c r="P132" i="3"/>
  <c r="AI132" i="3"/>
  <c r="AF132" i="3"/>
  <c r="O132" i="3"/>
  <c r="T132" i="3"/>
  <c r="AK132" i="3"/>
  <c r="X132" i="3"/>
  <c r="N132" i="3"/>
  <c r="Y132" i="3"/>
  <c r="AJ132" i="3"/>
  <c r="AA132" i="3"/>
  <c r="AD132" i="3"/>
  <c r="S132" i="3"/>
  <c r="Z128" i="3"/>
  <c r="AL128" i="3"/>
  <c r="AH128" i="3"/>
  <c r="AJ128" i="3"/>
  <c r="AK128" i="3"/>
  <c r="X128" i="3"/>
  <c r="O128" i="3"/>
  <c r="N128" i="3"/>
  <c r="S128" i="3"/>
  <c r="Y128" i="3"/>
  <c r="U128" i="3"/>
  <c r="AE128" i="3"/>
  <c r="Q128" i="3"/>
  <c r="AC128" i="3"/>
  <c r="AI128" i="3"/>
  <c r="P128" i="3"/>
  <c r="AB128" i="3"/>
  <c r="AF128" i="3"/>
  <c r="AG128" i="3"/>
  <c r="R128" i="3"/>
  <c r="T128" i="3"/>
  <c r="AA128" i="3"/>
  <c r="AD128" i="3"/>
  <c r="U120" i="3"/>
  <c r="AK120" i="3"/>
  <c r="AG120" i="3"/>
  <c r="S120" i="3"/>
  <c r="AF120" i="3"/>
  <c r="Z120" i="3"/>
  <c r="Y120" i="3"/>
  <c r="X120" i="3"/>
  <c r="N120" i="3"/>
  <c r="AL120" i="3"/>
  <c r="T120" i="3"/>
  <c r="Q120" i="3"/>
  <c r="AC120" i="3"/>
  <c r="AJ120" i="3"/>
  <c r="AH120" i="3"/>
  <c r="P120" i="3"/>
  <c r="AB120" i="3"/>
  <c r="AE120" i="3"/>
  <c r="R120" i="3"/>
  <c r="O120" i="3"/>
  <c r="AI120" i="3"/>
  <c r="AA120" i="3"/>
  <c r="AD120" i="3"/>
  <c r="P116" i="3"/>
  <c r="X116" i="3"/>
  <c r="T116" i="3"/>
  <c r="O116" i="3"/>
  <c r="AK116" i="3"/>
  <c r="AF116" i="3"/>
  <c r="AE116" i="3"/>
  <c r="S116" i="3"/>
  <c r="AB116" i="3"/>
  <c r="AL116" i="3"/>
  <c r="R116" i="3"/>
  <c r="Z116" i="3"/>
  <c r="Q116" i="3"/>
  <c r="AG116" i="3"/>
  <c r="AJ116" i="3"/>
  <c r="Y116" i="3"/>
  <c r="AH116" i="3"/>
  <c r="AC116" i="3"/>
  <c r="AA116" i="3"/>
  <c r="N116" i="3"/>
  <c r="AI116" i="3"/>
  <c r="AD116" i="3"/>
  <c r="U116" i="3"/>
  <c r="AC112" i="3"/>
  <c r="AJ112" i="3"/>
  <c r="AL112" i="3"/>
  <c r="P112" i="3"/>
  <c r="AE112" i="3"/>
  <c r="AK112" i="3"/>
  <c r="AA112" i="3"/>
  <c r="AF112" i="3"/>
  <c r="T112" i="3"/>
  <c r="R112" i="3"/>
  <c r="O112" i="3"/>
  <c r="AB112" i="3"/>
  <c r="AH112" i="3"/>
  <c r="X112" i="3"/>
  <c r="AD112" i="3"/>
  <c r="Z112" i="3"/>
  <c r="U112" i="3"/>
  <c r="Q112" i="3"/>
  <c r="S112" i="3"/>
  <c r="N112" i="3"/>
  <c r="Y112" i="3"/>
  <c r="AG112" i="3"/>
  <c r="AI112" i="3"/>
  <c r="N108" i="3"/>
  <c r="AC108" i="3"/>
  <c r="AJ108" i="3"/>
  <c r="AG108" i="3"/>
  <c r="S108" i="3"/>
  <c r="U108" i="3"/>
  <c r="AI108" i="3"/>
  <c r="AF108" i="3"/>
  <c r="X108" i="3"/>
  <c r="T108" i="3"/>
  <c r="AB108" i="3"/>
  <c r="R108" i="3"/>
  <c r="AH108" i="3"/>
  <c r="AK108" i="3"/>
  <c r="P108" i="3"/>
  <c r="AL108" i="3"/>
  <c r="Z108" i="3"/>
  <c r="O108" i="3"/>
  <c r="AE108" i="3"/>
  <c r="Y108" i="3"/>
  <c r="Q108" i="3"/>
  <c r="AA108" i="3"/>
  <c r="AD108" i="3"/>
  <c r="AF104" i="3"/>
  <c r="AE104" i="3"/>
  <c r="AK104" i="3"/>
  <c r="P104" i="3"/>
  <c r="AB104" i="3"/>
  <c r="AJ104" i="3"/>
  <c r="O104" i="3"/>
  <c r="U104" i="3"/>
  <c r="Y104" i="3"/>
  <c r="R104" i="3"/>
  <c r="N104" i="3"/>
  <c r="AD104" i="3"/>
  <c r="AA104" i="3"/>
  <c r="X104" i="3"/>
  <c r="Z104" i="3"/>
  <c r="T104" i="3"/>
  <c r="AC104" i="3"/>
  <c r="Q104" i="3"/>
  <c r="AI104" i="3"/>
  <c r="AH104" i="3"/>
  <c r="AL104" i="3"/>
  <c r="S104" i="3"/>
  <c r="AG104" i="3"/>
  <c r="AH100" i="3"/>
  <c r="X100" i="3"/>
  <c r="P100" i="3"/>
  <c r="Y100" i="3"/>
  <c r="AI100" i="3"/>
  <c r="AB100" i="3"/>
  <c r="AE100" i="3"/>
  <c r="Z100" i="3"/>
  <c r="S100" i="3"/>
  <c r="U100" i="3"/>
  <c r="AJ100" i="3"/>
  <c r="R100" i="3"/>
  <c r="T100" i="3"/>
  <c r="O100" i="3"/>
  <c r="AL100" i="3"/>
  <c r="AK100" i="3"/>
  <c r="Q100" i="3"/>
  <c r="AC100" i="3"/>
  <c r="N100" i="3"/>
  <c r="AD100" i="3"/>
  <c r="AA100" i="3"/>
  <c r="AG100" i="3"/>
  <c r="AF100" i="3"/>
  <c r="AH96" i="3"/>
  <c r="AC96" i="3"/>
  <c r="AG96" i="3"/>
  <c r="O96" i="3"/>
  <c r="P96" i="3"/>
  <c r="AA96" i="3"/>
  <c r="Q96" i="3"/>
  <c r="AE96" i="3"/>
  <c r="AB96" i="3"/>
  <c r="AK96" i="3"/>
  <c r="Z96" i="3"/>
  <c r="AI96" i="3"/>
  <c r="N96" i="3"/>
  <c r="R96" i="3"/>
  <c r="S96" i="3"/>
  <c r="AL96" i="3"/>
  <c r="T96" i="3"/>
  <c r="AD96" i="3"/>
  <c r="U96" i="3"/>
  <c r="AF96" i="3"/>
  <c r="Y96" i="3"/>
  <c r="X96" i="3"/>
  <c r="AJ96" i="3"/>
  <c r="Y92" i="3"/>
  <c r="AC92" i="3"/>
  <c r="Z92" i="3"/>
  <c r="AH92" i="3"/>
  <c r="AE92" i="3"/>
  <c r="O92" i="3"/>
  <c r="AD92" i="3"/>
  <c r="Q92" i="3"/>
  <c r="R92" i="3"/>
  <c r="AB92" i="3"/>
  <c r="P92" i="3"/>
  <c r="AL92" i="3"/>
  <c r="AI92" i="3"/>
  <c r="AK92" i="3"/>
  <c r="T92" i="3"/>
  <c r="AJ92" i="3"/>
  <c r="AA92" i="3"/>
  <c r="U92" i="3"/>
  <c r="X92" i="3"/>
  <c r="N92" i="3"/>
  <c r="AF92" i="3"/>
  <c r="S92" i="3"/>
  <c r="AG92" i="3"/>
  <c r="AF88" i="3"/>
  <c r="AJ88" i="3"/>
  <c r="AL88" i="3"/>
  <c r="S88" i="3"/>
  <c r="R88" i="3"/>
  <c r="Q88" i="3"/>
  <c r="P88" i="3"/>
  <c r="O88" i="3"/>
  <c r="N88" i="3"/>
  <c r="X88" i="3"/>
  <c r="Y88" i="3"/>
  <c r="AG88" i="3"/>
  <c r="Z88" i="3"/>
  <c r="AI88" i="3"/>
  <c r="AE88" i="3"/>
  <c r="AH88" i="3"/>
  <c r="AB88" i="3"/>
  <c r="AK88" i="3"/>
  <c r="AC88" i="3"/>
  <c r="U88" i="3"/>
  <c r="T88" i="3"/>
  <c r="AA88" i="3"/>
  <c r="AD88" i="3"/>
  <c r="Y84" i="3"/>
  <c r="AJ84" i="3"/>
  <c r="R84" i="3"/>
  <c r="S84" i="3"/>
  <c r="AC84" i="3"/>
  <c r="AK84" i="3"/>
  <c r="N84" i="3"/>
  <c r="AF84" i="3"/>
  <c r="U84" i="3"/>
  <c r="AL84" i="3"/>
  <c r="AB84" i="3"/>
  <c r="O84" i="3"/>
  <c r="AI84" i="3"/>
  <c r="AD84" i="3"/>
  <c r="AE84" i="3"/>
  <c r="T84" i="3"/>
  <c r="Z84" i="3"/>
  <c r="AG84" i="3"/>
  <c r="P84" i="3"/>
  <c r="X84" i="3"/>
  <c r="AA84" i="3"/>
  <c r="Q84" i="3"/>
  <c r="AH84" i="3"/>
  <c r="T80" i="3"/>
  <c r="P80" i="3"/>
  <c r="AJ80" i="3"/>
  <c r="O80" i="3"/>
  <c r="AD80" i="3"/>
  <c r="AF80" i="3"/>
  <c r="AB80" i="3"/>
  <c r="AK80" i="3"/>
  <c r="X80" i="3"/>
  <c r="AL80" i="3"/>
  <c r="AA80" i="3"/>
  <c r="Q80" i="3"/>
  <c r="AE80" i="3"/>
  <c r="U80" i="3"/>
  <c r="S80" i="3"/>
  <c r="Y80" i="3"/>
  <c r="R80" i="3"/>
  <c r="N80" i="3"/>
  <c r="AI80" i="3"/>
  <c r="AG80" i="3"/>
  <c r="Z80" i="3"/>
  <c r="AH80" i="3"/>
  <c r="AC80" i="3"/>
  <c r="T76" i="3"/>
  <c r="AJ76" i="3"/>
  <c r="X76" i="3"/>
  <c r="R76" i="3"/>
  <c r="S76" i="3"/>
  <c r="AE76" i="3"/>
  <c r="AA76" i="3"/>
  <c r="AH76" i="3"/>
  <c r="AG76" i="3"/>
  <c r="U76" i="3"/>
  <c r="AF76" i="3"/>
  <c r="Z76" i="3"/>
  <c r="AD76" i="3"/>
  <c r="N76" i="3"/>
  <c r="Q76" i="3"/>
  <c r="P76" i="3"/>
  <c r="Y76" i="3"/>
  <c r="AL76" i="3"/>
  <c r="AK76" i="3"/>
  <c r="O76" i="3"/>
  <c r="AB76" i="3"/>
  <c r="AI76" i="3"/>
  <c r="AC76" i="3"/>
  <c r="AH72" i="3"/>
  <c r="S72" i="3"/>
  <c r="Y72" i="3"/>
  <c r="AF72" i="3"/>
  <c r="AI72" i="3"/>
  <c r="T72" i="3"/>
  <c r="Q72" i="3"/>
  <c r="AC72" i="3"/>
  <c r="AJ72" i="3"/>
  <c r="Z72" i="3"/>
  <c r="AK72" i="3"/>
  <c r="P72" i="3"/>
  <c r="N72" i="3"/>
  <c r="O72" i="3"/>
  <c r="AG72" i="3"/>
  <c r="AB72" i="3"/>
  <c r="R72" i="3"/>
  <c r="X72" i="3"/>
  <c r="AL72" i="3"/>
  <c r="AD72" i="3"/>
  <c r="AA72" i="3"/>
  <c r="U72" i="3"/>
  <c r="AE72" i="3"/>
  <c r="S68" i="3"/>
  <c r="AF68" i="3"/>
  <c r="N68" i="3"/>
  <c r="O68" i="3"/>
  <c r="AC68" i="3"/>
  <c r="T68" i="3"/>
  <c r="Q68" i="3"/>
  <c r="AH68" i="3"/>
  <c r="AJ68" i="3"/>
  <c r="AK68" i="3"/>
  <c r="Z68" i="3"/>
  <c r="AE68" i="3"/>
  <c r="P68" i="3"/>
  <c r="AL68" i="3"/>
  <c r="R68" i="3"/>
  <c r="Y68" i="3"/>
  <c r="U68" i="3"/>
  <c r="AB68" i="3"/>
  <c r="X68" i="3"/>
  <c r="AG68" i="3"/>
  <c r="AI68" i="3"/>
  <c r="AA68" i="3"/>
  <c r="AD68" i="3"/>
  <c r="S60" i="3"/>
  <c r="N60" i="3"/>
  <c r="AB60" i="3"/>
  <c r="AI60" i="3"/>
  <c r="AC60" i="3"/>
  <c r="AK60" i="3"/>
  <c r="O60" i="3"/>
  <c r="AH60" i="3"/>
  <c r="Z60" i="3"/>
  <c r="AL60" i="3"/>
  <c r="T60" i="3"/>
  <c r="U60" i="3"/>
  <c r="AG60" i="3"/>
  <c r="P60" i="3"/>
  <c r="Q60" i="3"/>
  <c r="AJ60" i="3"/>
  <c r="R60" i="3"/>
  <c r="AF60" i="3"/>
  <c r="Y60" i="3"/>
  <c r="X60" i="3"/>
  <c r="AE60" i="3"/>
  <c r="AA60" i="3"/>
  <c r="AD60" i="3"/>
  <c r="AH56" i="3"/>
  <c r="T56" i="3"/>
  <c r="AI56" i="3"/>
  <c r="Y56" i="3"/>
  <c r="Q56" i="3"/>
  <c r="X56" i="3"/>
  <c r="AK56" i="3"/>
  <c r="AC56" i="3"/>
  <c r="AG56" i="3"/>
  <c r="AF56" i="3"/>
  <c r="N56" i="3"/>
  <c r="AJ56" i="3"/>
  <c r="AE56" i="3"/>
  <c r="O56" i="3"/>
  <c r="AB56" i="3"/>
  <c r="U56" i="3"/>
  <c r="S56" i="3"/>
  <c r="R56" i="3"/>
  <c r="P56" i="3"/>
  <c r="AL56" i="3"/>
  <c r="Z56" i="3"/>
  <c r="AA56" i="3"/>
  <c r="AD56" i="3"/>
  <c r="AK52" i="3"/>
  <c r="Y52" i="3"/>
  <c r="AH52" i="3"/>
  <c r="P52" i="3"/>
  <c r="O52" i="3"/>
  <c r="AJ52" i="3"/>
  <c r="R52" i="3"/>
  <c r="Z52" i="3"/>
  <c r="AB52" i="3"/>
  <c r="S52" i="3"/>
  <c r="AE52" i="3"/>
  <c r="AL52" i="3"/>
  <c r="AI52" i="3"/>
  <c r="X52" i="3"/>
  <c r="Q52" i="3"/>
  <c r="N52" i="3"/>
  <c r="AF52" i="3"/>
  <c r="T52" i="3"/>
  <c r="U52" i="3"/>
  <c r="AG52" i="3"/>
  <c r="AC52" i="3"/>
  <c r="AD52" i="3"/>
  <c r="AA52" i="3"/>
  <c r="Y48" i="3"/>
  <c r="AE48" i="3"/>
  <c r="N48" i="3"/>
  <c r="U48" i="3"/>
  <c r="AC48" i="3"/>
  <c r="AK48" i="3"/>
  <c r="AG48" i="3"/>
  <c r="AI48" i="3"/>
  <c r="AF48" i="3"/>
  <c r="T48" i="3"/>
  <c r="Q48" i="3"/>
  <c r="X48" i="3"/>
  <c r="Z48" i="3"/>
  <c r="R48" i="3"/>
  <c r="AH48" i="3"/>
  <c r="P48" i="3"/>
  <c r="AB48" i="3"/>
  <c r="O48" i="3"/>
  <c r="S48" i="3"/>
  <c r="AA48" i="3"/>
  <c r="AL48" i="3"/>
  <c r="AD48" i="3"/>
  <c r="AJ48" i="3"/>
  <c r="AF44" i="3"/>
  <c r="AH44" i="3"/>
  <c r="AI44" i="3"/>
  <c r="T44" i="3"/>
  <c r="AD44" i="3"/>
  <c r="O44" i="3"/>
  <c r="AE44" i="3"/>
  <c r="N44" i="3"/>
  <c r="X44" i="3"/>
  <c r="Y44" i="3"/>
  <c r="Z44" i="3"/>
  <c r="U44" i="3"/>
  <c r="S44" i="3"/>
  <c r="AK44" i="3"/>
  <c r="P44" i="3"/>
  <c r="AJ44" i="3"/>
  <c r="AC44" i="3"/>
  <c r="Q44" i="3"/>
  <c r="AL44" i="3"/>
  <c r="AA44" i="3"/>
  <c r="AB44" i="3"/>
  <c r="AG44" i="3"/>
  <c r="R44" i="3"/>
  <c r="AI40" i="3"/>
  <c r="AC40" i="3"/>
  <c r="P40" i="3"/>
  <c r="Q40" i="3"/>
  <c r="AG40" i="3"/>
  <c r="AF40" i="3"/>
  <c r="Z40" i="3"/>
  <c r="AE40" i="3"/>
  <c r="AB40" i="3"/>
  <c r="AH40" i="3"/>
  <c r="AL40" i="3"/>
  <c r="X40" i="3"/>
  <c r="S40" i="3"/>
  <c r="O40" i="3"/>
  <c r="AK40" i="3"/>
  <c r="N40" i="3"/>
  <c r="R40" i="3"/>
  <c r="T40" i="3"/>
  <c r="AJ40" i="3"/>
  <c r="Y40" i="3"/>
  <c r="U40" i="3"/>
  <c r="AA40" i="3"/>
  <c r="AD40" i="3"/>
  <c r="S36" i="3"/>
  <c r="AK36" i="3"/>
  <c r="N36" i="3"/>
  <c r="AC36" i="3"/>
  <c r="AI36" i="3"/>
  <c r="Z36" i="3"/>
  <c r="X36" i="3"/>
  <c r="T36" i="3"/>
  <c r="R36" i="3"/>
  <c r="U36" i="3"/>
  <c r="O36" i="3"/>
  <c r="Q36" i="3"/>
  <c r="AH36" i="3"/>
  <c r="AE36" i="3"/>
  <c r="P36" i="3"/>
  <c r="AB36" i="3"/>
  <c r="AF36" i="3"/>
  <c r="Y36" i="3"/>
  <c r="AA36" i="3"/>
  <c r="AG36" i="3"/>
  <c r="AL36" i="3"/>
  <c r="AJ36" i="3"/>
  <c r="AD36" i="3"/>
  <c r="AB32" i="3"/>
  <c r="X32" i="3"/>
  <c r="AE32" i="3"/>
  <c r="U32" i="3"/>
  <c r="R32" i="3"/>
  <c r="AJ32" i="3"/>
  <c r="S32" i="3"/>
  <c r="AF32" i="3"/>
  <c r="O32" i="3"/>
  <c r="T32" i="3"/>
  <c r="Y32" i="3"/>
  <c r="Z32" i="3"/>
  <c r="AK32" i="3"/>
  <c r="AH32" i="3"/>
  <c r="AL32" i="3"/>
  <c r="AC32" i="3"/>
  <c r="P32" i="3"/>
  <c r="AG32" i="3"/>
  <c r="N32" i="3"/>
  <c r="AI32" i="3"/>
  <c r="Q32" i="3"/>
  <c r="AD32" i="3"/>
  <c r="AA32" i="3"/>
  <c r="T28" i="3"/>
  <c r="AK28" i="3"/>
  <c r="R28" i="3"/>
  <c r="AL28" i="3"/>
  <c r="X28" i="3"/>
  <c r="Z28" i="3"/>
  <c r="U28" i="3"/>
  <c r="P28" i="3"/>
  <c r="AI28" i="3"/>
  <c r="AJ28" i="3"/>
  <c r="AH28" i="3"/>
  <c r="S28" i="3"/>
  <c r="AF28" i="3"/>
  <c r="O28" i="3"/>
  <c r="Y28" i="3"/>
  <c r="Q28" i="3"/>
  <c r="AG28" i="3"/>
  <c r="AC28" i="3"/>
  <c r="AB28" i="3"/>
  <c r="N28" i="3"/>
  <c r="AA28" i="3"/>
  <c r="AE28" i="3"/>
  <c r="AD28" i="3"/>
  <c r="Z24" i="3"/>
  <c r="AJ24" i="3"/>
  <c r="T24" i="3"/>
  <c r="U24" i="3"/>
  <c r="Q24" i="3"/>
  <c r="O24" i="3"/>
  <c r="R24" i="3"/>
  <c r="Y24" i="3"/>
  <c r="AB24" i="3"/>
  <c r="X24" i="3"/>
  <c r="S24" i="3"/>
  <c r="AL24" i="3"/>
  <c r="AI24" i="3"/>
  <c r="AH24" i="3"/>
  <c r="AF24" i="3"/>
  <c r="AC24" i="3"/>
  <c r="AG24" i="3"/>
  <c r="AE24" i="3"/>
  <c r="AD24" i="3"/>
  <c r="AK24" i="3"/>
  <c r="AA24" i="3"/>
  <c r="P24" i="3"/>
  <c r="N24" i="3"/>
  <c r="Z157" i="3"/>
  <c r="AC157" i="3"/>
  <c r="X157" i="3"/>
  <c r="U157" i="3"/>
  <c r="S157" i="3"/>
  <c r="AI157" i="3"/>
  <c r="AD157" i="3"/>
  <c r="R157" i="3"/>
  <c r="T157" i="3"/>
  <c r="P157" i="3"/>
  <c r="AJ157" i="3"/>
  <c r="AB157" i="3"/>
  <c r="Q157" i="3"/>
  <c r="AA157" i="3"/>
  <c r="AG157" i="3"/>
  <c r="AE157" i="3"/>
  <c r="O157" i="3"/>
  <c r="N157" i="3"/>
  <c r="Y157" i="3"/>
  <c r="AH157" i="3"/>
  <c r="AK157" i="3"/>
  <c r="AL157" i="3"/>
  <c r="AF157" i="3"/>
  <c r="L169" i="3"/>
  <c r="M169" i="3"/>
  <c r="M137" i="3"/>
  <c r="L101" i="3"/>
  <c r="L109" i="3"/>
  <c r="M197" i="3"/>
  <c r="L117" i="3"/>
  <c r="M145" i="3"/>
  <c r="M133" i="3"/>
  <c r="L133" i="3"/>
  <c r="L129" i="3"/>
  <c r="M29" i="3"/>
  <c r="M209" i="3"/>
  <c r="M49" i="3"/>
  <c r="M125" i="3"/>
  <c r="L125" i="3"/>
  <c r="L85" i="3"/>
  <c r="L37" i="3"/>
  <c r="M189" i="3"/>
  <c r="L201" i="3"/>
  <c r="L189" i="3"/>
  <c r="L193" i="3"/>
  <c r="L89" i="3"/>
  <c r="X207" i="3"/>
  <c r="AK207" i="3"/>
  <c r="U207" i="3"/>
  <c r="AB207" i="3"/>
  <c r="Q207" i="3"/>
  <c r="Z207" i="3"/>
  <c r="AL207" i="3"/>
  <c r="O207" i="3"/>
  <c r="AF207" i="3"/>
  <c r="AI207" i="3"/>
  <c r="AE207" i="3"/>
  <c r="Y207" i="3"/>
  <c r="AG207" i="3"/>
  <c r="P207" i="3"/>
  <c r="AA207" i="3"/>
  <c r="T207" i="3"/>
  <c r="R207" i="3"/>
  <c r="AJ207" i="3"/>
  <c r="S207" i="3"/>
  <c r="N207" i="3"/>
  <c r="AD207" i="3"/>
  <c r="AC207" i="3"/>
  <c r="AH207" i="3"/>
  <c r="AH203" i="3"/>
  <c r="AI203" i="3"/>
  <c r="P203" i="3"/>
  <c r="R203" i="3"/>
  <c r="T203" i="3"/>
  <c r="AG203" i="3"/>
  <c r="AL203" i="3"/>
  <c r="Y203" i="3"/>
  <c r="N203" i="3"/>
  <c r="X203" i="3"/>
  <c r="AF203" i="3"/>
  <c r="AE203" i="3"/>
  <c r="AB203" i="3"/>
  <c r="AC203" i="3"/>
  <c r="Z203" i="3"/>
  <c r="AK203" i="3"/>
  <c r="S203" i="3"/>
  <c r="U203" i="3"/>
  <c r="O203" i="3"/>
  <c r="Q203" i="3"/>
  <c r="AJ203" i="3"/>
  <c r="AD203" i="3"/>
  <c r="AA203" i="3"/>
  <c r="AC199" i="3"/>
  <c r="P199" i="3"/>
  <c r="U199" i="3"/>
  <c r="R199" i="3"/>
  <c r="AF199" i="3"/>
  <c r="AE199" i="3"/>
  <c r="AH199" i="3"/>
  <c r="X199" i="3"/>
  <c r="Q199" i="3"/>
  <c r="AK199" i="3"/>
  <c r="AI199" i="3"/>
  <c r="AG199" i="3"/>
  <c r="AL199" i="3"/>
  <c r="O199" i="3"/>
  <c r="AB199" i="3"/>
  <c r="AJ199" i="3"/>
  <c r="AD199" i="3"/>
  <c r="Y199" i="3"/>
  <c r="Z199" i="3"/>
  <c r="S199" i="3"/>
  <c r="T199" i="3"/>
  <c r="N199" i="3"/>
  <c r="AA199" i="3"/>
  <c r="Q195" i="3"/>
  <c r="AK195" i="3"/>
  <c r="AI195" i="3"/>
  <c r="AJ195" i="3"/>
  <c r="AB195" i="3"/>
  <c r="Y195" i="3"/>
  <c r="AF195" i="3"/>
  <c r="AL195" i="3"/>
  <c r="O195" i="3"/>
  <c r="AE195" i="3"/>
  <c r="AC195" i="3"/>
  <c r="R195" i="3"/>
  <c r="AG195" i="3"/>
  <c r="Z195" i="3"/>
  <c r="AH195" i="3"/>
  <c r="P195" i="3"/>
  <c r="T195" i="3"/>
  <c r="AA195" i="3"/>
  <c r="N195" i="3"/>
  <c r="X195" i="3"/>
  <c r="U195" i="3"/>
  <c r="S195" i="3"/>
  <c r="AD195" i="3"/>
  <c r="O191" i="3"/>
  <c r="T191" i="3"/>
  <c r="X191" i="3"/>
  <c r="AJ191" i="3"/>
  <c r="AL191" i="3"/>
  <c r="U191" i="3"/>
  <c r="AG191" i="3"/>
  <c r="AF191" i="3"/>
  <c r="Y191" i="3"/>
  <c r="Z191" i="3"/>
  <c r="P191" i="3"/>
  <c r="AE191" i="3"/>
  <c r="AI191" i="3"/>
  <c r="AH191" i="3"/>
  <c r="AK191" i="3"/>
  <c r="AC191" i="3"/>
  <c r="N191" i="3"/>
  <c r="R191" i="3"/>
  <c r="Q191" i="3"/>
  <c r="AD191" i="3"/>
  <c r="S191" i="3"/>
  <c r="AA191" i="3"/>
  <c r="AB191" i="3"/>
  <c r="Y187" i="3"/>
  <c r="AJ187" i="3"/>
  <c r="Q187" i="3"/>
  <c r="AC187" i="3"/>
  <c r="X187" i="3"/>
  <c r="AH187" i="3"/>
  <c r="T187" i="3"/>
  <c r="O187" i="3"/>
  <c r="AG187" i="3"/>
  <c r="Z187" i="3"/>
  <c r="AE187" i="3"/>
  <c r="AI187" i="3"/>
  <c r="AK187" i="3"/>
  <c r="U187" i="3"/>
  <c r="AB187" i="3"/>
  <c r="R187" i="3"/>
  <c r="P187" i="3"/>
  <c r="S187" i="3"/>
  <c r="AL187" i="3"/>
  <c r="N187" i="3"/>
  <c r="AD187" i="3"/>
  <c r="AF187" i="3"/>
  <c r="AA187" i="3"/>
  <c r="T183" i="3"/>
  <c r="P183" i="3"/>
  <c r="S183" i="3"/>
  <c r="AB183" i="3"/>
  <c r="AH183" i="3"/>
  <c r="Q183" i="3"/>
  <c r="AL183" i="3"/>
  <c r="Y183" i="3"/>
  <c r="AI183" i="3"/>
  <c r="N183" i="3"/>
  <c r="O183" i="3"/>
  <c r="X183" i="3"/>
  <c r="AC183" i="3"/>
  <c r="AG183" i="3"/>
  <c r="R183" i="3"/>
  <c r="AJ183" i="3"/>
  <c r="Z183" i="3"/>
  <c r="AK183" i="3"/>
  <c r="AF183" i="3"/>
  <c r="U183" i="3"/>
  <c r="AD183" i="3"/>
  <c r="AE183" i="3"/>
  <c r="AA183" i="3"/>
  <c r="AL179" i="3"/>
  <c r="AK179" i="3"/>
  <c r="AF179" i="3"/>
  <c r="AB179" i="3"/>
  <c r="Q179" i="3"/>
  <c r="R179" i="3"/>
  <c r="O179" i="3"/>
  <c r="U179" i="3"/>
  <c r="AI179" i="3"/>
  <c r="AE179" i="3"/>
  <c r="Z179" i="3"/>
  <c r="Y179" i="3"/>
  <c r="AG179" i="3"/>
  <c r="AJ179" i="3"/>
  <c r="AC179" i="3"/>
  <c r="T179" i="3"/>
  <c r="P179" i="3"/>
  <c r="S179" i="3"/>
  <c r="N179" i="3"/>
  <c r="X179" i="3"/>
  <c r="AH179" i="3"/>
  <c r="AD179" i="3"/>
  <c r="AA179" i="3"/>
  <c r="T175" i="3"/>
  <c r="AJ175" i="3"/>
  <c r="AG175" i="3"/>
  <c r="N175" i="3"/>
  <c r="AB175" i="3"/>
  <c r="AK175" i="3"/>
  <c r="AL175" i="3"/>
  <c r="AH175" i="3"/>
  <c r="U175" i="3"/>
  <c r="X175" i="3"/>
  <c r="AA175" i="3"/>
  <c r="S175" i="3"/>
  <c r="Q175" i="3"/>
  <c r="AF175" i="3"/>
  <c r="Z175" i="3"/>
  <c r="Y175" i="3"/>
  <c r="O175" i="3"/>
  <c r="R175" i="3"/>
  <c r="AE175" i="3"/>
  <c r="AC175" i="3"/>
  <c r="AI175" i="3"/>
  <c r="AD175" i="3"/>
  <c r="P175" i="3"/>
  <c r="AF171" i="3"/>
  <c r="Q171" i="3"/>
  <c r="AI171" i="3"/>
  <c r="AK171" i="3"/>
  <c r="S171" i="3"/>
  <c r="P171" i="3"/>
  <c r="Y171" i="3"/>
  <c r="AB171" i="3"/>
  <c r="AJ171" i="3"/>
  <c r="O171" i="3"/>
  <c r="N171" i="3"/>
  <c r="AE171" i="3"/>
  <c r="X171" i="3"/>
  <c r="AC171" i="3"/>
  <c r="Z171" i="3"/>
  <c r="U171" i="3"/>
  <c r="T171" i="3"/>
  <c r="R171" i="3"/>
  <c r="AG171" i="3"/>
  <c r="AL171" i="3"/>
  <c r="AH171" i="3"/>
  <c r="AA171" i="3"/>
  <c r="AD171" i="3"/>
  <c r="N167" i="3"/>
  <c r="AE167" i="3"/>
  <c r="Q167" i="3"/>
  <c r="AJ167" i="3"/>
  <c r="U167" i="3"/>
  <c r="S167" i="3"/>
  <c r="AH167" i="3"/>
  <c r="AB167" i="3"/>
  <c r="AL167" i="3"/>
  <c r="T167" i="3"/>
  <c r="O167" i="3"/>
  <c r="AF167" i="3"/>
  <c r="P167" i="3"/>
  <c r="Y167" i="3"/>
  <c r="R167" i="3"/>
  <c r="Z167" i="3"/>
  <c r="AG167" i="3"/>
  <c r="AI167" i="3"/>
  <c r="AC167" i="3"/>
  <c r="AK167" i="3"/>
  <c r="AA167" i="3"/>
  <c r="AD167" i="3"/>
  <c r="X167" i="3"/>
  <c r="R163" i="3"/>
  <c r="AC163" i="3"/>
  <c r="P163" i="3"/>
  <c r="AE163" i="3"/>
  <c r="O163" i="3"/>
  <c r="AG163" i="3"/>
  <c r="AD163" i="3"/>
  <c r="N163" i="3"/>
  <c r="AI163" i="3"/>
  <c r="X163" i="3"/>
  <c r="AH163" i="3"/>
  <c r="AJ163" i="3"/>
  <c r="AL163" i="3"/>
  <c r="U163" i="3"/>
  <c r="AA163" i="3"/>
  <c r="AK163" i="3"/>
  <c r="T163" i="3"/>
  <c r="Z163" i="3"/>
  <c r="AB163" i="3"/>
  <c r="AF163" i="3"/>
  <c r="Y163" i="3"/>
  <c r="Q163" i="3"/>
  <c r="S163" i="3"/>
  <c r="O159" i="3"/>
  <c r="S159" i="3"/>
  <c r="R159" i="3"/>
  <c r="AI159" i="3"/>
  <c r="AE159" i="3"/>
  <c r="Z159" i="3"/>
  <c r="AJ159" i="3"/>
  <c r="U159" i="3"/>
  <c r="AK159" i="3"/>
  <c r="X159" i="3"/>
  <c r="N159" i="3"/>
  <c r="AL159" i="3"/>
  <c r="Y159" i="3"/>
  <c r="T159" i="3"/>
  <c r="AH159" i="3"/>
  <c r="AF159" i="3"/>
  <c r="AB159" i="3"/>
  <c r="AD159" i="3"/>
  <c r="AA159" i="3"/>
  <c r="AC159" i="3"/>
  <c r="AG159" i="3"/>
  <c r="Q159" i="3"/>
  <c r="P159" i="3"/>
  <c r="AC155" i="3"/>
  <c r="AE155" i="3"/>
  <c r="AF155" i="3"/>
  <c r="AH155" i="3"/>
  <c r="AJ155" i="3"/>
  <c r="N155" i="3"/>
  <c r="AG155" i="3"/>
  <c r="AI155" i="3"/>
  <c r="P155" i="3"/>
  <c r="Q155" i="3"/>
  <c r="AB155" i="3"/>
  <c r="AK155" i="3"/>
  <c r="AL155" i="3"/>
  <c r="X155" i="3"/>
  <c r="Y155" i="3"/>
  <c r="R155" i="3"/>
  <c r="Z155" i="3"/>
  <c r="O155" i="3"/>
  <c r="T155" i="3"/>
  <c r="S155" i="3"/>
  <c r="AA155" i="3"/>
  <c r="U155" i="3"/>
  <c r="AD155" i="3"/>
  <c r="O147" i="3"/>
  <c r="AC147" i="3"/>
  <c r="Q147" i="3"/>
  <c r="P147" i="3"/>
  <c r="R147" i="3"/>
  <c r="N147" i="3"/>
  <c r="AA147" i="3"/>
  <c r="AK147" i="3"/>
  <c r="AB147" i="3"/>
  <c r="U147" i="3"/>
  <c r="AD147" i="3"/>
  <c r="X147" i="3"/>
  <c r="AL147" i="3"/>
  <c r="T147" i="3"/>
  <c r="AH147" i="3"/>
  <c r="AG147" i="3"/>
  <c r="AE147" i="3"/>
  <c r="Z147" i="3"/>
  <c r="Y147" i="3"/>
  <c r="S147" i="3"/>
  <c r="AF147" i="3"/>
  <c r="AJ147" i="3"/>
  <c r="AI147" i="3"/>
  <c r="AF143" i="3"/>
  <c r="O143" i="3"/>
  <c r="T143" i="3"/>
  <c r="Z143" i="3"/>
  <c r="AH143" i="3"/>
  <c r="U143" i="3"/>
  <c r="Q143" i="3"/>
  <c r="P143" i="3"/>
  <c r="Y143" i="3"/>
  <c r="AL143" i="3"/>
  <c r="S143" i="3"/>
  <c r="R143" i="3"/>
  <c r="AC143" i="3"/>
  <c r="N143" i="3"/>
  <c r="AB143" i="3"/>
  <c r="AG143" i="3"/>
  <c r="AJ143" i="3"/>
  <c r="AA143" i="3"/>
  <c r="AE143" i="3"/>
  <c r="X143" i="3"/>
  <c r="AD143" i="3"/>
  <c r="AK143" i="3"/>
  <c r="AI143" i="3"/>
  <c r="R139" i="3"/>
  <c r="AC139" i="3"/>
  <c r="N139" i="3"/>
  <c r="AE139" i="3"/>
  <c r="Z139" i="3"/>
  <c r="AG139" i="3"/>
  <c r="Q139" i="3"/>
  <c r="AL139" i="3"/>
  <c r="AJ139" i="3"/>
  <c r="S139" i="3"/>
  <c r="O139" i="3"/>
  <c r="AB139" i="3"/>
  <c r="U139" i="3"/>
  <c r="AH139" i="3"/>
  <c r="X139" i="3"/>
  <c r="T139" i="3"/>
  <c r="AF139" i="3"/>
  <c r="Y139" i="3"/>
  <c r="AK139" i="3"/>
  <c r="P139" i="3"/>
  <c r="AI139" i="3"/>
  <c r="AD139" i="3"/>
  <c r="AA139" i="3"/>
  <c r="Z135" i="3"/>
  <c r="T135" i="3"/>
  <c r="AG135" i="3"/>
  <c r="AC135" i="3"/>
  <c r="X135" i="3"/>
  <c r="AE135" i="3"/>
  <c r="N135" i="3"/>
  <c r="AJ135" i="3"/>
  <c r="P135" i="3"/>
  <c r="AH135" i="3"/>
  <c r="O135" i="3"/>
  <c r="AI135" i="3"/>
  <c r="AB135" i="3"/>
  <c r="AL135" i="3"/>
  <c r="AK135" i="3"/>
  <c r="Y135" i="3"/>
  <c r="U135" i="3"/>
  <c r="AF135" i="3"/>
  <c r="R135" i="3"/>
  <c r="Q135" i="3"/>
  <c r="S135" i="3"/>
  <c r="AD135" i="3"/>
  <c r="AA135" i="3"/>
  <c r="R131" i="3"/>
  <c r="Y131" i="3"/>
  <c r="O131" i="3"/>
  <c r="P131" i="3"/>
  <c r="AC131" i="3"/>
  <c r="AG131" i="3"/>
  <c r="AI131" i="3"/>
  <c r="N131" i="3"/>
  <c r="U131" i="3"/>
  <c r="AE131" i="3"/>
  <c r="AF131" i="3"/>
  <c r="Q131" i="3"/>
  <c r="AB131" i="3"/>
  <c r="S131" i="3"/>
  <c r="X131" i="3"/>
  <c r="T131" i="3"/>
  <c r="AJ131" i="3"/>
  <c r="AD131" i="3"/>
  <c r="AH131" i="3"/>
  <c r="AA131" i="3"/>
  <c r="AK131" i="3"/>
  <c r="Z131" i="3"/>
  <c r="AL131" i="3"/>
  <c r="AK127" i="3"/>
  <c r="AF127" i="3"/>
  <c r="R127" i="3"/>
  <c r="AL127" i="3"/>
  <c r="AC127" i="3"/>
  <c r="AH127" i="3"/>
  <c r="P127" i="3"/>
  <c r="Q127" i="3"/>
  <c r="AG127" i="3"/>
  <c r="AB127" i="3"/>
  <c r="T127" i="3"/>
  <c r="S127" i="3"/>
  <c r="X127" i="3"/>
  <c r="AE127" i="3"/>
  <c r="N127" i="3"/>
  <c r="Z127" i="3"/>
  <c r="U127" i="3"/>
  <c r="Y127" i="3"/>
  <c r="AI127" i="3"/>
  <c r="O127" i="3"/>
  <c r="AJ127" i="3"/>
  <c r="AD127" i="3"/>
  <c r="AA127" i="3"/>
  <c r="AH123" i="3"/>
  <c r="AG123" i="3"/>
  <c r="S123" i="3"/>
  <c r="AL123" i="3"/>
  <c r="Y123" i="3"/>
  <c r="R123" i="3"/>
  <c r="Z123" i="3"/>
  <c r="N123" i="3"/>
  <c r="X123" i="3"/>
  <c r="AJ123" i="3"/>
  <c r="O123" i="3"/>
  <c r="AC123" i="3"/>
  <c r="Q123" i="3"/>
  <c r="U123" i="3"/>
  <c r="AF123" i="3"/>
  <c r="P123" i="3"/>
  <c r="AK123" i="3"/>
  <c r="AB123" i="3"/>
  <c r="AD123" i="3"/>
  <c r="AI123" i="3"/>
  <c r="AE123" i="3"/>
  <c r="AA123" i="3"/>
  <c r="T123" i="3"/>
  <c r="Z119" i="3"/>
  <c r="AJ119" i="3"/>
  <c r="X119" i="3"/>
  <c r="AI119" i="3"/>
  <c r="Y119" i="3"/>
  <c r="AK119" i="3"/>
  <c r="AE119" i="3"/>
  <c r="O119" i="3"/>
  <c r="AC119" i="3"/>
  <c r="AG119" i="3"/>
  <c r="S119" i="3"/>
  <c r="R119" i="3"/>
  <c r="T119" i="3"/>
  <c r="Q119" i="3"/>
  <c r="U119" i="3"/>
  <c r="P119" i="3"/>
  <c r="AH119" i="3"/>
  <c r="AF119" i="3"/>
  <c r="AA119" i="3"/>
  <c r="AD119" i="3"/>
  <c r="AB119" i="3"/>
  <c r="N119" i="3"/>
  <c r="AL119" i="3"/>
  <c r="P115" i="3"/>
  <c r="S115" i="3"/>
  <c r="Z115" i="3"/>
  <c r="AI115" i="3"/>
  <c r="Q115" i="3"/>
  <c r="AJ115" i="3"/>
  <c r="O115" i="3"/>
  <c r="AB115" i="3"/>
  <c r="AF115" i="3"/>
  <c r="AH115" i="3"/>
  <c r="N115" i="3"/>
  <c r="AK115" i="3"/>
  <c r="R115" i="3"/>
  <c r="Y115" i="3"/>
  <c r="AL115" i="3"/>
  <c r="AE115" i="3"/>
  <c r="X115" i="3"/>
  <c r="AC115" i="3"/>
  <c r="T115" i="3"/>
  <c r="AG115" i="3"/>
  <c r="U115" i="3"/>
  <c r="AA115" i="3"/>
  <c r="AD115" i="3"/>
  <c r="AL107" i="3"/>
  <c r="AG107" i="3"/>
  <c r="N107" i="3"/>
  <c r="T107" i="3"/>
  <c r="AJ107" i="3"/>
  <c r="U107" i="3"/>
  <c r="AF107" i="3"/>
  <c r="P107" i="3"/>
  <c r="R107" i="3"/>
  <c r="O107" i="3"/>
  <c r="AB107" i="3"/>
  <c r="Q107" i="3"/>
  <c r="X107" i="3"/>
  <c r="AE107" i="3"/>
  <c r="AH107" i="3"/>
  <c r="Z107" i="3"/>
  <c r="S107" i="3"/>
  <c r="Y107" i="3"/>
  <c r="AK107" i="3"/>
  <c r="AI107" i="3"/>
  <c r="AC107" i="3"/>
  <c r="AA107" i="3"/>
  <c r="AD107" i="3"/>
  <c r="AF103" i="3"/>
  <c r="S103" i="3"/>
  <c r="AL103" i="3"/>
  <c r="Z103" i="3"/>
  <c r="AG103" i="3"/>
  <c r="AB103" i="3"/>
  <c r="U103" i="3"/>
  <c r="Y103" i="3"/>
  <c r="Q103" i="3"/>
  <c r="AC103" i="3"/>
  <c r="AJ103" i="3"/>
  <c r="AH103" i="3"/>
  <c r="AE103" i="3"/>
  <c r="O103" i="3"/>
  <c r="AK103" i="3"/>
  <c r="T103" i="3"/>
  <c r="AD103" i="3"/>
  <c r="N103" i="3"/>
  <c r="R103" i="3"/>
  <c r="X103" i="3"/>
  <c r="AI103" i="3"/>
  <c r="P103" i="3"/>
  <c r="AA103" i="3"/>
  <c r="R99" i="3"/>
  <c r="Y99" i="3"/>
  <c r="AG99" i="3"/>
  <c r="AH99" i="3"/>
  <c r="N99" i="3"/>
  <c r="T99" i="3"/>
  <c r="P99" i="3"/>
  <c r="Q99" i="3"/>
  <c r="AB99" i="3"/>
  <c r="AJ99" i="3"/>
  <c r="AE99" i="3"/>
  <c r="U99" i="3"/>
  <c r="AC99" i="3"/>
  <c r="AF99" i="3"/>
  <c r="AI99" i="3"/>
  <c r="AK99" i="3"/>
  <c r="S99" i="3"/>
  <c r="X99" i="3"/>
  <c r="Z99" i="3"/>
  <c r="AL99" i="3"/>
  <c r="AA99" i="3"/>
  <c r="AD99" i="3"/>
  <c r="O99" i="3"/>
  <c r="Y95" i="3"/>
  <c r="AJ95" i="3"/>
  <c r="AI95" i="3"/>
  <c r="S95" i="3"/>
  <c r="AC95" i="3"/>
  <c r="O95" i="3"/>
  <c r="AB95" i="3"/>
  <c r="T95" i="3"/>
  <c r="X95" i="3"/>
  <c r="U95" i="3"/>
  <c r="Z95" i="3"/>
  <c r="Q95" i="3"/>
  <c r="AF95" i="3"/>
  <c r="AE95" i="3"/>
  <c r="R95" i="3"/>
  <c r="AL95" i="3"/>
  <c r="AG95" i="3"/>
  <c r="AK95" i="3"/>
  <c r="N95" i="3"/>
  <c r="P95" i="3"/>
  <c r="AA95" i="3"/>
  <c r="AH95" i="3"/>
  <c r="AD95" i="3"/>
  <c r="AG91" i="3"/>
  <c r="U91" i="3"/>
  <c r="AJ91" i="3"/>
  <c r="Z91" i="3"/>
  <c r="T91" i="3"/>
  <c r="AH91" i="3"/>
  <c r="AC91" i="3"/>
  <c r="AI91" i="3"/>
  <c r="P91" i="3"/>
  <c r="X91" i="3"/>
  <c r="AF91" i="3"/>
  <c r="AL91" i="3"/>
  <c r="R91" i="3"/>
  <c r="S91" i="3"/>
  <c r="AK91" i="3"/>
  <c r="O91" i="3"/>
  <c r="N91" i="3"/>
  <c r="AB91" i="3"/>
  <c r="Y91" i="3"/>
  <c r="AD91" i="3"/>
  <c r="Q91" i="3"/>
  <c r="AA91" i="3"/>
  <c r="AE91" i="3"/>
  <c r="AB87" i="3"/>
  <c r="AF87" i="3"/>
  <c r="X87" i="3"/>
  <c r="N87" i="3"/>
  <c r="Q87" i="3"/>
  <c r="Z87" i="3"/>
  <c r="AL87" i="3"/>
  <c r="AE87" i="3"/>
  <c r="S87" i="3"/>
  <c r="AK87" i="3"/>
  <c r="Y87" i="3"/>
  <c r="AI87" i="3"/>
  <c r="P87" i="3"/>
  <c r="U87" i="3"/>
  <c r="AH87" i="3"/>
  <c r="AC87" i="3"/>
  <c r="AG87" i="3"/>
  <c r="T87" i="3"/>
  <c r="R87" i="3"/>
  <c r="AJ87" i="3"/>
  <c r="O87" i="3"/>
  <c r="AD87" i="3"/>
  <c r="AA87" i="3"/>
  <c r="T83" i="3"/>
  <c r="AB83" i="3"/>
  <c r="AJ83" i="3"/>
  <c r="U83" i="3"/>
  <c r="Q83" i="3"/>
  <c r="N83" i="3"/>
  <c r="AG83" i="3"/>
  <c r="Z83" i="3"/>
  <c r="O83" i="3"/>
  <c r="AH83" i="3"/>
  <c r="Y83" i="3"/>
  <c r="AK83" i="3"/>
  <c r="R83" i="3"/>
  <c r="AL83" i="3"/>
  <c r="P83" i="3"/>
  <c r="AC83" i="3"/>
  <c r="AF83" i="3"/>
  <c r="AA83" i="3"/>
  <c r="X83" i="3"/>
  <c r="AI83" i="3"/>
  <c r="AE83" i="3"/>
  <c r="AD83" i="3"/>
  <c r="S83" i="3"/>
  <c r="AK79" i="3"/>
  <c r="AJ79" i="3"/>
  <c r="P79" i="3"/>
  <c r="AC79" i="3"/>
  <c r="AF79" i="3"/>
  <c r="AG79" i="3"/>
  <c r="X79" i="3"/>
  <c r="U79" i="3"/>
  <c r="AH79" i="3"/>
  <c r="Z79" i="3"/>
  <c r="T79" i="3"/>
  <c r="AL79" i="3"/>
  <c r="O79" i="3"/>
  <c r="AB79" i="3"/>
  <c r="AI79" i="3"/>
  <c r="N79" i="3"/>
  <c r="Q79" i="3"/>
  <c r="S79" i="3"/>
  <c r="R79" i="3"/>
  <c r="AE79" i="3"/>
  <c r="AA79" i="3"/>
  <c r="Y79" i="3"/>
  <c r="AD79" i="3"/>
  <c r="S75" i="3"/>
  <c r="Z75" i="3"/>
  <c r="AJ75" i="3"/>
  <c r="X75" i="3"/>
  <c r="AI75" i="3"/>
  <c r="AG75" i="3"/>
  <c r="AH75" i="3"/>
  <c r="AB75" i="3"/>
  <c r="N75" i="3"/>
  <c r="Y75" i="3"/>
  <c r="AK75" i="3"/>
  <c r="AE75" i="3"/>
  <c r="R75" i="3"/>
  <c r="Q75" i="3"/>
  <c r="P75" i="3"/>
  <c r="AC75" i="3"/>
  <c r="T75" i="3"/>
  <c r="AL75" i="3"/>
  <c r="AF75" i="3"/>
  <c r="U75" i="3"/>
  <c r="AD75" i="3"/>
  <c r="O75" i="3"/>
  <c r="AA75" i="3"/>
  <c r="AI71" i="3"/>
  <c r="X71" i="3"/>
  <c r="Y71" i="3"/>
  <c r="S71" i="3"/>
  <c r="AH71" i="3"/>
  <c r="P71" i="3"/>
  <c r="AC71" i="3"/>
  <c r="AE71" i="3"/>
  <c r="AK71" i="3"/>
  <c r="O71" i="3"/>
  <c r="AJ71" i="3"/>
  <c r="Z71" i="3"/>
  <c r="AG71" i="3"/>
  <c r="AB71" i="3"/>
  <c r="AL71" i="3"/>
  <c r="AF71" i="3"/>
  <c r="T71" i="3"/>
  <c r="N71" i="3"/>
  <c r="U71" i="3"/>
  <c r="R71" i="3"/>
  <c r="Q71" i="3"/>
  <c r="AD71" i="3"/>
  <c r="AA71" i="3"/>
  <c r="AJ67" i="3"/>
  <c r="S67" i="3"/>
  <c r="Y67" i="3"/>
  <c r="O67" i="3"/>
  <c r="AF67" i="3"/>
  <c r="AB67" i="3"/>
  <c r="AH67" i="3"/>
  <c r="T67" i="3"/>
  <c r="AC67" i="3"/>
  <c r="U67" i="3"/>
  <c r="X67" i="3"/>
  <c r="P67" i="3"/>
  <c r="R67" i="3"/>
  <c r="AE67" i="3"/>
  <c r="AI67" i="3"/>
  <c r="N67" i="3"/>
  <c r="Z67" i="3"/>
  <c r="Q67" i="3"/>
  <c r="AG67" i="3"/>
  <c r="AK67" i="3"/>
  <c r="AL67" i="3"/>
  <c r="AD67" i="3"/>
  <c r="AA67" i="3"/>
  <c r="AJ63" i="3"/>
  <c r="R63" i="3"/>
  <c r="P63" i="3"/>
  <c r="X63" i="3"/>
  <c r="AK63" i="3"/>
  <c r="Y63" i="3"/>
  <c r="AF63" i="3"/>
  <c r="T63" i="3"/>
  <c r="S63" i="3"/>
  <c r="AC63" i="3"/>
  <c r="Q63" i="3"/>
  <c r="AL63" i="3"/>
  <c r="AI63" i="3"/>
  <c r="N63" i="3"/>
  <c r="AG63" i="3"/>
  <c r="AE63" i="3"/>
  <c r="U63" i="3"/>
  <c r="AH63" i="3"/>
  <c r="AB63" i="3"/>
  <c r="Z63" i="3"/>
  <c r="O63" i="3"/>
  <c r="AA63" i="3"/>
  <c r="AD63" i="3"/>
  <c r="AB59" i="3"/>
  <c r="X59" i="3"/>
  <c r="P59" i="3"/>
  <c r="R59" i="3"/>
  <c r="S59" i="3"/>
  <c r="AF59" i="3"/>
  <c r="AH59" i="3"/>
  <c r="Y59" i="3"/>
  <c r="AK59" i="3"/>
  <c r="O59" i="3"/>
  <c r="AL59" i="3"/>
  <c r="U59" i="3"/>
  <c r="AC59" i="3"/>
  <c r="Z59" i="3"/>
  <c r="AE59" i="3"/>
  <c r="AG59" i="3"/>
  <c r="Q59" i="3"/>
  <c r="N59" i="3"/>
  <c r="AJ59" i="3"/>
  <c r="AD59" i="3"/>
  <c r="T59" i="3"/>
  <c r="AI59" i="3"/>
  <c r="AA59" i="3"/>
  <c r="N55" i="3"/>
  <c r="AK55" i="3"/>
  <c r="U55" i="3"/>
  <c r="AH55" i="3"/>
  <c r="AJ55" i="3"/>
  <c r="P55" i="3"/>
  <c r="AL55" i="3"/>
  <c r="AB55" i="3"/>
  <c r="AE55" i="3"/>
  <c r="AI55" i="3"/>
  <c r="AF55" i="3"/>
  <c r="R55" i="3"/>
  <c r="S55" i="3"/>
  <c r="Z55" i="3"/>
  <c r="Y55" i="3"/>
  <c r="Q55" i="3"/>
  <c r="O55" i="3"/>
  <c r="AG55" i="3"/>
  <c r="T55" i="3"/>
  <c r="AA55" i="3"/>
  <c r="AC55" i="3"/>
  <c r="AD55" i="3"/>
  <c r="X55" i="3"/>
  <c r="AC51" i="3"/>
  <c r="AE51" i="3"/>
  <c r="Z51" i="3"/>
  <c r="AF51" i="3"/>
  <c r="Q51" i="3"/>
  <c r="O51" i="3"/>
  <c r="N51" i="3"/>
  <c r="AG51" i="3"/>
  <c r="X51" i="3"/>
  <c r="AJ51" i="3"/>
  <c r="AL51" i="3"/>
  <c r="AK51" i="3"/>
  <c r="T51" i="3"/>
  <c r="U51" i="3"/>
  <c r="S51" i="3"/>
  <c r="AI51" i="3"/>
  <c r="AB51" i="3"/>
  <c r="R51" i="3"/>
  <c r="Y51" i="3"/>
  <c r="AH51" i="3"/>
  <c r="P51" i="3"/>
  <c r="AA51" i="3"/>
  <c r="AD51" i="3"/>
  <c r="X47" i="3"/>
  <c r="O47" i="3"/>
  <c r="Z47" i="3"/>
  <c r="AI47" i="3"/>
  <c r="N47" i="3"/>
  <c r="AL47" i="3"/>
  <c r="AK47" i="3"/>
  <c r="U47" i="3"/>
  <c r="P47" i="3"/>
  <c r="AE47" i="3"/>
  <c r="R47" i="3"/>
  <c r="AD47" i="3"/>
  <c r="AF47" i="3"/>
  <c r="T47" i="3"/>
  <c r="AG47" i="3"/>
  <c r="Q47" i="3"/>
  <c r="AB47" i="3"/>
  <c r="AJ47" i="3"/>
  <c r="Y47" i="3"/>
  <c r="S47" i="3"/>
  <c r="AA47" i="3"/>
  <c r="AC47" i="3"/>
  <c r="AH47" i="3"/>
  <c r="Z39" i="3"/>
  <c r="AG39" i="3"/>
  <c r="N39" i="3"/>
  <c r="R39" i="3"/>
  <c r="U39" i="3"/>
  <c r="AL39" i="3"/>
  <c r="Y39" i="3"/>
  <c r="AB39" i="3"/>
  <c r="X39" i="3"/>
  <c r="AE39" i="3"/>
  <c r="AI39" i="3"/>
  <c r="AF39" i="3"/>
  <c r="O39" i="3"/>
  <c r="AK39" i="3"/>
  <c r="Q39" i="3"/>
  <c r="P39" i="3"/>
  <c r="T39" i="3"/>
  <c r="AC39" i="3"/>
  <c r="AJ39" i="3"/>
  <c r="AH39" i="3"/>
  <c r="AD39" i="3"/>
  <c r="AA39" i="3"/>
  <c r="S39" i="3"/>
  <c r="AJ35" i="3"/>
  <c r="T35" i="3"/>
  <c r="X35" i="3"/>
  <c r="N35" i="3"/>
  <c r="AH35" i="3"/>
  <c r="S35" i="3"/>
  <c r="AI35" i="3"/>
  <c r="AE35" i="3"/>
  <c r="Q35" i="3"/>
  <c r="AB35" i="3"/>
  <c r="AK35" i="3"/>
  <c r="AL35" i="3"/>
  <c r="Y35" i="3"/>
  <c r="Z35" i="3"/>
  <c r="P35" i="3"/>
  <c r="AG35" i="3"/>
  <c r="AD35" i="3"/>
  <c r="U35" i="3"/>
  <c r="AF35" i="3"/>
  <c r="R35" i="3"/>
  <c r="O35" i="3"/>
  <c r="AA35" i="3"/>
  <c r="AC35" i="3"/>
  <c r="Y31" i="3"/>
  <c r="R31" i="3"/>
  <c r="N31" i="3"/>
  <c r="Z31" i="3"/>
  <c r="P31" i="3"/>
  <c r="AC31" i="3"/>
  <c r="AJ31" i="3"/>
  <c r="AK31" i="3"/>
  <c r="AL31" i="3"/>
  <c r="Q31" i="3"/>
  <c r="T31" i="3"/>
  <c r="AF31" i="3"/>
  <c r="X31" i="3"/>
  <c r="AB31" i="3"/>
  <c r="O31" i="3"/>
  <c r="S31" i="3"/>
  <c r="AE31" i="3"/>
  <c r="AD31" i="3"/>
  <c r="AA31" i="3"/>
  <c r="AI31" i="3"/>
  <c r="AG31" i="3"/>
  <c r="U31" i="3"/>
  <c r="AH31" i="3"/>
  <c r="AF27" i="3"/>
  <c r="U27" i="3"/>
  <c r="AC27" i="3"/>
  <c r="X27" i="3"/>
  <c r="O27" i="3"/>
  <c r="S27" i="3"/>
  <c r="P27" i="3"/>
  <c r="Z27" i="3"/>
  <c r="Q27" i="3"/>
  <c r="AH27" i="3"/>
  <c r="AB27" i="3"/>
  <c r="AE27" i="3"/>
  <c r="T27" i="3"/>
  <c r="AK27" i="3"/>
  <c r="N27" i="3"/>
  <c r="R27" i="3"/>
  <c r="AL27" i="3"/>
  <c r="Y27" i="3"/>
  <c r="AD27" i="3"/>
  <c r="AG27" i="3"/>
  <c r="AJ27" i="3"/>
  <c r="AI27" i="3"/>
  <c r="AA27" i="3"/>
  <c r="AG153" i="3"/>
  <c r="N153" i="3"/>
  <c r="AI153" i="3"/>
  <c r="AB153" i="3"/>
  <c r="S153" i="3"/>
  <c r="AK153" i="3"/>
  <c r="O153" i="3"/>
  <c r="R153" i="3"/>
  <c r="X153" i="3"/>
  <c r="AF153" i="3"/>
  <c r="Q153" i="3"/>
  <c r="P153" i="3"/>
  <c r="AJ153" i="3"/>
  <c r="U153" i="3"/>
  <c r="Z153" i="3"/>
  <c r="AE153" i="3"/>
  <c r="Y153" i="3"/>
  <c r="AL153" i="3"/>
  <c r="AH153" i="3"/>
  <c r="T153" i="3"/>
  <c r="AC153" i="3"/>
  <c r="AA153" i="3"/>
  <c r="AD153" i="3"/>
  <c r="M173" i="3"/>
  <c r="L173" i="3"/>
  <c r="L177" i="3"/>
  <c r="M33" i="3"/>
  <c r="L45" i="3"/>
  <c r="L197" i="3"/>
  <c r="M157" i="3"/>
  <c r="M109" i="3"/>
  <c r="M65" i="3"/>
  <c r="M129" i="3"/>
  <c r="M149" i="3"/>
  <c r="L149" i="3"/>
  <c r="M161" i="3"/>
  <c r="L209" i="3"/>
  <c r="L161" i="3"/>
  <c r="L69" i="3"/>
  <c r="L93" i="3"/>
  <c r="M37" i="3"/>
  <c r="L141" i="3"/>
  <c r="M165" i="3"/>
  <c r="M193" i="3"/>
  <c r="AD210" i="3"/>
  <c r="AE210" i="3"/>
  <c r="N210" i="3"/>
  <c r="AC210" i="3"/>
  <c r="AF210" i="3"/>
  <c r="T210" i="3"/>
  <c r="AH210" i="3"/>
  <c r="AB210" i="3"/>
  <c r="AK210" i="3"/>
  <c r="AA210" i="3"/>
  <c r="AI210" i="3"/>
  <c r="U210" i="3"/>
  <c r="AJ210" i="3"/>
  <c r="Z210" i="3"/>
  <c r="R210" i="3"/>
  <c r="S210" i="3"/>
  <c r="O210" i="3"/>
  <c r="AL210" i="3"/>
  <c r="AG210" i="3"/>
  <c r="P210" i="3"/>
  <c r="Q210" i="3"/>
  <c r="X210" i="3"/>
  <c r="AK206" i="3"/>
  <c r="Y206" i="3"/>
  <c r="S206" i="3"/>
  <c r="U206" i="3"/>
  <c r="AG206" i="3"/>
  <c r="AF206" i="3"/>
  <c r="AC206" i="3"/>
  <c r="AB206" i="3"/>
  <c r="AI206" i="3"/>
  <c r="T206" i="3"/>
  <c r="AL206" i="3"/>
  <c r="Q206" i="3"/>
  <c r="AE206" i="3"/>
  <c r="Z206" i="3"/>
  <c r="AJ206" i="3"/>
  <c r="AH206" i="3"/>
  <c r="P206" i="3"/>
  <c r="O206" i="3"/>
  <c r="X206" i="3"/>
  <c r="R206" i="3"/>
  <c r="N206" i="3"/>
  <c r="AA206" i="3"/>
  <c r="AD206" i="3"/>
  <c r="Q202" i="3"/>
  <c r="AH202" i="3"/>
  <c r="AK202" i="3"/>
  <c r="S202" i="3"/>
  <c r="T202" i="3"/>
  <c r="AD202" i="3"/>
  <c r="AA202" i="3"/>
  <c r="AE202" i="3"/>
  <c r="N202" i="3"/>
  <c r="P202" i="3"/>
  <c r="R202" i="3"/>
  <c r="Y202" i="3"/>
  <c r="AB202" i="3"/>
  <c r="AF202" i="3"/>
  <c r="AG202" i="3"/>
  <c r="AI202" i="3"/>
  <c r="U202" i="3"/>
  <c r="AL202" i="3"/>
  <c r="AJ202" i="3"/>
  <c r="Z202" i="3"/>
  <c r="O202" i="3"/>
  <c r="AC202" i="3"/>
  <c r="X202" i="3"/>
  <c r="Z194" i="3"/>
  <c r="O194" i="3"/>
  <c r="AK194" i="3"/>
  <c r="Q194" i="3"/>
  <c r="S194" i="3"/>
  <c r="AI194" i="3"/>
  <c r="AH194" i="3"/>
  <c r="AE194" i="3"/>
  <c r="AL194" i="3"/>
  <c r="X194" i="3"/>
  <c r="R194" i="3"/>
  <c r="AG194" i="3"/>
  <c r="N194" i="3"/>
  <c r="AJ194" i="3"/>
  <c r="Y194" i="3"/>
  <c r="T194" i="3"/>
  <c r="AB194" i="3"/>
  <c r="U194" i="3"/>
  <c r="P194" i="3"/>
  <c r="AC194" i="3"/>
  <c r="AF194" i="3"/>
  <c r="AD194" i="3"/>
  <c r="AA194" i="3"/>
  <c r="N190" i="3"/>
  <c r="AE190" i="3"/>
  <c r="AK190" i="3"/>
  <c r="AF190" i="3"/>
  <c r="AL190" i="3"/>
  <c r="AJ190" i="3"/>
  <c r="AG190" i="3"/>
  <c r="R190" i="3"/>
  <c r="Y190" i="3"/>
  <c r="Z190" i="3"/>
  <c r="T190" i="3"/>
  <c r="AI190" i="3"/>
  <c r="O190" i="3"/>
  <c r="U190" i="3"/>
  <c r="Q190" i="3"/>
  <c r="AC190" i="3"/>
  <c r="X190" i="3"/>
  <c r="P190" i="3"/>
  <c r="AH190" i="3"/>
  <c r="S190" i="3"/>
  <c r="AB190" i="3"/>
  <c r="AA190" i="3"/>
  <c r="AD190" i="3"/>
  <c r="Q186" i="3"/>
  <c r="AE186" i="3"/>
  <c r="Y186" i="3"/>
  <c r="S186" i="3"/>
  <c r="AK186" i="3"/>
  <c r="AF186" i="3"/>
  <c r="N186" i="3"/>
  <c r="AB186" i="3"/>
  <c r="Z186" i="3"/>
  <c r="AH186" i="3"/>
  <c r="U186" i="3"/>
  <c r="O186" i="3"/>
  <c r="R186" i="3"/>
  <c r="X186" i="3"/>
  <c r="AL186" i="3"/>
  <c r="AJ186" i="3"/>
  <c r="P186" i="3"/>
  <c r="AG186" i="3"/>
  <c r="AI186" i="3"/>
  <c r="T186" i="3"/>
  <c r="AC186" i="3"/>
  <c r="AA186" i="3"/>
  <c r="AD186" i="3"/>
  <c r="AF182" i="3"/>
  <c r="AB182" i="3"/>
  <c r="AC182" i="3"/>
  <c r="AI182" i="3"/>
  <c r="P182" i="3"/>
  <c r="N182" i="3"/>
  <c r="Q182" i="3"/>
  <c r="AE182" i="3"/>
  <c r="U182" i="3"/>
  <c r="AJ182" i="3"/>
  <c r="Y182" i="3"/>
  <c r="AK182" i="3"/>
  <c r="AH182" i="3"/>
  <c r="X182" i="3"/>
  <c r="T182" i="3"/>
  <c r="R182" i="3"/>
  <c r="S182" i="3"/>
  <c r="O182" i="3"/>
  <c r="AG182" i="3"/>
  <c r="AL182" i="3"/>
  <c r="Z182" i="3"/>
  <c r="AD182" i="3"/>
  <c r="AA182" i="3"/>
  <c r="N178" i="3"/>
  <c r="AC178" i="3"/>
  <c r="AK178" i="3"/>
  <c r="Q178" i="3"/>
  <c r="AD178" i="3"/>
  <c r="AH178" i="3"/>
  <c r="AJ178" i="3"/>
  <c r="AG178" i="3"/>
  <c r="AA178" i="3"/>
  <c r="Z178" i="3"/>
  <c r="AF178" i="3"/>
  <c r="AB178" i="3"/>
  <c r="P178" i="3"/>
  <c r="O178" i="3"/>
  <c r="T178" i="3"/>
  <c r="Y178" i="3"/>
  <c r="AI178" i="3"/>
  <c r="AL178" i="3"/>
  <c r="AE178" i="3"/>
  <c r="X178" i="3"/>
  <c r="U178" i="3"/>
  <c r="R178" i="3"/>
  <c r="S178" i="3"/>
  <c r="AI174" i="3"/>
  <c r="P174" i="3"/>
  <c r="Z174" i="3"/>
  <c r="U174" i="3"/>
  <c r="AE174" i="3"/>
  <c r="AK174" i="3"/>
  <c r="AJ174" i="3"/>
  <c r="N174" i="3"/>
  <c r="AH174" i="3"/>
  <c r="AG174" i="3"/>
  <c r="Y174" i="3"/>
  <c r="R174" i="3"/>
  <c r="AL174" i="3"/>
  <c r="O174" i="3"/>
  <c r="AF174" i="3"/>
  <c r="S174" i="3"/>
  <c r="AB174" i="3"/>
  <c r="X174" i="3"/>
  <c r="T174" i="3"/>
  <c r="Q174" i="3"/>
  <c r="AC174" i="3"/>
  <c r="AD174" i="3"/>
  <c r="AA174" i="3"/>
  <c r="AB170" i="3"/>
  <c r="R170" i="3"/>
  <c r="X170" i="3"/>
  <c r="AI170" i="3"/>
  <c r="AH170" i="3"/>
  <c r="U170" i="3"/>
  <c r="O170" i="3"/>
  <c r="AG170" i="3"/>
  <c r="P170" i="3"/>
  <c r="Y170" i="3"/>
  <c r="AK170" i="3"/>
  <c r="S170" i="3"/>
  <c r="AE170" i="3"/>
  <c r="AC170" i="3"/>
  <c r="Q170" i="3"/>
  <c r="Z170" i="3"/>
  <c r="AF170" i="3"/>
  <c r="N170" i="3"/>
  <c r="AL170" i="3"/>
  <c r="AJ170" i="3"/>
  <c r="T170" i="3"/>
  <c r="AD170" i="3"/>
  <c r="AA170" i="3"/>
  <c r="AJ166" i="3"/>
  <c r="Q166" i="3"/>
  <c r="Y166" i="3"/>
  <c r="AE166" i="3"/>
  <c r="R166" i="3"/>
  <c r="N166" i="3"/>
  <c r="AC166" i="3"/>
  <c r="AI166" i="3"/>
  <c r="AA166" i="3"/>
  <c r="S166" i="3"/>
  <c r="T166" i="3"/>
  <c r="U166" i="3"/>
  <c r="AL166" i="3"/>
  <c r="AD166" i="3"/>
  <c r="P166" i="3"/>
  <c r="Z166" i="3"/>
  <c r="AG166" i="3"/>
  <c r="X166" i="3"/>
  <c r="AH166" i="3"/>
  <c r="AB166" i="3"/>
  <c r="AF166" i="3"/>
  <c r="O166" i="3"/>
  <c r="AK166" i="3"/>
  <c r="Z162" i="3"/>
  <c r="AG162" i="3"/>
  <c r="S162" i="3"/>
  <c r="AB162" i="3"/>
  <c r="N162" i="3"/>
  <c r="T162" i="3"/>
  <c r="O162" i="3"/>
  <c r="Y162" i="3"/>
  <c r="AL162" i="3"/>
  <c r="Q162" i="3"/>
  <c r="U162" i="3"/>
  <c r="AH162" i="3"/>
  <c r="P162" i="3"/>
  <c r="AE162" i="3"/>
  <c r="AC162" i="3"/>
  <c r="R162" i="3"/>
  <c r="AI162" i="3"/>
  <c r="X162" i="3"/>
  <c r="AF162" i="3"/>
  <c r="AK162" i="3"/>
  <c r="AJ162" i="3"/>
  <c r="AA162" i="3"/>
  <c r="AD162" i="3"/>
  <c r="T158" i="3"/>
  <c r="AH158" i="3"/>
  <c r="R158" i="3"/>
  <c r="AI158" i="3"/>
  <c r="AG158" i="3"/>
  <c r="U158" i="3"/>
  <c r="P158" i="3"/>
  <c r="Q158" i="3"/>
  <c r="AC158" i="3"/>
  <c r="X158" i="3"/>
  <c r="S158" i="3"/>
  <c r="AA158" i="3"/>
  <c r="AJ158" i="3"/>
  <c r="N158" i="3"/>
  <c r="AE158" i="3"/>
  <c r="O158" i="3"/>
  <c r="AF158" i="3"/>
  <c r="AK158" i="3"/>
  <c r="Z158" i="3"/>
  <c r="Y158" i="3"/>
  <c r="AD158" i="3"/>
  <c r="AL158" i="3"/>
  <c r="AB158" i="3"/>
  <c r="AF150" i="3"/>
  <c r="O150" i="3"/>
  <c r="T150" i="3"/>
  <c r="AC150" i="3"/>
  <c r="S150" i="3"/>
  <c r="AJ150" i="3"/>
  <c r="AG150" i="3"/>
  <c r="AL150" i="3"/>
  <c r="AB150" i="3"/>
  <c r="AE150" i="3"/>
  <c r="AK150" i="3"/>
  <c r="AI150" i="3"/>
  <c r="N150" i="3"/>
  <c r="U150" i="3"/>
  <c r="Q150" i="3"/>
  <c r="AH150" i="3"/>
  <c r="P150" i="3"/>
  <c r="X150" i="3"/>
  <c r="R150" i="3"/>
  <c r="Y150" i="3"/>
  <c r="Z150" i="3"/>
  <c r="AD150" i="3"/>
  <c r="AA150" i="3"/>
  <c r="AL146" i="3"/>
  <c r="AC146" i="3"/>
  <c r="AJ146" i="3"/>
  <c r="AH146" i="3"/>
  <c r="X146" i="3"/>
  <c r="Z146" i="3"/>
  <c r="O146" i="3"/>
  <c r="AB146" i="3"/>
  <c r="Q146" i="3"/>
  <c r="AE146" i="3"/>
  <c r="S146" i="3"/>
  <c r="AI146" i="3"/>
  <c r="AG146" i="3"/>
  <c r="U146" i="3"/>
  <c r="AK146" i="3"/>
  <c r="P146" i="3"/>
  <c r="R146" i="3"/>
  <c r="AF146" i="3"/>
  <c r="Y146" i="3"/>
  <c r="T146" i="3"/>
  <c r="N146" i="3"/>
  <c r="AD146" i="3"/>
  <c r="AA146" i="3"/>
  <c r="X142" i="3"/>
  <c r="AJ142" i="3"/>
  <c r="N142" i="3"/>
  <c r="AL142" i="3"/>
  <c r="P142" i="3"/>
  <c r="Y142" i="3"/>
  <c r="AF142" i="3"/>
  <c r="U142" i="3"/>
  <c r="AC142" i="3"/>
  <c r="O142" i="3"/>
  <c r="AG142" i="3"/>
  <c r="Z142" i="3"/>
  <c r="S142" i="3"/>
  <c r="AH142" i="3"/>
  <c r="R142" i="3"/>
  <c r="T142" i="3"/>
  <c r="AE142" i="3"/>
  <c r="AB142" i="3"/>
  <c r="Q142" i="3"/>
  <c r="AK142" i="3"/>
  <c r="AI142" i="3"/>
  <c r="AD142" i="3"/>
  <c r="AA142" i="3"/>
  <c r="AF138" i="3"/>
  <c r="AB138" i="3"/>
  <c r="Z138" i="3"/>
  <c r="AJ138" i="3"/>
  <c r="AH138" i="3"/>
  <c r="X138" i="3"/>
  <c r="Y138" i="3"/>
  <c r="Q138" i="3"/>
  <c r="AK138" i="3"/>
  <c r="S138" i="3"/>
  <c r="P138" i="3"/>
  <c r="R138" i="3"/>
  <c r="O138" i="3"/>
  <c r="AI138" i="3"/>
  <c r="AC138" i="3"/>
  <c r="T138" i="3"/>
  <c r="AE138" i="3"/>
  <c r="U138" i="3"/>
  <c r="N138" i="3"/>
  <c r="AG138" i="3"/>
  <c r="AL138" i="3"/>
  <c r="AD138" i="3"/>
  <c r="AA138" i="3"/>
  <c r="AF134" i="3"/>
  <c r="R134" i="3"/>
  <c r="S134" i="3"/>
  <c r="AG134" i="3"/>
  <c r="AC134" i="3"/>
  <c r="AH134" i="3"/>
  <c r="Z134" i="3"/>
  <c r="AI134" i="3"/>
  <c r="AB134" i="3"/>
  <c r="U134" i="3"/>
  <c r="O134" i="3"/>
  <c r="Q134" i="3"/>
  <c r="X134" i="3"/>
  <c r="AJ134" i="3"/>
  <c r="AK134" i="3"/>
  <c r="P134" i="3"/>
  <c r="AL134" i="3"/>
  <c r="AE134" i="3"/>
  <c r="AD134" i="3"/>
  <c r="T134" i="3"/>
  <c r="N134" i="3"/>
  <c r="Y134" i="3"/>
  <c r="AA134" i="3"/>
  <c r="S130" i="3"/>
  <c r="AJ130" i="3"/>
  <c r="O130" i="3"/>
  <c r="AC130" i="3"/>
  <c r="P130" i="3"/>
  <c r="U130" i="3"/>
  <c r="Q130" i="3"/>
  <c r="Y130" i="3"/>
  <c r="AL130" i="3"/>
  <c r="AG130" i="3"/>
  <c r="AE130" i="3"/>
  <c r="Z130" i="3"/>
  <c r="T130" i="3"/>
  <c r="AB130" i="3"/>
  <c r="N130" i="3"/>
  <c r="AF130" i="3"/>
  <c r="AD130" i="3"/>
  <c r="AA130" i="3"/>
  <c r="AH130" i="3"/>
  <c r="AI130" i="3"/>
  <c r="R130" i="3"/>
  <c r="X130" i="3"/>
  <c r="AK130" i="3"/>
  <c r="U126" i="3"/>
  <c r="AK126" i="3"/>
  <c r="O126" i="3"/>
  <c r="AE126" i="3"/>
  <c r="AL126" i="3"/>
  <c r="S126" i="3"/>
  <c r="AJ126" i="3"/>
  <c r="R126" i="3"/>
  <c r="AB126" i="3"/>
  <c r="AC126" i="3"/>
  <c r="N126" i="3"/>
  <c r="AG126" i="3"/>
  <c r="AF126" i="3"/>
  <c r="Q126" i="3"/>
  <c r="AH126" i="3"/>
  <c r="AI126" i="3"/>
  <c r="P126" i="3"/>
  <c r="Z126" i="3"/>
  <c r="AD126" i="3"/>
  <c r="X126" i="3"/>
  <c r="T126" i="3"/>
  <c r="Y126" i="3"/>
  <c r="AA126" i="3"/>
  <c r="AH122" i="3"/>
  <c r="N122" i="3"/>
  <c r="AB122" i="3"/>
  <c r="AK122" i="3"/>
  <c r="X122" i="3"/>
  <c r="Y122" i="3"/>
  <c r="Z122" i="3"/>
  <c r="AE122" i="3"/>
  <c r="Q122" i="3"/>
  <c r="AI122" i="3"/>
  <c r="AA122" i="3"/>
  <c r="O122" i="3"/>
  <c r="U122" i="3"/>
  <c r="T122" i="3"/>
  <c r="P122" i="3"/>
  <c r="R122" i="3"/>
  <c r="AD122" i="3"/>
  <c r="AC122" i="3"/>
  <c r="AF122" i="3"/>
  <c r="AG122" i="3"/>
  <c r="S122" i="3"/>
  <c r="AJ122" i="3"/>
  <c r="AL122" i="3"/>
  <c r="S118" i="3"/>
  <c r="AC118" i="3"/>
  <c r="Z118" i="3"/>
  <c r="AB118" i="3"/>
  <c r="Q118" i="3"/>
  <c r="AH118" i="3"/>
  <c r="N118" i="3"/>
  <c r="AJ118" i="3"/>
  <c r="AF118" i="3"/>
  <c r="AI118" i="3"/>
  <c r="AE118" i="3"/>
  <c r="T118" i="3"/>
  <c r="P118" i="3"/>
  <c r="R118" i="3"/>
  <c r="X118" i="3"/>
  <c r="AK118" i="3"/>
  <c r="O118" i="3"/>
  <c r="AL118" i="3"/>
  <c r="U118" i="3"/>
  <c r="AG118" i="3"/>
  <c r="Y118" i="3"/>
  <c r="AD118" i="3"/>
  <c r="AA118" i="3"/>
  <c r="S114" i="3"/>
  <c r="AB114" i="3"/>
  <c r="AC114" i="3"/>
  <c r="U114" i="3"/>
  <c r="AH114" i="3"/>
  <c r="Q114" i="3"/>
  <c r="AI114" i="3"/>
  <c r="AK114" i="3"/>
  <c r="T114" i="3"/>
  <c r="Z114" i="3"/>
  <c r="AJ114" i="3"/>
  <c r="AF114" i="3"/>
  <c r="P114" i="3"/>
  <c r="AG114" i="3"/>
  <c r="X114" i="3"/>
  <c r="AE114" i="3"/>
  <c r="R114" i="3"/>
  <c r="O114" i="3"/>
  <c r="Y114" i="3"/>
  <c r="AL114" i="3"/>
  <c r="N114" i="3"/>
  <c r="AD114" i="3"/>
  <c r="AA114" i="3"/>
  <c r="U110" i="3"/>
  <c r="AG110" i="3"/>
  <c r="AE110" i="3"/>
  <c r="N110" i="3"/>
  <c r="X110" i="3"/>
  <c r="Q110" i="3"/>
  <c r="P110" i="3"/>
  <c r="Y110" i="3"/>
  <c r="R110" i="3"/>
  <c r="AL110" i="3"/>
  <c r="AK110" i="3"/>
  <c r="T110" i="3"/>
  <c r="S110" i="3"/>
  <c r="AJ110" i="3"/>
  <c r="AC110" i="3"/>
  <c r="O110" i="3"/>
  <c r="AI110" i="3"/>
  <c r="AB110" i="3"/>
  <c r="AF110" i="3"/>
  <c r="AH110" i="3"/>
  <c r="AD110" i="3"/>
  <c r="Z110" i="3"/>
  <c r="AA110" i="3"/>
  <c r="AK106" i="3"/>
  <c r="X106" i="3"/>
  <c r="P106" i="3"/>
  <c r="AF106" i="3"/>
  <c r="T106" i="3"/>
  <c r="Z106" i="3"/>
  <c r="AB106" i="3"/>
  <c r="AI106" i="3"/>
  <c r="Y106" i="3"/>
  <c r="N106" i="3"/>
  <c r="O106" i="3"/>
  <c r="U106" i="3"/>
  <c r="AL106" i="3"/>
  <c r="AJ106" i="3"/>
  <c r="AH106" i="3"/>
  <c r="AC106" i="3"/>
  <c r="Q106" i="3"/>
  <c r="S106" i="3"/>
  <c r="AG106" i="3"/>
  <c r="R106" i="3"/>
  <c r="AE106" i="3"/>
  <c r="AA106" i="3"/>
  <c r="AD106" i="3"/>
  <c r="AB102" i="3"/>
  <c r="Y102" i="3"/>
  <c r="AJ102" i="3"/>
  <c r="N102" i="3"/>
  <c r="AI102" i="3"/>
  <c r="U102" i="3"/>
  <c r="Z102" i="3"/>
  <c r="AC102" i="3"/>
  <c r="X102" i="3"/>
  <c r="AG102" i="3"/>
  <c r="AH102" i="3"/>
  <c r="T102" i="3"/>
  <c r="AL102" i="3"/>
  <c r="P102" i="3"/>
  <c r="R102" i="3"/>
  <c r="S102" i="3"/>
  <c r="AK102" i="3"/>
  <c r="O102" i="3"/>
  <c r="AF102" i="3"/>
  <c r="AE102" i="3"/>
  <c r="Q102" i="3"/>
  <c r="AD102" i="3"/>
  <c r="AA102" i="3"/>
  <c r="Q98" i="3"/>
  <c r="T98" i="3"/>
  <c r="AH98" i="3"/>
  <c r="AF98" i="3"/>
  <c r="Y98" i="3"/>
  <c r="S98" i="3"/>
  <c r="AD98" i="3"/>
  <c r="AA98" i="3"/>
  <c r="AI98" i="3"/>
  <c r="AJ98" i="3"/>
  <c r="U98" i="3"/>
  <c r="AC98" i="3"/>
  <c r="AB98" i="3"/>
  <c r="AK98" i="3"/>
  <c r="AE98" i="3"/>
  <c r="O98" i="3"/>
  <c r="X98" i="3"/>
  <c r="P98" i="3"/>
  <c r="R98" i="3"/>
  <c r="AL98" i="3"/>
  <c r="AG98" i="3"/>
  <c r="N98" i="3"/>
  <c r="Z98" i="3"/>
  <c r="AK94" i="3"/>
  <c r="P94" i="3"/>
  <c r="T94" i="3"/>
  <c r="AF94" i="3"/>
  <c r="AH94" i="3"/>
  <c r="U94" i="3"/>
  <c r="Q94" i="3"/>
  <c r="R94" i="3"/>
  <c r="N94" i="3"/>
  <c r="S94" i="3"/>
  <c r="AJ94" i="3"/>
  <c r="X94" i="3"/>
  <c r="AG94" i="3"/>
  <c r="AE94" i="3"/>
  <c r="AI94" i="3"/>
  <c r="Z94" i="3"/>
  <c r="Y94" i="3"/>
  <c r="O94" i="3"/>
  <c r="AD94" i="3"/>
  <c r="AC94" i="3"/>
  <c r="AA94" i="3"/>
  <c r="AB94" i="3"/>
  <c r="AL94" i="3"/>
  <c r="AC90" i="3"/>
  <c r="Q90" i="3"/>
  <c r="AG90" i="3"/>
  <c r="U90" i="3"/>
  <c r="X90" i="3"/>
  <c r="AJ90" i="3"/>
  <c r="Z90" i="3"/>
  <c r="R90" i="3"/>
  <c r="T90" i="3"/>
  <c r="AB90" i="3"/>
  <c r="AI90" i="3"/>
  <c r="AE90" i="3"/>
  <c r="O90" i="3"/>
  <c r="AH90" i="3"/>
  <c r="AF90" i="3"/>
  <c r="S90" i="3"/>
  <c r="AK90" i="3"/>
  <c r="N90" i="3"/>
  <c r="Y90" i="3"/>
  <c r="P90" i="3"/>
  <c r="AL90" i="3"/>
  <c r="AA90" i="3"/>
  <c r="AD90" i="3"/>
  <c r="AJ86" i="3"/>
  <c r="X86" i="3"/>
  <c r="N86" i="3"/>
  <c r="AK86" i="3"/>
  <c r="Z86" i="3"/>
  <c r="P86" i="3"/>
  <c r="Y86" i="3"/>
  <c r="AE86" i="3"/>
  <c r="O86" i="3"/>
  <c r="Q86" i="3"/>
  <c r="AF86" i="3"/>
  <c r="R86" i="3"/>
  <c r="AC86" i="3"/>
  <c r="S86" i="3"/>
  <c r="AB86" i="3"/>
  <c r="AH86" i="3"/>
  <c r="T86" i="3"/>
  <c r="AA86" i="3"/>
  <c r="AL86" i="3"/>
  <c r="AG86" i="3"/>
  <c r="U86" i="3"/>
  <c r="AI86" i="3"/>
  <c r="AD86" i="3"/>
  <c r="P82" i="3"/>
  <c r="T82" i="3"/>
  <c r="Q82" i="3"/>
  <c r="AH82" i="3"/>
  <c r="N82" i="3"/>
  <c r="AK82" i="3"/>
  <c r="AL82" i="3"/>
  <c r="R82" i="3"/>
  <c r="AB82" i="3"/>
  <c r="Z82" i="3"/>
  <c r="O82" i="3"/>
  <c r="AJ82" i="3"/>
  <c r="X82" i="3"/>
  <c r="U82" i="3"/>
  <c r="Y82" i="3"/>
  <c r="AE82" i="3"/>
  <c r="AC82" i="3"/>
  <c r="S82" i="3"/>
  <c r="AI82" i="3"/>
  <c r="AG82" i="3"/>
  <c r="AF82" i="3"/>
  <c r="AA82" i="3"/>
  <c r="AD82" i="3"/>
  <c r="AI78" i="3"/>
  <c r="Z78" i="3"/>
  <c r="R78" i="3"/>
  <c r="U78" i="3"/>
  <c r="AE78" i="3"/>
  <c r="AF78" i="3"/>
  <c r="O78" i="3"/>
  <c r="AL78" i="3"/>
  <c r="AG78" i="3"/>
  <c r="AJ78" i="3"/>
  <c r="Q78" i="3"/>
  <c r="Y78" i="3"/>
  <c r="N78" i="3"/>
  <c r="AK78" i="3"/>
  <c r="P78" i="3"/>
  <c r="AB78" i="3"/>
  <c r="S78" i="3"/>
  <c r="T78" i="3"/>
  <c r="AH78" i="3"/>
  <c r="AD78" i="3"/>
  <c r="AA78" i="3"/>
  <c r="AC78" i="3"/>
  <c r="X78" i="3"/>
  <c r="S74" i="3"/>
  <c r="Y74" i="3"/>
  <c r="N74" i="3"/>
  <c r="AC74" i="3"/>
  <c r="P74" i="3"/>
  <c r="AI74" i="3"/>
  <c r="AG74" i="3"/>
  <c r="O74" i="3"/>
  <c r="AK74" i="3"/>
  <c r="Z74" i="3"/>
  <c r="AH74" i="3"/>
  <c r="T74" i="3"/>
  <c r="AE74" i="3"/>
  <c r="AL74" i="3"/>
  <c r="AF74" i="3"/>
  <c r="X74" i="3"/>
  <c r="AJ74" i="3"/>
  <c r="R74" i="3"/>
  <c r="AB74" i="3"/>
  <c r="Q74" i="3"/>
  <c r="U74" i="3"/>
  <c r="AA74" i="3"/>
  <c r="AD74" i="3"/>
  <c r="AH66" i="3"/>
  <c r="AB66" i="3"/>
  <c r="Y66" i="3"/>
  <c r="R66" i="3"/>
  <c r="AE66" i="3"/>
  <c r="X66" i="3"/>
  <c r="AL66" i="3"/>
  <c r="Q66" i="3"/>
  <c r="AC66" i="3"/>
  <c r="AJ66" i="3"/>
  <c r="N66" i="3"/>
  <c r="U66" i="3"/>
  <c r="O66" i="3"/>
  <c r="AG66" i="3"/>
  <c r="S66" i="3"/>
  <c r="Z66" i="3"/>
  <c r="AK66" i="3"/>
  <c r="T66" i="3"/>
  <c r="P66" i="3"/>
  <c r="AF66" i="3"/>
  <c r="AD66" i="3"/>
  <c r="AI66" i="3"/>
  <c r="AA66" i="3"/>
  <c r="AI62" i="3"/>
  <c r="AC62" i="3"/>
  <c r="Z62" i="3"/>
  <c r="AL62" i="3"/>
  <c r="Y62" i="3"/>
  <c r="U62" i="3"/>
  <c r="O62" i="3"/>
  <c r="AH62" i="3"/>
  <c r="AB62" i="3"/>
  <c r="S62" i="3"/>
  <c r="AJ62" i="3"/>
  <c r="N62" i="3"/>
  <c r="Q62" i="3"/>
  <c r="R62" i="3"/>
  <c r="AF62" i="3"/>
  <c r="AK62" i="3"/>
  <c r="T62" i="3"/>
  <c r="AG62" i="3"/>
  <c r="P62" i="3"/>
  <c r="X62" i="3"/>
  <c r="AE62" i="3"/>
  <c r="AD62" i="3"/>
  <c r="AA62" i="3"/>
  <c r="Q58" i="3"/>
  <c r="P58" i="3"/>
  <c r="U58" i="3"/>
  <c r="AI58" i="3"/>
  <c r="AB58" i="3"/>
  <c r="AC58" i="3"/>
  <c r="N58" i="3"/>
  <c r="S58" i="3"/>
  <c r="O58" i="3"/>
  <c r="X58" i="3"/>
  <c r="AJ58" i="3"/>
  <c r="AL58" i="3"/>
  <c r="Y58" i="3"/>
  <c r="T58" i="3"/>
  <c r="AH58" i="3"/>
  <c r="AG58" i="3"/>
  <c r="AK58" i="3"/>
  <c r="R58" i="3"/>
  <c r="Z58" i="3"/>
  <c r="AF58" i="3"/>
  <c r="AE58" i="3"/>
  <c r="AD58" i="3"/>
  <c r="AA58" i="3"/>
  <c r="AE54" i="3"/>
  <c r="AB54" i="3"/>
  <c r="Z54" i="3"/>
  <c r="AL54" i="3"/>
  <c r="AC54" i="3"/>
  <c r="T54" i="3"/>
  <c r="O54" i="3"/>
  <c r="AI54" i="3"/>
  <c r="AH54" i="3"/>
  <c r="R54" i="3"/>
  <c r="U54" i="3"/>
  <c r="P54" i="3"/>
  <c r="AF54" i="3"/>
  <c r="N54" i="3"/>
  <c r="S54" i="3"/>
  <c r="AJ54" i="3"/>
  <c r="Q54" i="3"/>
  <c r="AD54" i="3"/>
  <c r="X54" i="3"/>
  <c r="Y54" i="3"/>
  <c r="AK54" i="3"/>
  <c r="AA54" i="3"/>
  <c r="AG54" i="3"/>
  <c r="AI50" i="3"/>
  <c r="AJ50" i="3"/>
  <c r="S50" i="3"/>
  <c r="AC50" i="3"/>
  <c r="T50" i="3"/>
  <c r="Q50" i="3"/>
  <c r="Z50" i="3"/>
  <c r="AF50" i="3"/>
  <c r="AE50" i="3"/>
  <c r="AH50" i="3"/>
  <c r="N50" i="3"/>
  <c r="AL50" i="3"/>
  <c r="AB50" i="3"/>
  <c r="X50" i="3"/>
  <c r="R50" i="3"/>
  <c r="AK50" i="3"/>
  <c r="AG50" i="3"/>
  <c r="O50" i="3"/>
  <c r="Y50" i="3"/>
  <c r="AD50" i="3"/>
  <c r="AA50" i="3"/>
  <c r="U50" i="3"/>
  <c r="P50" i="3"/>
  <c r="T46" i="3"/>
  <c r="O46" i="3"/>
  <c r="S46" i="3"/>
  <c r="U46" i="3"/>
  <c r="AJ46" i="3"/>
  <c r="R46" i="3"/>
  <c r="AG46" i="3"/>
  <c r="P46" i="3"/>
  <c r="AF46" i="3"/>
  <c r="AH46" i="3"/>
  <c r="Z46" i="3"/>
  <c r="X46" i="3"/>
  <c r="AB46" i="3"/>
  <c r="AI46" i="3"/>
  <c r="Y46" i="3"/>
  <c r="AK46" i="3"/>
  <c r="AE46" i="3"/>
  <c r="AA46" i="3"/>
  <c r="AD46" i="3"/>
  <c r="AL46" i="3"/>
  <c r="N46" i="3"/>
  <c r="AC46" i="3"/>
  <c r="Q46" i="3"/>
  <c r="Q38" i="3"/>
  <c r="P38" i="3"/>
  <c r="AH38" i="3"/>
  <c r="O38" i="3"/>
  <c r="Z38" i="3"/>
  <c r="AG38" i="3"/>
  <c r="R38" i="3"/>
  <c r="X38" i="3"/>
  <c r="AE38" i="3"/>
  <c r="AF38" i="3"/>
  <c r="S38" i="3"/>
  <c r="T38" i="3"/>
  <c r="Y38" i="3"/>
  <c r="AB38" i="3"/>
  <c r="AI38" i="3"/>
  <c r="AK38" i="3"/>
  <c r="U38" i="3"/>
  <c r="N38" i="3"/>
  <c r="AC38" i="3"/>
  <c r="AJ38" i="3"/>
  <c r="AL38" i="3"/>
  <c r="AA38" i="3"/>
  <c r="AD38" i="3"/>
  <c r="AH30" i="3"/>
  <c r="AG30" i="3"/>
  <c r="Q30" i="3"/>
  <c r="Z30" i="3"/>
  <c r="T30" i="3"/>
  <c r="AK30" i="3"/>
  <c r="AB30" i="3"/>
  <c r="P30" i="3"/>
  <c r="AL30" i="3"/>
  <c r="AJ30" i="3"/>
  <c r="R30" i="3"/>
  <c r="N30" i="3"/>
  <c r="AE30" i="3"/>
  <c r="S30" i="3"/>
  <c r="X30" i="3"/>
  <c r="Y30" i="3"/>
  <c r="AF30" i="3"/>
  <c r="U30" i="3"/>
  <c r="AI30" i="3"/>
  <c r="O30" i="3"/>
  <c r="AC30" i="3"/>
  <c r="AD30" i="3"/>
  <c r="AA30" i="3"/>
  <c r="Z26" i="3"/>
  <c r="S26" i="3"/>
  <c r="AF26" i="3"/>
  <c r="U26" i="3"/>
  <c r="O26" i="3"/>
  <c r="Q26" i="3"/>
  <c r="AE26" i="3"/>
  <c r="AC26" i="3"/>
  <c r="AH26" i="3"/>
  <c r="R26" i="3"/>
  <c r="AI26" i="3"/>
  <c r="X26" i="3"/>
  <c r="AL26" i="3"/>
  <c r="AK26" i="3"/>
  <c r="T26" i="3"/>
  <c r="AG26" i="3"/>
  <c r="AJ26" i="3"/>
  <c r="Y26" i="3"/>
  <c r="N26" i="3"/>
  <c r="P26" i="3"/>
  <c r="AB26" i="3"/>
  <c r="AA26" i="3"/>
  <c r="AD26" i="3"/>
  <c r="O22" i="3"/>
  <c r="AF22" i="3"/>
  <c r="N22" i="3"/>
  <c r="AC22" i="3"/>
  <c r="AH22" i="3"/>
  <c r="AG22" i="3"/>
  <c r="P22" i="3"/>
  <c r="AI22" i="3"/>
  <c r="AE22" i="3"/>
  <c r="R22" i="3"/>
  <c r="AL22" i="3"/>
  <c r="U22" i="3"/>
  <c r="X22" i="3"/>
  <c r="AJ22" i="3"/>
  <c r="Z22" i="3"/>
  <c r="AK22" i="3"/>
  <c r="AB22" i="3"/>
  <c r="S22" i="3"/>
  <c r="T22" i="3"/>
  <c r="Y22" i="3"/>
  <c r="AA22" i="3"/>
  <c r="AD22" i="3"/>
  <c r="Q22" i="3"/>
  <c r="M127" i="3"/>
  <c r="M164" i="3"/>
  <c r="M118" i="3"/>
  <c r="M203" i="3"/>
  <c r="L198" i="3"/>
  <c r="V212" i="3"/>
  <c r="W211" i="3"/>
  <c r="AN211" i="3" s="1"/>
  <c r="W212" i="3"/>
  <c r="AN212" i="3" s="1"/>
  <c r="V211" i="3"/>
  <c r="W213" i="3"/>
  <c r="AN213" i="3" s="1"/>
  <c r="V213" i="3"/>
  <c r="T198" i="3"/>
  <c r="Y154" i="3"/>
  <c r="R70" i="3"/>
  <c r="T42" i="3"/>
  <c r="R34" i="3"/>
  <c r="R17" i="3"/>
  <c r="AE185" i="3"/>
  <c r="AF185" i="3"/>
  <c r="Q181" i="3"/>
  <c r="AF198" i="3"/>
  <c r="AI154" i="3"/>
  <c r="T70" i="3"/>
  <c r="X198" i="3"/>
  <c r="AC154" i="3"/>
  <c r="AG70" i="3"/>
  <c r="AG42" i="3"/>
  <c r="AJ34" i="3"/>
  <c r="O17" i="3"/>
  <c r="AI17" i="3"/>
  <c r="N185" i="3"/>
  <c r="AA185" i="3"/>
  <c r="AE181" i="3"/>
  <c r="AH198" i="3"/>
  <c r="O154" i="3"/>
  <c r="X70" i="3"/>
  <c r="Q42" i="3"/>
  <c r="Q34" i="3"/>
  <c r="AC198" i="3"/>
  <c r="M23" i="3"/>
  <c r="L41" i="3"/>
  <c r="AG198" i="3"/>
  <c r="AK154" i="3"/>
  <c r="N154" i="3"/>
  <c r="AB70" i="3"/>
  <c r="Z198" i="3"/>
  <c r="T154" i="3"/>
  <c r="AE154" i="3"/>
  <c r="Q70" i="3"/>
  <c r="X42" i="3"/>
  <c r="AI34" i="3"/>
  <c r="N34" i="3"/>
  <c r="AH17" i="3"/>
  <c r="AA17" i="3"/>
  <c r="U198" i="3"/>
  <c r="AE198" i="3"/>
  <c r="U154" i="3"/>
  <c r="AA154" i="3"/>
  <c r="N70" i="3"/>
  <c r="P70" i="3"/>
  <c r="AI42" i="3"/>
  <c r="AF34" i="3"/>
  <c r="U34" i="3"/>
  <c r="AG17" i="3"/>
  <c r="AB17" i="3"/>
  <c r="AK198" i="3"/>
  <c r="P198" i="3"/>
  <c r="AB154" i="3"/>
  <c r="AD154" i="3"/>
  <c r="R198" i="3"/>
  <c r="AI198" i="3"/>
  <c r="AG154" i="3"/>
  <c r="AL154" i="3"/>
  <c r="S198" i="3"/>
  <c r="O198" i="3"/>
  <c r="R154" i="3"/>
  <c r="P154" i="3"/>
  <c r="Y70" i="3"/>
  <c r="AH70" i="3"/>
  <c r="AL42" i="3"/>
  <c r="Z42" i="3"/>
  <c r="O34" i="3"/>
  <c r="AH34" i="3"/>
  <c r="AB198" i="3"/>
  <c r="AL198" i="3"/>
  <c r="AH154" i="3"/>
  <c r="U70" i="3"/>
  <c r="AE70" i="3"/>
  <c r="AE42" i="3"/>
  <c r="N42" i="3"/>
  <c r="S34" i="3"/>
  <c r="AA34" i="3"/>
  <c r="AL17" i="3"/>
  <c r="AG185" i="3"/>
  <c r="AK181" i="3"/>
  <c r="L61" i="3"/>
  <c r="Q198" i="3"/>
  <c r="AA198" i="3"/>
  <c r="AF154" i="3"/>
  <c r="AK70" i="3"/>
  <c r="AA70" i="3"/>
  <c r="R42" i="3"/>
  <c r="AH42" i="3"/>
  <c r="Y34" i="3"/>
  <c r="AD34" i="3"/>
  <c r="Y17" i="3"/>
  <c r="O185" i="3"/>
  <c r="N198" i="3"/>
  <c r="AD198" i="3"/>
  <c r="X154" i="3"/>
  <c r="Z70" i="3"/>
  <c r="AD70" i="3"/>
  <c r="AF42" i="3"/>
  <c r="AA42" i="3"/>
  <c r="P34" i="3"/>
  <c r="P17" i="3"/>
  <c r="AB185" i="3"/>
  <c r="AJ185" i="3"/>
  <c r="O181" i="3"/>
  <c r="Y198" i="3"/>
  <c r="Q154" i="3"/>
  <c r="O70" i="3"/>
  <c r="AB42" i="3"/>
  <c r="AD42" i="3"/>
  <c r="AE34" i="3"/>
  <c r="AD17" i="3"/>
  <c r="Y185" i="3"/>
  <c r="AD185" i="3"/>
  <c r="AL181" i="3"/>
  <c r="M17" i="3"/>
  <c r="AJ198" i="3"/>
  <c r="S70" i="3"/>
  <c r="Y42" i="3"/>
  <c r="AB34" i="3"/>
  <c r="AF17" i="3"/>
  <c r="Z185" i="3"/>
  <c r="X181" i="3"/>
  <c r="AJ42" i="3"/>
  <c r="AL34" i="3"/>
  <c r="T17" i="3"/>
  <c r="AL185" i="3"/>
  <c r="P181" i="3"/>
  <c r="AG61" i="3"/>
  <c r="AH53" i="3"/>
  <c r="AD41" i="3"/>
  <c r="Z41" i="3"/>
  <c r="AF16" i="3"/>
  <c r="AL180" i="3"/>
  <c r="AK180" i="3"/>
  <c r="AK34" i="3"/>
  <c r="S17" i="3"/>
  <c r="S185" i="3"/>
  <c r="U181" i="3"/>
  <c r="T61" i="3"/>
  <c r="X53" i="3"/>
  <c r="Q41" i="3"/>
  <c r="O41" i="3"/>
  <c r="AH16" i="3"/>
  <c r="AI180" i="3"/>
  <c r="Q180" i="3"/>
  <c r="U160" i="3"/>
  <c r="N160" i="3"/>
  <c r="AG34" i="3"/>
  <c r="U17" i="3"/>
  <c r="U185" i="3"/>
  <c r="Y181" i="3"/>
  <c r="AE61" i="3"/>
  <c r="N53" i="3"/>
  <c r="AH41" i="3"/>
  <c r="AJ16" i="3"/>
  <c r="AG180" i="3"/>
  <c r="AA180" i="3"/>
  <c r="AK160" i="3"/>
  <c r="P160" i="3"/>
  <c r="AH124" i="3"/>
  <c r="AD124" i="3"/>
  <c r="Q64" i="3"/>
  <c r="AE17" i="3"/>
  <c r="P185" i="3"/>
  <c r="AG181" i="3"/>
  <c r="AB61" i="3"/>
  <c r="AK53" i="3"/>
  <c r="AK17" i="3"/>
  <c r="T185" i="3"/>
  <c r="T181" i="3"/>
  <c r="AJ17" i="3"/>
  <c r="R185" i="3"/>
  <c r="AH181" i="3"/>
  <c r="AC17" i="3"/>
  <c r="R181" i="3"/>
  <c r="AD181" i="3"/>
  <c r="N17" i="3"/>
  <c r="AC181" i="3"/>
  <c r="AA181" i="3"/>
  <c r="O61" i="3"/>
  <c r="AB53" i="3"/>
  <c r="AJ53" i="3"/>
  <c r="AC41" i="3"/>
  <c r="AE16" i="3"/>
  <c r="P16" i="3"/>
  <c r="U180" i="3"/>
  <c r="AG160" i="3"/>
  <c r="S154" i="3"/>
  <c r="Z17" i="3"/>
  <c r="S181" i="3"/>
  <c r="R61" i="3"/>
  <c r="X61" i="3"/>
  <c r="AE53" i="3"/>
  <c r="AL53" i="3"/>
  <c r="Z154" i="3"/>
  <c r="S42" i="3"/>
  <c r="AK185" i="3"/>
  <c r="AB181" i="3"/>
  <c r="AK61" i="3"/>
  <c r="Q61" i="3"/>
  <c r="Z53" i="3"/>
  <c r="Y53" i="3"/>
  <c r="AA41" i="3"/>
  <c r="Z16" i="3"/>
  <c r="R16" i="3"/>
  <c r="AB180" i="3"/>
  <c r="AJ154" i="3"/>
  <c r="AJ70" i="3"/>
  <c r="AC42" i="3"/>
  <c r="AH185" i="3"/>
  <c r="AF181" i="3"/>
  <c r="AI61" i="3"/>
  <c r="AF61" i="3"/>
  <c r="AF70" i="3"/>
  <c r="AK42" i="3"/>
  <c r="X34" i="3"/>
  <c r="AI185" i="3"/>
  <c r="AJ181" i="3"/>
  <c r="AJ61" i="3"/>
  <c r="AH61" i="3"/>
  <c r="AC53" i="3"/>
  <c r="R53" i="3"/>
  <c r="S41" i="3"/>
  <c r="AF41" i="3"/>
  <c r="AC16" i="3"/>
  <c r="AA16" i="3"/>
  <c r="AL70" i="3"/>
  <c r="U42" i="3"/>
  <c r="T34" i="3"/>
  <c r="Q185" i="3"/>
  <c r="Z181" i="3"/>
  <c r="AC61" i="3"/>
  <c r="AL61" i="3"/>
  <c r="AI53" i="3"/>
  <c r="AA53" i="3"/>
  <c r="U41" i="3"/>
  <c r="AG41" i="3"/>
  <c r="N16" i="3"/>
  <c r="T180" i="3"/>
  <c r="T160" i="3"/>
  <c r="N124" i="3"/>
  <c r="AC70" i="3"/>
  <c r="O42" i="3"/>
  <c r="Z34" i="3"/>
  <c r="X17" i="3"/>
  <c r="AC185" i="3"/>
  <c r="N181" i="3"/>
  <c r="AI70" i="3"/>
  <c r="P42" i="3"/>
  <c r="AC34" i="3"/>
  <c r="Q17" i="3"/>
  <c r="X185" i="3"/>
  <c r="AI181" i="3"/>
  <c r="AA61" i="3"/>
  <c r="P61" i="3"/>
  <c r="O53" i="3"/>
  <c r="Y41" i="3"/>
  <c r="AE41" i="3"/>
  <c r="Y61" i="3"/>
  <c r="T53" i="3"/>
  <c r="X16" i="3"/>
  <c r="AD180" i="3"/>
  <c r="AF160" i="3"/>
  <c r="X124" i="3"/>
  <c r="O124" i="3"/>
  <c r="T64" i="3"/>
  <c r="Y64" i="3"/>
  <c r="AL20" i="3"/>
  <c r="W18" i="3"/>
  <c r="X151" i="3"/>
  <c r="AK111" i="3"/>
  <c r="AA111" i="3"/>
  <c r="Q16" i="3"/>
  <c r="AD160" i="3"/>
  <c r="AF124" i="3"/>
  <c r="AE64" i="3"/>
  <c r="P64" i="3"/>
  <c r="P20" i="3"/>
  <c r="V18" i="3"/>
  <c r="S16" i="3"/>
  <c r="S160" i="3"/>
  <c r="AA160" i="3"/>
  <c r="T124" i="3"/>
  <c r="AB64" i="3"/>
  <c r="AD64" i="3"/>
  <c r="AG20" i="3"/>
  <c r="U16" i="3"/>
  <c r="AC180" i="3"/>
  <c r="O160" i="3"/>
  <c r="R124" i="3"/>
  <c r="Z64" i="3"/>
  <c r="R64" i="3"/>
  <c r="T20" i="3"/>
  <c r="AH151" i="3"/>
  <c r="N111" i="3"/>
  <c r="AF43" i="3"/>
  <c r="Z43" i="3"/>
  <c r="AK23" i="3"/>
  <c r="R19" i="3"/>
  <c r="AL16" i="3"/>
  <c r="O180" i="3"/>
  <c r="AH160" i="3"/>
  <c r="P124" i="3"/>
  <c r="AK64" i="3"/>
  <c r="AI64" i="3"/>
  <c r="AE20" i="3"/>
  <c r="U151" i="3"/>
  <c r="Y151" i="3"/>
  <c r="X111" i="3"/>
  <c r="Y16" i="3"/>
  <c r="P180" i="3"/>
  <c r="Y160" i="3"/>
  <c r="AG124" i="3"/>
  <c r="AC64" i="3"/>
  <c r="AB20" i="3"/>
  <c r="AL41" i="3"/>
  <c r="AD16" i="3"/>
  <c r="R180" i="3"/>
  <c r="Z160" i="3"/>
  <c r="S124" i="3"/>
  <c r="AA64" i="3"/>
  <c r="Z20" i="3"/>
  <c r="R151" i="3"/>
  <c r="O151" i="3"/>
  <c r="AC111" i="3"/>
  <c r="P41" i="3"/>
  <c r="AK16" i="3"/>
  <c r="AE180" i="3"/>
  <c r="AL160" i="3"/>
  <c r="Q124" i="3"/>
  <c r="O64" i="3"/>
  <c r="U20" i="3"/>
  <c r="AL151" i="3"/>
  <c r="AF151" i="3"/>
  <c r="AG111" i="3"/>
  <c r="R41" i="3"/>
  <c r="AJ180" i="3"/>
  <c r="AJ160" i="3"/>
  <c r="AJ124" i="3"/>
  <c r="X64" i="3"/>
  <c r="Y20" i="3"/>
  <c r="AB151" i="3"/>
  <c r="AA151" i="3"/>
  <c r="AH111" i="3"/>
  <c r="U53" i="3"/>
  <c r="AK41" i="3"/>
  <c r="N180" i="3"/>
  <c r="AB160" i="3"/>
  <c r="U124" i="3"/>
  <c r="AF64" i="3"/>
  <c r="R20" i="3"/>
  <c r="O20" i="3"/>
  <c r="AK151" i="3"/>
  <c r="AD151" i="3"/>
  <c r="R111" i="3"/>
  <c r="S53" i="3"/>
  <c r="AI41" i="3"/>
  <c r="AF180" i="3"/>
  <c r="AC160" i="3"/>
  <c r="Y124" i="3"/>
  <c r="AH64" i="3"/>
  <c r="AK20" i="3"/>
  <c r="X20" i="3"/>
  <c r="P151" i="3"/>
  <c r="AJ151" i="3"/>
  <c r="N61" i="3"/>
  <c r="AF53" i="3"/>
  <c r="AJ41" i="3"/>
  <c r="AG16" i="3"/>
  <c r="S180" i="3"/>
  <c r="X160" i="3"/>
  <c r="AA124" i="3"/>
  <c r="AJ64" i="3"/>
  <c r="AI20" i="3"/>
  <c r="Q20" i="3"/>
  <c r="S151" i="3"/>
  <c r="U61" i="3"/>
  <c r="P53" i="3"/>
  <c r="N41" i="3"/>
  <c r="T16" i="3"/>
  <c r="Z180" i="3"/>
  <c r="AE160" i="3"/>
  <c r="AB124" i="3"/>
  <c r="N64" i="3"/>
  <c r="AJ20" i="3"/>
  <c r="AF20" i="3"/>
  <c r="AI151" i="3"/>
  <c r="AJ111" i="3"/>
  <c r="AE111" i="3"/>
  <c r="Z61" i="3"/>
  <c r="Q53" i="3"/>
  <c r="X41" i="3"/>
  <c r="AB16" i="3"/>
  <c r="AH180" i="3"/>
  <c r="R160" i="3"/>
  <c r="AC124" i="3"/>
  <c r="AE124" i="3"/>
  <c r="S64" i="3"/>
  <c r="AC20" i="3"/>
  <c r="AH20" i="3"/>
  <c r="AG151" i="3"/>
  <c r="S61" i="3"/>
  <c r="AG53" i="3"/>
  <c r="T41" i="3"/>
  <c r="AD61" i="3"/>
  <c r="AD53" i="3"/>
  <c r="AB41" i="3"/>
  <c r="O16" i="3"/>
  <c r="Y180" i="3"/>
  <c r="Q160" i="3"/>
  <c r="Z124" i="3"/>
  <c r="AL124" i="3"/>
  <c r="AG64" i="3"/>
  <c r="AL64" i="3"/>
  <c r="T111" i="3"/>
  <c r="AJ43" i="3"/>
  <c r="N19" i="3"/>
  <c r="Z111" i="3"/>
  <c r="AI43" i="3"/>
  <c r="AF23" i="3"/>
  <c r="AA23" i="3"/>
  <c r="AA19" i="3"/>
  <c r="AD111" i="3"/>
  <c r="S43" i="3"/>
  <c r="AH23" i="3"/>
  <c r="T23" i="3"/>
  <c r="Q19" i="3"/>
  <c r="AI16" i="3"/>
  <c r="N151" i="3"/>
  <c r="AB111" i="3"/>
  <c r="AE43" i="3"/>
  <c r="O43" i="3"/>
  <c r="AB23" i="3"/>
  <c r="AE23" i="3"/>
  <c r="AH19" i="3"/>
  <c r="Q151" i="3"/>
  <c r="P111" i="3"/>
  <c r="R43" i="3"/>
  <c r="T43" i="3"/>
  <c r="S23" i="3"/>
  <c r="S19" i="3"/>
  <c r="AG19" i="3"/>
  <c r="T151" i="3"/>
  <c r="AG43" i="3"/>
  <c r="P43" i="3"/>
  <c r="U23" i="3"/>
  <c r="U19" i="3"/>
  <c r="T19" i="3"/>
  <c r="N20" i="3"/>
  <c r="Z151" i="3"/>
  <c r="AK43" i="3"/>
  <c r="AD43" i="3"/>
  <c r="AL23" i="3"/>
  <c r="AL19" i="3"/>
  <c r="AE19" i="3"/>
  <c r="AA20" i="3"/>
  <c r="AE151" i="3"/>
  <c r="N43" i="3"/>
  <c r="AA43" i="3"/>
  <c r="Y23" i="3"/>
  <c r="Y19" i="3"/>
  <c r="AB19" i="3"/>
  <c r="AD23" i="3"/>
  <c r="X19" i="3"/>
  <c r="S20" i="3"/>
  <c r="AC151" i="3"/>
  <c r="S111" i="3"/>
  <c r="AB43" i="3"/>
  <c r="P23" i="3"/>
  <c r="P19" i="3"/>
  <c r="Z19" i="3"/>
  <c r="AD19" i="3"/>
  <c r="AI124" i="3"/>
  <c r="AD20" i="3"/>
  <c r="O111" i="3"/>
  <c r="AH43" i="3"/>
  <c r="X180" i="3"/>
  <c r="AK124" i="3"/>
  <c r="AI111" i="3"/>
  <c r="U43" i="3"/>
  <c r="AG23" i="3"/>
  <c r="O19" i="3"/>
  <c r="AL111" i="3"/>
  <c r="Y43" i="3"/>
  <c r="Z23" i="3"/>
  <c r="AF19" i="3"/>
  <c r="U111" i="3"/>
  <c r="Q43" i="3"/>
  <c r="R23" i="3"/>
  <c r="AK19" i="3"/>
  <c r="AF111" i="3"/>
  <c r="AL43" i="3"/>
  <c r="AI23" i="3"/>
  <c r="AI19" i="3"/>
  <c r="U64" i="3"/>
  <c r="Y111" i="3"/>
  <c r="AC43" i="3"/>
  <c r="O23" i="3"/>
  <c r="AJ23" i="3"/>
  <c r="AJ19" i="3"/>
  <c r="AI160" i="3"/>
  <c r="Q111" i="3"/>
  <c r="X43" i="3"/>
  <c r="X23" i="3"/>
  <c r="AC23" i="3"/>
  <c r="AC19" i="3"/>
  <c r="Q23" i="3"/>
  <c r="N23" i="3"/>
  <c r="H177" i="3"/>
  <c r="J174" i="3"/>
  <c r="H140" i="3"/>
  <c r="H72" i="3"/>
  <c r="J134" i="3"/>
  <c r="I183" i="3"/>
  <c r="H201" i="3"/>
  <c r="J181" i="3"/>
  <c r="J200" i="3"/>
  <c r="J99" i="3"/>
  <c r="J190" i="3"/>
  <c r="J79" i="3"/>
  <c r="J98" i="3"/>
  <c r="H193" i="3"/>
  <c r="J192" i="3"/>
  <c r="I35" i="3"/>
  <c r="H191" i="3"/>
  <c r="I117" i="3"/>
  <c r="I133" i="3"/>
  <c r="H204" i="3"/>
  <c r="I81" i="3"/>
  <c r="I185" i="3"/>
  <c r="J37" i="3"/>
  <c r="J206" i="3"/>
  <c r="I52" i="3"/>
  <c r="J53" i="3"/>
  <c r="J152" i="3"/>
  <c r="H156" i="3"/>
  <c r="J193" i="3"/>
  <c r="J102" i="3"/>
  <c r="I195" i="3"/>
  <c r="J115" i="3"/>
  <c r="J77" i="3"/>
  <c r="I128" i="3"/>
  <c r="H136" i="3"/>
  <c r="I41" i="3"/>
  <c r="I92" i="3"/>
  <c r="H186" i="3"/>
  <c r="J172" i="3"/>
  <c r="J180" i="3"/>
  <c r="H48" i="3"/>
  <c r="H87" i="3"/>
  <c r="H185" i="3"/>
  <c r="H70" i="3"/>
  <c r="H32" i="3"/>
  <c r="I190" i="3"/>
  <c r="H131" i="3"/>
  <c r="I45" i="3"/>
  <c r="H102" i="3"/>
  <c r="J145" i="3"/>
  <c r="I160" i="3"/>
  <c r="I155" i="3"/>
  <c r="I101" i="3"/>
  <c r="J178" i="3"/>
  <c r="H46" i="3"/>
  <c r="H18" i="3"/>
  <c r="H110" i="3"/>
  <c r="J81" i="3"/>
  <c r="H129" i="3"/>
  <c r="H31" i="3"/>
  <c r="I196" i="3"/>
  <c r="I138" i="3"/>
  <c r="J35" i="3"/>
  <c r="J31" i="3"/>
  <c r="I108" i="3"/>
  <c r="J188" i="3"/>
  <c r="I100" i="3"/>
  <c r="J87" i="3"/>
  <c r="H59" i="3"/>
  <c r="J156" i="3"/>
  <c r="J130" i="3"/>
  <c r="J46" i="3"/>
  <c r="H56" i="3"/>
  <c r="H114" i="3"/>
  <c r="H89" i="3"/>
  <c r="J84" i="3"/>
  <c r="I197" i="3"/>
  <c r="I151" i="3"/>
  <c r="J163" i="3"/>
  <c r="H76" i="3"/>
  <c r="I96" i="3"/>
  <c r="J183" i="3"/>
  <c r="J94" i="3"/>
  <c r="J40" i="3"/>
  <c r="I42" i="3"/>
  <c r="J49" i="3"/>
  <c r="I64" i="3"/>
  <c r="J176" i="3"/>
  <c r="H111" i="3"/>
  <c r="H115" i="3"/>
  <c r="I97" i="3"/>
  <c r="J47" i="3"/>
  <c r="I80" i="3"/>
  <c r="H125" i="3"/>
  <c r="H52" i="3"/>
  <c r="I37" i="3"/>
  <c r="I27" i="3"/>
  <c r="J42" i="3"/>
  <c r="I94" i="3"/>
  <c r="I164" i="3"/>
  <c r="H202" i="3"/>
  <c r="I193" i="3"/>
  <c r="I134" i="3"/>
  <c r="I56" i="3"/>
  <c r="J85" i="3"/>
  <c r="I202" i="3"/>
  <c r="J92" i="3"/>
  <c r="J68" i="3"/>
  <c r="H29" i="3"/>
  <c r="H25" i="3"/>
  <c r="I106" i="3"/>
  <c r="H82" i="3"/>
  <c r="I150" i="3"/>
  <c r="J141" i="3"/>
  <c r="J131" i="3"/>
  <c r="I86" i="3"/>
  <c r="J153" i="3"/>
  <c r="H168" i="3"/>
  <c r="I82" i="3"/>
  <c r="H179" i="3"/>
  <c r="J139" i="3"/>
  <c r="I154" i="3"/>
  <c r="I114" i="3"/>
  <c r="I89" i="3"/>
  <c r="J126" i="3"/>
  <c r="I71" i="3"/>
  <c r="J149" i="3"/>
  <c r="H96" i="3"/>
  <c r="J61" i="3"/>
  <c r="I194" i="3"/>
  <c r="J179" i="3"/>
  <c r="J45" i="3"/>
  <c r="I206" i="3"/>
  <c r="I188" i="3"/>
  <c r="I148" i="3"/>
  <c r="J196" i="3"/>
  <c r="J157" i="3"/>
  <c r="I135" i="3"/>
  <c r="I159" i="3"/>
  <c r="J75" i="3"/>
  <c r="I204" i="3"/>
  <c r="J55" i="3"/>
  <c r="H26" i="3"/>
  <c r="I137" i="3"/>
  <c r="I98" i="3"/>
  <c r="H127" i="3"/>
  <c r="I31" i="3"/>
  <c r="H101" i="3"/>
  <c r="J43" i="3"/>
  <c r="J195" i="3"/>
  <c r="J36" i="3"/>
  <c r="I36" i="3"/>
  <c r="J151" i="3"/>
  <c r="I72" i="3"/>
  <c r="I177" i="3"/>
  <c r="J50" i="3"/>
  <c r="H85" i="3"/>
  <c r="J91" i="3"/>
  <c r="J135" i="3"/>
  <c r="H176" i="3"/>
  <c r="J21" i="3"/>
  <c r="H90" i="3"/>
  <c r="H148" i="3"/>
  <c r="J204" i="3"/>
  <c r="H40" i="3"/>
  <c r="I157" i="3"/>
  <c r="J148" i="3"/>
  <c r="H128" i="3"/>
  <c r="J167" i="3"/>
  <c r="H146" i="3"/>
  <c r="H113" i="3"/>
  <c r="J124" i="3"/>
  <c r="H92" i="3"/>
  <c r="J123" i="3"/>
  <c r="H42" i="3"/>
  <c r="H184" i="3"/>
  <c r="J33" i="3"/>
  <c r="H21" i="3"/>
  <c r="H139" i="3"/>
  <c r="J82" i="3"/>
  <c r="H55" i="3"/>
  <c r="H153" i="3"/>
  <c r="H166" i="3"/>
  <c r="J132" i="3"/>
  <c r="J128" i="3"/>
  <c r="H159" i="3"/>
  <c r="I129" i="3"/>
  <c r="I169" i="3"/>
  <c r="H203" i="3"/>
  <c r="H67" i="3"/>
  <c r="J23" i="3"/>
  <c r="J205" i="3"/>
  <c r="H106" i="3"/>
  <c r="J189" i="3"/>
  <c r="I120" i="3"/>
  <c r="H206" i="3"/>
  <c r="I83" i="3"/>
  <c r="I178" i="3"/>
  <c r="I24" i="3"/>
  <c r="J121" i="3"/>
  <c r="J194" i="3"/>
  <c r="J199" i="3"/>
  <c r="J127" i="3"/>
  <c r="J191" i="3"/>
  <c r="J208" i="3"/>
  <c r="J100" i="3"/>
  <c r="I167" i="3"/>
  <c r="I23" i="3"/>
  <c r="H38" i="3"/>
  <c r="I132" i="3"/>
  <c r="H84" i="3"/>
  <c r="H94" i="3"/>
  <c r="J28" i="3"/>
  <c r="H73" i="3"/>
  <c r="I192" i="3"/>
  <c r="J38" i="3"/>
  <c r="J39" i="3"/>
  <c r="J54" i="3"/>
  <c r="J150" i="3"/>
  <c r="I207" i="3"/>
  <c r="I152" i="3"/>
  <c r="I168" i="3"/>
  <c r="J155" i="3"/>
  <c r="I179" i="3"/>
  <c r="J114" i="3"/>
  <c r="H17" i="3"/>
  <c r="H150" i="3"/>
  <c r="I18" i="3"/>
  <c r="I78" i="3"/>
  <c r="H163" i="3"/>
  <c r="I69" i="3"/>
  <c r="I46" i="3"/>
  <c r="J146" i="3"/>
  <c r="H181" i="3"/>
  <c r="J110" i="3"/>
  <c r="H24" i="3"/>
  <c r="I38" i="3"/>
  <c r="I66" i="3"/>
  <c r="I104" i="3"/>
  <c r="H200" i="3"/>
  <c r="I33" i="3"/>
  <c r="J30" i="3"/>
  <c r="H109" i="3"/>
  <c r="H169" i="3"/>
  <c r="J158" i="3"/>
  <c r="H119" i="3"/>
  <c r="J63" i="3"/>
  <c r="J168" i="3"/>
  <c r="J34" i="3"/>
  <c r="J80" i="3"/>
  <c r="I170" i="3"/>
  <c r="H192" i="3"/>
  <c r="I63" i="3"/>
  <c r="J76" i="3"/>
  <c r="H91" i="3"/>
  <c r="H19" i="3"/>
  <c r="H194" i="3"/>
  <c r="I59" i="3"/>
  <c r="J120" i="3"/>
  <c r="H74" i="3"/>
  <c r="J202" i="3"/>
  <c r="H116" i="3"/>
  <c r="J159" i="3"/>
  <c r="J29" i="3"/>
  <c r="I26" i="3"/>
  <c r="H154" i="3"/>
  <c r="H132" i="3"/>
  <c r="I25" i="3"/>
  <c r="J64" i="3"/>
  <c r="H198" i="3"/>
  <c r="H30" i="3"/>
  <c r="I77" i="3"/>
  <c r="H195" i="3"/>
  <c r="H121" i="3"/>
  <c r="I58" i="3"/>
  <c r="I158" i="3"/>
  <c r="J27" i="3"/>
  <c r="H174" i="3"/>
  <c r="I123" i="3"/>
  <c r="H65" i="3"/>
  <c r="I146" i="3"/>
  <c r="H189" i="3"/>
  <c r="J113" i="3"/>
  <c r="I93" i="3"/>
  <c r="J144" i="3"/>
  <c r="J17" i="3"/>
  <c r="J56" i="3"/>
  <c r="J19" i="3"/>
  <c r="I76" i="3"/>
  <c r="H69" i="3"/>
  <c r="H71" i="3"/>
  <c r="I171" i="3"/>
  <c r="I176" i="3"/>
  <c r="H152" i="3"/>
  <c r="H167" i="3"/>
  <c r="I21" i="3"/>
  <c r="H103" i="3"/>
  <c r="I118" i="3"/>
  <c r="H61" i="3"/>
  <c r="I70" i="3"/>
  <c r="H147" i="3"/>
  <c r="H100" i="3"/>
  <c r="J138" i="3"/>
  <c r="H160" i="3"/>
  <c r="I90" i="3"/>
  <c r="J86" i="3"/>
  <c r="H171" i="3"/>
  <c r="H151" i="3"/>
  <c r="I75" i="3"/>
  <c r="J207" i="3"/>
  <c r="H62" i="3"/>
  <c r="I130" i="3"/>
  <c r="H43" i="3"/>
  <c r="J140" i="3"/>
  <c r="J143" i="3"/>
  <c r="H28" i="3"/>
  <c r="H80" i="3"/>
  <c r="J103" i="3"/>
  <c r="J104" i="3"/>
  <c r="I166" i="3"/>
  <c r="H22" i="3"/>
  <c r="H50" i="3"/>
  <c r="I124" i="3"/>
  <c r="J129" i="3"/>
  <c r="H107" i="3"/>
  <c r="H182" i="3"/>
  <c r="I57" i="3"/>
  <c r="H141" i="3"/>
  <c r="J25" i="3"/>
  <c r="J59" i="3"/>
  <c r="H196" i="3"/>
  <c r="I73" i="3"/>
  <c r="I79" i="3"/>
  <c r="J58" i="3"/>
  <c r="H23" i="3"/>
  <c r="J66" i="3"/>
  <c r="I48" i="3"/>
  <c r="J78" i="3"/>
  <c r="I110" i="3"/>
  <c r="J41" i="3"/>
  <c r="H34" i="3"/>
  <c r="H81" i="3"/>
  <c r="I112" i="3"/>
  <c r="H172" i="3"/>
  <c r="I107" i="3"/>
  <c r="H197" i="3"/>
  <c r="H164" i="3"/>
  <c r="I147" i="3"/>
  <c r="I111" i="3"/>
  <c r="J26" i="3"/>
  <c r="I51" i="3"/>
  <c r="H36" i="3"/>
  <c r="J60" i="3"/>
  <c r="I175" i="3"/>
  <c r="J161" i="3"/>
  <c r="J93" i="3"/>
  <c r="J109" i="3"/>
  <c r="H142" i="3"/>
  <c r="H120" i="3"/>
  <c r="J97" i="3"/>
  <c r="I184" i="3"/>
  <c r="H180" i="3"/>
  <c r="H51" i="3"/>
  <c r="J117" i="3"/>
  <c r="I140" i="3"/>
  <c r="J71" i="3"/>
  <c r="I131" i="3"/>
  <c r="I102" i="3"/>
  <c r="J18" i="3"/>
  <c r="J198" i="3"/>
  <c r="I208" i="3"/>
  <c r="H77" i="3"/>
  <c r="H66" i="3"/>
  <c r="I20" i="3"/>
  <c r="H117" i="3"/>
  <c r="I30" i="3"/>
  <c r="I67" i="3"/>
  <c r="H88" i="3"/>
  <c r="I17" i="3"/>
  <c r="J187" i="3"/>
  <c r="I209" i="3"/>
  <c r="H130" i="3"/>
  <c r="H44" i="3"/>
  <c r="H97" i="3"/>
  <c r="J136" i="3"/>
  <c r="H137" i="3"/>
  <c r="H190" i="3"/>
  <c r="I22" i="3"/>
  <c r="J154" i="3"/>
  <c r="I162" i="3"/>
  <c r="J173" i="3"/>
  <c r="J16" i="3"/>
  <c r="I180" i="3"/>
  <c r="J119" i="3"/>
  <c r="I205" i="3"/>
  <c r="H58" i="3"/>
  <c r="I49" i="3"/>
  <c r="J65" i="3"/>
  <c r="I50" i="3"/>
  <c r="J96" i="3"/>
  <c r="H165" i="3"/>
  <c r="J133" i="3"/>
  <c r="I149" i="3"/>
  <c r="I16" i="3"/>
  <c r="I174" i="3"/>
  <c r="I200" i="3"/>
  <c r="H49" i="3"/>
  <c r="J197" i="3"/>
  <c r="J89" i="3"/>
  <c r="I126" i="3"/>
  <c r="I139" i="3"/>
  <c r="J175" i="3"/>
  <c r="J83" i="3"/>
  <c r="H205" i="3"/>
  <c r="H63" i="3"/>
  <c r="J209" i="3"/>
  <c r="I113" i="3"/>
  <c r="H173" i="3"/>
  <c r="J44" i="3"/>
  <c r="I119" i="3"/>
  <c r="I136" i="3"/>
  <c r="H123" i="3"/>
  <c r="H135" i="3"/>
  <c r="I44" i="3"/>
  <c r="I203" i="3"/>
  <c r="H98" i="3"/>
  <c r="J106" i="3"/>
  <c r="I122" i="3"/>
  <c r="J24" i="3"/>
  <c r="H133" i="3"/>
  <c r="J69" i="3"/>
  <c r="H162" i="3"/>
  <c r="J72" i="3"/>
  <c r="J137" i="3"/>
  <c r="H149" i="3"/>
  <c r="H60" i="3"/>
  <c r="H188" i="3"/>
  <c r="H64" i="3"/>
  <c r="H145" i="3"/>
  <c r="H209" i="3"/>
  <c r="H57" i="3"/>
  <c r="H45" i="3"/>
  <c r="J118" i="3"/>
  <c r="H183" i="3"/>
  <c r="H112" i="3"/>
  <c r="I125" i="3"/>
  <c r="I121" i="3"/>
  <c r="J90" i="3"/>
  <c r="J108" i="3"/>
  <c r="J165" i="3"/>
  <c r="H199" i="3"/>
  <c r="J125" i="3"/>
  <c r="H187" i="3"/>
  <c r="J111" i="3"/>
  <c r="H178" i="3"/>
  <c r="I116" i="3"/>
  <c r="I198" i="3"/>
  <c r="J169" i="3"/>
  <c r="I186" i="3"/>
  <c r="I201" i="3"/>
  <c r="J62" i="3"/>
  <c r="I54" i="3"/>
  <c r="J170" i="3"/>
  <c r="I53" i="3"/>
  <c r="J95" i="3"/>
  <c r="I142" i="3"/>
  <c r="I161" i="3"/>
  <c r="H161" i="3"/>
  <c r="J112" i="3"/>
  <c r="H35" i="3"/>
  <c r="J185" i="3"/>
  <c r="J186" i="3"/>
  <c r="I141" i="3"/>
  <c r="J147" i="3"/>
  <c r="H104" i="3"/>
  <c r="J70" i="3"/>
  <c r="I127" i="3"/>
  <c r="I60" i="3"/>
  <c r="H39" i="3"/>
  <c r="J101" i="3"/>
  <c r="I40" i="3"/>
  <c r="J52" i="3"/>
  <c r="J122" i="3"/>
  <c r="H138" i="3"/>
  <c r="I34" i="3"/>
  <c r="J22" i="3"/>
  <c r="J116" i="3"/>
  <c r="I88" i="3"/>
  <c r="I191" i="3"/>
  <c r="H155" i="3"/>
  <c r="J160" i="3"/>
  <c r="J162" i="3"/>
  <c r="J67" i="3"/>
  <c r="I99" i="3"/>
  <c r="J74" i="3"/>
  <c r="J201" i="3"/>
  <c r="I43" i="3"/>
  <c r="J164" i="3"/>
  <c r="I65" i="3"/>
  <c r="I144" i="3"/>
  <c r="H75" i="3"/>
  <c r="H122" i="3"/>
  <c r="J182" i="3"/>
  <c r="I62" i="3"/>
  <c r="I182" i="3"/>
  <c r="I173" i="3"/>
  <c r="H47" i="3"/>
  <c r="H144" i="3"/>
  <c r="H95" i="3"/>
  <c r="J20" i="3"/>
  <c r="I165" i="3"/>
  <c r="I55" i="3"/>
  <c r="H37" i="3"/>
  <c r="I163" i="3"/>
  <c r="I156" i="3"/>
  <c r="I19" i="3"/>
  <c r="I32" i="3"/>
  <c r="J142" i="3"/>
  <c r="H78" i="3"/>
  <c r="H93" i="3"/>
  <c r="H41" i="3"/>
  <c r="H126" i="3"/>
  <c r="H175" i="3"/>
  <c r="I85" i="3"/>
  <c r="H27" i="3"/>
  <c r="J166" i="3"/>
  <c r="H99" i="3"/>
  <c r="J171" i="3"/>
  <c r="J177" i="3"/>
  <c r="J88" i="3"/>
  <c r="H158" i="3"/>
  <c r="I145" i="3"/>
  <c r="I172" i="3"/>
  <c r="H134" i="3"/>
  <c r="I115" i="3"/>
  <c r="I105" i="3"/>
  <c r="H118" i="3"/>
  <c r="H105" i="3"/>
  <c r="H68" i="3"/>
  <c r="I109" i="3"/>
  <c r="H33" i="3"/>
  <c r="I68" i="3"/>
  <c r="I103" i="3"/>
  <c r="H170" i="3"/>
  <c r="J203" i="3"/>
  <c r="I91" i="3"/>
  <c r="J57" i="3"/>
  <c r="H53" i="3"/>
  <c r="I189" i="3"/>
  <c r="J73" i="3"/>
  <c r="J48" i="3"/>
  <c r="I187" i="3"/>
  <c r="H83" i="3"/>
  <c r="H208" i="3"/>
  <c r="J32" i="3"/>
  <c r="H54" i="3"/>
  <c r="I39" i="3"/>
  <c r="I181" i="3"/>
  <c r="J184" i="3"/>
  <c r="H86" i="3"/>
  <c r="I199" i="3"/>
  <c r="H143" i="3"/>
  <c r="J51" i="3"/>
  <c r="J107" i="3"/>
  <c r="I29" i="3"/>
  <c r="I87" i="3"/>
  <c r="H124" i="3"/>
  <c r="H79" i="3"/>
  <c r="I74" i="3"/>
  <c r="I28" i="3"/>
  <c r="I47" i="3"/>
  <c r="I153" i="3"/>
  <c r="I143" i="3"/>
  <c r="J105" i="3"/>
  <c r="I95" i="3"/>
  <c r="H108" i="3"/>
  <c r="H20" i="3"/>
  <c r="H157" i="3"/>
  <c r="I61" i="3"/>
  <c r="H207" i="3"/>
  <c r="I84" i="3"/>
  <c r="K105" i="3" l="1"/>
  <c r="K107" i="3"/>
  <c r="K51" i="3"/>
  <c r="K184" i="3"/>
  <c r="K32" i="3"/>
  <c r="K48" i="3"/>
  <c r="K73" i="3"/>
  <c r="K57" i="3"/>
  <c r="K203" i="3"/>
  <c r="K88" i="3"/>
  <c r="K177" i="3"/>
  <c r="K171" i="3"/>
  <c r="K166" i="3"/>
  <c r="K142" i="3"/>
  <c r="K20" i="3"/>
  <c r="K182" i="3"/>
  <c r="K164" i="3"/>
  <c r="K201" i="3"/>
  <c r="K74" i="3"/>
  <c r="K67" i="3"/>
  <c r="K162" i="3"/>
  <c r="K160" i="3"/>
  <c r="K116" i="3"/>
  <c r="K22" i="3"/>
  <c r="K122" i="3"/>
  <c r="K52" i="3"/>
  <c r="K101" i="3"/>
  <c r="K70" i="3"/>
  <c r="K147" i="3"/>
  <c r="K186" i="3"/>
  <c r="K185" i="3"/>
  <c r="K112" i="3"/>
  <c r="K95" i="3"/>
  <c r="K170" i="3"/>
  <c r="K62" i="3"/>
  <c r="K169" i="3"/>
  <c r="K111" i="3"/>
  <c r="K125" i="3"/>
  <c r="K165" i="3"/>
  <c r="K108" i="3"/>
  <c r="K90" i="3"/>
  <c r="K118" i="3"/>
  <c r="K137" i="3"/>
  <c r="K72" i="3"/>
  <c r="K69" i="3"/>
  <c r="K24" i="3"/>
  <c r="K106" i="3"/>
  <c r="K44" i="3"/>
  <c r="K209" i="3"/>
  <c r="K83" i="3"/>
  <c r="K175" i="3"/>
  <c r="K89" i="3"/>
  <c r="K197" i="3"/>
  <c r="K133" i="3"/>
  <c r="K96" i="3"/>
  <c r="K65" i="3"/>
  <c r="K119" i="3"/>
  <c r="K16" i="3"/>
  <c r="K173" i="3"/>
  <c r="K154" i="3"/>
  <c r="K136" i="3"/>
  <c r="K187" i="3"/>
  <c r="K198" i="3"/>
  <c r="K18" i="3"/>
  <c r="K71" i="3"/>
  <c r="K117" i="3"/>
  <c r="K97" i="3"/>
  <c r="K109" i="3"/>
  <c r="K93" i="3"/>
  <c r="K161" i="3"/>
  <c r="K60" i="3"/>
  <c r="K26" i="3"/>
  <c r="K41" i="3"/>
  <c r="K78" i="3"/>
  <c r="K66" i="3"/>
  <c r="K58" i="3"/>
  <c r="K59" i="3"/>
  <c r="K25" i="3"/>
  <c r="K129" i="3"/>
  <c r="K104" i="3"/>
  <c r="K103" i="3"/>
  <c r="K143" i="3"/>
  <c r="K140" i="3"/>
  <c r="K207" i="3"/>
  <c r="K86" i="3"/>
  <c r="K138" i="3"/>
  <c r="K19" i="3"/>
  <c r="K56" i="3"/>
  <c r="K17" i="3"/>
  <c r="K144" i="3"/>
  <c r="K113" i="3"/>
  <c r="K27" i="3"/>
  <c r="K64" i="3"/>
  <c r="K29" i="3"/>
  <c r="K159" i="3"/>
  <c r="K202" i="3"/>
  <c r="K120" i="3"/>
  <c r="K76" i="3"/>
  <c r="K80" i="3"/>
  <c r="K34" i="3"/>
  <c r="K168" i="3"/>
  <c r="K63" i="3"/>
  <c r="K158" i="3"/>
  <c r="K30" i="3"/>
  <c r="K110" i="3"/>
  <c r="K146" i="3"/>
  <c r="K114" i="3"/>
  <c r="K155" i="3"/>
  <c r="K150" i="3"/>
  <c r="K54" i="3"/>
  <c r="K39" i="3"/>
  <c r="K38" i="3"/>
  <c r="K28" i="3"/>
  <c r="K100" i="3"/>
  <c r="K208" i="3"/>
  <c r="K191" i="3"/>
  <c r="K127" i="3"/>
  <c r="K199" i="3"/>
  <c r="K194" i="3"/>
  <c r="K121" i="3"/>
  <c r="K189" i="3"/>
  <c r="K205" i="3"/>
  <c r="K23" i="3"/>
  <c r="K128" i="3"/>
  <c r="K132" i="3"/>
  <c r="K82" i="3"/>
  <c r="K33" i="3"/>
  <c r="K123" i="3"/>
  <c r="K124" i="3"/>
  <c r="K167" i="3"/>
  <c r="K148" i="3"/>
  <c r="K204" i="3"/>
  <c r="K21" i="3"/>
  <c r="K135" i="3"/>
  <c r="K91" i="3"/>
  <c r="K50" i="3"/>
  <c r="K151" i="3"/>
  <c r="K36" i="3"/>
  <c r="K195" i="3"/>
  <c r="K43" i="3"/>
  <c r="K55" i="3"/>
  <c r="K75" i="3"/>
  <c r="K157" i="3"/>
  <c r="K196" i="3"/>
  <c r="K45" i="3"/>
  <c r="K179" i="3"/>
  <c r="K61" i="3"/>
  <c r="K149" i="3"/>
  <c r="K126" i="3"/>
  <c r="K139" i="3"/>
  <c r="K153" i="3"/>
  <c r="K131" i="3"/>
  <c r="K141" i="3"/>
  <c r="K68" i="3"/>
  <c r="K92" i="3"/>
  <c r="K85" i="3"/>
  <c r="K42" i="3"/>
  <c r="K47" i="3"/>
  <c r="K176" i="3"/>
  <c r="K49" i="3"/>
  <c r="K40" i="3"/>
  <c r="K94" i="3"/>
  <c r="K183" i="3"/>
  <c r="K163" i="3"/>
  <c r="K84" i="3"/>
  <c r="K46" i="3"/>
  <c r="K130" i="3"/>
  <c r="K156" i="3"/>
  <c r="K87" i="3"/>
  <c r="K188" i="3"/>
  <c r="K31" i="3"/>
  <c r="K35" i="3"/>
  <c r="K81" i="3"/>
  <c r="K178" i="3"/>
  <c r="K145" i="3"/>
  <c r="K180" i="3"/>
  <c r="K172" i="3"/>
  <c r="K77" i="3"/>
  <c r="K115" i="3"/>
  <c r="K102" i="3"/>
  <c r="K193" i="3"/>
  <c r="K152" i="3"/>
  <c r="K53" i="3"/>
  <c r="K206" i="3"/>
  <c r="K37" i="3"/>
  <c r="K192" i="3"/>
  <c r="K98" i="3"/>
  <c r="K79" i="3"/>
  <c r="K190" i="3"/>
  <c r="K99" i="3"/>
  <c r="K200" i="3"/>
  <c r="K181" i="3"/>
  <c r="K134" i="3"/>
  <c r="K174" i="3"/>
  <c r="V86" i="3"/>
  <c r="W86" i="3"/>
  <c r="W94" i="3"/>
  <c r="V94" i="3"/>
  <c r="W98" i="3"/>
  <c r="V98" i="3"/>
  <c r="W178" i="3"/>
  <c r="V178" i="3"/>
  <c r="W127" i="3"/>
  <c r="V127" i="3"/>
  <c r="V171" i="3"/>
  <c r="W171" i="3"/>
  <c r="W164" i="3"/>
  <c r="V164" i="3"/>
  <c r="V200" i="3"/>
  <c r="W200" i="3"/>
  <c r="W65" i="3"/>
  <c r="V65" i="3"/>
  <c r="W73" i="3"/>
  <c r="V73" i="3"/>
  <c r="W89" i="3"/>
  <c r="V89" i="3"/>
  <c r="V137" i="3"/>
  <c r="W137" i="3"/>
  <c r="W46" i="3"/>
  <c r="V46" i="3"/>
  <c r="V58" i="3"/>
  <c r="W58" i="3"/>
  <c r="W62" i="3"/>
  <c r="V62" i="3"/>
  <c r="V78" i="3"/>
  <c r="W78" i="3"/>
  <c r="W102" i="3"/>
  <c r="V102" i="3"/>
  <c r="V114" i="3"/>
  <c r="W114" i="3"/>
  <c r="W118" i="3"/>
  <c r="V118" i="3"/>
  <c r="V130" i="3"/>
  <c r="W130" i="3"/>
  <c r="V134" i="3"/>
  <c r="W134" i="3"/>
  <c r="W162" i="3"/>
  <c r="V162" i="3"/>
  <c r="V174" i="3"/>
  <c r="W174" i="3"/>
  <c r="V186" i="3"/>
  <c r="W186" i="3"/>
  <c r="V190" i="3"/>
  <c r="W190" i="3"/>
  <c r="W202" i="3"/>
  <c r="V202" i="3"/>
  <c r="W210" i="3"/>
  <c r="V210" i="3"/>
  <c r="V27" i="3"/>
  <c r="W27" i="3"/>
  <c r="W55" i="3"/>
  <c r="V55" i="3"/>
  <c r="W67" i="3"/>
  <c r="V67" i="3"/>
  <c r="W123" i="3"/>
  <c r="V123" i="3"/>
  <c r="V183" i="3"/>
  <c r="W183" i="3"/>
  <c r="V199" i="3"/>
  <c r="W199" i="3"/>
  <c r="V157" i="3"/>
  <c r="W157" i="3"/>
  <c r="V32" i="3"/>
  <c r="W32" i="3"/>
  <c r="W48" i="3"/>
  <c r="V48" i="3"/>
  <c r="W60" i="3"/>
  <c r="V60" i="3"/>
  <c r="W68" i="3"/>
  <c r="V68" i="3"/>
  <c r="W88" i="3"/>
  <c r="V88" i="3"/>
  <c r="W132" i="3"/>
  <c r="V132" i="3"/>
  <c r="W156" i="3"/>
  <c r="V156" i="3"/>
  <c r="V168" i="3"/>
  <c r="W168" i="3"/>
  <c r="W184" i="3"/>
  <c r="V184" i="3"/>
  <c r="V204" i="3"/>
  <c r="W204" i="3"/>
  <c r="W208" i="3"/>
  <c r="V208" i="3"/>
  <c r="V97" i="3"/>
  <c r="W97" i="3"/>
  <c r="W105" i="3"/>
  <c r="V105" i="3"/>
  <c r="W109" i="3"/>
  <c r="V109" i="3"/>
  <c r="V121" i="3"/>
  <c r="W121" i="3"/>
  <c r="W129" i="3"/>
  <c r="V129" i="3"/>
  <c r="V173" i="3"/>
  <c r="W173" i="3"/>
  <c r="V74" i="3"/>
  <c r="W74" i="3"/>
  <c r="V138" i="3"/>
  <c r="W138" i="3"/>
  <c r="W170" i="3"/>
  <c r="V170" i="3"/>
  <c r="W47" i="3"/>
  <c r="V47" i="3"/>
  <c r="V51" i="3"/>
  <c r="W51" i="3"/>
  <c r="W83" i="3"/>
  <c r="V83" i="3"/>
  <c r="W139" i="3"/>
  <c r="V139" i="3"/>
  <c r="W143" i="3"/>
  <c r="V143" i="3"/>
  <c r="V147" i="3"/>
  <c r="W147" i="3"/>
  <c r="V167" i="3"/>
  <c r="W167" i="3"/>
  <c r="W44" i="3"/>
  <c r="V44" i="3"/>
  <c r="W52" i="3"/>
  <c r="V52" i="3"/>
  <c r="W76" i="3"/>
  <c r="V76" i="3"/>
  <c r="W33" i="3"/>
  <c r="V33" i="3"/>
  <c r="V77" i="3"/>
  <c r="W77" i="3"/>
  <c r="V26" i="3"/>
  <c r="W26" i="3"/>
  <c r="W54" i="3"/>
  <c r="V54" i="3"/>
  <c r="W122" i="3"/>
  <c r="V122" i="3"/>
  <c r="W126" i="3"/>
  <c r="V126" i="3"/>
  <c r="V146" i="3"/>
  <c r="W146" i="3"/>
  <c r="V150" i="3"/>
  <c r="W150" i="3"/>
  <c r="V31" i="3"/>
  <c r="W31" i="3"/>
  <c r="V35" i="3"/>
  <c r="W35" i="3"/>
  <c r="V39" i="3"/>
  <c r="W39" i="3"/>
  <c r="W59" i="3"/>
  <c r="V59" i="3"/>
  <c r="W63" i="3"/>
  <c r="V63" i="3"/>
  <c r="W75" i="3"/>
  <c r="V75" i="3"/>
  <c r="V87" i="3"/>
  <c r="W87" i="3"/>
  <c r="W91" i="3"/>
  <c r="V91" i="3"/>
  <c r="W95" i="3"/>
  <c r="V95" i="3"/>
  <c r="V131" i="3"/>
  <c r="W131" i="3"/>
  <c r="V155" i="3"/>
  <c r="W155" i="3"/>
  <c r="W159" i="3"/>
  <c r="V159" i="3"/>
  <c r="W163" i="3"/>
  <c r="V163" i="3"/>
  <c r="W187" i="3"/>
  <c r="V187" i="3"/>
  <c r="V191" i="3"/>
  <c r="W191" i="3"/>
  <c r="W195" i="3"/>
  <c r="V195" i="3"/>
  <c r="W24" i="3"/>
  <c r="V24" i="3"/>
  <c r="V36" i="3"/>
  <c r="W36" i="3"/>
  <c r="V92" i="3"/>
  <c r="W92" i="3"/>
  <c r="W100" i="3"/>
  <c r="V100" i="3"/>
  <c r="W104" i="3"/>
  <c r="V104" i="3"/>
  <c r="V136" i="3"/>
  <c r="W136" i="3"/>
  <c r="W140" i="3"/>
  <c r="V140" i="3"/>
  <c r="W144" i="3"/>
  <c r="V144" i="3"/>
  <c r="W152" i="3"/>
  <c r="V152" i="3"/>
  <c r="V172" i="3"/>
  <c r="W172" i="3"/>
  <c r="V176" i="3"/>
  <c r="W176" i="3"/>
  <c r="V188" i="3"/>
  <c r="W188" i="3"/>
  <c r="W192" i="3"/>
  <c r="V192" i="3"/>
  <c r="W196" i="3"/>
  <c r="V196" i="3"/>
  <c r="V21" i="3"/>
  <c r="W21" i="3"/>
  <c r="W25" i="3"/>
  <c r="V25" i="3"/>
  <c r="W29" i="3"/>
  <c r="V29" i="3"/>
  <c r="V37" i="3"/>
  <c r="W37" i="3"/>
  <c r="W81" i="3"/>
  <c r="V81" i="3"/>
  <c r="V113" i="3"/>
  <c r="W113" i="3"/>
  <c r="W117" i="3"/>
  <c r="V117" i="3"/>
  <c r="W125" i="3"/>
  <c r="V125" i="3"/>
  <c r="W141" i="3"/>
  <c r="V141" i="3"/>
  <c r="V145" i="3"/>
  <c r="W145" i="3"/>
  <c r="V169" i="3"/>
  <c r="W169" i="3"/>
  <c r="V177" i="3"/>
  <c r="W177" i="3"/>
  <c r="W189" i="3"/>
  <c r="V189" i="3"/>
  <c r="V193" i="3"/>
  <c r="W193" i="3"/>
  <c r="V205" i="3"/>
  <c r="W205" i="3"/>
  <c r="W209" i="3"/>
  <c r="AN209" i="3" s="1"/>
  <c r="V209" i="3"/>
  <c r="AM209" i="3" s="1"/>
  <c r="W50" i="3"/>
  <c r="V50" i="3"/>
  <c r="W82" i="3"/>
  <c r="V82" i="3"/>
  <c r="V103" i="3"/>
  <c r="W103" i="3"/>
  <c r="V119" i="3"/>
  <c r="W119" i="3"/>
  <c r="W203" i="3"/>
  <c r="V203" i="3"/>
  <c r="V207" i="3"/>
  <c r="W207" i="3"/>
  <c r="W72" i="3"/>
  <c r="V72" i="3"/>
  <c r="W116" i="3"/>
  <c r="V116" i="3"/>
  <c r="W128" i="3"/>
  <c r="V128" i="3"/>
  <c r="W133" i="3"/>
  <c r="V133" i="3"/>
  <c r="W161" i="3"/>
  <c r="V161" i="3"/>
  <c r="V22" i="3"/>
  <c r="W22" i="3"/>
  <c r="W30" i="3"/>
  <c r="V30" i="3"/>
  <c r="W38" i="3"/>
  <c r="V38" i="3"/>
  <c r="W66" i="3"/>
  <c r="V66" i="3"/>
  <c r="W90" i="3"/>
  <c r="V90" i="3"/>
  <c r="W106" i="3"/>
  <c r="V106" i="3"/>
  <c r="W110" i="3"/>
  <c r="V110" i="3"/>
  <c r="V142" i="3"/>
  <c r="W142" i="3"/>
  <c r="V158" i="3"/>
  <c r="W158" i="3"/>
  <c r="V166" i="3"/>
  <c r="W166" i="3"/>
  <c r="V182" i="3"/>
  <c r="W182" i="3"/>
  <c r="V194" i="3"/>
  <c r="W194" i="3"/>
  <c r="V206" i="3"/>
  <c r="W206" i="3"/>
  <c r="W153" i="3"/>
  <c r="V153" i="3"/>
  <c r="V71" i="3"/>
  <c r="W71" i="3"/>
  <c r="V79" i="3"/>
  <c r="W79" i="3"/>
  <c r="V99" i="3"/>
  <c r="W99" i="3"/>
  <c r="V107" i="3"/>
  <c r="W107" i="3"/>
  <c r="V115" i="3"/>
  <c r="W115" i="3"/>
  <c r="W135" i="3"/>
  <c r="V135" i="3"/>
  <c r="W175" i="3"/>
  <c r="V175" i="3"/>
  <c r="V179" i="3"/>
  <c r="W179" i="3"/>
  <c r="V28" i="3"/>
  <c r="W28" i="3"/>
  <c r="V40" i="3"/>
  <c r="W40" i="3"/>
  <c r="V56" i="3"/>
  <c r="W56" i="3"/>
  <c r="W80" i="3"/>
  <c r="V80" i="3"/>
  <c r="V84" i="3"/>
  <c r="W84" i="3"/>
  <c r="V96" i="3"/>
  <c r="W96" i="3"/>
  <c r="V108" i="3"/>
  <c r="W108" i="3"/>
  <c r="V112" i="3"/>
  <c r="W112" i="3"/>
  <c r="W120" i="3"/>
  <c r="V120" i="3"/>
  <c r="W148" i="3"/>
  <c r="V148" i="3"/>
  <c r="V45" i="3"/>
  <c r="W45" i="3"/>
  <c r="V49" i="3"/>
  <c r="W49" i="3"/>
  <c r="V57" i="3"/>
  <c r="W57" i="3"/>
  <c r="V69" i="3"/>
  <c r="W69" i="3"/>
  <c r="W85" i="3"/>
  <c r="V85" i="3"/>
  <c r="V93" i="3"/>
  <c r="W93" i="3"/>
  <c r="V101" i="3"/>
  <c r="W101" i="3"/>
  <c r="W149" i="3"/>
  <c r="V149" i="3"/>
  <c r="W165" i="3"/>
  <c r="V165" i="3"/>
  <c r="W197" i="3"/>
  <c r="V197" i="3"/>
  <c r="W201" i="3"/>
  <c r="V201" i="3"/>
  <c r="AN210" i="3"/>
  <c r="AN18" i="3"/>
  <c r="X11" i="3"/>
  <c r="AS8" i="3" a="1"/>
  <c r="AS8" i="3" s="1"/>
  <c r="AS9" i="3" s="1" a="1"/>
  <c r="AS9" i="3" s="1"/>
  <c r="AT9" i="3" s="1"/>
  <c r="AP8" i="3" a="1"/>
  <c r="AP8" i="3" s="1"/>
  <c r="AQ8" i="3" s="1"/>
  <c r="Y11" i="3"/>
  <c r="AV8" i="3" a="1"/>
  <c r="AV8" i="3" s="1"/>
  <c r="AW8" i="3" s="1"/>
  <c r="AY8" i="3" a="1"/>
  <c r="AY8" i="3" s="1"/>
  <c r="AZ8" i="3" s="1"/>
  <c r="AM18" i="3"/>
  <c r="AM210" i="3"/>
  <c r="AM213" i="3"/>
  <c r="AM211" i="3"/>
  <c r="AM212" i="3"/>
  <c r="W53" i="3"/>
  <c r="V53" i="3"/>
  <c r="V34" i="3"/>
  <c r="V160" i="3"/>
  <c r="W198" i="3"/>
  <c r="V20" i="3"/>
  <c r="V41" i="3"/>
  <c r="V124" i="3"/>
  <c r="V198" i="3"/>
  <c r="W20" i="3"/>
  <c r="W41" i="3"/>
  <c r="W160" i="3"/>
  <c r="V64" i="3"/>
  <c r="W124" i="3"/>
  <c r="W181" i="3"/>
  <c r="V181" i="3"/>
  <c r="W64" i="3"/>
  <c r="V61" i="3"/>
  <c r="W43" i="3"/>
  <c r="W61" i="3"/>
  <c r="V43" i="3"/>
  <c r="V185" i="3"/>
  <c r="V19" i="3"/>
  <c r="W180" i="3"/>
  <c r="V70" i="3"/>
  <c r="W185" i="3"/>
  <c r="W19" i="3"/>
  <c r="V180" i="3"/>
  <c r="W70" i="3"/>
  <c r="V151" i="3"/>
  <c r="V17" i="3"/>
  <c r="V16" i="3"/>
  <c r="V23" i="3"/>
  <c r="W151" i="3"/>
  <c r="W17" i="3"/>
  <c r="W16" i="3"/>
  <c r="W23" i="3"/>
  <c r="W42" i="3"/>
  <c r="V111" i="3"/>
  <c r="V42" i="3"/>
  <c r="W111" i="3"/>
  <c r="W154" i="3"/>
  <c r="W34" i="3"/>
  <c r="V154" i="3"/>
  <c r="AN54" i="3" l="1"/>
  <c r="AM78" i="3"/>
  <c r="AN165" i="3"/>
  <c r="AM29" i="3"/>
  <c r="AM116" i="3"/>
  <c r="AN32" i="3"/>
  <c r="AN95" i="3"/>
  <c r="AM82" i="3"/>
  <c r="AN194" i="3"/>
  <c r="AM81" i="3"/>
  <c r="AN164" i="3"/>
  <c r="AN187" i="3"/>
  <c r="AM174" i="3"/>
  <c r="AM30" i="3"/>
  <c r="AN144" i="3"/>
  <c r="AM171" i="3"/>
  <c r="AN71" i="3"/>
  <c r="AM170" i="3"/>
  <c r="AM42" i="3"/>
  <c r="AN129" i="3"/>
  <c r="AN192" i="3"/>
  <c r="AN56" i="3"/>
  <c r="AM159" i="3"/>
  <c r="AM206" i="3"/>
  <c r="AM194" i="3"/>
  <c r="AM54" i="3"/>
  <c r="AN81" i="3"/>
  <c r="AM164" i="3"/>
  <c r="AM187" i="3"/>
  <c r="AN174" i="3"/>
  <c r="AN30" i="3"/>
  <c r="AM144" i="3"/>
  <c r="AN171" i="3"/>
  <c r="AM71" i="3"/>
  <c r="AN170" i="3"/>
  <c r="AM129" i="3"/>
  <c r="AM192" i="3"/>
  <c r="AM56" i="3"/>
  <c r="AN159" i="3"/>
  <c r="AN206" i="3"/>
  <c r="AN78" i="3"/>
  <c r="AM165" i="3"/>
  <c r="AN29" i="3"/>
  <c r="AN116" i="3"/>
  <c r="AM32" i="3"/>
  <c r="AM95" i="3"/>
  <c r="AM77" i="3"/>
  <c r="AN136" i="3"/>
  <c r="AM188" i="3"/>
  <c r="AN48" i="3"/>
  <c r="AN155" i="3"/>
  <c r="AN202" i="3"/>
  <c r="AM66" i="3"/>
  <c r="AN108" i="3"/>
  <c r="AM91" i="3"/>
  <c r="AN128" i="3"/>
  <c r="AM105" i="3"/>
  <c r="AN163" i="3"/>
  <c r="AM150" i="3"/>
  <c r="AN178" i="3"/>
  <c r="AN50" i="3"/>
  <c r="AM128" i="3"/>
  <c r="AM183" i="3"/>
  <c r="AM26" i="3"/>
  <c r="AM136" i="3"/>
  <c r="AM163" i="3"/>
  <c r="AM67" i="3"/>
  <c r="AN150" i="3"/>
  <c r="AN38" i="3"/>
  <c r="AN125" i="3"/>
  <c r="AN188" i="3"/>
  <c r="AM155" i="3"/>
  <c r="AM202" i="3"/>
  <c r="AN66" i="3"/>
  <c r="AM108" i="3"/>
  <c r="AN91" i="3"/>
  <c r="AM50" i="3"/>
  <c r="AN26" i="3"/>
  <c r="AM38" i="3"/>
  <c r="AN77" i="3"/>
  <c r="AN166" i="3"/>
  <c r="AN105" i="3"/>
  <c r="AN154" i="3"/>
  <c r="AN34" i="3"/>
  <c r="AM124" i="3"/>
  <c r="AM175" i="3"/>
  <c r="AN162" i="3"/>
  <c r="AM22" i="3"/>
  <c r="AM100" i="3"/>
  <c r="AN123" i="3"/>
  <c r="AM47" i="3"/>
  <c r="AN138" i="3"/>
  <c r="AM205" i="3"/>
  <c r="AM176" i="3"/>
  <c r="AN44" i="3"/>
  <c r="AN151" i="3"/>
  <c r="AN62" i="3"/>
  <c r="AN96" i="3"/>
  <c r="AN199" i="3"/>
  <c r="AM75" i="3"/>
  <c r="AM178" i="3"/>
  <c r="AM34" i="3"/>
  <c r="AN124" i="3"/>
  <c r="AN175" i="3"/>
  <c r="AM162" i="3"/>
  <c r="AN22" i="3"/>
  <c r="AN100" i="3"/>
  <c r="AM123" i="3"/>
  <c r="AN47" i="3"/>
  <c r="AM138" i="3"/>
  <c r="AN205" i="3"/>
  <c r="AN176" i="3"/>
  <c r="AM44" i="3"/>
  <c r="AM151" i="3"/>
  <c r="AM62" i="3"/>
  <c r="AN141" i="3"/>
  <c r="AM96" i="3"/>
  <c r="AM199" i="3"/>
  <c r="AN75" i="3"/>
  <c r="AN146" i="3"/>
  <c r="AN120" i="3"/>
  <c r="AN131" i="3"/>
  <c r="AN142" i="3"/>
  <c r="AN72" i="3"/>
  <c r="AM119" i="3"/>
  <c r="AM43" i="3"/>
  <c r="AN126" i="3"/>
  <c r="AM160" i="3"/>
  <c r="AN36" i="3"/>
  <c r="AN135" i="3"/>
  <c r="AM46" i="3"/>
  <c r="AM204" i="3"/>
  <c r="AM84" i="3"/>
  <c r="AM147" i="3"/>
  <c r="AM59" i="3"/>
  <c r="AM146" i="3"/>
  <c r="AM120" i="3"/>
  <c r="AM131" i="3"/>
  <c r="AM142" i="3"/>
  <c r="AM17" i="3"/>
  <c r="AM72" i="3"/>
  <c r="AN119" i="3"/>
  <c r="AN43" i="3"/>
  <c r="AM126" i="3"/>
  <c r="AN93" i="3"/>
  <c r="AN160" i="3"/>
  <c r="AM36" i="3"/>
  <c r="AM135" i="3"/>
  <c r="AN46" i="3"/>
  <c r="AN204" i="3"/>
  <c r="AN84" i="3"/>
  <c r="AN147" i="3"/>
  <c r="AN59" i="3"/>
  <c r="AN99" i="3"/>
  <c r="AM118" i="3"/>
  <c r="AN68" i="3"/>
  <c r="AM115" i="3"/>
  <c r="AN90" i="3"/>
  <c r="AN177" i="3"/>
  <c r="AM132" i="3"/>
  <c r="AM28" i="3"/>
  <c r="AN83" i="3"/>
  <c r="AM130" i="3"/>
  <c r="AM73" i="3"/>
  <c r="AN200" i="3"/>
  <c r="AN80" i="3"/>
  <c r="AN143" i="3"/>
  <c r="AN55" i="3"/>
  <c r="AN134" i="3"/>
  <c r="AM112" i="3"/>
  <c r="AM99" i="3"/>
  <c r="AN118" i="3"/>
  <c r="AM68" i="3"/>
  <c r="AN115" i="3"/>
  <c r="AM23" i="3"/>
  <c r="AM90" i="3"/>
  <c r="AM177" i="3"/>
  <c r="AN132" i="3"/>
  <c r="AN28" i="3"/>
  <c r="AM83" i="3"/>
  <c r="AN130" i="3"/>
  <c r="AN73" i="3"/>
  <c r="AM200" i="3"/>
  <c r="AM80" i="3"/>
  <c r="AM143" i="3"/>
  <c r="AM55" i="3"/>
  <c r="AM114" i="3"/>
  <c r="AN196" i="3"/>
  <c r="AN104" i="3"/>
  <c r="AN79" i="3"/>
  <c r="AM110" i="3"/>
  <c r="AM168" i="3"/>
  <c r="AN24" i="3"/>
  <c r="AM111" i="3"/>
  <c r="AM198" i="3"/>
  <c r="AN74" i="3"/>
  <c r="AN45" i="3"/>
  <c r="AM92" i="3"/>
  <c r="AN207" i="3"/>
  <c r="AM51" i="3"/>
  <c r="AM122" i="3"/>
  <c r="AN184" i="3"/>
  <c r="AN139" i="3"/>
  <c r="AM35" i="3"/>
  <c r="AM184" i="3"/>
  <c r="AM139" i="3"/>
  <c r="AN35" i="3"/>
  <c r="AN183" i="3"/>
  <c r="AM154" i="3"/>
  <c r="AN114" i="3"/>
  <c r="AM24" i="3"/>
  <c r="AN111" i="3"/>
  <c r="AN198" i="3"/>
  <c r="AM74" i="3"/>
  <c r="AM45" i="3"/>
  <c r="AN92" i="3"/>
  <c r="AN51" i="3"/>
  <c r="AN94" i="3"/>
  <c r="AN180" i="3"/>
  <c r="AN60" i="3"/>
  <c r="AM63" i="3"/>
  <c r="AM106" i="3"/>
  <c r="AN152" i="3"/>
  <c r="AM203" i="3"/>
  <c r="AN103" i="3"/>
  <c r="AM186" i="3"/>
  <c r="AN70" i="3"/>
  <c r="AN88" i="3"/>
  <c r="AN179" i="3"/>
  <c r="AN31" i="3"/>
  <c r="AN102" i="3"/>
  <c r="AN61" i="3"/>
  <c r="AN156" i="3"/>
  <c r="AM52" i="3"/>
  <c r="AN127" i="3"/>
  <c r="AN27" i="3"/>
  <c r="AM166" i="3"/>
  <c r="AN112" i="3"/>
  <c r="AM196" i="3"/>
  <c r="AM104" i="3"/>
  <c r="AM79" i="3"/>
  <c r="AN110" i="3"/>
  <c r="AN168" i="3"/>
  <c r="AM207" i="3"/>
  <c r="AN122" i="3"/>
  <c r="AM94" i="3"/>
  <c r="AM180" i="3"/>
  <c r="AM60" i="3"/>
  <c r="AN63" i="3"/>
  <c r="AN106" i="3"/>
  <c r="AM152" i="3"/>
  <c r="AN203" i="3"/>
  <c r="AM103" i="3"/>
  <c r="AN186" i="3"/>
  <c r="AM70" i="3"/>
  <c r="AM88" i="3"/>
  <c r="AM179" i="3"/>
  <c r="AM31" i="3"/>
  <c r="AM102" i="3"/>
  <c r="AM61" i="3"/>
  <c r="AM156" i="3"/>
  <c r="AN52" i="3"/>
  <c r="AM127" i="3"/>
  <c r="AM27" i="3"/>
  <c r="AM134" i="3"/>
  <c r="AN82" i="3"/>
  <c r="AN109" i="3"/>
  <c r="AM172" i="3"/>
  <c r="AN195" i="3"/>
  <c r="AM39" i="3"/>
  <c r="AN86" i="3"/>
  <c r="AN148" i="3"/>
  <c r="AN191" i="3"/>
  <c r="AN87" i="3"/>
  <c r="AN182" i="3"/>
  <c r="AM58" i="3"/>
  <c r="AM33" i="3"/>
  <c r="AN76" i="3"/>
  <c r="AN167" i="3"/>
  <c r="AM98" i="3"/>
  <c r="AM140" i="3"/>
  <c r="AM40" i="3"/>
  <c r="AM107" i="3"/>
  <c r="AN208" i="3"/>
  <c r="AN172" i="3"/>
  <c r="AM195" i="3"/>
  <c r="AN39" i="3"/>
  <c r="AM86" i="3"/>
  <c r="AM148" i="3"/>
  <c r="AM191" i="3"/>
  <c r="AM87" i="3"/>
  <c r="AM182" i="3"/>
  <c r="AN58" i="3"/>
  <c r="AN33" i="3"/>
  <c r="AM76" i="3"/>
  <c r="AM167" i="3"/>
  <c r="AM19" i="3"/>
  <c r="AN98" i="3"/>
  <c r="AN185" i="3"/>
  <c r="AN140" i="3"/>
  <c r="AN40" i="3"/>
  <c r="AN107" i="3"/>
  <c r="AM208" i="3"/>
  <c r="AM161" i="3"/>
  <c r="AM41" i="3"/>
  <c r="AN145" i="3"/>
  <c r="AM169" i="3"/>
  <c r="AM57" i="3"/>
  <c r="AN121" i="3"/>
  <c r="AM190" i="3"/>
  <c r="AN169" i="3"/>
  <c r="AN57" i="3"/>
  <c r="AN153" i="3"/>
  <c r="AM121" i="3"/>
  <c r="AN190" i="3"/>
  <c r="AM201" i="3"/>
  <c r="AM181" i="3"/>
  <c r="AN197" i="3"/>
  <c r="AN201" i="3"/>
  <c r="AN181" i="3"/>
  <c r="AM197" i="3"/>
  <c r="AM117" i="3"/>
  <c r="AM133" i="3"/>
  <c r="AM193" i="3"/>
  <c r="AN117" i="3"/>
  <c r="AN133" i="3"/>
  <c r="AN193" i="3"/>
  <c r="AM189" i="3"/>
  <c r="AN69" i="3"/>
  <c r="AM85" i="3"/>
  <c r="AN149" i="3"/>
  <c r="AM158" i="3"/>
  <c r="AN189" i="3"/>
  <c r="AM69" i="3"/>
  <c r="AN85" i="3"/>
  <c r="AN158" i="3"/>
  <c r="AM101" i="3"/>
  <c r="AN21" i="3"/>
  <c r="AN53" i="3"/>
  <c r="AN49" i="3"/>
  <c r="AN101" i="3"/>
  <c r="AM21" i="3"/>
  <c r="AM53" i="3"/>
  <c r="AM49" i="3"/>
  <c r="AM157" i="3"/>
  <c r="AM37" i="3"/>
  <c r="AM113" i="3"/>
  <c r="AN97" i="3"/>
  <c r="AN113" i="3"/>
  <c r="AN157" i="3"/>
  <c r="AN37" i="3"/>
  <c r="AM89" i="3"/>
  <c r="AM137" i="3"/>
  <c r="AN25" i="3"/>
  <c r="AM173" i="3"/>
  <c r="AN89" i="3"/>
  <c r="AN137" i="3"/>
  <c r="AN173" i="3"/>
  <c r="AN65" i="3"/>
  <c r="AN161" i="3"/>
  <c r="AN41" i="3"/>
  <c r="AM145" i="3"/>
  <c r="AM64" i="3"/>
  <c r="AM16" i="3"/>
  <c r="W11" i="3"/>
  <c r="AM153" i="3"/>
  <c r="AM125" i="3"/>
  <c r="AM20" i="3"/>
  <c r="AM185" i="3"/>
  <c r="AM109" i="3"/>
  <c r="AM48" i="3"/>
  <c r="AM25" i="3"/>
  <c r="AM141" i="3"/>
  <c r="AM93" i="3"/>
  <c r="AM65" i="3"/>
  <c r="AM97" i="3"/>
  <c r="AM149" i="3"/>
  <c r="AV9" i="3" a="1"/>
  <c r="AV9" i="3" s="1"/>
  <c r="AW9" i="3" s="1"/>
  <c r="AT8" i="3"/>
  <c r="AY9" i="3" a="1"/>
  <c r="AY9" i="3" s="1"/>
  <c r="AZ9" i="3" s="1"/>
  <c r="AP9" i="3" a="1"/>
  <c r="AP9" i="3" s="1"/>
  <c r="AQ9" i="3" s="1"/>
  <c r="AS10" i="3" a="1"/>
  <c r="AS10" i="3" s="1"/>
  <c r="BC11" i="3" l="1"/>
  <c r="BC9" i="3"/>
  <c r="BC10" i="3"/>
  <c r="AV10" i="3" a="1"/>
  <c r="AV10" i="3" s="1"/>
  <c r="AV11" i="3" s="1" a="1"/>
  <c r="AV11" i="3" s="1"/>
  <c r="AW11" i="3" s="1"/>
  <c r="AY10" i="3" a="1"/>
  <c r="AY10" i="3" s="1"/>
  <c r="AZ10" i="3" s="1"/>
  <c r="AP10" i="3" a="1"/>
  <c r="AP10" i="3" s="1"/>
  <c r="AQ10" i="3" s="1"/>
  <c r="BC8" i="3"/>
  <c r="AT10" i="3"/>
  <c r="AS11" i="3" a="1"/>
  <c r="AS11" i="3" s="1"/>
  <c r="AT11" i="3" s="1"/>
  <c r="AY11" i="3" l="1" a="1"/>
  <c r="AY11" i="3" s="1"/>
  <c r="AZ11" i="3" s="1"/>
  <c r="AW10" i="3"/>
  <c r="AP11" i="3" a="1"/>
  <c r="AP11" i="3" s="1"/>
  <c r="AQ11" i="3" s="1"/>
  <c r="AS12" i="3" a="1"/>
  <c r="AS12" i="3" s="1"/>
  <c r="AV12" i="3" a="1"/>
  <c r="AV12" i="3" s="1"/>
  <c r="AW12" i="3" s="1"/>
  <c r="AY12" i="3" l="1" a="1"/>
  <c r="AY12" i="3" s="1"/>
  <c r="AZ12" i="3" s="1"/>
  <c r="AP12" i="3" a="1"/>
  <c r="AP12" i="3" s="1"/>
  <c r="AQ12" i="3" s="1"/>
  <c r="AV13" i="3" a="1"/>
  <c r="AV13" i="3" s="1"/>
  <c r="AT12" i="3"/>
  <c r="AS13" i="3" a="1"/>
  <c r="AS13" i="3" s="1"/>
  <c r="AT13" i="3" s="1"/>
  <c r="AP13" i="3" l="1" a="1"/>
  <c r="AP13" i="3" s="1"/>
  <c r="AQ13" i="3" s="1"/>
  <c r="AY13" i="3" a="1"/>
  <c r="AY13" i="3" s="1"/>
  <c r="AZ13" i="3" s="1"/>
  <c r="AS14" i="3" a="1"/>
  <c r="AS14" i="3" s="1"/>
  <c r="AW13" i="3"/>
  <c r="AV14" i="3" a="1"/>
  <c r="AV14" i="3" s="1"/>
  <c r="AY14" i="3" l="1" a="1"/>
  <c r="AY14" i="3" s="1"/>
  <c r="AZ14" i="3" s="1"/>
  <c r="AP14" i="3" a="1"/>
  <c r="AP14" i="3" s="1"/>
  <c r="AQ14" i="3" s="1"/>
  <c r="AT14" i="3"/>
  <c r="AS15" i="3" a="1"/>
  <c r="AS15" i="3" s="1"/>
  <c r="AW14" i="3"/>
  <c r="AV15" i="3" a="1"/>
  <c r="AV15" i="3" s="1"/>
  <c r="AY15" i="3" l="1" a="1"/>
  <c r="AY15" i="3" s="1"/>
  <c r="AZ15" i="3" s="1"/>
  <c r="AP15" i="3" a="1"/>
  <c r="AP15" i="3" s="1"/>
  <c r="AQ15" i="3" s="1"/>
  <c r="AW15" i="3"/>
  <c r="AV16" i="3" a="1"/>
  <c r="AV16" i="3" s="1"/>
  <c r="AW16" i="3" s="1"/>
  <c r="AS16" i="3" a="1"/>
  <c r="AS16" i="3" s="1"/>
  <c r="AT16" i="3" s="1"/>
  <c r="AT15" i="3"/>
  <c r="AP16" i="3" l="1" a="1"/>
  <c r="AP16" i="3" s="1"/>
  <c r="AQ16" i="3" s="1"/>
  <c r="AY16" i="3" a="1"/>
  <c r="AY16" i="3" s="1"/>
  <c r="AZ16" i="3" s="1"/>
</calcChain>
</file>

<file path=xl/sharedStrings.xml><?xml version="1.0" encoding="utf-8"?>
<sst xmlns="http://schemas.openxmlformats.org/spreadsheetml/2006/main" count="7799" uniqueCount="980">
  <si>
    <t>codigo</t>
  </si>
  <si>
    <t>cartera</t>
  </si>
  <si>
    <t>instrumento</t>
  </si>
  <si>
    <t>usuario</t>
  </si>
  <si>
    <t>orden</t>
  </si>
  <si>
    <t>ejecucion</t>
  </si>
  <si>
    <t>desglose</t>
  </si>
  <si>
    <t>codigo_his_opc</t>
  </si>
  <si>
    <t>titulos_ini</t>
  </si>
  <si>
    <t>titulos_dis</t>
  </si>
  <si>
    <t>nominal_ini_div</t>
  </si>
  <si>
    <t>nominal_ini</t>
  </si>
  <si>
    <t>nominal_dis_div</t>
  </si>
  <si>
    <t>nominal_dis</t>
  </si>
  <si>
    <t>coste_ini_div</t>
  </si>
  <si>
    <t>coste_ini</t>
  </si>
  <si>
    <t>coste_dis_div</t>
  </si>
  <si>
    <t>coste_dis</t>
  </si>
  <si>
    <t>efectivo_vto_ini_div</t>
  </si>
  <si>
    <t>efectivo_vto_ini</t>
  </si>
  <si>
    <t>efectivo_vto_dis_div</t>
  </si>
  <si>
    <t>efectivo_vto_dis</t>
  </si>
  <si>
    <t>cupon_compra_ini_div</t>
  </si>
  <si>
    <t>cupon_compra_ini</t>
  </si>
  <si>
    <t>cupon_compra_dis_div</t>
  </si>
  <si>
    <t>cupon_compra_dis</t>
  </si>
  <si>
    <t>cupon_per_ini_div</t>
  </si>
  <si>
    <t>cupon_per_ini</t>
  </si>
  <si>
    <t>cupon_per_dis_div</t>
  </si>
  <si>
    <t>cupon_per_dis</t>
  </si>
  <si>
    <t>fecha_vto</t>
  </si>
  <si>
    <t>nombre_cartera</t>
  </si>
  <si>
    <t>fecha_sesion</t>
  </si>
  <si>
    <t>nombre_instrumento</t>
  </si>
  <si>
    <t>divisa</t>
  </si>
  <si>
    <t>nombre_divisa</t>
  </si>
  <si>
    <t>ind_espanya_europa</t>
  </si>
  <si>
    <t>cotizacion_ant</t>
  </si>
  <si>
    <t>cotizacion</t>
  </si>
  <si>
    <t>efectivo_div</t>
  </si>
  <si>
    <t>efectivo</t>
  </si>
  <si>
    <t>ind_rv_sn</t>
  </si>
  <si>
    <t>divisa_car</t>
  </si>
  <si>
    <t>nombre_divisa_car</t>
  </si>
  <si>
    <t>patrimonio_ant</t>
  </si>
  <si>
    <t>suma_resta</t>
  </si>
  <si>
    <t>tipo_saldo</t>
  </si>
  <si>
    <t>futuros_01</t>
  </si>
  <si>
    <t>nombre_sector_1</t>
  </si>
  <si>
    <t>nombre_sector_2</t>
  </si>
  <si>
    <t>orden_sector_1</t>
  </si>
  <si>
    <t>orden_sector_2</t>
  </si>
  <si>
    <t>liquidez_disponible</t>
  </si>
  <si>
    <t>cam_divisa</t>
  </si>
  <si>
    <t>ponderacion_fut</t>
  </si>
  <si>
    <t>fecha_y_hora</t>
  </si>
  <si>
    <t>grupo_coti</t>
  </si>
  <si>
    <t>grupo_cam</t>
  </si>
  <si>
    <t>color</t>
  </si>
  <si>
    <t>contador</t>
  </si>
  <si>
    <t>total_efectivo_rv</t>
  </si>
  <si>
    <t>porcentaje_rv</t>
  </si>
  <si>
    <t>total_contado</t>
  </si>
  <si>
    <t>patrimonio</t>
  </si>
  <si>
    <t>total_efectivo_rv_espanya</t>
  </si>
  <si>
    <t>total_efectivo_rv_europa</t>
  </si>
  <si>
    <t>total_porcentaje_rv</t>
  </si>
  <si>
    <t>total_porcentaje_rv_espanya</t>
  </si>
  <si>
    <t>total_porcentaje_rv_europa</t>
  </si>
  <si>
    <t>porcentaje_patrimonio</t>
  </si>
  <si>
    <t>ok40</t>
  </si>
  <si>
    <t>ok10</t>
  </si>
  <si>
    <t>total_efectivo_fut</t>
  </si>
  <si>
    <t>porcentaje_rv_fut</t>
  </si>
  <si>
    <t>resultado</t>
  </si>
  <si>
    <t>porcentaje_dif_coti</t>
  </si>
  <si>
    <t>ind_columna_car_modelo</t>
  </si>
  <si>
    <t>total_resultados</t>
  </si>
  <si>
    <t>indica_tv</t>
  </si>
  <si>
    <t>indica_cv</t>
  </si>
  <si>
    <t>valia_ini_div</t>
  </si>
  <si>
    <t>valia_ini</t>
  </si>
  <si>
    <t>coste_dia_dis_div</t>
  </si>
  <si>
    <t>coste_dia_dis</t>
  </si>
  <si>
    <t>resultados_dia</t>
  </si>
  <si>
    <t>total_porcentaje_rv_resto</t>
  </si>
  <si>
    <t>total_porcentaje_rv_usa</t>
  </si>
  <si>
    <t>total_efectivo_rv_usa</t>
  </si>
  <si>
    <t>total_efectivo_rv_resto</t>
  </si>
  <si>
    <t>liquidez</t>
  </si>
  <si>
    <t>ind_simulada</t>
  </si>
  <si>
    <t>ind_repo_sn</t>
  </si>
  <si>
    <t>nombre_futuros_01</t>
  </si>
  <si>
    <t>fecha_cierre</t>
  </si>
  <si>
    <t>nombre_tipo_valor</t>
  </si>
  <si>
    <t>ope_fondos_de_fondos</t>
  </si>
  <si>
    <t>fecha_saldo_ini</t>
  </si>
  <si>
    <t>porcentaje_contado</t>
  </si>
  <si>
    <t>color_instrumento</t>
  </si>
  <si>
    <t>garantias_futuros</t>
  </si>
  <si>
    <t>total_valias_futuros</t>
  </si>
  <si>
    <t>titulos_sin_ejecutar</t>
  </si>
  <si>
    <t>ind_ver_titulos_subsector</t>
  </si>
  <si>
    <t>texto_titulos</t>
  </si>
  <si>
    <t>garantias_ant</t>
  </si>
  <si>
    <t>deudores_acreedores</t>
  </si>
  <si>
    <t>liquidativo</t>
  </si>
  <si>
    <t>participaciones</t>
  </si>
  <si>
    <t>total_efectivo_opc</t>
  </si>
  <si>
    <t>total_efectivo_rf</t>
  </si>
  <si>
    <t>resultado_div</t>
  </si>
  <si>
    <t>total_efectivo_rv_japon</t>
  </si>
  <si>
    <t>total_porcentaje_rv_japon</t>
  </si>
  <si>
    <t>tipo_subyacente</t>
  </si>
  <si>
    <t>total_efectivo_fut_rv</t>
  </si>
  <si>
    <t>total_efectivo_fut_rf</t>
  </si>
  <si>
    <t>total_efectivo_opc_rv</t>
  </si>
  <si>
    <t>total_efectivo_opc_rf</t>
  </si>
  <si>
    <t>total_efectivo_repo</t>
  </si>
  <si>
    <t>c_color_liquidez</t>
  </si>
  <si>
    <t>titulos_no_ges</t>
  </si>
  <si>
    <t>efectivo_no_ges_div</t>
  </si>
  <si>
    <t>efectivo_no_ges</t>
  </si>
  <si>
    <t>total_efectivo_no_ges</t>
  </si>
  <si>
    <t>total_efectivo_rv_no_ges</t>
  </si>
  <si>
    <t>efe_comprometido_div</t>
  </si>
  <si>
    <t>efe_comprometido</t>
  </si>
  <si>
    <t>total_efe_comprometido_rv</t>
  </si>
  <si>
    <t>total_efe_comprometido_der_rv</t>
  </si>
  <si>
    <t>total_efe_comprometido_rf</t>
  </si>
  <si>
    <t>total_efe_comprometido_der_rf</t>
  </si>
  <si>
    <t>delta</t>
  </si>
  <si>
    <t>ind_excluir_garantia_liq</t>
  </si>
  <si>
    <t>tipo_valor_diver</t>
  </si>
  <si>
    <t>movimientos_tesoreria</t>
  </si>
  <si>
    <t>limite_3</t>
  </si>
  <si>
    <t>total_efectivo_rf_no_ges</t>
  </si>
  <si>
    <t>porcentaje_rf</t>
  </si>
  <si>
    <t>div_pri_int</t>
  </si>
  <si>
    <t>titulos_sin_ejecutar_c</t>
  </si>
  <si>
    <t>titulos_sin_ejecutar_v</t>
  </si>
  <si>
    <t>total_efectivo_rv_latam</t>
  </si>
  <si>
    <t>total_porcentaje_rv_latam</t>
  </si>
  <si>
    <t>total_efectivo_rv_asia</t>
  </si>
  <si>
    <t>total_porcentaje_rv_asia</t>
  </si>
  <si>
    <t>efe_subyacente_div</t>
  </si>
  <si>
    <t>efe_subyacente</t>
  </si>
  <si>
    <t>cotizacion_sobre_par</t>
  </si>
  <si>
    <t>cam_divisa_den</t>
  </si>
  <si>
    <t>tir_mercado</t>
  </si>
  <si>
    <t>duracion</t>
  </si>
  <si>
    <t>sensibilidad</t>
  </si>
  <si>
    <t>vida_media</t>
  </si>
  <si>
    <t>convexidad</t>
  </si>
  <si>
    <t>duracion_meses</t>
  </si>
  <si>
    <t>duracion_dias</t>
  </si>
  <si>
    <t>subyacente</t>
  </si>
  <si>
    <t>sensibilidad_subyacente</t>
  </si>
  <si>
    <t>tir_coste</t>
  </si>
  <si>
    <t>aportaciones</t>
  </si>
  <si>
    <t>retiros</t>
  </si>
  <si>
    <t>MEDIOLANUM PENSIONES II, FONDO DE PENSIONES</t>
  </si>
  <si>
    <t>USD</t>
  </si>
  <si>
    <t>U</t>
  </si>
  <si>
    <t>N</t>
  </si>
  <si>
    <t>EUR</t>
  </si>
  <si>
    <t>Futuros y Opciones</t>
  </si>
  <si>
    <t/>
  </si>
  <si>
    <t>B</t>
  </si>
  <si>
    <t>ok</t>
  </si>
  <si>
    <t>PA</t>
  </si>
  <si>
    <t>FU</t>
  </si>
  <si>
    <t>FDIV</t>
  </si>
  <si>
    <t xml:space="preserve"> FUTUROS</t>
  </si>
  <si>
    <t>Futuros</t>
  </si>
  <si>
    <t>DIV</t>
  </si>
  <si>
    <t>S</t>
  </si>
  <si>
    <t>9618 HK</t>
  </si>
  <si>
    <t>HKD</t>
  </si>
  <si>
    <t>A</t>
  </si>
  <si>
    <t>Comunicaciones</t>
  </si>
  <si>
    <t>Internet</t>
  </si>
  <si>
    <t>RV</t>
  </si>
  <si>
    <t>ACE</t>
  </si>
  <si>
    <t>CONTADO</t>
  </si>
  <si>
    <t xml:space="preserve"> Renta Variable</t>
  </si>
  <si>
    <t>9988 HK</t>
  </si>
  <si>
    <t>BKNG US</t>
  </si>
  <si>
    <t>GOOGL US</t>
  </si>
  <si>
    <t>PANW US</t>
  </si>
  <si>
    <t>PRX NA</t>
  </si>
  <si>
    <t>E</t>
  </si>
  <si>
    <t>VIPS US</t>
  </si>
  <si>
    <t>AMZN US</t>
  </si>
  <si>
    <t>META  US</t>
  </si>
  <si>
    <t>CIE SM</t>
  </si>
  <si>
    <t>Consumo Ciclico</t>
  </si>
  <si>
    <t>Comp. de automóviles</t>
  </si>
  <si>
    <t>ACNF</t>
  </si>
  <si>
    <t>KER FP</t>
  </si>
  <si>
    <t>Venta al por menor</t>
  </si>
  <si>
    <t>MC FP</t>
  </si>
  <si>
    <t>Consumo No Ciclico</t>
  </si>
  <si>
    <t>Alimentación</t>
  </si>
  <si>
    <t>PYPL US</t>
  </si>
  <si>
    <t>Serv comerciales</t>
  </si>
  <si>
    <t>Servicios de Salud</t>
  </si>
  <si>
    <t>ROG SW</t>
  </si>
  <si>
    <t>CHF</t>
  </si>
  <si>
    <t>Energia</t>
  </si>
  <si>
    <t>Financiero</t>
  </si>
  <si>
    <t>Fin.Diversificado</t>
  </si>
  <si>
    <t>BRK/B US</t>
  </si>
  <si>
    <t>AIR FP</t>
  </si>
  <si>
    <t>Industrial</t>
  </si>
  <si>
    <t>Aeroespacial y defen</t>
  </si>
  <si>
    <t>BA US</t>
  </si>
  <si>
    <t>R</t>
  </si>
  <si>
    <t>Transporte</t>
  </si>
  <si>
    <t>AI FP</t>
  </si>
  <si>
    <t>Recursos Basicos</t>
  </si>
  <si>
    <t>Quimica</t>
  </si>
  <si>
    <t>CHKP US</t>
  </si>
  <si>
    <t>Tecnologia</t>
  </si>
  <si>
    <t>Ordenadores</t>
  </si>
  <si>
    <t>JEN GY</t>
  </si>
  <si>
    <t>MU US</t>
  </si>
  <si>
    <t>Semiconductores</t>
  </si>
  <si>
    <t>ADBE US</t>
  </si>
  <si>
    <t>Software</t>
  </si>
  <si>
    <t>CSU CN</t>
  </si>
  <si>
    <t>CAD</t>
  </si>
  <si>
    <t>AAPL US</t>
  </si>
  <si>
    <t>MSFT US</t>
  </si>
  <si>
    <t>ORCL US</t>
  </si>
  <si>
    <t>Utilities</t>
  </si>
  <si>
    <t>Servicios Electricos</t>
  </si>
  <si>
    <t>Bancos</t>
  </si>
  <si>
    <t>AM</t>
  </si>
  <si>
    <t>Activos Monetarios</t>
  </si>
  <si>
    <t>26/01/2024 00:00:00</t>
  </si>
  <si>
    <t>XS2582519208</t>
  </si>
  <si>
    <t>AME</t>
  </si>
  <si>
    <t>29/09/2023 00:00:00</t>
  </si>
  <si>
    <t>OP</t>
  </si>
  <si>
    <t>OCVE</t>
  </si>
  <si>
    <t>IRV</t>
  </si>
  <si>
    <t>16/10/2023 00:00:00</t>
  </si>
  <si>
    <t>XS1468525057</t>
  </si>
  <si>
    <t>Construcción y Engin</t>
  </si>
  <si>
    <t>RF</t>
  </si>
  <si>
    <t>RFE</t>
  </si>
  <si>
    <t>Renta Fija</t>
  </si>
  <si>
    <t>23/07/2030 00:00:00</t>
  </si>
  <si>
    <t>XS2247549731</t>
  </si>
  <si>
    <t>15/06/2027 00:00:00</t>
  </si>
  <si>
    <t>XS2385393405</t>
  </si>
  <si>
    <t>07/01/2026 00:00:00</t>
  </si>
  <si>
    <t>FR0013144201</t>
  </si>
  <si>
    <t>Medios Comunicación</t>
  </si>
  <si>
    <t>05/02/2024 00:00:00</t>
  </si>
  <si>
    <t>XS2107451069</t>
  </si>
  <si>
    <t>15/05/2039 00:00:00</t>
  </si>
  <si>
    <t>US654902AC90</t>
  </si>
  <si>
    <t>Telecomunicación</t>
  </si>
  <si>
    <t>20/06/2036 00:00:00</t>
  </si>
  <si>
    <t>US87938WAC73</t>
  </si>
  <si>
    <t>L</t>
  </si>
  <si>
    <t>15/10/2025 00:00:00</t>
  </si>
  <si>
    <t>XS1298711729</t>
  </si>
  <si>
    <t>04/12/2023 00:00:00</t>
  </si>
  <si>
    <t>XS1795406575</t>
  </si>
  <si>
    <t>14/12/2024 00:00:00</t>
  </si>
  <si>
    <t>XS1933828433</t>
  </si>
  <si>
    <t>31/10/2024 00:00:00</t>
  </si>
  <si>
    <t>XS2078976805</t>
  </si>
  <si>
    <t>15/08/2026 00:00:00</t>
  </si>
  <si>
    <t>XS2300292617</t>
  </si>
  <si>
    <t>18/01/2025 00:00:00</t>
  </si>
  <si>
    <t>XS1551726810</t>
  </si>
  <si>
    <t>11/03/2025 00:00:00</t>
  </si>
  <si>
    <t>XS2009152591</t>
  </si>
  <si>
    <t>Aerolineas</t>
  </si>
  <si>
    <t>04/04/2027 00:00:00</t>
  </si>
  <si>
    <t>XS2020581752</t>
  </si>
  <si>
    <t>03/12/2027 00:00:00</t>
  </si>
  <si>
    <t>XS2306601746</t>
  </si>
  <si>
    <t>25/12/2024 00:00:00</t>
  </si>
  <si>
    <t>XS2322423455</t>
  </si>
  <si>
    <t>25/12/2028 00:00:00</t>
  </si>
  <si>
    <t>XS2322423539</t>
  </si>
  <si>
    <t>14/07/2024 00:00:00</t>
  </si>
  <si>
    <t>XS2363244513</t>
  </si>
  <si>
    <t>16/11/2023 00:00:00</t>
  </si>
  <si>
    <t>XS2408458227</t>
  </si>
  <si>
    <t>Automóviles</t>
  </si>
  <si>
    <t>12/03/2025 00:00:00</t>
  </si>
  <si>
    <t>FR0013322146</t>
  </si>
  <si>
    <t>18/01/2024 00:00:00</t>
  </si>
  <si>
    <t>FR0013329315</t>
  </si>
  <si>
    <t>02/10/2023 00:00:00</t>
  </si>
  <si>
    <t>XS1586555861</t>
  </si>
  <si>
    <t>18/03/2025 00:00:00</t>
  </si>
  <si>
    <t>FR0013342334</t>
  </si>
  <si>
    <t>XS1814065345</t>
  </si>
  <si>
    <t>21/06/2025 00:00:00</t>
  </si>
  <si>
    <t>XS2231715322</t>
  </si>
  <si>
    <t>20/04/2028 00:00:00</t>
  </si>
  <si>
    <t>XS2362994068</t>
  </si>
  <si>
    <t>09/12/2024 00:00:00</t>
  </si>
  <si>
    <t>XS1731882186</t>
  </si>
  <si>
    <t>XS2357281174</t>
  </si>
  <si>
    <t>Hoteles</t>
  </si>
  <si>
    <t>Agricultura</t>
  </si>
  <si>
    <t>27/08/2025 00:00:00</t>
  </si>
  <si>
    <t>XS2264074647</t>
  </si>
  <si>
    <t>07/11/2023 00:00:00</t>
  </si>
  <si>
    <t>SIGMA 2 5/8 02/</t>
  </si>
  <si>
    <t>06/08/2024 00:00:00</t>
  </si>
  <si>
    <t>USU63768AB83</t>
  </si>
  <si>
    <t>19/06/2024 00:00:00</t>
  </si>
  <si>
    <t>CCOLAT 4.215 09</t>
  </si>
  <si>
    <t>Bebidas</t>
  </si>
  <si>
    <t>BE6329443962</t>
  </si>
  <si>
    <t>Productos Domesticos</t>
  </si>
  <si>
    <t>09/06/2024 00:00:00</t>
  </si>
  <si>
    <t>XS0193945655</t>
  </si>
  <si>
    <t>16/09/2025 00:00:00</t>
  </si>
  <si>
    <t>XS0542534192</t>
  </si>
  <si>
    <t>26/06/2026 00:00:00</t>
  </si>
  <si>
    <t>XS1327504087</t>
  </si>
  <si>
    <t>22/02/2026 00:00:00</t>
  </si>
  <si>
    <t>XS2001315766</t>
  </si>
  <si>
    <t>04/09/2028 00:00:00</t>
  </si>
  <si>
    <t>XS2267889991</t>
  </si>
  <si>
    <t>25/04/2024 00:00:00</t>
  </si>
  <si>
    <t>ERFFP 2 1/8 07</t>
  </si>
  <si>
    <t>22/03/2026 00:00:00</t>
  </si>
  <si>
    <t>XS2193661324</t>
  </si>
  <si>
    <t>Oil&amp;Gas</t>
  </si>
  <si>
    <t>11/05/2027 00:00:00</t>
  </si>
  <si>
    <t>XS2334852253</t>
  </si>
  <si>
    <t>12/11/2026 00:00:00</t>
  </si>
  <si>
    <t>ES0213307061</t>
  </si>
  <si>
    <t>RFED</t>
  </si>
  <si>
    <t>08/07/2026 00:00:00</t>
  </si>
  <si>
    <t>ES0213679HN2</t>
  </si>
  <si>
    <t>07/04/2025 00:00:00</t>
  </si>
  <si>
    <t>ES0265936015</t>
  </si>
  <si>
    <t>08/09/2026 00:00:00</t>
  </si>
  <si>
    <t>ES0265936023</t>
  </si>
  <si>
    <t>15/06/2024 00:00:00</t>
  </si>
  <si>
    <t>ES0344251006</t>
  </si>
  <si>
    <t>01/12/2025 00:00:00</t>
  </si>
  <si>
    <t>ES0380907040</t>
  </si>
  <si>
    <t>29/05/2028 00:00:00</t>
  </si>
  <si>
    <t>ES0413679525</t>
  </si>
  <si>
    <t>13/06/2024 00:00:00</t>
  </si>
  <si>
    <t>ES0840609004</t>
  </si>
  <si>
    <t>20/07/2026 00:00:00</t>
  </si>
  <si>
    <t>ES0865936019</t>
  </si>
  <si>
    <t>12/06/2015 00:00:00</t>
  </si>
  <si>
    <t>ESF 5 1/4 06/12</t>
  </si>
  <si>
    <t>25/10/2024 00:00:00</t>
  </si>
  <si>
    <t>PTBCPBOM0062</t>
  </si>
  <si>
    <t>12/02/2026 00:00:00</t>
  </si>
  <si>
    <t>PTBCPHOM0066</t>
  </si>
  <si>
    <t>28/11/2023 00:00:00</t>
  </si>
  <si>
    <t>PTBEQJOM0012</t>
  </si>
  <si>
    <t>25/11/2024 00:00:00</t>
  </si>
  <si>
    <t>PTCGDMOM0027</t>
  </si>
  <si>
    <t>27/11/2023 00:00:00</t>
  </si>
  <si>
    <t>RFLBNI 5,875 23</t>
  </si>
  <si>
    <t>19/06/2027 00:00:00</t>
  </si>
  <si>
    <t>XS1631415582</t>
  </si>
  <si>
    <t>29/03/2024 00:00:00</t>
  </si>
  <si>
    <t>XS1782625641</t>
  </si>
  <si>
    <t>13/07/2024 00:00:00</t>
  </si>
  <si>
    <t>XS1844094885</t>
  </si>
  <si>
    <t>29/12/2025 00:00:00</t>
  </si>
  <si>
    <t>XS1877860533</t>
  </si>
  <si>
    <t>25/01/2024 00:00:00</t>
  </si>
  <si>
    <t>XS1928480166</t>
  </si>
  <si>
    <t>10/05/2024 00:00:00</t>
  </si>
  <si>
    <t>20/06/2024 00:00:00</t>
  </si>
  <si>
    <t>XS2015314037</t>
  </si>
  <si>
    <t>15/07/2025 00:00:00</t>
  </si>
  <si>
    <t>XS2027957815</t>
  </si>
  <si>
    <t>23/09/2024 00:00:00</t>
  </si>
  <si>
    <t>XS2055089457</t>
  </si>
  <si>
    <t>27/03/2025 00:00:00</t>
  </si>
  <si>
    <t>XS2055190172</t>
  </si>
  <si>
    <t>01/10/2024 00:00:00</t>
  </si>
  <si>
    <t>XS2055758804</t>
  </si>
  <si>
    <t>21/04/2025 00:00:00</t>
  </si>
  <si>
    <t>XS2067213913</t>
  </si>
  <si>
    <t>24/10/2024 00:00:00</t>
  </si>
  <si>
    <t>XS2069960057</t>
  </si>
  <si>
    <t>18/02/2025 00:00:00</t>
  </si>
  <si>
    <t>XS2121417989</t>
  </si>
  <si>
    <t>20/05/2024 00:00:00</t>
  </si>
  <si>
    <t>XS2121467497</t>
  </si>
  <si>
    <t>23/05/2025 00:00:00</t>
  </si>
  <si>
    <t>XS2306621934</t>
  </si>
  <si>
    <t>14/07/2025 00:00:00</t>
  </si>
  <si>
    <t>XS2364754098</t>
  </si>
  <si>
    <t>02/11/2027 00:00:00</t>
  </si>
  <si>
    <t>XS2386287689</t>
  </si>
  <si>
    <t>24/03/2025 00:00:00</t>
  </si>
  <si>
    <t>XS2455392584</t>
  </si>
  <si>
    <t>05/06/2025 00:00:00</t>
  </si>
  <si>
    <t>XS2465984289</t>
  </si>
  <si>
    <t>08/09/2025 00:00:00</t>
  </si>
  <si>
    <t>XS2528155893</t>
  </si>
  <si>
    <t>11/04/2025 00:00:00</t>
  </si>
  <si>
    <t>XS2544400786</t>
  </si>
  <si>
    <t>16/02/2026 00:00:00</t>
  </si>
  <si>
    <t>XS2547591474</t>
  </si>
  <si>
    <t>J</t>
  </si>
  <si>
    <t>10/02/2025 00:00:00</t>
  </si>
  <si>
    <t>XS2584643113</t>
  </si>
  <si>
    <t>08/03/2027 00:00:00</t>
  </si>
  <si>
    <t>XS2592650373</t>
  </si>
  <si>
    <t>RFOF</t>
  </si>
  <si>
    <t>30/06/2025 00:00:00</t>
  </si>
  <si>
    <t>ES0312342019</t>
  </si>
  <si>
    <t>ES0317046003</t>
  </si>
  <si>
    <t>05/11/2025 00:00:00</t>
  </si>
  <si>
    <t>PTCCCAOM0000</t>
  </si>
  <si>
    <t>27/06/2024 00:00:00</t>
  </si>
  <si>
    <t>XS2018637913</t>
  </si>
  <si>
    <t>REITS</t>
  </si>
  <si>
    <t>28/11/2028 00:00:00</t>
  </si>
  <si>
    <t>FR0014008JQ4</t>
  </si>
  <si>
    <t>26/02/2025 00:00:00</t>
  </si>
  <si>
    <t>XS1619643015</t>
  </si>
  <si>
    <t>28/08/2024 00:00:00</t>
  </si>
  <si>
    <t>XS2084425466</t>
  </si>
  <si>
    <t>04/12/2034 00:00:00</t>
  </si>
  <si>
    <t>XS2089229806</t>
  </si>
  <si>
    <t>13/04/2027 00:00:00</t>
  </si>
  <si>
    <t>XS2201946634</t>
  </si>
  <si>
    <t>29/04/2026 00:00:00</t>
  </si>
  <si>
    <t>XS2208868914</t>
  </si>
  <si>
    <t>01/06/2030 00:00:00</t>
  </si>
  <si>
    <t>XS2347367018</t>
  </si>
  <si>
    <t>27/10/2027 00:00:00</t>
  </si>
  <si>
    <t>ASSGEN 5 1/2 10</t>
  </si>
  <si>
    <t>Seguros</t>
  </si>
  <si>
    <t>04/09/2026 00:00:00</t>
  </si>
  <si>
    <t>PTFIDBOM0009</t>
  </si>
  <si>
    <t>XS1028942354</t>
  </si>
  <si>
    <t>XS1076781589</t>
  </si>
  <si>
    <t>23/06/2030 00:00:00</t>
  </si>
  <si>
    <t>XS2237434803</t>
  </si>
  <si>
    <t>10/03/2031 00:00:00</t>
  </si>
  <si>
    <t>XS2378468420</t>
  </si>
  <si>
    <t>Serv. Inmobiliarios</t>
  </si>
  <si>
    <t>FR0013409265</t>
  </si>
  <si>
    <t>26/08/2026 00:00:00</t>
  </si>
  <si>
    <t>FR0013462728</t>
  </si>
  <si>
    <t>09/12/2025 00:00:00</t>
  </si>
  <si>
    <t>SE0015657903</t>
  </si>
  <si>
    <t>06/12/2026 00:00:00</t>
  </si>
  <si>
    <t>SE0016589105</t>
  </si>
  <si>
    <t>23/08/2024 00:00:00</t>
  </si>
  <si>
    <t>XS1722898431</t>
  </si>
  <si>
    <t>23/12/2024 00:00:00</t>
  </si>
  <si>
    <t>XS2055106210</t>
  </si>
  <si>
    <t>09/10/2026 00:00:00</t>
  </si>
  <si>
    <t>XS2063535970</t>
  </si>
  <si>
    <t>16/11/2026 00:00:00</t>
  </si>
  <si>
    <t>XS2231191748</t>
  </si>
  <si>
    <t>01/07/2025 00:00:00</t>
  </si>
  <si>
    <t>XS2238342484</t>
  </si>
  <si>
    <t>15/07/2026 00:00:00</t>
  </si>
  <si>
    <t>XS2287744721</t>
  </si>
  <si>
    <t>XS2321651031</t>
  </si>
  <si>
    <t>21/03/2029 00:00:00</t>
  </si>
  <si>
    <t>XS2356030556</t>
  </si>
  <si>
    <t>29/10/2027 00:00:00</t>
  </si>
  <si>
    <t>XS2357357768</t>
  </si>
  <si>
    <t>15/11/2028 00:00:00</t>
  </si>
  <si>
    <t>XS2407027031</t>
  </si>
  <si>
    <t>17/10/2029 00:00:00</t>
  </si>
  <si>
    <t>XS2432162654</t>
  </si>
  <si>
    <t>20/01/2030 00:00:00</t>
  </si>
  <si>
    <t>XS2434763483</t>
  </si>
  <si>
    <t>24/04/2028 00:00:00</t>
  </si>
  <si>
    <t>XS2435611244</t>
  </si>
  <si>
    <t>15/07/2016 00:00:00</t>
  </si>
  <si>
    <t>BESPL 6 7/8 07/</t>
  </si>
  <si>
    <t>30/04/2027 00:00:00</t>
  </si>
  <si>
    <t>ES00000128P8</t>
  </si>
  <si>
    <t>Gobierno</t>
  </si>
  <si>
    <t>Deuda del Estado</t>
  </si>
  <si>
    <t>DEU</t>
  </si>
  <si>
    <t>31/10/2030 00:00:00</t>
  </si>
  <si>
    <t>ES0000012G34</t>
  </si>
  <si>
    <t>30/04/2031 00:00:00</t>
  </si>
  <si>
    <t>ES0000012H41</t>
  </si>
  <si>
    <t>31/10/2031 00:00:00</t>
  </si>
  <si>
    <t>ES0000012I32</t>
  </si>
  <si>
    <t>30/04/2032 00:00:00</t>
  </si>
  <si>
    <t>ES0000012K20</t>
  </si>
  <si>
    <t>31/05/2025 00:00:00</t>
  </si>
  <si>
    <t>ES0000012K38</t>
  </si>
  <si>
    <t>01/11/2027 00:00:00</t>
  </si>
  <si>
    <t>IT0001174611</t>
  </si>
  <si>
    <t>01/12/2030 00:00:00</t>
  </si>
  <si>
    <t>IT0005413171</t>
  </si>
  <si>
    <t>01/04/2031 00:00:00</t>
  </si>
  <si>
    <t>IT0005422891</t>
  </si>
  <si>
    <t>15/08/2041 00:00:00</t>
  </si>
  <si>
    <t>US912810TA60</t>
  </si>
  <si>
    <t>15/02/2043 00:00:00</t>
  </si>
  <si>
    <t>US912810TQ13</t>
  </si>
  <si>
    <t>15/05/2029 00:00:00</t>
  </si>
  <si>
    <t>US9128286T26</t>
  </si>
  <si>
    <t>30/09/2023 00:00:00</t>
  </si>
  <si>
    <t>US912828T263</t>
  </si>
  <si>
    <t>US912828ZN34</t>
  </si>
  <si>
    <t>15/05/2030 00:00:00</t>
  </si>
  <si>
    <t>US912828ZQ64</t>
  </si>
  <si>
    <t>US912828ZT04</t>
  </si>
  <si>
    <t>30/06/2028 00:00:00</t>
  </si>
  <si>
    <t>US91282CCH25</t>
  </si>
  <si>
    <t>31/10/2028 00:00:00</t>
  </si>
  <si>
    <t>US91282CDF59</t>
  </si>
  <si>
    <t>31/10/2026 00:00:00</t>
  </si>
  <si>
    <t>US91282CDG33</t>
  </si>
  <si>
    <t>30/11/2026 00:00:00</t>
  </si>
  <si>
    <t>US91282CDK45</t>
  </si>
  <si>
    <t>15/03/2025 00:00:00</t>
  </si>
  <si>
    <t>US91282CED92</t>
  </si>
  <si>
    <t>26/05/2028 00:00:00</t>
  </si>
  <si>
    <t>XS1420357318</t>
  </si>
  <si>
    <t>XS1744744191</t>
  </si>
  <si>
    <t>11/03/2029 00:00:00</t>
  </si>
  <si>
    <t>XS1892141620</t>
  </si>
  <si>
    <t>26/02/2026 00:00:00</t>
  </si>
  <si>
    <t>XS2178857285</t>
  </si>
  <si>
    <t>10/12/2027 00:00:00</t>
  </si>
  <si>
    <t>XS2310118893</t>
  </si>
  <si>
    <t>11/10/2023 00:00:00</t>
  </si>
  <si>
    <t>XS1892247963</t>
  </si>
  <si>
    <t>Multi Nacional</t>
  </si>
  <si>
    <t>21/09/2029 00:00:00</t>
  </si>
  <si>
    <t>XS2053566068</t>
  </si>
  <si>
    <t>XS2356571559</t>
  </si>
  <si>
    <t>XS0215093534</t>
  </si>
  <si>
    <t>07/03/2024 00:00:00</t>
  </si>
  <si>
    <t>XS1627782771</t>
  </si>
  <si>
    <t>14/01/2025 00:00:00</t>
  </si>
  <si>
    <t>XS2343532417</t>
  </si>
  <si>
    <t>XS2081491727</t>
  </si>
  <si>
    <t>Control Medio</t>
  </si>
  <si>
    <t>23/09/2026 00:00:00</t>
  </si>
  <si>
    <t>XS2081500907</t>
  </si>
  <si>
    <t>Envases y embalajes</t>
  </si>
  <si>
    <t>15/10/2024 00:00:00</t>
  </si>
  <si>
    <t>XS2093880735</t>
  </si>
  <si>
    <t>XS2189594315</t>
  </si>
  <si>
    <t>XS2333301674</t>
  </si>
  <si>
    <t>Materiales construc</t>
  </si>
  <si>
    <t>22/04/2026 00:00:00</t>
  </si>
  <si>
    <t>XS2363989273</t>
  </si>
  <si>
    <t>Inv. Inmobiliarias</t>
  </si>
  <si>
    <t>Hierro/Acero</t>
  </si>
  <si>
    <t>19/08/2025 00:00:00</t>
  </si>
  <si>
    <t>XS2082324018</t>
  </si>
  <si>
    <t>17/01/2024 00:00:00</t>
  </si>
  <si>
    <t>XS2103230152</t>
  </si>
  <si>
    <t>15/12/2023 00:00:00</t>
  </si>
  <si>
    <t>DE000A254QA9</t>
  </si>
  <si>
    <t>Papel y serv fores</t>
  </si>
  <si>
    <t>15/04/2036 00:00:00</t>
  </si>
  <si>
    <t>USX8662DAW75</t>
  </si>
  <si>
    <t>Servicio gas</t>
  </si>
  <si>
    <t>AQUASM 2.629 06</t>
  </si>
  <si>
    <t>Servicios agua</t>
  </si>
  <si>
    <t>FR0010804500</t>
  </si>
  <si>
    <t>23/01/2026 00:00:00</t>
  </si>
  <si>
    <t>FR0013414919</t>
  </si>
  <si>
    <t>28/06/2025 00:00:00</t>
  </si>
  <si>
    <t>XS1839682116</t>
  </si>
  <si>
    <t>XS2049419398</t>
  </si>
  <si>
    <t>22/04/2028 00:00:00</t>
  </si>
  <si>
    <t>XS2367164576</t>
  </si>
  <si>
    <t>31/01/2025 00:00:00</t>
  </si>
  <si>
    <t>XS2438615606</t>
  </si>
  <si>
    <t>21/02/2024 00:00:00</t>
  </si>
  <si>
    <t>DE000BU0E022</t>
  </si>
  <si>
    <t>RFE0</t>
  </si>
  <si>
    <t>04/07/2025 00:00:00</t>
  </si>
  <si>
    <t>EU000A3K4DJ5</t>
  </si>
  <si>
    <t>RANK</t>
  </si>
  <si>
    <t>AÑOS HASTA VTO</t>
  </si>
  <si>
    <t>TIPO</t>
  </si>
  <si>
    <t>HOY</t>
  </si>
  <si>
    <t>VTO MEDIO</t>
  </si>
  <si>
    <t>DURACIÓN</t>
  </si>
  <si>
    <t>YIELD</t>
  </si>
  <si>
    <t>NXT_CALL_DT</t>
  </si>
  <si>
    <t>CALL_YEARS_TDY</t>
  </si>
  <si>
    <t>PX_LAST</t>
  </si>
  <si>
    <t>NAME</t>
  </si>
  <si>
    <t>CRNCY</t>
  </si>
  <si>
    <t>COUPON</t>
  </si>
  <si>
    <t>CPN_TYP</t>
  </si>
  <si>
    <t>PAYMENT_RANK</t>
  </si>
  <si>
    <t>FINAL_MATURITY</t>
  </si>
  <si>
    <t>MTY_YEARS_TDY</t>
  </si>
  <si>
    <t>YAS_MOD_DUR</t>
  </si>
  <si>
    <t>YLD_CNV_MID</t>
  </si>
  <si>
    <t>PX_BID</t>
  </si>
  <si>
    <t>BID_YIELD</t>
  </si>
  <si>
    <t>PX_MID</t>
  </si>
  <si>
    <t>ASK_YIELD</t>
  </si>
  <si>
    <t>PX_ASK</t>
  </si>
  <si>
    <t>RTG_SP</t>
  </si>
  <si>
    <t>RTG_MOODY</t>
  </si>
  <si>
    <t>RTG_FITCH</t>
  </si>
  <si>
    <t>INDUSTRY_SECTOR</t>
  </si>
  <si>
    <t>COUNTRY_FULL_NAME</t>
  </si>
  <si>
    <t>AMT_ISSUED</t>
  </si>
  <si>
    <t>MIN_PIECE</t>
  </si>
  <si>
    <t>ISIN</t>
  </si>
  <si>
    <t>TICKER</t>
  </si>
  <si>
    <t>ENTRADA</t>
  </si>
  <si>
    <t>ALTO</t>
  </si>
  <si>
    <t>BAJO</t>
  </si>
  <si>
    <t>SECURITY_NAME</t>
  </si>
  <si>
    <t>PX_CLOSE_1D</t>
  </si>
  <si>
    <t>EMISOR</t>
  </si>
  <si>
    <t>DIVISA</t>
  </si>
  <si>
    <t>CUPON</t>
  </si>
  <si>
    <t>VTO</t>
  </si>
  <si>
    <t>AÑOS VTO.</t>
  </si>
  <si>
    <t>DURACION</t>
  </si>
  <si>
    <t>YIELD MID</t>
  </si>
  <si>
    <t>BID</t>
  </si>
  <si>
    <t>YLD MID</t>
  </si>
  <si>
    <t>MID</t>
  </si>
  <si>
    <t>YLD ASK</t>
  </si>
  <si>
    <t>S&amp;P</t>
  </si>
  <si>
    <t>MOODY'S</t>
  </si>
  <si>
    <t>FITCH</t>
  </si>
  <si>
    <t>SECTOR</t>
  </si>
  <si>
    <t>PAÍS</t>
  </si>
  <si>
    <t>ISSUED</t>
  </si>
  <si>
    <t>MIN PIECE</t>
  </si>
  <si>
    <t>Total general</t>
  </si>
  <si>
    <t>Suma de nominal_dis</t>
  </si>
  <si>
    <t>Suma de porcentaje_contado</t>
  </si>
  <si>
    <t>Suma de coste_ini_div</t>
  </si>
  <si>
    <t>Mediolanum Pensiones II</t>
  </si>
  <si>
    <t>Suma de cartera</t>
  </si>
  <si>
    <t>Suma de instrumento</t>
  </si>
  <si>
    <t>01/04/2024 00:00:00</t>
  </si>
  <si>
    <t>15/02/2033 00:00:00</t>
  </si>
  <si>
    <t>US91282CGM73</t>
  </si>
  <si>
    <t>04/07/2031 00:00:00</t>
  </si>
  <si>
    <t>EU000A3KSXE1</t>
  </si>
  <si>
    <t>29/01/2024 00:00:00</t>
  </si>
  <si>
    <t>IT0005359507</t>
  </si>
  <si>
    <t>Suma de Suma de nominal_dis</t>
  </si>
  <si>
    <t>20/03/2024 00:00:00</t>
  </si>
  <si>
    <t>DE000BU0E030</t>
  </si>
  <si>
    <t>FR0127613513</t>
  </si>
  <si>
    <t>15/04/2024 00:00:00</t>
  </si>
  <si>
    <t>06/10/2023 00:00:00</t>
  </si>
  <si>
    <t>EU000A3K4D58</t>
  </si>
  <si>
    <t>ESZ3P 3900 Index</t>
  </si>
  <si>
    <t>OPVE</t>
  </si>
  <si>
    <t>Opciones Co. PUT</t>
  </si>
  <si>
    <t>ESZ3C 4400 Index</t>
  </si>
  <si>
    <t>Opciones Ve. CALL</t>
  </si>
  <si>
    <t>NQZ3P 12000 Index</t>
  </si>
  <si>
    <t>SX5E 12 P4100 Index</t>
  </si>
  <si>
    <t>NQZ3C 14300 Index</t>
  </si>
  <si>
    <t>SX5E 12 C4650 Index</t>
  </si>
  <si>
    <t>30/04/2026 00:00:00</t>
  </si>
  <si>
    <t>18/05/2025 00:00:00</t>
  </si>
  <si>
    <t>ES0365936048</t>
  </si>
  <si>
    <t>16/05/2026 00:00:00</t>
  </si>
  <si>
    <t>XS2623501181</t>
  </si>
  <si>
    <t>30/05/2024 00:00:00</t>
  </si>
  <si>
    <t>XS2629047254</t>
  </si>
  <si>
    <t>06/06/2025 00:00:00</t>
  </si>
  <si>
    <t>BE0002950310</t>
  </si>
  <si>
    <t>07/06/2026 00:00:00</t>
  </si>
  <si>
    <t>ES0344251014</t>
  </si>
  <si>
    <t>07/06/2028 00:00:00</t>
  </si>
  <si>
    <t>XS2598331242</t>
  </si>
  <si>
    <t>15/06/2026 00:00:00</t>
  </si>
  <si>
    <t>ES0343307031</t>
  </si>
  <si>
    <t>30/07/2029 00:00:00</t>
  </si>
  <si>
    <t>ES0000012K53</t>
  </si>
  <si>
    <t>03/04/2028 00:00:00</t>
  </si>
  <si>
    <t>PTGGDDOM0008</t>
  </si>
  <si>
    <t>15/03/2024 00:00:00</t>
  </si>
  <si>
    <t>XS1963849440</t>
  </si>
  <si>
    <t>15/05/2024 00:00:00</t>
  </si>
  <si>
    <t>DE000BU0E055</t>
  </si>
  <si>
    <t>ABNB US</t>
  </si>
  <si>
    <t>ETSY US</t>
  </si>
  <si>
    <t xml:space="preserve">PRFT US </t>
  </si>
  <si>
    <t>9984 JP</t>
  </si>
  <si>
    <t>JPY</t>
  </si>
  <si>
    <t>GAMA LN</t>
  </si>
  <si>
    <t>GBP</t>
  </si>
  <si>
    <t>FOXF US</t>
  </si>
  <si>
    <t>IHG LN</t>
  </si>
  <si>
    <t>DKS US</t>
  </si>
  <si>
    <t>JBH AU</t>
  </si>
  <si>
    <t>AUD</t>
  </si>
  <si>
    <t>JD/ LN</t>
  </si>
  <si>
    <t>LOW US</t>
  </si>
  <si>
    <t>RYA ID</t>
  </si>
  <si>
    <t>SALM NO</t>
  </si>
  <si>
    <t>NOK</t>
  </si>
  <si>
    <t>PLC CN</t>
  </si>
  <si>
    <t>ELV US</t>
  </si>
  <si>
    <t>HCA US</t>
  </si>
  <si>
    <t>ICLR US</t>
  </si>
  <si>
    <t>MOH US</t>
  </si>
  <si>
    <t>ABBV US</t>
  </si>
  <si>
    <t>GTT FP</t>
  </si>
  <si>
    <t>Pipelines</t>
  </si>
  <si>
    <t>ASX AU</t>
  </si>
  <si>
    <t>AXP US</t>
  </si>
  <si>
    <t>BUR LN</t>
  </si>
  <si>
    <t>CACC US</t>
  </si>
  <si>
    <t>WTW US</t>
  </si>
  <si>
    <t>ENX FP</t>
  </si>
  <si>
    <t>VRLA FP</t>
  </si>
  <si>
    <t>CSL US</t>
  </si>
  <si>
    <t>Manufacturas Diver</t>
  </si>
  <si>
    <t>PH US</t>
  </si>
  <si>
    <t>DE US</t>
  </si>
  <si>
    <t>Prod Construccion</t>
  </si>
  <si>
    <t>CKN LN</t>
  </si>
  <si>
    <t>VID SM</t>
  </si>
  <si>
    <t>RIO LN</t>
  </si>
  <si>
    <t>Mineria</t>
  </si>
  <si>
    <t>COR PL</t>
  </si>
  <si>
    <t>CF US</t>
  </si>
  <si>
    <t>FPE GY</t>
  </si>
  <si>
    <t>EPAM US</t>
  </si>
  <si>
    <t>KWS LN</t>
  </si>
  <si>
    <t>NXPI US</t>
  </si>
  <si>
    <t>TSM US</t>
  </si>
  <si>
    <t>CSU-R CN</t>
  </si>
  <si>
    <t>HACE</t>
  </si>
  <si>
    <t>SSNC US</t>
  </si>
  <si>
    <t>22/08/2028 00:00:00</t>
  </si>
  <si>
    <t>2299955D CN Equity</t>
  </si>
  <si>
    <t>WCVE</t>
  </si>
  <si>
    <t>Opciones Co. CALL</t>
  </si>
  <si>
    <t>VRV</t>
  </si>
  <si>
    <t>02/07/2024 00:00:00</t>
  </si>
  <si>
    <t>15/07/2024 00:00:00</t>
  </si>
  <si>
    <t>13/04/2025 00:00:00</t>
  </si>
  <si>
    <t>XS2468378059</t>
  </si>
  <si>
    <t>03/07/2028 00:00:00</t>
  </si>
  <si>
    <t>FR001400IU83</t>
  </si>
  <si>
    <t>27/03/2024 00:00:00</t>
  </si>
  <si>
    <t>31/10/2033 00:00:00</t>
  </si>
  <si>
    <t>ES0000012L78</t>
  </si>
  <si>
    <t>15/11/2023 00:00:00</t>
  </si>
  <si>
    <t>US912828WE61</t>
  </si>
  <si>
    <t>31/07/2030 00:00:00</t>
  </si>
  <si>
    <t>US91282CHR51</t>
  </si>
  <si>
    <t>ONTEX 3 1/2 07/15/26</t>
  </si>
  <si>
    <t>WEPAHY 2 7/8 12/15/27</t>
  </si>
  <si>
    <t>BUBILL 0 02/21/24</t>
  </si>
  <si>
    <t>SPGB 1 1/2 04/30/27</t>
  </si>
  <si>
    <t>SPGB 1 1/4 10/31/30</t>
  </si>
  <si>
    <t>SPGB 0.1 04/30/31</t>
  </si>
  <si>
    <t>SPGB 0 1/2 10/31/31</t>
  </si>
  <si>
    <t>SPGB 0.7 04/30/32</t>
  </si>
  <si>
    <t>SPGB 0 05/31/25</t>
  </si>
  <si>
    <t>CABKSM 1 1/8 11/12/26</t>
  </si>
  <si>
    <t>BKTSM 0 7/8 07/08/26</t>
  </si>
  <si>
    <t>ABANCA 4 5/8 04/07/30</t>
  </si>
  <si>
    <t>ABANCA 0 1/2 09/08/27</t>
  </si>
  <si>
    <t>AYTCED 3 3/4 06/30/25</t>
  </si>
  <si>
    <t>CEDTDA 3 7/8 05/23/25</t>
  </si>
  <si>
    <t>CAZAR 3 3/4 06/15/25</t>
  </si>
  <si>
    <t>UCAJLN 1 12/01/26</t>
  </si>
  <si>
    <t>BKTSM 3.05 05/29/28</t>
  </si>
  <si>
    <t>CABKSM 6 3/4 PERP</t>
  </si>
  <si>
    <t>ABANCA 6 PERP</t>
  </si>
  <si>
    <t>ORANOF 4 7/8 09/23/24</t>
  </si>
  <si>
    <t>TDFINF 2 1/2 04/07/26</t>
  </si>
  <si>
    <t>RENAUL Float 03/12/25</t>
  </si>
  <si>
    <t>RENAUL 1 04/18/24</t>
  </si>
  <si>
    <t>FRFP 1 1/2 06/18/25</t>
  </si>
  <si>
    <t>PHLSBG 5 03/27/24</t>
  </si>
  <si>
    <t>ORANOF 3 3/8 04/23/26</t>
  </si>
  <si>
    <t>CEETRU 2 3/4 11/26/26</t>
  </si>
  <si>
    <t>MERYFP 2 1/2 02/28/29</t>
  </si>
  <si>
    <t>BTPS 6 1/2 11/01/27</t>
  </si>
  <si>
    <t>BTPS 1.65 12/01/30</t>
  </si>
  <si>
    <t>BTPS 0.9 04/01/31</t>
  </si>
  <si>
    <t>BCPPL 8 1/2 10/25/25</t>
  </si>
  <si>
    <t>BCPPL 1 1/8 02/12/27</t>
  </si>
  <si>
    <t>BESPL 7 1/8 11/28/23</t>
  </si>
  <si>
    <t>CRLPL 2 1/2 11/05/26</t>
  </si>
  <si>
    <t>CXGD 1 1/4 11/25/24</t>
  </si>
  <si>
    <t>FIDELI 4 1/4 09/04/31</t>
  </si>
  <si>
    <t>HEIMST 4 1/4 03/09/26</t>
  </si>
  <si>
    <t>NOKIA 6 5/8 05/15/39</t>
  </si>
  <si>
    <t>T 3 7/8 02/15/43</t>
  </si>
  <si>
    <t>T 2 3/8 05/15/29</t>
  </si>
  <si>
    <t>T 1 3/8 09/30/23</t>
  </si>
  <si>
    <t>T 0 1/2 04/30/27</t>
  </si>
  <si>
    <t>T 0 5/8 05/15/30</t>
  </si>
  <si>
    <t>T 0 1/4 05/31/25</t>
  </si>
  <si>
    <t>T 1 1/4 06/30/28</t>
  </si>
  <si>
    <t>T 1 3/8 10/31/28</t>
  </si>
  <si>
    <t>T 1 1/8 10/31/26</t>
  </si>
  <si>
    <t>T 1 1/4 11/30/26</t>
  </si>
  <si>
    <t>T 1 3/4 03/15/25</t>
  </si>
  <si>
    <t>MRFGBZ 6 5/8 08/06/29</t>
  </si>
  <si>
    <t>STERV 7 1/4 04/15/36</t>
  </si>
  <si>
    <t>ATOSTR 5 7/8 06/09/24</t>
  </si>
  <si>
    <t>LDOIM 4 7/8 03/24/25</t>
  </si>
  <si>
    <t>ATOSTR 4 3/8 09/16/25</t>
  </si>
  <si>
    <t>ATRADI 5 1/4 09/23/44</t>
  </si>
  <si>
    <t>NNGRNV 4 3/8 PERP</t>
  </si>
  <si>
    <t>TCELLT 5 3/4 10/15/25</t>
  </si>
  <si>
    <t>ATOSTR 1 3/4 06/26/26</t>
  </si>
  <si>
    <t>ROMANI 2 7/8 05/26/28</t>
  </si>
  <si>
    <t>CLNXSM 2 3/8 01/16/24</t>
  </si>
  <si>
    <t>CLNXSM 2 7/8 04/18/25</t>
  </si>
  <si>
    <t>VW 1 1/8 10/02/23</t>
  </si>
  <si>
    <t>MRLSM 1 3/4 05/26/25</t>
  </si>
  <si>
    <t>LDOIM 1 1/2 06/07/24</t>
  </si>
  <si>
    <t>UCGIM 5.861 06/19/32</t>
  </si>
  <si>
    <t>NEPSJ 1 3/4 11/23/24</t>
  </si>
  <si>
    <t>DERSTG 1 5/8 12/09/24</t>
  </si>
  <si>
    <t>MACEDO 2 3/4 01/18/25</t>
  </si>
  <si>
    <t>BACRED 3 1/2 03/29/24</t>
  </si>
  <si>
    <t>TELEFO 3 PERP</t>
  </si>
  <si>
    <t>GESTSM 3 1/4 04/30/26</t>
  </si>
  <si>
    <t>BULENR 3 1/2 06/28/25</t>
  </si>
  <si>
    <t>BACRED 5.55 07/13/24</t>
  </si>
  <si>
    <t>RABOBK 4 5/8 PERP</t>
  </si>
  <si>
    <t>ROMANI 2 7/8 03/11/29</t>
  </si>
  <si>
    <t>AFREXI 5 1/4 10/11/23</t>
  </si>
  <si>
    <t>BACRED 2 1/4 01/25/24</t>
  </si>
  <si>
    <t>TELEFO 4 3/8 PERP</t>
  </si>
  <si>
    <t>EEFT 1 3/8 05/22/26</t>
  </si>
  <si>
    <t>EZJLN 0 7/8 06/11/25</t>
  </si>
  <si>
    <t>ISPIM 2 5/8 06/20/24</t>
  </si>
  <si>
    <t>SANSCF 0 3/8 06/27/24</t>
  </si>
  <si>
    <t>IAGLN 1 1/2 07/04/27</t>
  </si>
  <si>
    <t>BACRED 1 1/8 07/15/25</t>
  </si>
  <si>
    <t>TVOYFH 1 1/8 03/09/26</t>
  </si>
  <si>
    <t>AFREXI 3.994 09/21/29</t>
  </si>
  <si>
    <t>UCGIM 2 09/23/29</t>
  </si>
  <si>
    <t>ARNDTN 3 3/8 PERP</t>
  </si>
  <si>
    <t>SABSM 1 1/8 03/27/25</t>
  </si>
  <si>
    <t>CABKSM 0 5/8 10/01/24</t>
  </si>
  <si>
    <t>NEPSJ 1 7/8 10/09/26</t>
  </si>
  <si>
    <t>ISPIM 1 5/8 04/21/25</t>
  </si>
  <si>
    <t>BNCMCC 1 1/2 10/24/24</t>
  </si>
  <si>
    <t>PPFTEL 2 1/8 01/31/25</t>
  </si>
  <si>
    <t>FCCSER 0.815 12/04/23</t>
  </si>
  <si>
    <t>FCCSER 1.661 12/04/26</t>
  </si>
  <si>
    <t>MTNA 1 3/4 11/19/25</t>
  </si>
  <si>
    <t>IGDIM 2 1/8 11/28/24</t>
  </si>
  <si>
    <t>MRLSM 1 7/8 12/04/34</t>
  </si>
  <si>
    <t>BERY 1 01/15/25</t>
  </si>
  <si>
    <t>POHANG 0 1/2 01/17/24</t>
  </si>
  <si>
    <t>RCSRDS 2 1/2 02/05/25</t>
  </si>
  <si>
    <t>BAMIIM 1 5/8 02/18/25</t>
  </si>
  <si>
    <t>LANBNN 0 1/2 05/20/24</t>
  </si>
  <si>
    <t>ROMANI 2 3/4 02/26/26</t>
  </si>
  <si>
    <t>SIGCBL 2 1/8 06/18/25</t>
  </si>
  <si>
    <t>BPLN 3 1/4 PERP</t>
  </si>
  <si>
    <t>MRLSM 2 3/8 07/13/27</t>
  </si>
  <si>
    <t>GWILN 2.95 07/29/26</t>
  </si>
  <si>
    <t>CPIPGR 4 7/8 PERP</t>
  </si>
  <si>
    <t>ZFFNGR 3 09/21/25</t>
  </si>
  <si>
    <t>UNIIM 3 1/4 09/23/30</t>
  </si>
  <si>
    <t>CTPNV 2 1/8 10/01/25</t>
  </si>
  <si>
    <t>CLNXSM 1 3/4 10/23/30</t>
  </si>
  <si>
    <t>LOUDRE 2 3/8 11/27/25</t>
  </si>
  <si>
    <t>ATOSTR 2 12/04/28</t>
  </si>
  <si>
    <t>ARNDTN 1 5/8 PERP</t>
  </si>
  <si>
    <t>CLNXSM 0 3/4 11/15/26</t>
  </si>
  <si>
    <t>EZJLN 1 7/8 03/03/28</t>
  </si>
  <si>
    <t>LANBNN 0 3/8 05/23/25</t>
  </si>
  <si>
    <t>MACEDO 1 5/8 03/10/28</t>
  </si>
  <si>
    <t>CELDES 5 1/4 04/01/26</t>
  </si>
  <si>
    <t>IAGLN 2 3/4 03/25/25</t>
  </si>
  <si>
    <t>IAGLN 3 3/4 03/25/29</t>
  </si>
  <si>
    <t>PFLEID 4 3/4 04/15/26</t>
  </si>
  <si>
    <t>ENIIM 2 PERP</t>
  </si>
  <si>
    <t>ANASM 1.2 01/14/25</t>
  </si>
  <si>
    <t>MRLSM 1 3/8 06/01/30</t>
  </si>
  <si>
    <t>CTPNV 1 1/4 06/21/29</t>
  </si>
  <si>
    <t>TDBBNK 4 1/8 06/30/28</t>
  </si>
  <si>
    <t>NHHSM 4 07/02/26</t>
  </si>
  <si>
    <t>HEIBOS 3 PERP</t>
  </si>
  <si>
    <t>TNEMAK 2 1/4 07/20/28</t>
  </si>
  <si>
    <t>LHAGR 2 07/14/24</t>
  </si>
  <si>
    <t>LRESM 1 3/4 07/22/26</t>
  </si>
  <si>
    <t>ARION 0 3/8 07/14/25</t>
  </si>
  <si>
    <t>BULENR 2.45 07/22/28</t>
  </si>
  <si>
    <t>WUWGR 2 1/8 09/10/41</t>
  </si>
  <si>
    <t>CLNXSM 1 09/15/27</t>
  </si>
  <si>
    <t>BACRED 0 3/4 11/02/28</t>
  </si>
  <si>
    <t>VIAOUT 1 3/4 11/15/28</t>
  </si>
  <si>
    <t>LHAGR 1 5/8 11/16/23</t>
  </si>
  <si>
    <t>CPIPGR 1 3/4 01/14/30</t>
  </si>
  <si>
    <t>NEPSJ 2 01/20/30</t>
  </si>
  <si>
    <t>HEIBOS 1 3/8 07/24/28</t>
  </si>
  <si>
    <t>VW 0 1/4 01/31/25</t>
  </si>
  <si>
    <t>SABSM 2 5/8 03/24/26</t>
  </si>
  <si>
    <t>BKIR 1 7/8 06/05/26</t>
  </si>
  <si>
    <t>SABSM 5 3/8 09/08/26</t>
  </si>
  <si>
    <t>JYBC 4 5/8 04/11/26</t>
  </si>
  <si>
    <t>SUMIBK 3.602 02/16/26</t>
  </si>
  <si>
    <t>ISPIM 5 03/08/28</t>
  </si>
  <si>
    <t>T 3 1/2 02/15/33</t>
  </si>
  <si>
    <t>EU 0 07/04/31</t>
  </si>
  <si>
    <t>MONTE 2 01/29/24</t>
  </si>
  <si>
    <t>BUBILL 0 03/20/24</t>
  </si>
  <si>
    <t>BTF 0 03/20/24</t>
  </si>
  <si>
    <t>EUB 0 10/06/23</t>
  </si>
  <si>
    <t>ABANCA 5 1/2 05/18/26</t>
  </si>
  <si>
    <t>CABKSM 4 5/8 05/16/27</t>
  </si>
  <si>
    <t>SWEDA 4 5/8 05/30/26</t>
  </si>
  <si>
    <t>KBCBB 4 1/2 06/06/26</t>
  </si>
  <si>
    <t>CAZAR 5 5/8 06/07/27</t>
  </si>
  <si>
    <t>SABSM 5 06/07/29</t>
  </si>
  <si>
    <t>KUTXAB 4 3/4 06/15/27</t>
  </si>
  <si>
    <t>SPGB 0.8 07/30/29</t>
  </si>
  <si>
    <t>FLOEPT 4 7/8 07/03/28</t>
  </si>
  <si>
    <t>DANBNK 1 5/8 03/15/24</t>
  </si>
  <si>
    <t>BUBILL 0 05/15/24</t>
  </si>
  <si>
    <t>CABKSM 1 5/8 04/13/26</t>
  </si>
  <si>
    <t>ULFP 7 1/4 PERP</t>
  </si>
  <si>
    <t>SPGB 3.55 10/31/33</t>
  </si>
  <si>
    <t>T 2 3/4 11/15/23</t>
  </si>
  <si>
    <t>T 4 07/31/30</t>
  </si>
  <si>
    <t>(en blanco)</t>
  </si>
  <si>
    <t>AÑOS HASTA VTO redondeado</t>
  </si>
  <si>
    <t>ECZ3 Curncy</t>
  </si>
  <si>
    <t>ES0L02405105</t>
  </si>
  <si>
    <t>LET</t>
  </si>
  <si>
    <t>17/04/2024 00:00:00</t>
  </si>
  <si>
    <t>DE000BU0E048</t>
  </si>
  <si>
    <t>30/04/2024 00:00:00</t>
  </si>
  <si>
    <t>US91282CEK36</t>
  </si>
  <si>
    <t>#N/A Invalid Security</t>
  </si>
  <si>
    <t>NDAFH 3 5/8 02/10/26</t>
  </si>
  <si>
    <t>BUBILL 0 04/17/24</t>
  </si>
  <si>
    <t>T 2 1/2 04/30/24</t>
  </si>
  <si>
    <t>02/10/2025 00:00:00</t>
  </si>
  <si>
    <t>PTBCP2OM0058</t>
  </si>
  <si>
    <t>COMPRAS A PLAZO</t>
  </si>
  <si>
    <t>HEIMST 4 3/8 03/06/27</t>
  </si>
  <si>
    <t>TELEFO 7.045 06/20/36</t>
  </si>
  <si>
    <t>BCPPL 5 5/8 10/02/26</t>
  </si>
  <si>
    <t>#¡VALOR!</t>
  </si>
  <si>
    <t>03/10/2023 00:00:00</t>
  </si>
  <si>
    <t>03/10/2023 23:59:59</t>
  </si>
  <si>
    <t>20/01/2025 00:00:00</t>
  </si>
  <si>
    <t>XS2104967695</t>
  </si>
  <si>
    <t>COMPRAS COMPROMISO</t>
  </si>
  <si>
    <t>T</t>
  </si>
  <si>
    <t>21/06/2024 00:00:00</t>
  </si>
  <si>
    <t>XS2015267953</t>
  </si>
  <si>
    <t>BCPPL 5 5/8 10/02/27</t>
  </si>
  <si>
    <t>BCPPL 5 5/8 10/02/28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</si>
</sst>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[$-C0A]d\-mmm\-yy;@"/>
    <numFmt numFmtId="166" formatCode="#,##0.00_ ;\-#,##0.00\ "/>
    <numFmt numFmtId="167" formatCode="0.000"/>
  </numFmts>
  <fonts count="27" x14ac:knownFonts="1">
    <font>
      <sz val="11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4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theme="1"/>
      <name val="Open Sans"/>
      <family val="2"/>
    </font>
    <font>
      <sz val="12"/>
      <color theme="4" tint="0.79998168889431442"/>
      <name val="Open Sans"/>
      <family val="2"/>
    </font>
    <font>
      <b/>
      <sz val="12"/>
      <color theme="1"/>
      <name val="Open Sans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Open Sans"/>
      <family val="2"/>
    </font>
    <font>
      <b/>
      <sz val="8"/>
      <color theme="1"/>
      <name val="Open Sans"/>
      <family val="2"/>
    </font>
    <font>
      <sz val="11"/>
      <color rgb="FF000000"/>
      <name val="Open Sans"/>
      <family val="2"/>
    </font>
    <font>
      <sz val="8"/>
      <name val="Open Sans"/>
      <family val="2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4" fillId="0" borderId="0" xfId="3" applyNumberFormat="1" applyFont="1"/>
    <xf numFmtId="164" fontId="4" fillId="0" borderId="0" xfId="3" applyNumberFormat="1" applyFont="1" applyAlignment="1">
      <alignment horizontal="center" vertical="center"/>
    </xf>
    <xf numFmtId="10" fontId="4" fillId="0" borderId="0" xfId="4" applyNumberFormat="1" applyFont="1"/>
    <xf numFmtId="14" fontId="4" fillId="0" borderId="0" xfId="3" applyNumberFormat="1" applyFont="1" applyAlignment="1">
      <alignment horizontal="center"/>
    </xf>
    <xf numFmtId="164" fontId="7" fillId="2" borderId="7" xfId="3" applyNumberFormat="1" applyFont="1" applyFill="1" applyBorder="1" applyAlignment="1">
      <alignment horizontal="center"/>
    </xf>
    <xf numFmtId="166" fontId="7" fillId="2" borderId="8" xfId="3" applyNumberFormat="1" applyFont="1" applyFill="1" applyBorder="1" applyAlignment="1">
      <alignment horizontal="center" vertical="center"/>
    </xf>
    <xf numFmtId="164" fontId="4" fillId="0" borderId="4" xfId="3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2" fillId="4" borderId="13" xfId="0" applyFont="1" applyFill="1" applyBorder="1"/>
    <xf numFmtId="0" fontId="19" fillId="5" borderId="0" xfId="0" applyFont="1" applyFill="1"/>
    <xf numFmtId="0" fontId="0" fillId="5" borderId="0" xfId="0" applyFill="1"/>
    <xf numFmtId="0" fontId="20" fillId="5" borderId="0" xfId="0" applyFont="1" applyFill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8" fillId="0" borderId="0" xfId="0" applyFont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167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43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164" fontId="8" fillId="0" borderId="0" xfId="0" applyNumberFormat="1" applyFont="1"/>
    <xf numFmtId="0" fontId="9" fillId="0" borderId="0" xfId="0" applyFont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165" fontId="12" fillId="3" borderId="9" xfId="0" applyNumberFormat="1" applyFont="1" applyFill="1" applyBorder="1" applyAlignment="1">
      <alignment horizontal="center"/>
    </xf>
    <xf numFmtId="165" fontId="12" fillId="3" borderId="1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2" fillId="3" borderId="11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167" fontId="4" fillId="0" borderId="4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2" fontId="16" fillId="0" borderId="0" xfId="0" applyNumberFormat="1" applyFont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17" fillId="0" borderId="4" xfId="0" applyNumberFormat="1" applyFont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165" fontId="22" fillId="0" borderId="0" xfId="0" applyNumberFormat="1" applyFont="1" applyAlignment="1">
      <alignment horizontal="center"/>
    </xf>
    <xf numFmtId="166" fontId="18" fillId="5" borderId="0" xfId="1" applyNumberFormat="1" applyFont="1" applyFill="1"/>
    <xf numFmtId="43" fontId="0" fillId="0" borderId="0" xfId="1" applyFont="1"/>
    <xf numFmtId="10" fontId="0" fillId="0" borderId="0" xfId="5" applyNumberFormat="1" applyFont="1" applyAlignment="1">
      <alignment horizontal="left"/>
    </xf>
    <xf numFmtId="0" fontId="26" fillId="0" borderId="0" xfId="0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left"/>
    </xf>
    <xf numFmtId="2" fontId="0" fillId="3" borderId="0" xfId="0" applyNumberFormat="1" applyFill="1"/>
    <xf numFmtId="1" fontId="0" fillId="3" borderId="0" xfId="0" applyNumberFormat="1" applyFill="1"/>
    <xf numFmtId="167" fontId="4" fillId="3" borderId="0" xfId="0" applyNumberFormat="1" applyFont="1" applyFill="1" applyAlignment="1">
      <alignment horizontal="center"/>
    </xf>
    <xf numFmtId="164" fontId="21" fillId="0" borderId="0" xfId="3" applyNumberFormat="1" applyFont="1" applyAlignment="1">
      <alignment horizontal="center" vertical="center"/>
    </xf>
    <xf numFmtId="0" fontId="0" fillId="0" borderId="0" xfId="0" applyNumberFormat="1"/>
    <xf numFmtId="0" fontId="0" fillId="0" borderId="0" xfId="0" pivotButton="1" applyFont="1"/>
    <xf numFmtId="0" fontId="0" fillId="3" borderId="0" xfId="0" applyNumberFormat="1" applyFill="1"/>
  </cellXfs>
  <cellStyles count="6">
    <cellStyle name="Millares" xfId="1" builtinId="3"/>
    <cellStyle name="Millares 2" xfId="3" xr:uid="{95217A06-B0F7-4F9A-B86A-BD15911BEE97}"/>
    <cellStyle name="Normal" xfId="0" builtinId="0"/>
    <cellStyle name="Normal 2" xfId="2" xr:uid="{0B27DCF2-79BA-4125-A4AE-113B4715059E}"/>
    <cellStyle name="Porcentaje" xfId="5" builtinId="5"/>
    <cellStyle name="Porcentaje 2" xfId="4" xr:uid="{20DC0C9F-24A7-4584-9EF7-1605AA207788}"/>
  </cellStyles>
  <dxfs count="19">
    <dxf>
      <numFmt numFmtId="164" formatCode="_-* #,##0_-;\-* #,##0_-;_-* &quot;-&quot;??_-;_-@_-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" formatCode="0"/>
    </dxf>
    <dxf>
      <numFmt numFmtId="2" formatCode="0.00"/>
    </dxf>
    <dxf>
      <numFmt numFmtId="168" formatCode="0.0000000"/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[FONDOS MEDIOLANUM PEN. II.xlsm]Nominales por Vencimientos!TablaDinámica5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'Nominales por Vencimientos'!$B$3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'Nominales por Vencimientos'!$A$4:$A$25</c:f>
              <c:strCache>
                <c:ptCount val="2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0.4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13</c:v>
                </c:pt>
                <c:pt idx="17">
                  <c:v>16</c:v>
                </c:pt>
                <c:pt idx="18">
                  <c:v>19</c:v>
                </c:pt>
                <c:pt idx="19">
                  <c:v>(en blanco)</c:v>
                </c:pt>
                <c:pt idx="20">
                  <c:v>#¡VALOR!</c:v>
                </c:pt>
                <c:pt idx="21">
                  <c:v>0.3</c:v>
                </c:pt>
              </c:strCache>
            </c:strRef>
          </c:cat>
          <c:val>
            <c:numRef>
              <c:f>'Nominales por Vencimientos'!$B$4:$B$25</c:f>
              <c:numCache>
                <c:formatCode>_-* #,##0_-;\-* #,##0_-;_-* "-"??_-;_-@_-</c:formatCode>
                <c:ptCount val="22"/>
                <c:pt idx="0">
                  <c:v>3962396.04</c:v>
                </c:pt>
                <c:pt idx="1">
                  <c:v>2081261.13</c:v>
                </c:pt>
                <c:pt idx="2">
                  <c:v>1116000</c:v>
                </c:pt>
                <c:pt idx="3">
                  <c:v>3000000</c:v>
                </c:pt>
                <c:pt idx="4">
                  <c:v>3800000</c:v>
                </c:pt>
                <c:pt idx="5">
                  <c:v>17454797.870000001</c:v>
                </c:pt>
                <c:pt idx="6">
                  <c:v>17999135.640000001</c:v>
                </c:pt>
                <c:pt idx="7">
                  <c:v>12679366.219999999</c:v>
                </c:pt>
                <c:pt idx="8">
                  <c:v>3999801.99</c:v>
                </c:pt>
                <c:pt idx="9">
                  <c:v>4690085.25</c:v>
                </c:pt>
                <c:pt idx="10">
                  <c:v>3177433.95</c:v>
                </c:pt>
                <c:pt idx="11">
                  <c:v>4769742.4800000004</c:v>
                </c:pt>
                <c:pt idx="12">
                  <c:v>3600000</c:v>
                </c:pt>
                <c:pt idx="13">
                  <c:v>2644167.8200000003</c:v>
                </c:pt>
                <c:pt idx="14">
                  <c:v>3000000</c:v>
                </c:pt>
                <c:pt idx="15">
                  <c:v>300000</c:v>
                </c:pt>
                <c:pt idx="16">
                  <c:v>438802.64</c:v>
                </c:pt>
                <c:pt idx="17">
                  <c:v>82898.12</c:v>
                </c:pt>
                <c:pt idx="18">
                  <c:v>1846947.1</c:v>
                </c:pt>
                <c:pt idx="20">
                  <c:v>1600000</c:v>
                </c:pt>
                <c:pt idx="21">
                  <c:v>1715000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0-4D28-808E-BC4CD22F8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075344"/>
        <c:axId val="579071504"/>
      </c:barChart>
      <c:catAx>
        <c:axId val="57907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9071504"/>
        <c:crosses val="autoZero"/>
        <c:auto val="1"/>
        <c:lblAlgn val="ctr"/>
        <c:lblOffset val="100"/>
        <c:noMultiLvlLbl val="0"/>
      </c:catAx>
      <c:valAx>
        <c:axId val="5790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90753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8</xdr:row>
          <xdr:rowOff>19050</xdr:rowOff>
        </xdr:from>
        <xdr:to>
          <xdr:col>6</xdr:col>
          <xdr:colOff>1095375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1310368</xdr:colOff>
          <xdr:row>8</xdr:row>
          <xdr:rowOff>1359</xdr:rowOff>
        </xdr:from>
        <xdr:to>
          <xdr:col>10</xdr:col>
          <xdr:colOff>176893</xdr:colOff>
          <xdr:row>12</xdr:row>
          <xdr:rowOff>13606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Pegar datos en TRABAJO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0</xdr:row>
      <xdr:rowOff>45719</xdr:rowOff>
    </xdr:from>
    <xdr:to>
      <xdr:col>14</xdr:col>
      <xdr:colOff>437030</xdr:colOff>
      <xdr:row>31</xdr:row>
      <xdr:rowOff>179294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erico Battaner | Trea Am" refreshedDate="45197.420848495371" createdVersion="8" refreshedVersion="8" minRefreshableVersion="3" recordCount="186" xr:uid="{D10B1C3F-0B2A-4E4A-BCE7-3FC08F1A7765}">
  <cacheSource type="worksheet">
    <worksheetSource ref="A6:AN192" sheet="TRABAJO"/>
  </cacheSource>
  <cacheFields count="40">
    <cacheField name="ISIN" numFmtId="0">
      <sharedItems containsBlank="1"/>
    </cacheField>
    <cacheField name="TICKER" numFmtId="0">
      <sharedItems containsBlank="1"/>
    </cacheField>
    <cacheField name="Suma de instrumento" numFmtId="0">
      <sharedItems containsString="0" containsBlank="1" containsNumber="1" containsInteger="1" minValue="1034" maxValue="10788"/>
    </cacheField>
    <cacheField name="Suma de cartera" numFmtId="0">
      <sharedItems containsString="0" containsBlank="1" containsNumber="1" containsInteger="1" minValue="128" maxValue="128"/>
    </cacheField>
    <cacheField name="Suma de nominal_dis" numFmtId="0">
      <sharedItems containsString="0" containsBlank="1" containsNumber="1" minValue="82898.12" maxValue="3000000"/>
    </cacheField>
    <cacheField name="Suma de porcentaje_contado" numFmtId="0">
      <sharedItems containsString="0" containsBlank="1" containsNumber="1" minValue="0" maxValue="2.3719058899999999"/>
    </cacheField>
    <cacheField name="Suma de coste_ini_div" numFmtId="0">
      <sharedItems containsString="0" containsBlank="1" containsNumber="1" minValue="0" maxValue="3027870"/>
    </cacheField>
    <cacheField name="Suma de nominal_dis2" numFmtId="0">
      <sharedItems containsString="0" containsBlank="1" containsNumber="1" minValue="82898.12" maxValue="3000000"/>
    </cacheField>
    <cacheField name="Suma de porcentaje_contado2" numFmtId="0">
      <sharedItems containsString="0" containsBlank="1" containsNumber="1" minValue="0" maxValue="2.3719058899999999"/>
    </cacheField>
    <cacheField name="Suma de coste_ini_div2" numFmtId="0">
      <sharedItems containsString="0" containsBlank="1" containsNumber="1" minValue="0" maxValue="3027870"/>
    </cacheField>
    <cacheField name="ENTRADA" numFmtId="0">
      <sharedItems containsString="0" containsBlank="1" containsNumber="1" minValue="0" maxValue="174.44345936872438"/>
    </cacheField>
    <cacheField name="ALTO" numFmtId="0">
      <sharedItems containsBlank="1" containsMixedTypes="1" containsNumber="1" minValue="1.05366" maxValue="115.221"/>
    </cacheField>
    <cacheField name="BAJO" numFmtId="0">
      <sharedItems containsBlank="1" containsMixedTypes="1" containsNumber="1" minValue="0.1931541" maxValue="109.142"/>
    </cacheField>
    <cacheField name="SECURITY_NAME" numFmtId="0">
      <sharedItems containsBlank="1"/>
    </cacheField>
    <cacheField name="PX_LAST" numFmtId="0">
      <sharedItems containsBlank="1" containsMixedTypes="1" containsNumber="1" minValue="0.69499999999999995" maxValue="108.89700000000001"/>
    </cacheField>
    <cacheField name="PX_CLOSE_1D" numFmtId="0">
      <sharedItems containsBlank="1" containsMixedTypes="1" containsNumber="1" minValue="0.69499999999999995" maxValue="109.142"/>
    </cacheField>
    <cacheField name="EMISOR" numFmtId="0">
      <sharedItems containsBlank="1"/>
    </cacheField>
    <cacheField name="DIVISA" numFmtId="0">
      <sharedItems containsBlank="1"/>
    </cacheField>
    <cacheField name="CUPON" numFmtId="0">
      <sharedItems containsBlank="1" containsMixedTypes="1" containsNumber="1" minValue="0" maxValue="8.5"/>
    </cacheField>
    <cacheField name="TIPO" numFmtId="0">
      <sharedItems containsBlank="1"/>
    </cacheField>
    <cacheField name="RANK" numFmtId="0">
      <sharedItems containsBlank="1"/>
    </cacheField>
    <cacheField name="VTO" numFmtId="0">
      <sharedItems containsBlank="1"/>
    </cacheField>
    <cacheField name="AÑOS VTO." numFmtId="0">
      <sharedItems containsBlank="1" containsMixedTypes="1" containsNumber="1" minValue="5.4757015742642025E-3" maxValue="19.383983572895279"/>
    </cacheField>
    <cacheField name="DURACION" numFmtId="0">
      <sharedItems containsBlank="1" containsMixedTypes="1" containsNumber="1" minValue="1.5507123296095758E-3" maxValue="12.943707221558832"/>
    </cacheField>
    <cacheField name="YIELD MID" numFmtId="0">
      <sharedItems containsBlank="1" containsMixedTypes="1" containsNumber="1" minValue="3.4451052057292486" maxValue="91496.465985106654"/>
    </cacheField>
    <cacheField name="BID" numFmtId="0">
      <sharedItems containsBlank="1" containsMixedTypes="1" containsNumber="1" minValue="0.39700000000000002" maxValue="108.869"/>
    </cacheField>
    <cacheField name="YLD MID" numFmtId="0">
      <sharedItems containsBlank="1" containsMixedTypes="1" containsNumber="1" minValue="3.4619112014770508" maxValue="142.91157531738281"/>
    </cacheField>
    <cacheField name="MID" numFmtId="0">
      <sharedItems containsBlank="1" containsMixedTypes="1" containsNumber="1" minValue="0.69500000000000006" maxValue="108.8965"/>
    </cacheField>
    <cacheField name="YLD MID2" numFmtId="0">
      <sharedItems containsBlank="1" containsMixedTypes="1" containsNumber="1" minValue="3.4451052057292486" maxValue="91496.465985106654"/>
    </cacheField>
    <cacheField name="ASK_YIELD" numFmtId="0">
      <sharedItems containsBlank="1" containsMixedTypes="1" containsNumber="1" minValue="-9.9910650253295898" maxValue="131.06204223632813"/>
    </cacheField>
    <cacheField name="YLD ASK" numFmtId="0">
      <sharedItems containsBlank="1" containsMixedTypes="1" containsNumber="1" minValue="0.99299999999999999" maxValue="108.92400000000001"/>
    </cacheField>
    <cacheField name="S&amp;P" numFmtId="0">
      <sharedItems containsBlank="1"/>
    </cacheField>
    <cacheField name="MOODY'S" numFmtId="0">
      <sharedItems containsBlank="1"/>
    </cacheField>
    <cacheField name="FITCH" numFmtId="0">
      <sharedItems containsBlank="1"/>
    </cacheField>
    <cacheField name="SECTOR" numFmtId="0">
      <sharedItems containsBlank="1"/>
    </cacheField>
    <cacheField name="PAÍS" numFmtId="0">
      <sharedItems containsBlank="1"/>
    </cacheField>
    <cacheField name="ISSUED" numFmtId="0">
      <sharedItems containsBlank="1" containsMixedTypes="1" containsNumber="1" minValue="159600000" maxValue="114701000000"/>
    </cacheField>
    <cacheField name="MIN PIECE" numFmtId="0">
      <sharedItems containsBlank="1" containsMixedTypes="1" containsNumber="1" minValue="0.01" maxValue="250000"/>
    </cacheField>
    <cacheField name="AÑOS HASTA VTO" numFmtId="0">
      <sharedItems containsBlank="1" containsMixedTypes="1" containsNumber="1" containsInteger="1" minValue="1" maxValue="20"/>
    </cacheField>
    <cacheField name="AÑOS HASTA VTO redondeado" numFmtId="0">
      <sharedItems containsBlank="1" containsMixedTypes="1" containsNumber="1" minValue="0" maxValue="19" count="23">
        <n v="3"/>
        <n v="4"/>
        <n v="0.4"/>
        <n v="7"/>
        <n v="8"/>
        <n v="9"/>
        <n v="2"/>
        <n v="1"/>
        <n v="5"/>
        <e v="#VALUE!"/>
        <n v="0.5"/>
        <n v="0.2"/>
        <n v="16"/>
        <n v="13"/>
        <n v="19"/>
        <n v="6"/>
        <n v="0"/>
        <n v="0.3"/>
        <n v="0.1"/>
        <n v="11"/>
        <n v="10"/>
        <m/>
        <n v="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r Gil | Trea AM" refreshedDate="45203.479127199076" createdVersion="8" refreshedVersion="8" minRefreshableVersion="3" recordCount="284" xr:uid="{AD460AE1-6342-456E-B587-576D67B67D73}">
  <cacheSource type="worksheet">
    <worksheetSource ref="A1:FE1048576" sheet="Cartera Med pensiones II"/>
  </cacheSource>
  <cacheFields count="161">
    <cacheField name="codigo" numFmtId="0">
      <sharedItems containsString="0" containsBlank="1" containsNumber="1" containsInteger="1" minValue="16975335" maxValue="16975606"/>
    </cacheField>
    <cacheField name="cartera" numFmtId="0">
      <sharedItems containsString="0" containsBlank="1" containsNumber="1" containsInteger="1" minValue="128" maxValue="128"/>
    </cacheField>
    <cacheField name="instrumento" numFmtId="0">
      <sharedItems containsString="0" containsBlank="1" containsNumber="1" containsInteger="1" minValue="1034" maxValue="10788"/>
    </cacheField>
    <cacheField name="usuario" numFmtId="0">
      <sharedItems containsString="0" containsBlank="1" containsNumber="1" containsInteger="1" minValue="0" maxValue="0"/>
    </cacheField>
    <cacheField name="orden" numFmtId="0">
      <sharedItems containsString="0" containsBlank="1" containsNumber="1" containsInteger="1" minValue="0" maxValue="0"/>
    </cacheField>
    <cacheField name="ejecucion" numFmtId="0">
      <sharedItems containsString="0" containsBlank="1" containsNumber="1" containsInteger="1" minValue="0" maxValue="0"/>
    </cacheField>
    <cacheField name="desglose" numFmtId="0">
      <sharedItems containsString="0" containsBlank="1" containsNumber="1" containsInteger="1" minValue="0" maxValue="0"/>
    </cacheField>
    <cacheField name="codigo_his_opc" numFmtId="0">
      <sharedItems containsString="0" containsBlank="1" containsNumber="1" containsInteger="1" minValue="0" maxValue="3742"/>
    </cacheField>
    <cacheField name="titulos_ini" numFmtId="0">
      <sharedItems containsString="0" containsBlank="1" containsNumber="1" containsInteger="1" minValue="-120" maxValue="300000000"/>
    </cacheField>
    <cacheField name="titulos_dis" numFmtId="0">
      <sharedItems containsString="0" containsBlank="1" containsNumber="1" containsInteger="1" minValue="-120" maxValue="300000000"/>
    </cacheField>
    <cacheField name="nominal_ini_div" numFmtId="0">
      <sharedItems containsString="0" containsBlank="1" containsNumber="1" minValue="-1200" maxValue="3000000"/>
    </cacheField>
    <cacheField name="nominal_ini" numFmtId="0">
      <sharedItems containsString="0" containsBlank="1" containsNumber="1" minValue="-1200" maxValue="3000000"/>
    </cacheField>
    <cacheField name="nominal_dis_div" numFmtId="0">
      <sharedItems containsString="0" containsBlank="1" containsNumber="1" minValue="-1200" maxValue="3000000"/>
    </cacheField>
    <cacheField name="nominal_dis" numFmtId="0">
      <sharedItems containsString="0" containsBlank="1" containsNumber="1" minValue="-1200" maxValue="3000000"/>
    </cacheField>
    <cacheField name="coste_ini_div" numFmtId="0">
      <sharedItems containsString="0" containsBlank="1" containsNumber="1" minValue="-182374" maxValue="66950000"/>
    </cacheField>
    <cacheField name="coste_ini" numFmtId="0">
      <sharedItems containsString="0" containsBlank="1" containsNumber="1" minValue="-166005.82999999999" maxValue="26996476"/>
    </cacheField>
    <cacheField name="coste_dis_div" numFmtId="0">
      <sharedItems containsString="0" containsBlank="1" containsNumber="1" minValue="-182374" maxValue="66950000"/>
    </cacheField>
    <cacheField name="coste_dis" numFmtId="0">
      <sharedItems containsString="0" containsBlank="1" containsNumber="1" minValue="-166005.82999999999" maxValue="26996476"/>
    </cacheField>
    <cacheField name="efectivo_vto_ini_div" numFmtId="0">
      <sharedItems containsString="0" containsBlank="1" containsNumber="1" minValue="-5720000" maxValue="28967218.75"/>
    </cacheField>
    <cacheField name="efectivo_vto_ini" numFmtId="0">
      <sharedItems containsString="0" containsBlank="1" containsNumber="1" minValue="-5580000" maxValue="27415501.370000001"/>
    </cacheField>
    <cacheField name="efectivo_vto_dis_div" numFmtId="0">
      <sharedItems containsString="0" containsBlank="1" containsNumber="1" minValue="-5720000" maxValue="28967218.75"/>
    </cacheField>
    <cacheField name="efectivo_vto_dis" numFmtId="0">
      <sharedItems containsString="0" containsBlank="1" containsNumber="1" minValue="-5580000" maxValue="27415501.370000001"/>
    </cacheField>
    <cacheField name="cupon_compra_ini_div" numFmtId="0">
      <sharedItems containsString="0" containsBlank="1" containsNumber="1" minValue="0" maxValue="13268.44"/>
    </cacheField>
    <cacheField name="cupon_compra_ini" numFmtId="0">
      <sharedItems containsString="0" containsBlank="1" containsNumber="1" minValue="0" maxValue="13268.44"/>
    </cacheField>
    <cacheField name="cupon_compra_dis_div" numFmtId="0">
      <sharedItems containsString="0" containsBlank="1" containsNumber="1" minValue="0" maxValue="13268.44"/>
    </cacheField>
    <cacheField name="cupon_compra_dis" numFmtId="0">
      <sharedItems containsString="0" containsBlank="1" containsNumber="1" minValue="0" maxValue="13268.44"/>
    </cacheField>
    <cacheField name="cupon_per_ini_div" numFmtId="0">
      <sharedItems containsString="0" containsBlank="1" containsNumber="1" minValue="-51933.8" maxValue="47331.72"/>
    </cacheField>
    <cacheField name="cupon_per_ini" numFmtId="0">
      <sharedItems containsString="0" containsBlank="1" containsNumber="1" minValue="-51933.8" maxValue="47331.72"/>
    </cacheField>
    <cacheField name="cupon_per_dis_div" numFmtId="0">
      <sharedItems containsString="0" containsBlank="1" containsNumber="1" minValue="-51933.8" maxValue="47331.72"/>
    </cacheField>
    <cacheField name="cupon_per_dis" numFmtId="0">
      <sharedItems containsString="0" containsBlank="1" containsNumber="1" minValue="-51933.8" maxValue="47331.72"/>
    </cacheField>
    <cacheField name="fecha_vto" numFmtId="0">
      <sharedItems containsBlank="1"/>
    </cacheField>
    <cacheField name="nombre_cartera" numFmtId="0">
      <sharedItems containsBlank="1"/>
    </cacheField>
    <cacheField name="fecha_sesion" numFmtId="0">
      <sharedItems containsBlank="1"/>
    </cacheField>
    <cacheField name="nombre_instrumento" numFmtId="0">
      <sharedItems containsBlank="1" count="362">
        <s v="ECZ3 Curncy"/>
        <s v="9618 HK"/>
        <s v="9988 HK"/>
        <s v="ABNB US"/>
        <s v="BKNG US"/>
        <s v="ETSY US"/>
        <s v="GOOGL US"/>
        <s v="PANW US"/>
        <s v="PRFT US "/>
        <s v="PRX NA"/>
        <s v="VIPS US"/>
        <s v="9984 JP"/>
        <s v="GAMA LN"/>
        <s v="AMZN US"/>
        <s v="META  US"/>
        <s v="CIE SM"/>
        <s v="FOXF US"/>
        <s v="IHG LN"/>
        <s v="DKS US"/>
        <s v="JBH AU"/>
        <s v="JD/ LN"/>
        <s v="KER FP"/>
        <s v="LOW US"/>
        <s v="MC FP"/>
        <s v="RYA ID"/>
        <s v="SALM NO"/>
        <s v="PLC CN"/>
        <s v="PYPL US"/>
        <s v="ELV US"/>
        <s v="HCA US"/>
        <s v="ICLR US"/>
        <s v="MOH US"/>
        <s v="ABBV US"/>
        <s v="ROG SW"/>
        <s v="GTT FP"/>
        <s v="ASX AU"/>
        <s v="AXP US"/>
        <s v="BUR LN"/>
        <s v="CACC US"/>
        <s v="WTW US"/>
        <s v="BRK/B US"/>
        <s v="ENX FP"/>
        <s v="AIR FP"/>
        <s v="BA US"/>
        <s v="VRLA FP"/>
        <s v="CSL US"/>
        <s v="PH US"/>
        <s v="DE US"/>
        <s v="CKN LN"/>
        <s v="VID SM"/>
        <s v="RIO LN"/>
        <s v="COR PL"/>
        <s v="AI FP"/>
        <s v="CF US"/>
        <s v="FPE GY"/>
        <s v="CHKP US"/>
        <s v="EPAM US"/>
        <s v="JEN GY"/>
        <s v="KWS LN"/>
        <s v="MU US"/>
        <s v="NXPI US"/>
        <s v="TSM US"/>
        <s v="ADBE US"/>
        <s v="CSU CN"/>
        <s v="CSU-R CN"/>
        <s v="SSNC US"/>
        <s v="AAPL US"/>
        <s v="MSFT US"/>
        <s v="ORCL US"/>
        <s v="XS2582519208"/>
        <s v="ES0L02405105"/>
        <s v="2299955D CN Equity"/>
        <s v="ESZ3P 3900 Index"/>
        <s v="NQZ3P 12000 Index"/>
        <s v="SX5E 12 P4100 Index"/>
        <s v="ESZ3C 4400 Index"/>
        <s v="NQZ3C 14300 Index"/>
        <s v="SX5E 12 C4650 Index"/>
        <s v="XS1468525057"/>
        <s v="XS2247549731"/>
        <s v="XS2385393405"/>
        <s v="FR0013144201"/>
        <s v="XS2107451069"/>
        <s v="US654902AC90"/>
        <s v="US87938WAC73"/>
        <s v="XS1298711729"/>
        <s v="XS1795406575"/>
        <s v="XS1933828433"/>
        <s v="XS2078976805"/>
        <s v="XS2300292617"/>
        <s v="XS1551726810"/>
        <s v="XS2009152591"/>
        <s v="XS2020581752"/>
        <s v="XS2306601746"/>
        <s v="XS2322423455"/>
        <s v="XS2322423539"/>
        <s v="XS2363244513"/>
        <s v="XS2408458227"/>
        <s v="FR0013322146"/>
        <s v="FR0013329315"/>
        <s v="XS1586555861"/>
        <s v="XS2438615606"/>
        <s v="FR0013342334"/>
        <s v="XS1814065345"/>
        <s v="XS2231715322"/>
        <s v="XS2362994068"/>
        <s v="XS1731882186"/>
        <s v="XS2357281174"/>
        <s v="XS2264074647"/>
        <s v="SIGMA 2 5/8 02/"/>
        <s v="USU63768AB83"/>
        <s v="CCOLAT 4.215 09"/>
        <s v="BE6329443962"/>
        <s v="XS0193945655"/>
        <s v="XS0542534192"/>
        <s v="XS1327504087"/>
        <s v="XS2001315766"/>
        <s v="XS2267889991"/>
        <s v="ERFFP 2 1/8 07"/>
        <s v="XS2193661324"/>
        <s v="XS2334852253"/>
        <s v="BE0002950310"/>
        <s v="ES0213307061"/>
        <s v="ES0213679HN2"/>
        <s v="ES0265936015"/>
        <s v="ES0265936023"/>
        <s v="ES0343307031"/>
        <s v="ES0344251006"/>
        <s v="ES0344251014"/>
        <s v="ES0365936048"/>
        <s v="ES0380907040"/>
        <s v="ES0413679525"/>
        <s v="ES0840609004"/>
        <s v="ES0865936019"/>
        <s v="ESF 5 1/4 06/12"/>
        <s v="IT0005359507"/>
        <s v="PTBCPBOM0062"/>
        <s v="PTBCPHOM0066"/>
        <s v="PTBEQJOM0012"/>
        <s v="PTCGDMOM0027"/>
        <s v="RFLBNI 5,875 23"/>
        <s v="XS1631415582"/>
        <s v="XS1782625641"/>
        <s v="XS1844094885"/>
        <s v="XS1877860533"/>
        <s v="XS1928480166"/>
        <s v="XS1963849440"/>
        <s v="XS2015314037"/>
        <s v="XS2027957815"/>
        <s v="XS2055089457"/>
        <s v="XS2055190172"/>
        <s v="XS2055758804"/>
        <s v="XS2067213913"/>
        <s v="XS2069960057"/>
        <s v="XS2121417989"/>
        <s v="XS2121467497"/>
        <s v="XS2306621934"/>
        <s v="XS2364754098"/>
        <s v="XS2386287689"/>
        <s v="XS2455392584"/>
        <s v="XS2465984289"/>
        <s v="XS2468378059"/>
        <s v="XS2528155893"/>
        <s v="XS2544400786"/>
        <s v="XS2547591474"/>
        <s v="XS2584643113"/>
        <s v="XS2592650373"/>
        <s v="XS2598331242"/>
        <s v="XS2623501181"/>
        <s v="XS2629047254"/>
        <s v="ES0312342019"/>
        <s v="ES0317046003"/>
        <s v="PTCCCAOM0000"/>
        <s v="XS2018637913"/>
        <s v="FR0014008JQ4"/>
        <s v="FR001400IU83"/>
        <s v="XS1619643015"/>
        <s v="XS2084425466"/>
        <s v="XS2089229806"/>
        <s v="XS2201946634"/>
        <s v="XS2208868914"/>
        <s v="XS2347367018"/>
        <s v="ASSGEN 5 1/2 10"/>
        <s v="PTFIDBOM0009"/>
        <s v="XS1028942354"/>
        <s v="XS1076781589"/>
        <s v="XS2237434803"/>
        <s v="XS2378468420"/>
        <s v="FR0013409265"/>
        <s v="FR0013462728"/>
        <s v="SE0015657903"/>
        <s v="SE0016589105"/>
        <s v="XS1722898431"/>
        <s v="XS2055106210"/>
        <s v="XS2063535970"/>
        <s v="XS2231191748"/>
        <s v="XS2238342484"/>
        <s v="XS2287744721"/>
        <s v="XS2321651031"/>
        <s v="XS2356030556"/>
        <s v="XS2357357768"/>
        <s v="XS2407027031"/>
        <s v="XS2432162654"/>
        <s v="XS2434763483"/>
        <s v="XS2435611244"/>
        <s v="BESPL 6 7/8 07/"/>
        <s v="DE000BU0E022"/>
        <s v="DE000BU0E030"/>
        <s v="DE000BU0E048"/>
        <s v="DE000BU0E055"/>
        <s v="ES00000128P8"/>
        <s v="ES0000012G34"/>
        <s v="ES0000012H41"/>
        <s v="ES0000012I32"/>
        <s v="ES0000012K20"/>
        <s v="ES0000012K38"/>
        <s v="ES0000012K53"/>
        <s v="ES0000012L78"/>
        <s v="EU000A3K4D58"/>
        <s v="EU000A3K4DJ5"/>
        <s v="EU000A3KSXE1"/>
        <s v="FR0127613513"/>
        <s v="IT0001174611"/>
        <s v="IT0005413171"/>
        <s v="IT0005422891"/>
        <s v="US912810TA60"/>
        <s v="US912810TQ13"/>
        <s v="US9128286T26"/>
        <s v="US912828T263"/>
        <s v="US912828WE61"/>
        <s v="US912828ZN34"/>
        <s v="US912828ZQ64"/>
        <s v="US912828ZT04"/>
        <s v="US91282CCH25"/>
        <s v="US91282CDF59"/>
        <s v="US91282CDG33"/>
        <s v="US91282CDK45"/>
        <s v="US91282CED92"/>
        <s v="US91282CEK36"/>
        <s v="US91282CGM73"/>
        <s v="US91282CHR51"/>
        <s v="XS1420357318"/>
        <s v="XS1744744191"/>
        <s v="XS1892141620"/>
        <s v="XS2178857285"/>
        <s v="XS2310118893"/>
        <s v="XS1892247963"/>
        <s v="XS2053566068"/>
        <s v="XS2356571559"/>
        <s v="XS0215093534"/>
        <s v="XS1627782771"/>
        <s v="XS2343532417"/>
        <s v="XS2081491727"/>
        <s v="XS2081500907"/>
        <s v="XS2093880735"/>
        <s v="XS2189594315"/>
        <s v="XS2333301674"/>
        <s v="XS2363989273"/>
        <s v="XS2082324018"/>
        <s v="XS2103230152"/>
        <s v="DE000A254QA9"/>
        <s v="USX8662DAW75"/>
        <s v="PTGGDDOM0008"/>
        <s v="AQUASM 2.629 06"/>
        <s v="FR0010804500"/>
        <s v="FR0013414919"/>
        <s v="XS1839682116"/>
        <s v="XS2049419398"/>
        <s v="XS2367164576"/>
        <s v="PTBCP2OM0058"/>
        <s v="XS2104967695"/>
        <s v="XS2015267953"/>
        <m/>
        <s v="ES0513495WB4" u="1"/>
        <s v="XS2582861469" u="1"/>
        <s v="PTGGDAOE0001" u="1"/>
        <s v="ECU3 Curncy" u="1"/>
        <s v="XS1485748393" u="1"/>
        <s v="XS1991397545" u="1"/>
        <s v="XS2039030908" u="1"/>
        <s v="nombre_instrumento" u="1"/>
        <s v="XS1423826798" u="1"/>
        <s v="PTBCPWOM0034" u="1"/>
        <s v="CAIXAB 1 1/2 05" u="1"/>
        <s v="XS2355632741" u="1"/>
        <s v="LMN CN " u="1"/>
        <s v="XS1225626461" u="1"/>
        <s v="XS1452578591" u="1"/>
        <s v="XS2020580945" u="1"/>
        <s v="AMS SM" u="1"/>
        <s v="USP4949BAN49" u="1"/>
        <s v="XS2468979302" u="1"/>
        <s v="AD NA" u="1"/>
        <s v="ENEL IM" u="1"/>
        <s v="KR US" u="1"/>
        <s v="SX7P 06/16/23 C120" u="1"/>
        <s v="F 1.615 05/23" u="1"/>
        <s v="MT IM" u="1"/>
        <s v="NQZ3P 12 12000" u="1"/>
        <s v="USL79090AD51" u="1"/>
        <s v="ES0000093452" u="1"/>
        <s v="XS1629414704" u="1"/>
        <s v="XS2082323630" u="1"/>
        <s v="ES0265936007" u="1"/>
        <s v="XS2171875839" u="1"/>
        <s v="COK GY" u="1"/>
        <s v="AM FP" u="1"/>
        <s v="XS1958655745" u="1"/>
        <s v="BE6332786449" u="1"/>
        <s v="XS2199716304" u="1"/>
        <s v="FR0013412699" u="1"/>
        <s v="XS2259867039" u="1"/>
        <s v="XS2344772426" u="1"/>
        <s v="MRK US" u="1"/>
        <s v="XS2337067792" u="1"/>
        <s v="XS1054522922" u="1"/>
        <s v="FR0013298684" u="1"/>
        <s v="FR0013330529" u="1"/>
        <s v="KO US" u="1"/>
        <s v="NQZ3C 12 14300" u="1"/>
        <s v="FR0014000T33" u="1"/>
        <s v="SX5E 12 P4100 " u="1"/>
        <s v="PDD US" u="1"/>
        <s v="XS1981054221" u="1"/>
        <s v="XS2262798494" u="1"/>
        <s v="AMUN FP" u="1"/>
        <s v="PTNOSFOM0000" u="1"/>
        <s v="MAIRE IM" u="1"/>
        <s v="XS2178832379" u="1"/>
        <s v="FR0013522091" u="1"/>
        <s v="SAN FP" u="1"/>
        <s v="XS2202900424" u="1"/>
        <s v="XS1799975922" u="1"/>
        <s v="RPRX US" u="1"/>
        <s v="XS2051777873" u="1"/>
        <s v="FRE GY" u="1"/>
        <s v="XS2099045515" u="1"/>
        <s v="SPGI US" u="1"/>
        <s v="ECM3 Curncy" u="1"/>
        <s v="CP US" u="1"/>
        <s v="ALGN US" u="1"/>
        <s v="XS1725526765" u="1"/>
        <s v="XS1816329418" u="1"/>
        <s v="XS2075280995" u="1"/>
        <s v="XS1640667116" u="1"/>
        <s v="KTN GY " u="1"/>
        <s v="XS2200215213" u="1"/>
        <s v="XS2176872849" u="1"/>
        <s v="MCO US" u="1"/>
        <s v="XS2345996743" u="1"/>
        <s v="ES0865936001" u="1"/>
        <s v="XS1598757760" u="1"/>
        <s v="XS2537060746" u="1"/>
        <s v="FR0013169778" u="1"/>
        <s v="XS2434515313" u="1"/>
        <s v="SX5E C4650" u="1"/>
        <s v="XS1872038218" u="1"/>
        <s v="USP0606PAC97" u="1"/>
        <s v="XS2203802462" u="1"/>
        <s v="ITX SM" u="1"/>
        <s v="IT0005185381" u="1"/>
        <s v="XS1807182495" u="1"/>
      </sharedItems>
    </cacheField>
    <cacheField name="divisa" numFmtId="0">
      <sharedItems containsString="0" containsBlank="1" containsNumber="1" containsInteger="1" minValue="4" maxValue="59"/>
    </cacheField>
    <cacheField name="nombre_divisa" numFmtId="0">
      <sharedItems containsBlank="1"/>
    </cacheField>
    <cacheField name="ind_espanya_europa" numFmtId="0">
      <sharedItems containsBlank="1"/>
    </cacheField>
    <cacheField name="cotizacion_ant" numFmtId="0">
      <sharedItems containsString="0" containsBlank="1" containsNumber="1" minValue="0" maxValue="6335"/>
    </cacheField>
    <cacheField name="cotizacion" numFmtId="0">
      <sharedItems containsString="0" containsBlank="1" containsNumber="1" minValue="0" maxValue="6250"/>
    </cacheField>
    <cacheField name="efectivo_div" numFmtId="0">
      <sharedItems containsString="0" containsBlank="1" containsNumber="1" minValue="-394100" maxValue="62500000"/>
    </cacheField>
    <cacheField name="efectivo" numFmtId="0">
      <sharedItems containsString="0" containsBlank="1" containsNumber="1" minValue="-375906.14" maxValue="26356083.120000001"/>
    </cacheField>
    <cacheField name="ind_rv_sn" numFmtId="0">
      <sharedItems containsBlank="1"/>
    </cacheField>
    <cacheField name="divisa_car" numFmtId="0">
      <sharedItems containsString="0" containsBlank="1" containsNumber="1" containsInteger="1" minValue="4" maxValue="4"/>
    </cacheField>
    <cacheField name="nombre_divisa_car" numFmtId="0">
      <sharedItems containsBlank="1"/>
    </cacheField>
    <cacheField name="patrimonio_ant" numFmtId="0">
      <sharedItems containsString="0" containsBlank="1" containsNumber="1" minValue="132534288.59999999" maxValue="132534288.59999999"/>
    </cacheField>
    <cacheField name="suma_resta" numFmtId="0">
      <sharedItems containsBlank="1"/>
    </cacheField>
    <cacheField name="tipo_saldo" numFmtId="0">
      <sharedItems containsString="0" containsBlank="1" containsNumber="1" containsInteger="1" minValue="1" maxValue="5"/>
    </cacheField>
    <cacheField name="futuros_01" numFmtId="0">
      <sharedItems containsString="0" containsBlank="1" containsNumber="1" containsInteger="1" minValue="0" maxValue="5"/>
    </cacheField>
    <cacheField name="nombre_sector_1" numFmtId="0">
      <sharedItems containsBlank="1"/>
    </cacheField>
    <cacheField name="nombre_sector_2" numFmtId="0">
      <sharedItems containsBlank="1"/>
    </cacheField>
    <cacheField name="orden_sector_1" numFmtId="0">
      <sharedItems containsString="0" containsBlank="1" containsNumber="1" containsInteger="1" minValue="0" maxValue="0"/>
    </cacheField>
    <cacheField name="orden_sector_2" numFmtId="0">
      <sharedItems containsString="0" containsBlank="1" containsNumber="1" containsInteger="1" minValue="999999999" maxValue="999999999"/>
    </cacheField>
    <cacheField name="liquidez_disponible" numFmtId="0">
      <sharedItems containsString="0" containsBlank="1" containsNumber="1" minValue="8205251.6799999997" maxValue="8205251.6799999997"/>
    </cacheField>
    <cacheField name="cam_divisa" numFmtId="0">
      <sharedItems containsString="0" containsBlank="1" containsNumber="1" minValue="0.86582999999999999" maxValue="158.32"/>
    </cacheField>
    <cacheField name="ponderacion_fut" numFmtId="0">
      <sharedItems containsNonDate="0" containsString="0" containsBlank="1"/>
    </cacheField>
    <cacheField name="fecha_y_hora" numFmtId="0">
      <sharedItems containsBlank="1"/>
    </cacheField>
    <cacheField name="grupo_coti" numFmtId="0">
      <sharedItems containsString="0" containsBlank="1" containsNumber="1" containsInteger="1" minValue="1" maxValue="1"/>
    </cacheField>
    <cacheField name="grupo_cam" numFmtId="0">
      <sharedItems containsString="0" containsBlank="1" containsNumber="1" containsInteger="1" minValue="1" maxValue="1"/>
    </cacheField>
    <cacheField name="color" numFmtId="0">
      <sharedItems containsBlank="1"/>
    </cacheField>
    <cacheField name="contador" numFmtId="0">
      <sharedItems containsString="0" containsBlank="1" containsNumber="1" containsInteger="1" minValue="0" maxValue="0"/>
    </cacheField>
    <cacheField name="total_efectivo_rv" numFmtId="0">
      <sharedItems containsString="0" containsBlank="1" containsNumber="1" minValue="31345322.399999999" maxValue="31345322.399999999"/>
    </cacheField>
    <cacheField name="porcentaje_rv" numFmtId="0">
      <sharedItems containsString="0" containsBlank="1" containsNumber="1" minValue="0" maxValue="4.89933248"/>
    </cacheField>
    <cacheField name="total_contado" numFmtId="0">
      <sharedItems containsString="0" containsBlank="1" containsNumber="1" minValue="123618989.48999999" maxValue="123618989.48999999"/>
    </cacheField>
    <cacheField name="patrimonio" numFmtId="0">
      <sharedItems containsString="0" containsBlank="1" containsNumber="1" minValue="132456249.91" maxValue="132456249.91"/>
    </cacheField>
    <cacheField name="total_efectivo_rv_espanya" numFmtId="0">
      <sharedItems containsString="0" containsBlank="1" containsNumber="1" minValue="596150.00000000012" maxValue="596150.00000000012"/>
    </cacheField>
    <cacheField name="total_efectivo_rv_europa" numFmtId="0">
      <sharedItems containsString="0" containsBlank="1" containsNumber="1" minValue="9219855.2300000004" maxValue="9219855.2300000004"/>
    </cacheField>
    <cacheField name="total_porcentaje_rv" numFmtId="0">
      <sharedItems containsString="0" containsBlank="1" containsNumber="1" minValue="23.664660909999998" maxValue="23.664660909999998"/>
    </cacheField>
    <cacheField name="total_porcentaje_rv_espanya" numFmtId="0">
      <sharedItems containsString="0" containsBlank="1" containsNumber="1" minValue="0.45007313999999998" maxValue="0.45007313999999998"/>
    </cacheField>
    <cacheField name="total_porcentaje_rv_europa" numFmtId="0">
      <sharedItems containsString="0" containsBlank="1" containsNumber="1" minValue="6.9606796500000003" maxValue="6.9606796500000003"/>
    </cacheField>
    <cacheField name="porcentaje_patrimonio" numFmtId="0">
      <sharedItems containsString="0" containsBlank="1" containsNumber="1" minValue="-0.28379644999999998" maxValue="19.897953579999999"/>
    </cacheField>
    <cacheField name="ok40" numFmtId="0">
      <sharedItems containsBlank="1"/>
    </cacheField>
    <cacheField name="ok10" numFmtId="0">
      <sharedItems containsBlank="1"/>
    </cacheField>
    <cacheField name="total_efectivo_fut" numFmtId="0">
      <sharedItems containsString="0" containsBlank="1" containsNumber="1" minValue="26356083.120000001" maxValue="26356083.120000001"/>
    </cacheField>
    <cacheField name="porcentaje_rv_fut" numFmtId="0">
      <sharedItems containsString="0" containsBlank="1" containsNumber="1" minValue="0" maxValue="4.89933248"/>
    </cacheField>
    <cacheField name="resultado" numFmtId="0">
      <sharedItems containsString="0" containsBlank="1" containsNumber="1" minValue="-219173.26" maxValue="50494.5"/>
    </cacheField>
    <cacheField name="porcentaje_dif_coti" numFmtId="0">
      <sharedItems containsString="0" containsBlank="1" containsNumber="1" minValue="-27.999999999999996" maxValue="19.510000000000002"/>
    </cacheField>
    <cacheField name="ind_columna_car_modelo" numFmtId="0">
      <sharedItems containsBlank="1"/>
    </cacheField>
    <cacheField name="total_resultados" numFmtId="0">
      <sharedItems containsString="0" containsBlank="1" containsNumber="1" minValue="-78038.69" maxValue="-78038.69"/>
    </cacheField>
    <cacheField name="indica_tv" numFmtId="0">
      <sharedItems containsBlank="1"/>
    </cacheField>
    <cacheField name="indica_cv" numFmtId="0">
      <sharedItems containsBlank="1"/>
    </cacheField>
    <cacheField name="valia_ini_div" numFmtId="0">
      <sharedItems containsString="0" containsBlank="1" containsNumber="1" minValue="-3600000" maxValue="608042.9"/>
    </cacheField>
    <cacheField name="valia_ini" numFmtId="0">
      <sharedItems containsString="0" containsBlank="1" containsNumber="1" minValue="-596900.12" maxValue="425870.15"/>
    </cacheField>
    <cacheField name="coste_dia_dis_div" numFmtId="0">
      <sharedItems containsString="0" containsBlank="1" containsNumber="1" minValue="-362600" maxValue="63350000"/>
    </cacheField>
    <cacheField name="coste_dia_dis" numFmtId="0">
      <sharedItems containsString="0" containsBlank="1" containsNumber="1" minValue="-342949.02" maxValue="26575256.379999999"/>
    </cacheField>
    <cacheField name="resultados_dia" numFmtId="0">
      <sharedItems containsString="0" containsBlank="1" containsNumber="1" containsInteger="1" minValue="0" maxValue="0"/>
    </cacheField>
    <cacheField name="total_porcentaje_rv_resto" numFmtId="0">
      <sharedItems containsString="0" containsBlank="1" containsNumber="1" minValue="1.4438757900000001" maxValue="1.4438757900000001"/>
    </cacheField>
    <cacheField name="total_porcentaje_rv_usa" numFmtId="0">
      <sharedItems containsString="0" containsBlank="1" containsNumber="1" minValue="13.27863496" maxValue="13.27863496"/>
    </cacheField>
    <cacheField name="total_efectivo_rv_usa" numFmtId="0">
      <sharedItems containsString="0" containsBlank="1" containsNumber="1" minValue="17588381.91" maxValue="17588381.91"/>
    </cacheField>
    <cacheField name="total_efectivo_rv_resto" numFmtId="0">
      <sharedItems containsString="0" containsBlank="1" containsNumber="1" minValue="1912503.72" maxValue="1912503.72"/>
    </cacheField>
    <cacheField name="liquidez" numFmtId="0">
      <sharedItems containsString="0" containsBlank="1" containsNumber="1" minValue="6269233.6699999999" maxValue="6269233.6699999999"/>
    </cacheField>
    <cacheField name="ind_simulada" numFmtId="0">
      <sharedItems containsBlank="1"/>
    </cacheField>
    <cacheField name="ind_repo_sn" numFmtId="0">
      <sharedItems containsBlank="1"/>
    </cacheField>
    <cacheField name="nombre_futuros_01" numFmtId="0">
      <sharedItems containsBlank="1"/>
    </cacheField>
    <cacheField name="fecha_cierre" numFmtId="0">
      <sharedItems containsBlank="1"/>
    </cacheField>
    <cacheField name="nombre_tipo_valor" numFmtId="0">
      <sharedItems containsBlank="1" count="9">
        <s v="Futuros"/>
        <s v=" Renta Variable"/>
        <s v="Activos Monetarios"/>
        <s v="Opciones Co. CALL"/>
        <s v="Opciones Co. PUT"/>
        <s v="Opciones Ve. CALL"/>
        <s v="Renta Fija"/>
        <m/>
        <s v="nombre_tipo_valor" u="1"/>
      </sharedItems>
    </cacheField>
    <cacheField name="ope_fondos_de_fondos" numFmtId="0">
      <sharedItems containsString="0" containsBlank="1" containsNumber="1" containsInteger="1" minValue="0" maxValue="0"/>
    </cacheField>
    <cacheField name="fecha_saldo_ini" numFmtId="0">
      <sharedItems containsBlank="1"/>
    </cacheField>
    <cacheField name="porcentaje_contado" numFmtId="0">
      <sharedItems containsString="0" containsBlank="1" containsNumber="1" minValue="-0.30408446" maxValue="2.3919625999999998"/>
    </cacheField>
    <cacheField name="color_instrumento" numFmtId="0">
      <sharedItems containsString="0" containsBlank="1" containsNumber="1" containsInteger="1" minValue="12639424" maxValue="12639424"/>
    </cacheField>
    <cacheField name="garantias_futuros" numFmtId="0">
      <sharedItems containsString="0" containsBlank="1" containsNumber="1" containsInteger="1" minValue="0" maxValue="0"/>
    </cacheField>
    <cacheField name="total_valias_futuros" numFmtId="0">
      <sharedItems containsString="0" containsBlank="1" containsNumber="1" minValue="-219173.26" maxValue="-219173.26"/>
    </cacheField>
    <cacheField name="titulos_sin_ejecutar" numFmtId="0">
      <sharedItems containsNonDate="0" containsString="0" containsBlank="1"/>
    </cacheField>
    <cacheField name="ind_ver_titulos_subsector" numFmtId="0">
      <sharedItems containsBlank="1"/>
    </cacheField>
    <cacheField name="texto_titulos" numFmtId="0">
      <sharedItems containsNonDate="0" containsString="0" containsBlank="1"/>
    </cacheField>
    <cacheField name="garantias_ant" numFmtId="0">
      <sharedItems containsString="0" containsBlank="1" containsNumber="1" minValue="1355558.46" maxValue="1355558.46"/>
    </cacheField>
    <cacheField name="deudores_acreedores" numFmtId="0">
      <sharedItems containsString="0" containsBlank="1" containsNumber="1" containsInteger="1" minValue="0" maxValue="0"/>
    </cacheField>
    <cacheField name="liquidativo" numFmtId="0">
      <sharedItems containsString="0" containsBlank="1" containsNumber="1" minValue="2520.3126550000002" maxValue="2520.3126550000002"/>
    </cacheField>
    <cacheField name="participaciones" numFmtId="0">
      <sharedItems containsString="0" containsBlank="1" containsNumber="1" minValue="52555.483399999997" maxValue="52555.483399999997"/>
    </cacheField>
    <cacheField name="total_efectivo_opc" numFmtId="0">
      <sharedItems containsString="0" containsBlank="1" containsNumber="1" minValue="-296353.43" maxValue="-296353.43"/>
    </cacheField>
    <cacheField name="total_efectivo_rf" numFmtId="0">
      <sharedItems containsString="0" containsBlank="1" containsNumber="1" minValue="92570020.519999996" maxValue="92570020.519999996"/>
    </cacheField>
    <cacheField name="resultado_div" numFmtId="0">
      <sharedItems containsString="0" containsBlank="1" containsNumber="1" minValue="-850000" maxValue="39720"/>
    </cacheField>
    <cacheField name="total_efectivo_rv_japon" numFmtId="0">
      <sharedItems containsString="0" containsBlank="1" containsNumber="1" minValue="394770.09" maxValue="394770.09"/>
    </cacheField>
    <cacheField name="total_porcentaje_rv_japon" numFmtId="0">
      <sharedItems containsString="0" containsBlank="1" containsNumber="1" minValue="0.29803809999999997" maxValue="0.29803809999999997"/>
    </cacheField>
    <cacheField name="tipo_subyacente" numFmtId="0">
      <sharedItems containsBlank="1"/>
    </cacheField>
    <cacheField name="total_efectivo_fut_rv" numFmtId="0">
      <sharedItems containsString="0" containsBlank="1" containsNumber="1" containsInteger="1" minValue="0" maxValue="0"/>
    </cacheField>
    <cacheField name="total_efectivo_fut_rf" numFmtId="0">
      <sharedItems containsString="0" containsBlank="1" containsNumber="1" containsInteger="1" minValue="0" maxValue="0"/>
    </cacheField>
    <cacheField name="total_efectivo_opc_rv" numFmtId="0">
      <sharedItems containsString="0" containsBlank="1" containsNumber="1" minValue="-296353.43" maxValue="-296353.43"/>
    </cacheField>
    <cacheField name="total_efectivo_opc_rf" numFmtId="0">
      <sharedItems containsString="0" containsBlank="1" containsNumber="1" containsInteger="1" minValue="0" maxValue="0"/>
    </cacheField>
    <cacheField name="total_efectivo_repo" numFmtId="0">
      <sharedItems containsString="0" containsBlank="1" containsNumber="1" containsInteger="1" minValue="0" maxValue="0"/>
    </cacheField>
    <cacheField name="c_color_liquidez" numFmtId="0">
      <sharedItems containsString="0" containsBlank="1" containsNumber="1" containsInteger="1" minValue="16777215" maxValue="16777215"/>
    </cacheField>
    <cacheField name="titulos_no_ges" numFmtId="0">
      <sharedItems containsString="0" containsBlank="1" containsNumber="1" containsInteger="1" minValue="0" maxValue="0"/>
    </cacheField>
    <cacheField name="efectivo_no_ges_div" numFmtId="0">
      <sharedItems containsString="0" containsBlank="1" containsNumber="1" containsInteger="1" minValue="0" maxValue="0"/>
    </cacheField>
    <cacheField name="efectivo_no_ges" numFmtId="0">
      <sharedItems containsString="0" containsBlank="1" containsNumber="1" containsInteger="1" minValue="0" maxValue="0"/>
    </cacheField>
    <cacheField name="total_efectivo_no_ges" numFmtId="0">
      <sharedItems containsString="0" containsBlank="1" containsNumber="1" containsInteger="1" minValue="0" maxValue="0"/>
    </cacheField>
    <cacheField name="total_efectivo_rv_no_ges" numFmtId="0">
      <sharedItems containsString="0" containsBlank="1" containsNumber="1" containsInteger="1" minValue="0" maxValue="0"/>
    </cacheField>
    <cacheField name="efe_comprometido_div" numFmtId="0">
      <sharedItems containsString="0" containsBlank="1" containsNumber="1" minValue="-5580000" maxValue="62500000"/>
    </cacheField>
    <cacheField name="efe_comprometido" numFmtId="0">
      <sharedItems containsString="0" containsBlank="1" containsNumber="1" minValue="-5580000" maxValue="26356083.120000001"/>
    </cacheField>
    <cacheField name="total_efe_comprometido_rv" numFmtId="0">
      <sharedItems containsString="0" containsBlank="1" containsNumber="1" minValue="31345322.399999999" maxValue="31345322.399999999"/>
    </cacheField>
    <cacheField name="total_efe_comprometido_der_rv" numFmtId="0">
      <sharedItems containsString="0" containsBlank="1" containsNumber="1" minValue="-1110160.2399999984" maxValue="-1110160.2399999984"/>
    </cacheField>
    <cacheField name="total_efe_comprometido_rf" numFmtId="0">
      <sharedItems containsString="0" containsBlank="1" containsNumber="1" minValue="92570020.519999966" maxValue="92570020.519999966"/>
    </cacheField>
    <cacheField name="total_efe_comprometido_der_rf" numFmtId="0">
      <sharedItems containsString="0" containsBlank="1" containsNumber="1" containsInteger="1" minValue="0" maxValue="0"/>
    </cacheField>
    <cacheField name="delta" numFmtId="0">
      <sharedItems containsString="0" containsBlank="1" containsNumber="1" minValue="-0.40700000000000003" maxValue="0.68700000000000006"/>
    </cacheField>
    <cacheField name="ind_excluir_garantia_liq" numFmtId="0">
      <sharedItems containsBlank="1"/>
    </cacheField>
    <cacheField name="tipo_valor_diver" numFmtId="0">
      <sharedItems containsNonDate="0" containsString="0" containsBlank="1"/>
    </cacheField>
    <cacheField name="movimientos_tesoreria" numFmtId="0">
      <sharedItems containsString="0" containsBlank="1" containsNumber="1" containsInteger="1" minValue="0" maxValue="0"/>
    </cacheField>
    <cacheField name="limite_3" numFmtId="0">
      <sharedItems containsString="0" containsBlank="1" containsNumber="1" containsInteger="1" minValue="3" maxValue="3"/>
    </cacheField>
    <cacheField name="total_efectivo_rf_no_ges" numFmtId="0">
      <sharedItems containsString="0" containsBlank="1" containsNumber="1" containsInteger="1" minValue="0" maxValue="0"/>
    </cacheField>
    <cacheField name="porcentaje_rf" numFmtId="0">
      <sharedItems containsString="0" containsBlank="1" containsNumber="1" minValue="0" maxValue="3.1942522900000001"/>
    </cacheField>
    <cacheField name="div_pri_int" numFmtId="0">
      <sharedItems containsString="0" containsBlank="1" containsNumber="1" containsInteger="1" minValue="0" maxValue="0"/>
    </cacheField>
    <cacheField name="titulos_sin_ejecutar_c" numFmtId="0">
      <sharedItems containsNonDate="0" containsString="0" containsBlank="1"/>
    </cacheField>
    <cacheField name="titulos_sin_ejecutar_v" numFmtId="0">
      <sharedItems containsNonDate="0" containsString="0" containsBlank="1"/>
    </cacheField>
    <cacheField name="total_efectivo_rv_latam" numFmtId="0">
      <sharedItems containsString="0" containsBlank="1" containsNumber="1" containsInteger="1" minValue="0" maxValue="0"/>
    </cacheField>
    <cacheField name="total_porcentaje_rv_latam" numFmtId="0">
      <sharedItems containsString="0" containsBlank="1" containsNumber="1" containsInteger="1" minValue="0" maxValue="0"/>
    </cacheField>
    <cacheField name="total_efectivo_rv_asia" numFmtId="0">
      <sharedItems containsString="0" containsBlank="1" containsNumber="1" minValue="1633661.45" maxValue="1633661.45"/>
    </cacheField>
    <cacheField name="total_porcentaje_rv_asia" numFmtId="0">
      <sharedItems containsString="0" containsBlank="1" containsNumber="1" minValue="1.2333592799999999" maxValue="1.2333592799999999"/>
    </cacheField>
    <cacheField name="efe_subyacente_div" numFmtId="0">
      <sharedItems containsNonDate="0" containsString="0" containsBlank="1"/>
    </cacheField>
    <cacheField name="efe_subyacente" numFmtId="0">
      <sharedItems containsNonDate="0" containsString="0" containsBlank="1"/>
    </cacheField>
    <cacheField name="cotizacion_sobre_par" numFmtId="0">
      <sharedItems containsString="0" containsBlank="1" containsNumber="1" minValue="0" maxValue="6335"/>
    </cacheField>
    <cacheField name="cam_divisa_den" numFmtId="0">
      <sharedItems containsString="0" containsBlank="1" containsNumber="1" minValue="0.86770000000000003" maxValue="157.80000000000001"/>
    </cacheField>
    <cacheField name="tir_mercado" numFmtId="0">
      <sharedItems containsString="0" containsBlank="1" containsNumber="1" minValue="0" maxValue="158.83203082899999"/>
    </cacheField>
    <cacheField name="duracion" numFmtId="0">
      <sharedItems containsString="0" containsBlank="1" containsNumber="1" minValue="0" maxValue="14.523197097000001"/>
    </cacheField>
    <cacheField name="sensibilidad" numFmtId="0">
      <sharedItems containsString="0" containsBlank="1" containsNumber="1" minValue="0" maxValue="8.8619382231330004"/>
    </cacheField>
    <cacheField name="vida_media" numFmtId="0">
      <sharedItems containsString="0" containsBlank="1" containsNumber="1" minValue="-8.3123287670000003" maxValue="19.386301370000002"/>
    </cacheField>
    <cacheField name="convexidad" numFmtId="0">
      <sharedItems containsString="0" containsBlank="1" containsNumber="1" minValue="0" maxValue="2.44131236"/>
    </cacheField>
    <cacheField name="duracion_meses" numFmtId="0">
      <sharedItems containsString="0" containsBlank="1" containsNumber="1" containsInteger="1" minValue="0" maxValue="170"/>
    </cacheField>
    <cacheField name="duracion_dias" numFmtId="0">
      <sharedItems containsString="0" containsBlank="1" containsNumber="1" containsInteger="1" minValue="-3034" maxValue="7076"/>
    </cacheField>
    <cacheField name="subyacente" numFmtId="0">
      <sharedItems containsString="0" containsBlank="1" containsNumber="1" containsInteger="1" minValue="0" maxValue="0"/>
    </cacheField>
    <cacheField name="sensibilidad_subyacente" numFmtId="0">
      <sharedItems containsString="0" containsBlank="1" containsNumber="1" containsInteger="1" minValue="0" maxValue="0"/>
    </cacheField>
    <cacheField name="tir_coste" numFmtId="0">
      <sharedItems containsString="0" containsBlank="1" containsNumber="1" minValue="-38.667824068000002" maxValue="336.75477292599999"/>
    </cacheField>
    <cacheField name="aportaciones" numFmtId="0">
      <sharedItems containsString="0" containsBlank="1" containsNumber="1" containsInteger="1" minValue="0" maxValue="0"/>
    </cacheField>
    <cacheField name="retiros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6">
  <r>
    <s v="BE6329443962"/>
    <s v="BE6329443962"/>
    <n v="9362"/>
    <n v="128"/>
    <n v="200000"/>
    <n v="0.14661465000000001"/>
    <n v="201510"/>
    <n v="200000"/>
    <n v="0.14661465000000001"/>
    <n v="201510"/>
    <n v="100.755"/>
    <n v="91.600999999999999"/>
    <n v="84.747"/>
    <s v="ONTEX 3 1/2 07/15/26"/>
    <n v="90.652000000000001"/>
    <n v="90.600999999999999"/>
    <s v="ONTEX GROUP NV"/>
    <s v="EUR"/>
    <n v="3.5"/>
    <s v="FIXED"/>
    <s v="Sr Unsecured"/>
    <s v="15/07/2026"/>
    <n v="2.7953456536618755"/>
    <n v="2.4750604703881969"/>
    <n v="7.2634351166295907"/>
    <n v="90.123000000000005"/>
    <n v="7.4854269027709961"/>
    <n v="90.652000000000001"/>
    <n v="7.2634351166295907"/>
    <n v="7.0343713760375977"/>
    <n v="91.180999999999997"/>
    <s v="B"/>
    <s v="B3"/>
    <s v="#N/A N/A"/>
    <s v="Consumer, Non-cyclical"/>
    <s v="BELGIUM"/>
    <n v="580000000"/>
    <n v="100000"/>
    <n v="3"/>
    <x v="0"/>
  </r>
  <r>
    <s v="DE000A254QA9"/>
    <s v="DE000A254QA9"/>
    <n v="7286"/>
    <n v="128"/>
    <n v="900000"/>
    <n v="0.64462427"/>
    <n v="900028.64"/>
    <n v="900000"/>
    <n v="0.64462427"/>
    <n v="900028.64"/>
    <n v="100.00318222222222"/>
    <n v="89.451999999999998"/>
    <n v="82.28"/>
    <s v="WEPAHY 2 7/8 12/15/27"/>
    <n v="88.39"/>
    <n v="88.442999999999998"/>
    <s v="WEPA HYGIENEPRODUKTE GMB"/>
    <s v="EUR"/>
    <n v="2.875"/>
    <s v="FIXED"/>
    <s v="1st lien"/>
    <s v="15/12/2027"/>
    <n v="4.213552361396304"/>
    <n v="3.7154036136824082"/>
    <n v="6.043131585911901"/>
    <n v="87.763999999999996"/>
    <n v="6.2335977554321289"/>
    <n v="88.389499999999998"/>
    <n v="6.043131585911901"/>
    <n v="5.8592939376831055"/>
    <n v="89.015000000000001"/>
    <s v="B+"/>
    <s v="B2"/>
    <s v="#N/A N/A"/>
    <s v="Basic Materials"/>
    <s v="GERMANY"/>
    <n v="400000000"/>
    <n v="100000"/>
    <n v="5"/>
    <x v="1"/>
  </r>
  <r>
    <s v="DE000BU0E022"/>
    <s v="DE000BU0E022"/>
    <n v="10473"/>
    <n v="128"/>
    <n v="3000000"/>
    <n v="2.3719058899999999"/>
    <n v="2922630"/>
    <n v="3000000"/>
    <n v="2.3719058899999999"/>
    <n v="2922630"/>
    <n v="97.421000000000006"/>
    <n v="98.519000000000005"/>
    <n v="96.85"/>
    <s v="BUBILL 0 02/21/24"/>
    <n v="98.551000000000002"/>
    <n v="98.519000000000005"/>
    <s v="GERMAN TREASURY BILL"/>
    <s v="EUR"/>
    <n v="0"/>
    <s v="ZERO COUPON"/>
    <s v="Unsecured"/>
    <s v="21/02/2024"/>
    <n v="0.39972621492128679"/>
    <n v="0.38875655614383298"/>
    <n v="3.7288382427226394"/>
    <n v="98.543000000000006"/>
    <n v="3.7457103729248047"/>
    <n v="98.5505"/>
    <n v="3.7288382427226394"/>
    <n v="3.7120532989501953"/>
    <n v="98.558000000000007"/>
    <s v="#N/A N/A"/>
    <s v="#N/A N/A"/>
    <s v="F1+u"/>
    <s v="Government"/>
    <s v="GERMANY"/>
    <n v="19500000000"/>
    <n v="0.01"/>
    <n v="1"/>
    <x v="2"/>
  </r>
  <r>
    <s v="ES00000128P8"/>
    <s v="ES00000128P8"/>
    <n v="9792"/>
    <n v="128"/>
    <n v="700000"/>
    <n v="0.52837771"/>
    <n v="680127"/>
    <n v="700000"/>
    <n v="0.52837771"/>
    <n v="680127"/>
    <n v="97.161000000000001"/>
    <n v="95.876000000000005"/>
    <n v="92.614000000000004"/>
    <s v="SPGB 1 1/2 04/30/27"/>
    <n v="93.298000000000002"/>
    <n v="93.375"/>
    <s v="BONOS Y OBLIG DEL ESTADO"/>
    <s v="EUR"/>
    <n v="1.5"/>
    <s v="FIXED"/>
    <s v="Sr Unsecured"/>
    <s v="30/04/2027"/>
    <n v="3.5865845311430529"/>
    <n v="3.3663488743047414"/>
    <n v="3.5255540380951471"/>
    <n v="93.268000000000001"/>
    <n v="3.5427064895629883"/>
    <n v="93.297499999999999"/>
    <n v="3.5255540380951471"/>
    <n v="3.5264072418212891"/>
    <n v="93.326999999999998"/>
    <s v="NR"/>
    <s v="Baa1"/>
    <s v="#N/A N/A"/>
    <s v="Government"/>
    <s v="SPAIN"/>
    <n v="25929390000"/>
    <n v="1000"/>
    <n v="4"/>
    <x v="1"/>
  </r>
  <r>
    <s v="ES0000012G34"/>
    <s v="ES0000012G34"/>
    <n v="7495"/>
    <n v="128"/>
    <n v="900000"/>
    <n v="0.62341166999999997"/>
    <n v="975264"/>
    <n v="900000"/>
    <n v="0.62341166999999997"/>
    <n v="975264"/>
    <n v="108.36266666666667"/>
    <n v="89.683000000000007"/>
    <n v="84.808999999999997"/>
    <s v="SPGB 1 1/4 10/31/30"/>
    <n v="84.988"/>
    <n v="85.188999999999993"/>
    <s v="BONOS Y OBLIG DEL ESTADO"/>
    <s v="EUR"/>
    <n v="1.25"/>
    <s v="FIXED"/>
    <s v="Sr Unsecured"/>
    <s v="31/10/2030"/>
    <n v="7.0910335386721428"/>
    <n v="6.463360244203642"/>
    <n v="3.6986295155537583"/>
    <n v="84.956999999999994"/>
    <n v="3.7151241302490234"/>
    <n v="84.988499999999988"/>
    <n v="3.6986295155537583"/>
    <n v="3.7035923004150391"/>
    <n v="85.02"/>
    <s v="#N/A N/A"/>
    <s v="Baa1"/>
    <s v="#N/A N/A"/>
    <s v="Government"/>
    <s v="SPAIN"/>
    <n v="25113626000"/>
    <n v="1000"/>
    <n v="8"/>
    <x v="3"/>
  </r>
  <r>
    <s v="ES0000012H41"/>
    <s v="ES0000012H41"/>
    <n v="8786"/>
    <n v="128"/>
    <n v="1100000"/>
    <n v="0.67631501000000005"/>
    <n v="1084441.42"/>
    <n v="1100000"/>
    <n v="0.67631501000000005"/>
    <n v="1084441.42"/>
    <n v="98.585583636363637"/>
    <n v="80.364000000000004"/>
    <n v="75.774000000000001"/>
    <s v="SPGB 0.1 04/30/31"/>
    <n v="76.361000000000004"/>
    <n v="76.546000000000006"/>
    <s v="BONOS Y OBLIG DEL ESTADO"/>
    <s v="EUR"/>
    <n v="0.1"/>
    <s v="FIXED"/>
    <s v="Sr Unsecured"/>
    <s v="30/04/2031"/>
    <n v="7.5865845311430524"/>
    <n v="7.2715043874038923"/>
    <n v="3.7406492378130349"/>
    <n v="76.33"/>
    <n v="3.7563333511352539"/>
    <n v="76.360500000000002"/>
    <n v="3.7406492378130349"/>
    <n v="3.7453317642211914"/>
    <n v="76.391000000000005"/>
    <s v="#N/A N/A"/>
    <s v="#N/A N/A"/>
    <s v="#N/A N/A"/>
    <s v="Government"/>
    <s v="SPAIN"/>
    <n v="24447177000"/>
    <n v="1000"/>
    <n v="8"/>
    <x v="4"/>
  </r>
  <r>
    <s v="ES0000012I32"/>
    <s v="ES0000012I32"/>
    <n v="9676"/>
    <n v="128"/>
    <n v="400000"/>
    <n v="0.25132324"/>
    <n v="406268"/>
    <n v="400000"/>
    <n v="0.25132324"/>
    <n v="406268"/>
    <n v="101.56699999999999"/>
    <n v="82.072000000000003"/>
    <n v="77.183000000000007"/>
    <s v="SPGB 0 1/2 10/31/31"/>
    <n v="77.548000000000002"/>
    <n v="77.748999999999995"/>
    <s v="BONOS Y OBLIG DEL ESTADO"/>
    <s v="EUR"/>
    <n v="0.5"/>
    <s v="FIXED"/>
    <s v="Sr Unsecured"/>
    <s v="31/10/2031"/>
    <n v="8.0903490759753591"/>
    <n v="7.58206758863638"/>
    <n v="3.7759563274194705"/>
    <n v="77.516000000000005"/>
    <n v="3.7920608520507813"/>
    <n v="77.548000000000002"/>
    <n v="3.7759563274194705"/>
    <n v="3.7814130783081055"/>
    <n v="77.58"/>
    <s v="#N/A N/A"/>
    <s v="#N/A N/A"/>
    <s v="#N/A N/A"/>
    <s v="Government"/>
    <s v="SPAIN"/>
    <n v="23498630000"/>
    <n v="1000"/>
    <n v="9"/>
    <x v="4"/>
  </r>
  <r>
    <s v="ES0000012K20"/>
    <s v="ES0000012K20"/>
    <n v="9709"/>
    <n v="128"/>
    <n v="800000"/>
    <n v="0.50190166000000003"/>
    <n v="688561"/>
    <n v="800000"/>
    <n v="0.50190166000000003"/>
    <n v="688561"/>
    <n v="86.070125000000004"/>
    <n v="82.393000000000001"/>
    <n v="77.322000000000003"/>
    <s v="SPGB 0.7 04/30/32"/>
    <n v="77.591999999999999"/>
    <n v="77.807000000000002"/>
    <s v="BONOS Y OBLIG DEL ESTADO"/>
    <s v="EUR"/>
    <n v="0.7"/>
    <s v="FIXED"/>
    <s v="Sr Unsecured"/>
    <s v="30/04/2032"/>
    <n v="8.5886379192334026"/>
    <n v="7.9817200236560097"/>
    <n v="3.811688204449708"/>
    <n v="77.564999999999998"/>
    <n v="3.8266792297363281"/>
    <n v="77.591499999999996"/>
    <n v="3.811688204449708"/>
    <n v="3.818598747253418"/>
    <n v="77.617999999999995"/>
    <s v="#N/A N/A"/>
    <s v="#N/A N/A"/>
    <s v="#N/A N/A"/>
    <s v="Government"/>
    <s v="SPAIN"/>
    <n v="23291373000"/>
    <n v="1000"/>
    <n v="9"/>
    <x v="5"/>
  </r>
  <r>
    <s v="ES0000012K38"/>
    <s v="ES0000012K38"/>
    <n v="10174"/>
    <n v="128"/>
    <n v="200000"/>
    <n v="0.15130479999999999"/>
    <n v="188018"/>
    <n v="200000"/>
    <n v="0.15130479999999999"/>
    <n v="188018"/>
    <n v="94.009"/>
    <n v="94.447999999999993"/>
    <n v="92.650999999999996"/>
    <s v="SPGB 0 05/31/25"/>
    <n v="94.245999999999995"/>
    <n v="94.225999999999999"/>
    <s v="BONOS Y OBLIG DEL ESTADO"/>
    <s v="EUR"/>
    <n v="0"/>
    <s v="FIXED"/>
    <s v="Sr Unsecured"/>
    <s v="31/05/2025"/>
    <n v="1.6728268309377139"/>
    <n v="1.6087784786518768"/>
    <n v="3.6199760504766583"/>
    <n v="94.213999999999999"/>
    <n v="3.6460962295532227"/>
    <n v="94.245499999999993"/>
    <n v="3.6199760504766583"/>
    <n v="3.604156494140625"/>
    <n v="94.277000000000001"/>
    <s v="#N/A N/A"/>
    <s v="#N/A N/A"/>
    <s v="#N/A N/A"/>
    <s v="Government"/>
    <s v="SPAIN"/>
    <n v="20782448000"/>
    <n v="1000"/>
    <n v="2"/>
    <x v="6"/>
  </r>
  <r>
    <s v="ES0213307061"/>
    <s v="ES0213307061"/>
    <n v="7225"/>
    <n v="128"/>
    <n v="500000"/>
    <n v="0.36574437999999998"/>
    <n v="491323.75"/>
    <n v="500000"/>
    <n v="0.36574437999999998"/>
    <n v="491323.75"/>
    <n v="98.264750000000006"/>
    <n v="91.576999999999998"/>
    <n v="88.715000000000003"/>
    <s v="CABKSM 1 1/8 11/12/26"/>
    <n v="90.165000000000006"/>
    <n v="90.180999999999997"/>
    <s v="CAIXABANK SA"/>
    <s v="EUR"/>
    <n v="1.125"/>
    <s v="FIXED"/>
    <s v="Sr Non Preferred"/>
    <s v="12/11/2026"/>
    <n v="3.1238877481177276"/>
    <n v="2.909372859398796"/>
    <n v="4.5870463717992687"/>
    <n v="89.988"/>
    <n v="4.6616830825805664"/>
    <n v="90.164500000000004"/>
    <n v="4.5870463717992687"/>
    <n v="4.5278072357177734"/>
    <n v="90.340999999999994"/>
    <s v="BBB"/>
    <s v="Baa3u"/>
    <s v="BBB+"/>
    <s v="Financial"/>
    <s v="SPAIN"/>
    <n v="750000000"/>
    <n v="100000"/>
    <n v="4"/>
    <x v="0"/>
  </r>
  <r>
    <s v="ES0213679HN2"/>
    <s v="ES0213679HN2"/>
    <n v="7063"/>
    <n v="128"/>
    <n v="300000"/>
    <n v="0.21976382999999999"/>
    <n v="300996"/>
    <n v="300000"/>
    <n v="0.21976382999999999"/>
    <n v="300996"/>
    <n v="100.33199999999999"/>
    <n v="91.629000000000005"/>
    <n v="88.971000000000004"/>
    <s v="BKTSM 0 7/8 07/08/26"/>
    <n v="91.058999999999997"/>
    <n v="91.043999999999997"/>
    <s v="BANKINTER SA"/>
    <s v="EUR"/>
    <n v="0.875"/>
    <s v="FIXED"/>
    <s v="Sr Non Preferred"/>
    <s v="08/07/2026"/>
    <n v="2.7761806981519506"/>
    <n v="2.624667492605393"/>
    <n v="4.3770913359066785"/>
    <n v="90.882000000000005"/>
    <n v="4.45941162109375"/>
    <n v="91.058999999999997"/>
    <n v="4.3770913359066785"/>
    <n v="4.3110322952270508"/>
    <n v="91.236000000000004"/>
    <s v="BBB"/>
    <s v="Baa2u"/>
    <s v="#N/A N/A"/>
    <s v="Financial"/>
    <s v="SPAIN"/>
    <n v="750000000"/>
    <n v="100000"/>
    <n v="3"/>
    <x v="0"/>
  </r>
  <r>
    <s v="ES0265936015"/>
    <s v="ES0265936015"/>
    <n v="7177"/>
    <n v="128"/>
    <n v="200000"/>
    <n v="0.15778317"/>
    <n v="202743"/>
    <n v="200000"/>
    <n v="0.15778317"/>
    <n v="202743"/>
    <n v="101.3715"/>
    <n v="97.768000000000001"/>
    <n v="91.584000000000003"/>
    <s v="ABANCA 4 5/8 04/07/30"/>
    <n v="96.025000000000006"/>
    <n v="96.085999999999999"/>
    <s v="ABANCA CORP BANCARIA SA"/>
    <s v="EUR"/>
    <n v="4.625"/>
    <s v="VARIABLE"/>
    <s v="Subordinated"/>
    <s v="07/04/2025"/>
    <n v="1.5249828884325805"/>
    <n v="1.3711995780058623"/>
    <n v="7.4690468100715828"/>
    <n v="95.518000000000001"/>
    <n v="7.8538675308227539"/>
    <n v="96.025000000000006"/>
    <n v="7.4690468100715828"/>
    <n v="7.0988788604736328"/>
    <n v="96.531999999999996"/>
    <s v="#N/A N/A"/>
    <s v="Ba2"/>
    <s v="BB"/>
    <s v="Financial"/>
    <s v="SPAIN"/>
    <n v="300000000"/>
    <n v="100000"/>
    <n v="2"/>
    <x v="6"/>
  </r>
  <r>
    <s v="ES0265936023"/>
    <s v="ES0265936023"/>
    <n v="9463"/>
    <n v="128"/>
    <n v="200000"/>
    <n v="0.13937358999999999"/>
    <n v="199962"/>
    <n v="200000"/>
    <n v="0.13937358999999999"/>
    <n v="199962"/>
    <n v="99.980999999999995"/>
    <n v="87.29"/>
    <n v="84.141000000000005"/>
    <s v="ABANCA 0 1/2 09/08/27"/>
    <n v="86.82"/>
    <n v="86.844999999999999"/>
    <s v="ABANCA CORP BANCARIA SA"/>
    <s v="EUR"/>
    <n v="0.5"/>
    <s v="VARIABLE"/>
    <s v="Sr Preferred"/>
    <s v="08/09/2026"/>
    <n v="2.945927446954141"/>
    <n v="2.769025368846854"/>
    <n v="5.4841001291035285"/>
    <n v="86.596000000000004"/>
    <n v="5.5860519409179688"/>
    <n v="86.82"/>
    <n v="5.4841001291035285"/>
    <n v="5.4041328430175781"/>
    <n v="87.043999999999997"/>
    <s v="#N/A N/A"/>
    <s v="Baa3"/>
    <s v="BBB-"/>
    <s v="Financial"/>
    <s v="SPAIN"/>
    <n v="500000000"/>
    <n v="100000"/>
    <n v="3"/>
    <x v="0"/>
  </r>
  <r>
    <s v="ES0312342019"/>
    <s v="ES0312342019"/>
    <n v="10297"/>
    <n v="128"/>
    <n v="1000000"/>
    <n v="0.80359060999999998"/>
    <n v="1009980"/>
    <n v="1000000"/>
    <n v="0.80359060999999998"/>
    <n v="1009980"/>
    <n v="100.998"/>
    <n v="101.011"/>
    <n v="98.959000000000003"/>
    <s v="AYTCED 3 3/4 06/30/25"/>
    <n v="99.171999999999997"/>
    <n v="99.173000000000002"/>
    <s v="AYT CEDULAS CAJAS X"/>
    <s v="EUR"/>
    <n v="3.75"/>
    <s v="FIXED"/>
    <s v="Secured"/>
    <s v="30/06/2025"/>
    <n v="1.754962354551677"/>
    <n v="1.6379198941792883"/>
    <n v="4.2440909460866267"/>
    <n v="99.114999999999995"/>
    <n v="4.2824573516845703"/>
    <n v="99.171499999999995"/>
    <n v="4.2440909460866267"/>
    <n v="4.2150039672851563"/>
    <n v="99.227999999999994"/>
    <s v="BBB+"/>
    <s v="Aa1"/>
    <s v="A+"/>
    <s v="Financial"/>
    <s v="SPAIN"/>
    <n v="2000000000"/>
    <n v="100000"/>
    <n v="2"/>
    <x v="6"/>
  </r>
  <r>
    <s v="ES0317046003"/>
    <s v="ES0317046003"/>
    <n v="10295"/>
    <n v="128"/>
    <n v="1500000"/>
    <n v="1.21453649"/>
    <n v="1502220"/>
    <n v="1500000"/>
    <n v="1.21453649"/>
    <n v="1502220"/>
    <n v="100.148"/>
    <n v="101.386"/>
    <n v="99.320999999999998"/>
    <s v="CEDTDA 3 7/8 05/23/25"/>
    <n v="99.5"/>
    <n v="99.498999999999995"/>
    <s v="CEDULAS TDA 6"/>
    <s v="EUR"/>
    <n v="3.875"/>
    <s v="FIXED"/>
    <s v="Secured"/>
    <s v="23/05/2025"/>
    <n v="1.6509240246406571"/>
    <n v="1.5380979694811383"/>
    <n v="4.1851486754310168"/>
    <n v="99.447000000000003"/>
    <n v="4.224461555480957"/>
    <n v="99.5"/>
    <n v="4.1851486754310168"/>
    <n v="4.1556921005249023"/>
    <n v="99.552999999999997"/>
    <s v="BBB+"/>
    <s v="Aa1"/>
    <s v="A+"/>
    <s v="Financial"/>
    <s v="SPAIN"/>
    <n v="3000000000"/>
    <n v="100000"/>
    <n v="2"/>
    <x v="6"/>
  </r>
  <r>
    <s v="ES0344251006"/>
    <s v="ES0344251006"/>
    <n v="10030"/>
    <n v="128"/>
    <n v="1200000"/>
    <n v="0.96317885999999997"/>
    <n v="1182408"/>
    <n v="1200000"/>
    <n v="0.96317885999999997"/>
    <n v="1182408"/>
    <n v="98.534000000000006"/>
    <n v="98.954999999999998"/>
    <n v="97.817999999999998"/>
    <s v="CAZAR 3 3/4 06/15/25"/>
    <n v="98.927999999999997"/>
    <n v="98.930999999999997"/>
    <s v="IBERCAJA BANCO SA"/>
    <s v="EUR"/>
    <n v="3.75"/>
    <s v="VARIABLE"/>
    <s v="Sr Preferred"/>
    <s v="15/06/2024"/>
    <n v="0.71457905544147848"/>
    <n v="0.67775178249612933"/>
    <n v="5.2750365267226904"/>
    <n v="98.831999999999994"/>
    <n v="5.4254684448242188"/>
    <n v="98.927499999999995"/>
    <n v="5.2750365267226904"/>
    <n v="5.1572237014770508"/>
    <n v="99.022999999999996"/>
    <s v="BBB-"/>
    <s v="#N/A N/A"/>
    <s v="BBB-"/>
    <s v="Financial"/>
    <s v="SPAIN"/>
    <n v="500000000"/>
    <n v="100000"/>
    <n v="1"/>
    <x v="7"/>
  </r>
  <r>
    <s v="ES0380907040"/>
    <s v="ES0380907040"/>
    <n v="9700"/>
    <n v="128"/>
    <n v="100000"/>
    <n v="7.379848E-2"/>
    <n v="99733"/>
    <n v="100000"/>
    <n v="7.379848E-2"/>
    <n v="99733"/>
    <n v="99.733000000000004"/>
    <n v="91.337000000000003"/>
    <n v="87.975999999999999"/>
    <s v="UCAJLN 1 12/01/26"/>
    <n v="91.162999999999997"/>
    <n v="91.135999999999996"/>
    <s v="UNICAJA BANCO SA"/>
    <s v="EUR"/>
    <n v="1"/>
    <s v="VARIABLE"/>
    <s v="Sr Preferred"/>
    <s v="01/12/2025"/>
    <n v="2.1765913757700206"/>
    <n v="2.0243211849065528"/>
    <n v="5.4361093106555067"/>
    <n v="91.004999999999995"/>
    <n v="5.5273332595825195"/>
    <n v="91.162499999999994"/>
    <n v="5.4361093106555067"/>
    <n v="5.3582324981689453"/>
    <n v="91.32"/>
    <s v="#N/A N/A"/>
    <s v="#N/A N/A"/>
    <s v="BBB-"/>
    <s v="Financial"/>
    <s v="SPAIN"/>
    <n v="660000000"/>
    <n v="100000"/>
    <n v="3"/>
    <x v="6"/>
  </r>
  <r>
    <s v="ES0413679525"/>
    <s v="ES0413679525"/>
    <n v="10243"/>
    <n v="128"/>
    <n v="200000"/>
    <n v="0.15666173999999999"/>
    <n v="194100"/>
    <n v="200000"/>
    <n v="0.15666173999999999"/>
    <n v="194100"/>
    <n v="97.05"/>
    <n v="99.775999999999996"/>
    <n v="96.206000000000003"/>
    <s v="BKTSM 3.05 05/29/28"/>
    <n v="96.438000000000002"/>
    <n v="96.524000000000001"/>
    <s v="BANKINTER SA"/>
    <s v="EUR"/>
    <n v="3.05"/>
    <s v="FIXED"/>
    <s v="Secured"/>
    <s v="29/05/2028"/>
    <n v="4.6680355920602326"/>
    <n v="4.1995030444317143"/>
    <n v="3.8982410984834157"/>
    <n v="96.326999999999998"/>
    <n v="3.9351625442504883"/>
    <n v="96.438000000000002"/>
    <n v="3.8982410984834157"/>
    <n v="3.8810853958129883"/>
    <n v="96.549000000000007"/>
    <s v="NR"/>
    <s v="Aa1"/>
    <s v="#N/A N/A"/>
    <s v="Financial"/>
    <s v="SPAIN"/>
    <n v="750000000"/>
    <n v="100000"/>
    <n v="5"/>
    <x v="8"/>
  </r>
  <r>
    <s v="ES0840609004"/>
    <s v="ES0840609004"/>
    <n v="7432"/>
    <n v="128"/>
    <n v="200000"/>
    <n v="0.15966031999999999"/>
    <n v="183084"/>
    <n v="200000"/>
    <n v="0.15966031999999999"/>
    <n v="183084"/>
    <n v="91.542000000000002"/>
    <n v="100.295"/>
    <n v="90.751999999999995"/>
    <s v="CABKSM 6 3/4 PERP"/>
    <n v="99.116"/>
    <n v="99.227000000000004"/>
    <s v="CAIXABANK SA"/>
    <s v="EUR"/>
    <n v="6.75"/>
    <s v="VARIABLE"/>
    <s v="Jr Subordinated"/>
    <s v="13/06/2024"/>
    <n v="0.70910335386721424"/>
    <n v="0.63594876466090322"/>
    <n v="8.0621373000326688"/>
    <n v="98.777000000000001"/>
    <n v="8.5700654983520508"/>
    <n v="99.115499999999997"/>
    <n v="8.0621373000326688"/>
    <n v="7.5606212615966797"/>
    <n v="99.453999999999994"/>
    <s v="BB"/>
    <s v="Ba3u"/>
    <s v="#N/A N/A"/>
    <s v="Financial"/>
    <s v="SPAIN"/>
    <n v="1000000000"/>
    <n v="200000"/>
    <n v="1"/>
    <x v="7"/>
  </r>
  <r>
    <s v="ES0865936019"/>
    <s v="ES0865936019"/>
    <n v="8758"/>
    <n v="128"/>
    <n v="200000"/>
    <n v="0.14521983999999999"/>
    <n v="199994"/>
    <n v="200000"/>
    <n v="0.14521983999999999"/>
    <n v="199994"/>
    <n v="99.997"/>
    <n v="94.087000000000003"/>
    <n v="75.935000000000002"/>
    <s v="ABANCA 6 PERP"/>
    <n v="89.375"/>
    <n v="89.426000000000002"/>
    <s v="ABANCA CORP BANCARIA SA"/>
    <s v="EUR"/>
    <n v="6"/>
    <s v="VARIABLE"/>
    <s v="Jr Subordinated"/>
    <s v="20/01/2026"/>
    <n v="2.3134839151266258"/>
    <n v="2.3053819290956508"/>
    <n v="10.424449481335371"/>
    <n v="88.873000000000005"/>
    <s v="#N/A N/A"/>
    <n v="89.375"/>
    <n v="10.424449481335371"/>
    <s v="#N/A N/A"/>
    <n v="89.876999999999995"/>
    <s v="#N/A N/A"/>
    <s v="#N/A N/A"/>
    <s v="B+"/>
    <s v="Financial"/>
    <s v="SPAIN"/>
    <n v="375000000"/>
    <n v="200000"/>
    <n v="3"/>
    <x v="6"/>
  </r>
  <r>
    <s v=""/>
    <s v="ESF 5 1/4 06/12"/>
    <n v="2907"/>
    <n v="128"/>
    <n v="1000000"/>
    <n v="0"/>
    <n v="71880"/>
    <n v="1000000"/>
    <n v="0"/>
    <n v="71880"/>
    <n v="7.1879999999999997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e v="#VALUE!"/>
    <x v="9"/>
  </r>
  <r>
    <s v="FR0010804500"/>
    <s v="FR0010804500"/>
    <n v="4612"/>
    <n v="128"/>
    <n v="450000"/>
    <n v="0.36320664000000003"/>
    <n v="506481.83"/>
    <n v="450000"/>
    <n v="0.36320664000000003"/>
    <n v="506481.83"/>
    <n v="112.55151777777778"/>
    <n v="102.474"/>
    <n v="100.39700000000001"/>
    <s v="ORANOF 4 7/8 09/23/24"/>
    <n v="100.52"/>
    <n v="100.533"/>
    <s v="ORANO SA"/>
    <s v="EUR"/>
    <n v="4.875"/>
    <s v="FIXED"/>
    <s v="Sr Unsecured"/>
    <s v="23/09/2024"/>
    <n v="0.9883641341546886"/>
    <n v="0.937368879755343"/>
    <n v="4.3142846390608325"/>
    <n v="100.375"/>
    <n v="4.4699563980102539"/>
    <n v="100.52000000000001"/>
    <n v="4.3142846390608325"/>
    <n v="4.1619358062744141"/>
    <n v="100.66500000000001"/>
    <s v="BBB-"/>
    <s v="#N/A N/A"/>
    <s v="#N/A N/A"/>
    <s v="Basic Materials"/>
    <s v="FRANCE"/>
    <n v="1000000000"/>
    <n v="50000"/>
    <n v="1"/>
    <x v="7"/>
  </r>
  <r>
    <s v="FR0013144201"/>
    <s v="FR0013144201"/>
    <n v="2008"/>
    <n v="128"/>
    <n v="100000"/>
    <n v="7.7172580000000005E-2"/>
    <n v="105040.5"/>
    <n v="100000"/>
    <n v="7.7172580000000005E-2"/>
    <n v="105040.5"/>
    <n v="105.04049999999999"/>
    <n v="95.983000000000004"/>
    <n v="91.652000000000001"/>
    <s v="TDFINF 2 1/2 04/07/26"/>
    <n v="94.995999999999995"/>
    <n v="94.98"/>
    <s v="TDF INFRASTRUCTURE SAS"/>
    <s v="EUR"/>
    <n v="2.5"/>
    <s v="FIXED"/>
    <s v="Sr Unsecured"/>
    <s v="07/04/2026"/>
    <n v="2.5242984257357972"/>
    <n v="2.3325884391030001"/>
    <n v="4.6492929884537748"/>
    <n v="94.775000000000006"/>
    <n v="4.753779411315918"/>
    <n v="94.995499999999993"/>
    <n v="4.6492929884537748"/>
    <n v="4.553466796875"/>
    <n v="95.215999999999994"/>
    <s v="NR"/>
    <s v="#N/A N/A"/>
    <s v="BBB-"/>
    <s v="Communications"/>
    <s v="FRANCE"/>
    <n v="800000000"/>
    <n v="100000"/>
    <n v="3"/>
    <x v="0"/>
  </r>
  <r>
    <s v="FR0013322146"/>
    <s v="FR0013322146"/>
    <n v="9788"/>
    <n v="128"/>
    <n v="100000"/>
    <n v="8.0300099999999999E-2"/>
    <n v="99810"/>
    <n v="100000"/>
    <n v="8.0300099999999999E-2"/>
    <n v="99810"/>
    <n v="99.81"/>
    <n v="99.888000000000005"/>
    <n v="97.984999999999999"/>
    <s v="RENAUL Float 03/12/25"/>
    <n v="99.828000000000003"/>
    <n v="99.888000000000005"/>
    <s v="RCI BANQUE SA"/>
    <s v="EUR"/>
    <n v="4.38"/>
    <s v="FLOATING"/>
    <s v="Sr Unsecured"/>
    <s v="12/03/2025"/>
    <n v="1.4537987679671458"/>
    <n v="0.19551379942247013"/>
    <n v="4.6266050882579037"/>
    <n v="99.667000000000002"/>
    <n v="79.928619384765625"/>
    <n v="99.827500000000001"/>
    <n v="4.6266050882579037"/>
    <n v="57.547988891601563"/>
    <n v="99.988"/>
    <s v="BBB-"/>
    <s v="Baa1"/>
    <s v="#N/A N/A"/>
    <s v="Consumer, Cyclical"/>
    <s v="FRANCE"/>
    <n v="550000000"/>
    <n v="100000"/>
    <n v="2"/>
    <x v="7"/>
  </r>
  <r>
    <s v="FR0013329315"/>
    <s v="FR0013329315"/>
    <n v="9074"/>
    <n v="128"/>
    <n v="300000"/>
    <n v="0.23688376999999999"/>
    <n v="299533"/>
    <n v="300000"/>
    <n v="0.23688376999999999"/>
    <n v="299533"/>
    <n v="99.844333333333338"/>
    <n v="97.956000000000003"/>
    <n v="95.978999999999999"/>
    <s v="RENAUL 1 04/18/24"/>
    <n v="97.962000000000003"/>
    <n v="97.956000000000003"/>
    <s v="RENAULT SA"/>
    <s v="EUR"/>
    <n v="1"/>
    <s v="FIXED"/>
    <s v="Sr Unsecured"/>
    <s v="18/04/2024"/>
    <n v="0.55578370978781655"/>
    <n v="0.53139494676024246"/>
    <n v="4.8245927551970791"/>
    <n v="97.668999999999997"/>
    <n v="5.4009866714477539"/>
    <n v="97.961999999999989"/>
    <n v="4.8245927551970791"/>
    <n v="4.2681827545166016"/>
    <n v="98.254999999999995"/>
    <s v="BB+"/>
    <s v="Ba1"/>
    <s v="#N/A N/A"/>
    <s v="Consumer, Cyclical"/>
    <s v="FRANCE"/>
    <n v="700000000"/>
    <n v="100000"/>
    <n v="1"/>
    <x v="7"/>
  </r>
  <r>
    <s v="FR0013342334"/>
    <s v="FR0013342334"/>
    <n v="9241"/>
    <n v="128"/>
    <n v="300000"/>
    <n v="0.23073521"/>
    <n v="308510"/>
    <n v="300000"/>
    <n v="0.23073521"/>
    <n v="308510"/>
    <n v="102.83666666666667"/>
    <n v="95.804000000000002"/>
    <n v="92.718999999999994"/>
    <s v="FRFP 1 1/2 06/18/25"/>
    <n v="95.435000000000002"/>
    <n v="95.421999999999997"/>
    <s v="VALEO SE"/>
    <s v="EUR"/>
    <n v="1.5"/>
    <s v="FIXED"/>
    <s v="Sr Unsecured"/>
    <s v="18/06/2025"/>
    <n v="1.7221081451060918"/>
    <n v="1.6273767617068069"/>
    <n v="4.3223970996772874"/>
    <n v="95.194999999999993"/>
    <n v="4.4785060882568359"/>
    <n v="95.4345"/>
    <n v="4.3223970996772874"/>
    <n v="4.1736440658569336"/>
    <n v="95.674000000000007"/>
    <s v="BB+"/>
    <s v="Baa3"/>
    <s v="#N/A N/A"/>
    <s v="Consumer, Cyclical"/>
    <s v="FRANCE"/>
    <n v="600000000"/>
    <n v="100000"/>
    <n v="2"/>
    <x v="6"/>
  </r>
  <r>
    <s v="FR0013409265"/>
    <s v="FR0013409265"/>
    <n v="7106"/>
    <n v="128"/>
    <n v="300000"/>
    <n v="0.15835241"/>
    <n v="303015"/>
    <n v="300000"/>
    <n v="0.15835241"/>
    <n v="303015"/>
    <n v="101.005"/>
    <n v="99.302909999999997"/>
    <n v="64.422669999999997"/>
    <s v="PHLSBG 5 03/27/24"/>
    <n v="64.567999999999998"/>
    <n v="64.567999999999998"/>
    <s v="CIE DE PHALSBOURG"/>
    <s v="EUR"/>
    <n v="5"/>
    <s v="FIXED"/>
    <s v="Sr Unsecured"/>
    <s v="27/03/2024"/>
    <n v="0.49555099247091033"/>
    <n v="0.30934684382308703"/>
    <n v="116.55429293529073"/>
    <n v="64.552999999999997"/>
    <n v="116.62464904785156"/>
    <n v="64.567999999999998"/>
    <n v="116.55429293529073"/>
    <n v="116.48080444335938"/>
    <n v="64.582999999999998"/>
    <s v="#N/A N/A"/>
    <s v="#N/A N/A"/>
    <s v="#N/A N/A"/>
    <s v="Financial"/>
    <s v="FRANCE"/>
    <n v="220700000"/>
    <n v="100000"/>
    <n v="1"/>
    <x v="10"/>
  </r>
  <r>
    <s v="FR0013414919"/>
    <s v="FR0013414919"/>
    <n v="8458"/>
    <n v="128"/>
    <n v="100000"/>
    <n v="7.857712E-2"/>
    <n v="106857"/>
    <n v="100000"/>
    <n v="7.857712E-2"/>
    <n v="106857"/>
    <n v="106.857"/>
    <n v="98.715000000000003"/>
    <n v="95.953999999999994"/>
    <s v="ORANOF 3 3/8 04/23/26"/>
    <n v="96.590999999999994"/>
    <n v="96.566000000000003"/>
    <s v="ORANO SA"/>
    <s v="EUR"/>
    <n v="3.375"/>
    <s v="FIXED"/>
    <s v="Sr Unsecured"/>
    <s v="23/04/2026"/>
    <n v="2.5681040383299112"/>
    <n v="2.3484715104150515"/>
    <n v="4.8152577993994363"/>
    <n v="96.296000000000006"/>
    <n v="4.9514789581298828"/>
    <n v="96.591000000000008"/>
    <n v="4.8152577993994363"/>
    <n v="4.6994352340698242"/>
    <n v="96.885999999999996"/>
    <s v="BBB-"/>
    <s v="#N/A N/A"/>
    <s v="#N/A N/A"/>
    <s v="Basic Materials"/>
    <s v="FRANCE"/>
    <n v="750000000"/>
    <n v="100000"/>
    <n v="3"/>
    <x v="0"/>
  </r>
  <r>
    <s v="FR0013462728"/>
    <s v="FR0013462728"/>
    <n v="7256"/>
    <n v="128"/>
    <n v="400000"/>
    <n v="0.29868474"/>
    <n v="398540.44"/>
    <n v="400000"/>
    <n v="0.29868474"/>
    <n v="398540.44"/>
    <n v="99.635109999999997"/>
    <n v="91.12"/>
    <n v="85.218999999999994"/>
    <s v="CEETRU 2 3/4 11/26/26"/>
    <n v="90.823999999999998"/>
    <n v="90.81"/>
    <s v="NEW IMMO HOLDING SA"/>
    <s v="EUR"/>
    <n v="2.75"/>
    <s v="FIXED"/>
    <s v="Sr Unsecured"/>
    <s v="26/11/2026"/>
    <n v="3.162217659137577"/>
    <n v="2.8159832425369182"/>
    <n v="6.0308305320888111"/>
    <n v="90.481999999999999"/>
    <n v="6.1678228378295898"/>
    <n v="90.823999999999998"/>
    <n v="6.0308305320888111"/>
    <n v="5.9074792861938477"/>
    <n v="91.165999999999997"/>
    <s v="BBB-"/>
    <s v="#N/A N/A"/>
    <s v="#N/A N/A"/>
    <s v="Financial"/>
    <s v="FRANCE"/>
    <n v="300000000"/>
    <n v="100000"/>
    <n v="4"/>
    <x v="0"/>
  </r>
  <r>
    <s v="FR0014008JQ4"/>
    <s v="FR0014008JQ4"/>
    <n v="9800"/>
    <n v="128"/>
    <n v="100000"/>
    <n v="6.8647990000000006E-2"/>
    <n v="98919"/>
    <n v="100000"/>
    <n v="6.8647990000000006E-2"/>
    <n v="98919"/>
    <n v="98.918999999999997"/>
    <n v="86.924999999999997"/>
    <n v="76.974000000000004"/>
    <s v="MERYFP 2 1/2 02/28/29"/>
    <n v="83.938999999999993"/>
    <n v="84.013999999999996"/>
    <s v="MERCIALYS SA"/>
    <s v="EUR"/>
    <n v="2.5"/>
    <s v="FIXED"/>
    <s v="Sr Unsecured"/>
    <s v="28/02/2029"/>
    <n v="5.420944558521561"/>
    <n v="4.7314415526962792"/>
    <n v="6.0672380941342121"/>
    <n v="83.537999999999997"/>
    <n v="6.173863410949707"/>
    <n v="83.938500000000005"/>
    <n v="6.0672380941342121"/>
    <n v="5.9760417938232422"/>
    <n v="84.338999999999999"/>
    <s v="BBB"/>
    <s v="#N/A N/A"/>
    <s v="#N/A N/A"/>
    <s v="Financial"/>
    <s v="FRANCE"/>
    <n v="500000000"/>
    <n v="100000"/>
    <n v="6"/>
    <x v="8"/>
  </r>
  <r>
    <s v="IT0001174611"/>
    <s v="IT0001174611"/>
    <n v="2641"/>
    <n v="128"/>
    <n v="100000"/>
    <n v="8.9720259999999996E-2"/>
    <n v="134478"/>
    <n v="100000"/>
    <n v="8.9720259999999996E-2"/>
    <n v="134478"/>
    <n v="134.47800000000001"/>
    <n v="115.221"/>
    <n v="109.142"/>
    <s v="BTPS 6 1/2 11/01/27"/>
    <n v="108.89700000000001"/>
    <n v="109.142"/>
    <s v="BUONI POLIENNALI DEL TES"/>
    <s v="EUR"/>
    <n v="6.5"/>
    <s v="FIXED"/>
    <s v="Sr Unsecured"/>
    <s v="01/11/2027"/>
    <n v="4.0930869267624912"/>
    <n v="3.4412241881522676"/>
    <n v="4.1502949946339518"/>
    <n v="108.869"/>
    <n v="4.1683721542358398"/>
    <n v="108.8965"/>
    <n v="4.1502949946339518"/>
    <n v="4.1555681228637695"/>
    <n v="108.92400000000001"/>
    <s v="NR"/>
    <s v="Baa3u"/>
    <s v="BBBu"/>
    <s v="Government"/>
    <s v="ITALY"/>
    <n v="27992000000"/>
    <n v="0.01"/>
    <n v="5"/>
    <x v="1"/>
  </r>
  <r>
    <s v="IT0005413171"/>
    <s v="IT0005413171"/>
    <n v="8375"/>
    <n v="128"/>
    <n v="1200000"/>
    <n v="0.80563925000000003"/>
    <n v="1305783.33"/>
    <n v="1200000"/>
    <n v="0.80563925000000003"/>
    <n v="1305783.33"/>
    <n v="108.81527749999999"/>
    <n v="87.209000000000003"/>
    <n v="82.608000000000004"/>
    <s v="BTPS 1.65 12/01/30"/>
    <n v="82.676000000000002"/>
    <n v="82.995000000000005"/>
    <s v="BUONI POLIENNALI DEL TES"/>
    <s v="EUR"/>
    <n v="1.65"/>
    <s v="FIXED"/>
    <s v="Sr Unsecured"/>
    <s v="01/12/2030"/>
    <n v="7.1759069130732378"/>
    <n v="6.4046826886463091"/>
    <n v="4.5551223269644003"/>
    <n v="82.659000000000006"/>
    <n v="4.5700721740722656"/>
    <n v="82.6755"/>
    <n v="4.5551223269644003"/>
    <n v="4.5638055801391602"/>
    <n v="82.691999999999993"/>
    <s v="#N/A N/A"/>
    <s v="#N/A N/A"/>
    <s v="#N/A N/A"/>
    <s v="Government"/>
    <s v="ITALY"/>
    <n v="24107903000.000004"/>
    <n v="1000"/>
    <n v="8"/>
    <x v="3"/>
  </r>
  <r>
    <s v="IT0005422891"/>
    <s v="IT0005422891"/>
    <n v="8823"/>
    <n v="128"/>
    <n v="100000"/>
    <n v="6.2684190000000001E-2"/>
    <n v="101441"/>
    <n v="100000"/>
    <n v="6.2684190000000001E-2"/>
    <n v="101441"/>
    <n v="101.441"/>
    <n v="81.397999999999996"/>
    <n v="76.804000000000002"/>
    <s v="BTPS 0.9 04/01/31"/>
    <n v="77.23"/>
    <n v="77.546999999999997"/>
    <s v="BUONI POLIENNALI DEL TES"/>
    <s v="EUR"/>
    <n v="0.9"/>
    <s v="FIXED"/>
    <s v="Sr Unsecured"/>
    <s v="01/04/2031"/>
    <n v="7.5071868583162216"/>
    <n v="6.9098523710340194"/>
    <n v="4.5647217087225078"/>
    <n v="77.210999999999999"/>
    <n v="4.5801935195922852"/>
    <n v="77.229500000000002"/>
    <n v="4.5647217087225078"/>
    <n v="4.5736045837402344"/>
    <n v="77.248000000000005"/>
    <s v="#N/A N/A"/>
    <s v="#N/A N/A"/>
    <s v="#N/A N/A"/>
    <s v="Government"/>
    <s v="ITALY"/>
    <n v="24450073000"/>
    <n v="1000"/>
    <n v="8"/>
    <x v="4"/>
  </r>
  <r>
    <s v="PTBCPBOM0062"/>
    <s v="PTBCPBOM0062"/>
    <n v="10212"/>
    <n v="128"/>
    <n v="100000"/>
    <n v="8.9370140000000001E-2"/>
    <n v="100960"/>
    <n v="100000"/>
    <n v="8.9370140000000001E-2"/>
    <n v="100960"/>
    <n v="100.96"/>
    <n v="104.89400000000001"/>
    <n v="100.999"/>
    <s v="BCPPL 8 1/2 10/25/25"/>
    <n v="103.504"/>
    <n v="103.529"/>
    <s v="BANCO COMERC PORTUGUES"/>
    <s v="EUR"/>
    <n v="8.5"/>
    <s v="VARIABLE"/>
    <s v="Sr Preferred"/>
    <s v="25/10/2024"/>
    <n v="1.0759753593429158"/>
    <n v="0.94164836848484135"/>
    <n v="5.0211414158710221"/>
    <n v="103.30200000000001"/>
    <n v="5.2329673767089844"/>
    <n v="103.5035"/>
    <n v="5.0211414158710221"/>
    <n v="4.8351516723632813"/>
    <n v="103.705"/>
    <s v="#N/A N/A"/>
    <s v="Baa3"/>
    <s v="BBB-"/>
    <s v="Financial"/>
    <s v="PORTUGAL"/>
    <n v="350000000"/>
    <n v="100000"/>
    <n v="2"/>
    <x v="7"/>
  </r>
  <r>
    <s v="PTBCPHOM0066"/>
    <s v="PTBCPHOM0066"/>
    <n v="8882"/>
    <n v="128"/>
    <n v="300000"/>
    <n v="0.21764901"/>
    <n v="267727.33"/>
    <n v="300000"/>
    <n v="0.21764901"/>
    <n v="267727.33"/>
    <n v="89.242443333333327"/>
    <n v="89.795000000000002"/>
    <n v="81.956000000000003"/>
    <s v="BCPPL 1 1/8 02/12/27"/>
    <n v="89.739000000000004"/>
    <n v="89.709000000000003"/>
    <s v="BANCO COMERC PORTUGUES"/>
    <s v="EUR"/>
    <n v="1.125"/>
    <s v="VARIABLE"/>
    <s v="Sr Preferred"/>
    <s v="12/02/2026"/>
    <n v="2.3764544832306638"/>
    <n v="2.201432921687096"/>
    <n v="5.771372009872703"/>
    <n v="89.497"/>
    <n v="5.8944740295410156"/>
    <n v="89.739000000000004"/>
    <n v="5.771372009872703"/>
    <n v="5.6635560989379883"/>
    <n v="89.980999999999995"/>
    <s v="#N/A N/A"/>
    <s v="Baa3"/>
    <s v="BBB-"/>
    <s v="Financial"/>
    <s v="PORTUGAL"/>
    <n v="500000000"/>
    <n v="100000"/>
    <n v="3"/>
    <x v="6"/>
  </r>
  <r>
    <s v="PTBEQJOM0012"/>
    <s v="PTBEQJOM0012"/>
    <n v="2910"/>
    <n v="128"/>
    <n v="100000"/>
    <n v="0"/>
    <n v="0"/>
    <n v="100000"/>
    <n v="0"/>
    <n v="0"/>
    <n v="0"/>
    <n v="1.05366"/>
    <n v="0.1931541"/>
    <s v="BESPL 7 1/8 11/28/23"/>
    <n v="0.69499999999999995"/>
    <n v="0.69499999999999995"/>
    <s v="BANCO ESPIRITO SANTO SA"/>
    <s v="EUR"/>
    <n v="7.125"/>
    <s v="DEFAULTED"/>
    <s v="Subordinated"/>
    <s v="28/11/2023"/>
    <n v="0.16700889801505817"/>
    <n v="1.5507123296095758E-3"/>
    <n v="91496.465985106654"/>
    <n v="0.39700000000000002"/>
    <s v="#N/A N/A"/>
    <n v="0.69500000000000006"/>
    <n v="91496.465985106654"/>
    <s v="#N/A N/A"/>
    <n v="0.99299999999999999"/>
    <s v="NR"/>
    <s v="WR"/>
    <s v="#N/A N/A"/>
    <s v="Financial"/>
    <s v="PORTUGAL"/>
    <n v="750000000"/>
    <n v="100000"/>
    <n v="1"/>
    <x v="11"/>
  </r>
  <r>
    <s v="PTCCCAOM0000"/>
    <s v="PTCCCAOM0000"/>
    <n v="9585"/>
    <n v="128"/>
    <n v="300000"/>
    <n v="0.22373604"/>
    <n v="300573"/>
    <n v="300000"/>
    <n v="0.22373604"/>
    <n v="300573"/>
    <n v="100.191"/>
    <n v="91.084999999999994"/>
    <n v="85.825000000000003"/>
    <s v="CRLPL 2 1/2 11/05/26"/>
    <n v="90.822000000000003"/>
    <n v="90.748999999999995"/>
    <s v="CRL CREDITO AGRICOLA MUT"/>
    <s v="EUR"/>
    <n v="2.5"/>
    <s v="VARIABLE"/>
    <s v="Sr Preferred"/>
    <s v="05/11/2025"/>
    <n v="2.1054072553045859"/>
    <n v="1.8819467534802228"/>
    <n v="7.3885432286714927"/>
    <n v="90.290999999999997"/>
    <n v="7.700505256652832"/>
    <n v="90.8215"/>
    <n v="7.3885432286714927"/>
    <n v="7.093113899230957"/>
    <n v="91.352000000000004"/>
    <s v="#N/A N/A"/>
    <s v="Ba1"/>
    <s v="#N/A N/A"/>
    <s v="Financial"/>
    <s v="PORTUGAL"/>
    <n v="300000000"/>
    <n v="100000"/>
    <n v="3"/>
    <x v="6"/>
  </r>
  <r>
    <s v="PTCGDMOM0027"/>
    <s v="PTCGDMOM0027"/>
    <n v="7245"/>
    <n v="128"/>
    <n v="1300000"/>
    <n v="1.0170878999999999"/>
    <n v="1272511"/>
    <n v="1300000"/>
    <n v="1.0170878999999999"/>
    <n v="1272511"/>
    <n v="97.885461538461541"/>
    <n v="96.536000000000001"/>
    <n v="94.36"/>
    <s v="CXGD 1 1/4 11/25/24"/>
    <n v="96.463999999999999"/>
    <n v="96.441000000000003"/>
    <s v="CAIXA GERAL DE DEPOSITOS"/>
    <s v="EUR"/>
    <n v="1.25"/>
    <s v="FIXED"/>
    <s v="Sr Non Preferred"/>
    <s v="25/11/2024"/>
    <n v="1.160848733744011"/>
    <n v="1.0876645924040715"/>
    <n v="4.4753311097691819"/>
    <n v="96.355000000000004"/>
    <n v="4.5876007080078125"/>
    <n v="96.463999999999999"/>
    <n v="4.4753311097691819"/>
    <n v="4.3743104934692383"/>
    <n v="96.572999999999993"/>
    <s v="#N/A N/A"/>
    <s v="Baa3"/>
    <s v="BBB-"/>
    <s v="Financial"/>
    <s v="PORTUGAL"/>
    <n v="500000000"/>
    <n v="100000"/>
    <n v="2"/>
    <x v="7"/>
  </r>
  <r>
    <s v="PTFIDBOM0009"/>
    <s v="PTFIDBOM0009"/>
    <n v="9571"/>
    <n v="128"/>
    <n v="100000"/>
    <n v="6.9860770000000003E-2"/>
    <n v="103038.25"/>
    <n v="100000"/>
    <n v="6.9860770000000003E-2"/>
    <n v="103038.25"/>
    <n v="103.03825000000001"/>
    <n v="89.326999999999998"/>
    <n v="81.787999999999997"/>
    <s v="FIDELI 4 1/4 09/04/31"/>
    <n v="86.518000000000001"/>
    <n v="86.506"/>
    <s v="FIDELIDADE CIA SEGUROS"/>
    <s v="EUR"/>
    <n v="4.25"/>
    <s v="VARIABLE"/>
    <s v="Subordinated"/>
    <s v="04/09/2026"/>
    <n v="2.9349760438056127"/>
    <n v="2.5493761893976781"/>
    <n v="9.7655668600372838"/>
    <n v="86.067999999999998"/>
    <n v="9.9717226028442383"/>
    <n v="86.518499999999989"/>
    <n v="9.7655668600372838"/>
    <n v="9.5633401870727539"/>
    <n v="86.968999999999994"/>
    <s v="#N/A N/A"/>
    <s v="#N/A N/A"/>
    <s v="BBB"/>
    <s v="Financial"/>
    <s v="PORTUGAL"/>
    <n v="500000000"/>
    <n v="100000"/>
    <n v="3"/>
    <x v="0"/>
  </r>
  <r>
    <s v=""/>
    <s v="RFLBNI 5,875 23"/>
    <n v="5712"/>
    <n v="128"/>
    <n v="600000"/>
    <n v="0.50525348000000003"/>
    <n v="684728.67"/>
    <n v="600000"/>
    <n v="0.50525348000000003"/>
    <n v="684728.67"/>
    <n v="114.12144499999999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s v="#N/A Invalid Security"/>
    <e v="#VALUE!"/>
    <x v="9"/>
  </r>
  <r>
    <s v="SE0015657903"/>
    <s v="SE0015657903"/>
    <n v="8985"/>
    <n v="128"/>
    <n v="300000"/>
    <n v="0.11980718"/>
    <n v="306682.2"/>
    <n v="300000"/>
    <n v="0.11980718"/>
    <n v="306682.2"/>
    <n v="102.2274"/>
    <n v="76.5"/>
    <n v="49.296999999999997"/>
    <s v="HEIMST 4 1/4 03/09/26"/>
    <n v="49.313000000000002"/>
    <n v="49.296999999999997"/>
    <s v="HEIMSTADEN AB"/>
    <s v="EUR"/>
    <n v="4.25"/>
    <s v="FIXED"/>
    <s v="Sr Unsecured"/>
    <s v="09/03/2026"/>
    <n v="2.4449007529089664"/>
    <n v="1.6263798365088027"/>
    <n v="41.49249610692052"/>
    <n v="48.304000000000002"/>
    <n v="42.774734497070313"/>
    <n v="49.3125"/>
    <n v="41.49249610692052"/>
    <n v="40.24798583984375"/>
    <n v="50.320999999999998"/>
    <s v="#N/A N/A"/>
    <s v="#N/A N/A"/>
    <s v="BB *-"/>
    <s v="Financial"/>
    <s v="SWEDEN"/>
    <n v="350000000"/>
    <n v="100000"/>
    <n v="3"/>
    <x v="6"/>
  </r>
  <r>
    <s v="SE0016589105"/>
    <s v="SE0016589105"/>
    <n v="9469"/>
    <n v="128"/>
    <n v="500000"/>
    <n v="0.20642888000000001"/>
    <n v="501250"/>
    <n v="500000"/>
    <n v="0.20642888000000001"/>
    <n v="501250"/>
    <n v="100.25"/>
    <n v="73.441000000000003"/>
    <n v="51.445"/>
    <s v="HEIMST 4 3/8 03/06/27"/>
    <n v="51.509"/>
    <n v="51.509"/>
    <s v="HEIMSTADEN AB"/>
    <s v="EUR"/>
    <n v="4.375"/>
    <s v="FIXED"/>
    <s v="Sr Unsecured"/>
    <s v="06/03/2027"/>
    <n v="3.4360027378507869"/>
    <n v="2.4286819518405243"/>
    <n v="28.702402165453034"/>
    <n v="50.387"/>
    <n v="29.614944458007813"/>
    <n v="51.508499999999998"/>
    <n v="28.702402165453034"/>
    <n v="27.816970825195313"/>
    <n v="52.63"/>
    <s v="#N/A N/A"/>
    <s v="#N/A N/A"/>
    <s v="BB *-"/>
    <s v="Financial"/>
    <s v="SWEDEN"/>
    <n v="400000000"/>
    <n v="100000"/>
    <n v="4"/>
    <x v="0"/>
  </r>
  <r>
    <s v="US654902AC90"/>
    <s v="US654902AC90"/>
    <n v="8774"/>
    <n v="128"/>
    <n v="82898.12"/>
    <n v="7.0993509999999996E-2"/>
    <n v="127222"/>
    <n v="82898.12"/>
    <n v="7.0993509999999996E-2"/>
    <n v="127222"/>
    <n v="153.4678952912322"/>
    <n v="103.6007"/>
    <n v="90.163700000000006"/>
    <s v="NOKIA 6 5/8 05/15/39"/>
    <n v="90.164000000000001"/>
    <n v="90.164000000000001"/>
    <s v="NOKIA OYJ"/>
    <s v="USD"/>
    <n v="6.625"/>
    <s v="FIXED"/>
    <s v="Sr Unsecured"/>
    <s v="15/05/2039"/>
    <n v="15.627652292950033"/>
    <n v="9.0397165120636735"/>
    <n v="7.7181974044355393"/>
    <n v="89.884"/>
    <n v="7.7513408660888672"/>
    <n v="90.164500000000004"/>
    <n v="7.7181974044355393"/>
    <n v="7.6844186782836914"/>
    <n v="90.444999999999993"/>
    <s v="BBB-"/>
    <s v="Ba1"/>
    <s v="BBB-"/>
    <s v="Communications"/>
    <s v="FINLAND"/>
    <n v="500000000"/>
    <n v="2000"/>
    <n v="16"/>
    <x v="12"/>
  </r>
  <r>
    <s v="US87938WAC73"/>
    <s v="US87938WAC73"/>
    <n v="7201"/>
    <n v="128"/>
    <n v="249636.76"/>
    <n v="0.24025679"/>
    <n v="435475"/>
    <n v="249636.76"/>
    <n v="0.24025679"/>
    <n v="435475"/>
    <n v="174.44345936872438"/>
    <n v="111.6039"/>
    <n v="102.8558"/>
    <s v="TELEFO 7.045 06/20/36"/>
    <n v="102.85599999999999"/>
    <n v="102.85599999999999"/>
    <s v="TELEFONICA EMISIONES SAU"/>
    <s v="USD"/>
    <n v="7.0449999999999999"/>
    <s v="FIXED"/>
    <s v="Sr Unsecured"/>
    <s v="20/06/2036"/>
    <n v="12.728268309377139"/>
    <n v="8.2422941020357658"/>
    <n v="6.7040758077541485"/>
    <n v="102.375"/>
    <n v="6.7620887756347656"/>
    <n v="102.8725"/>
    <n v="6.7040758077541485"/>
    <n v="6.6469821929931641"/>
    <n v="103.37"/>
    <s v="BBB-"/>
    <s v="Baa3"/>
    <s v="BBB"/>
    <s v="Communications"/>
    <s v="SPAIN"/>
    <n v="2000000000"/>
    <n v="1000"/>
    <n v="13"/>
    <x v="13"/>
  </r>
  <r>
    <s v="US912810TQ13"/>
    <s v="US912810TQ13"/>
    <n v="10393"/>
    <n v="128"/>
    <n v="1846947.1"/>
    <n v="1.34444842"/>
    <n v="1983750"/>
    <n v="1846947.1"/>
    <n v="1.34444842"/>
    <n v="1983750"/>
    <n v="107.40697446071952"/>
    <n v="102.89064999999999"/>
    <n v="86.835939999999994"/>
    <s v="T 3 7/8 02/15/43"/>
    <n v="86.875"/>
    <n v="86.8359375"/>
    <s v="US TREASURY N/B"/>
    <s v="USD"/>
    <n v="3.875"/>
    <s v="FIXED"/>
    <s v="Unsecured"/>
    <s v="15/02/2043"/>
    <n v="19.383983572895279"/>
    <n v="12.943707221558832"/>
    <n v="4.9384931999999999"/>
    <n v="86.78125"/>
    <n v="4.950953483581543"/>
    <n v="86.828125"/>
    <n v="4.9384931999999999"/>
    <n v="4.9426441192626953"/>
    <n v="86.875"/>
    <s v="#N/A N/A"/>
    <s v="Aaa"/>
    <s v="AA+u"/>
    <s v="Government"/>
    <s v="UNITED STATES"/>
    <n v="43560000000"/>
    <n v="100"/>
    <n v="20"/>
    <x v="14"/>
  </r>
  <r>
    <s v="US9128286T26"/>
    <s v="US9128286T26"/>
    <n v="7017"/>
    <n v="128"/>
    <n v="1215875"/>
    <n v="0.92219870000000004"/>
    <n v="1403184.7"/>
    <n v="1215875"/>
    <n v="0.92219870000000004"/>
    <n v="1403184.7"/>
    <n v="115.40534183201399"/>
    <n v="94.738284999999991"/>
    <n v="88.542969999999997"/>
    <s v="T 2 3/8 05/15/29"/>
    <n v="88.59375"/>
    <n v="88.54296875"/>
    <s v="US TREASURY N/B"/>
    <s v="USD"/>
    <n v="2.375"/>
    <s v="FIXED"/>
    <s v="Unsecured"/>
    <s v="15/05/2029"/>
    <n v="5.6290212183435999"/>
    <n v="5.1039743226256924"/>
    <n v="4.7118785317665637"/>
    <n v="88.53125"/>
    <n v="4.7255754470825195"/>
    <n v="88.5625"/>
    <n v="4.7118785317665637"/>
    <n v="4.7135906219482422"/>
    <n v="88.59375"/>
    <s v="#N/A N/A"/>
    <s v="Aaa"/>
    <s v="AA+u"/>
    <s v="Government"/>
    <s v="UNITED STATES"/>
    <n v="84427000000"/>
    <n v="100"/>
    <n v="6"/>
    <x v="15"/>
  </r>
  <r>
    <s v="US912828T263"/>
    <s v="US912828T263"/>
    <n v="10327"/>
    <n v="128"/>
    <n v="832594.8"/>
    <n v="0.69225387999999999"/>
    <n v="879427.73"/>
    <n v="832594.8"/>
    <n v="0.69225387999999999"/>
    <n v="879427.73"/>
    <n v="105.62493664385124"/>
    <n v="99.980459999999994"/>
    <n v="97.556640000000002"/>
    <s v="T 1 3/8 09/30/23"/>
    <n v="100.02734375"/>
    <n v="99.98046875"/>
    <s v="US TREASURY N/B"/>
    <s v="USD"/>
    <n v="1.375"/>
    <s v="FIXED"/>
    <s v="Unsecured"/>
    <s v="30/09/2023"/>
    <n v="5.4757015742642025E-3"/>
    <n v="2.7328804881648436E-3"/>
    <n v="7.0466699179361214"/>
    <n v="99.94140625"/>
    <n v="22.678543090820313"/>
    <n v="99.984375"/>
    <n v="7.0466699179361214"/>
    <n v="-9.9910650253295898"/>
    <n v="100.02734375"/>
    <s v="#N/A N/A"/>
    <s v="Aaa"/>
    <s v="AA+u"/>
    <s v="Government"/>
    <s v="UNITED STATES"/>
    <n v="29707000000"/>
    <n v="100"/>
    <n v="1"/>
    <x v="16"/>
  </r>
  <r>
    <s v="US912828ZN34"/>
    <s v="US912828ZN34"/>
    <n v="8076"/>
    <n v="128"/>
    <n v="180554.3"/>
    <n v="0.13160920000000001"/>
    <n v="199671.87"/>
    <n v="180554.3"/>
    <n v="0.13160920000000001"/>
    <n v="199671.87"/>
    <n v="110.58826624455912"/>
    <n v="89.332034999999991"/>
    <n v="85.0625"/>
    <s v="T 0 1/2 04/30/27"/>
    <n v="85.9765625"/>
    <n v="85.9296875"/>
    <s v="US TREASURY N/B"/>
    <s v="USD"/>
    <n v="0.5"/>
    <s v="FIXED"/>
    <s v="Unsecured"/>
    <s v="30/04/2027"/>
    <n v="3.5865845311430529"/>
    <n v="3.4651484712088672"/>
    <n v="4.8129377488213079"/>
    <n v="85.9140625"/>
    <n v="4.8260269165039063"/>
    <n v="85.9453125"/>
    <n v="4.8129377488213079"/>
    <n v="4.8050880432128906"/>
    <n v="85.9765625"/>
    <s v="#N/A N/A"/>
    <s v="Aaa"/>
    <s v="AA+u"/>
    <s v="Government"/>
    <s v="UNITED STATES"/>
    <n v="38040000000"/>
    <n v="100"/>
    <n v="4"/>
    <x v="1"/>
  </r>
  <r>
    <s v="US912828ZQ64"/>
    <s v="US912828ZQ64"/>
    <n v="7720"/>
    <n v="128"/>
    <n v="182149.36"/>
    <n v="0.11815823"/>
    <n v="198500"/>
    <n v="182149.36"/>
    <n v="0.11815823"/>
    <n v="198500"/>
    <n v="108.97650148208042"/>
    <n v="83.367189999999994"/>
    <n v="77.101564999999994"/>
    <s v="T 0 5/8 05/15/30"/>
    <n v="77.140625"/>
    <n v="77.1015625"/>
    <s v="US TREASURY N/B"/>
    <s v="USD"/>
    <n v="0.625"/>
    <s v="FIXED"/>
    <s v="Unsecured"/>
    <s v="15/05/2030"/>
    <n v="6.6283367556468171"/>
    <n v="6.3131291047952232"/>
    <n v="4.6821639924754823"/>
    <n v="77.078125"/>
    <n v="4.6949710845947266"/>
    <n v="77.109375"/>
    <n v="4.6821639924754823"/>
    <n v="4.682164192199707"/>
    <n v="77.140625"/>
    <s v="#N/A N/A"/>
    <s v="Aaa"/>
    <s v="AA+u"/>
    <s v="Government"/>
    <s v="UNITED STATES"/>
    <n v="109880000000"/>
    <n v="100"/>
    <n v="7"/>
    <x v="3"/>
  </r>
  <r>
    <s v="US912828ZT04"/>
    <s v="US912828ZT04"/>
    <n v="8075"/>
    <n v="128"/>
    <n v="176865.94"/>
    <n v="0.14074496"/>
    <n v="199046.88"/>
    <n v="176865.94"/>
    <n v="0.14074496"/>
    <n v="199046.88"/>
    <n v="112.54110316548228"/>
    <n v="93.03125"/>
    <n v="90.09375"/>
    <s v="T 0 1/4 05/31/25"/>
    <n v="92.1015625"/>
    <n v="92.02734375"/>
    <s v="US TREASURY N/B"/>
    <s v="USD"/>
    <n v="0.25"/>
    <s v="FIXED"/>
    <s v="Unsecured"/>
    <s v="31/05/2025"/>
    <n v="1.6728268309377139"/>
    <n v="1.6228085483923824"/>
    <n v="5.2795266999999999"/>
    <n v="92.0234375"/>
    <n v="5.3056602478027344"/>
    <n v="92.0625"/>
    <n v="5.2795266999999999"/>
    <n v="5.2586307525634766"/>
    <n v="92.1015625"/>
    <s v="#N/A N/A"/>
    <s v="Aaa"/>
    <s v="AA+u"/>
    <s v="Government"/>
    <s v="UNITED STATES"/>
    <n v="49724000000"/>
    <n v="100"/>
    <n v="2"/>
    <x v="6"/>
  </r>
  <r>
    <s v="US91282CCH25"/>
    <s v="US91282CCH25"/>
    <n v="9771"/>
    <n v="128"/>
    <n v="355534.45"/>
    <n v="0.26163619999999999"/>
    <n v="380671.87"/>
    <n v="355534.45"/>
    <n v="0.26163619999999999"/>
    <n v="380671.87"/>
    <n v="107.07031906472074"/>
    <n v="90.167969999999997"/>
    <n v="85.3125"/>
    <s v="T 1 1/4 06/30/28"/>
    <n v="85.3671875"/>
    <n v="85.3125"/>
    <s v="US TREASURY N/B"/>
    <s v="USD"/>
    <n v="1.25"/>
    <s v="FIXED"/>
    <s v="Unsecured"/>
    <s v="30/06/2028"/>
    <n v="4.7556468172484596"/>
    <n v="4.4939710122444341"/>
    <n v="4.7300273292355186"/>
    <n v="85.3125"/>
    <n v="4.7452573776245117"/>
    <n v="85.33984375"/>
    <n v="4.7300273292355186"/>
    <n v="4.7310428619384766"/>
    <n v="85.3671875"/>
    <s v="#N/A N/A"/>
    <s v="Aaa"/>
    <s v="AA+u"/>
    <s v="Government"/>
    <s v="UNITED STATES"/>
    <n v="71410000000"/>
    <n v="100"/>
    <n v="5"/>
    <x v="8"/>
  </r>
  <r>
    <s v="US91282CDF59"/>
    <s v="US91282CDF59"/>
    <n v="9730"/>
    <n v="128"/>
    <n v="266849.98"/>
    <n v="0.19609441999999999"/>
    <n v="291671.88"/>
    <n v="266849.98"/>
    <n v="0.19609441999999999"/>
    <n v="291671.88"/>
    <n v="109.30181819762551"/>
    <n v="90.164060000000006"/>
    <n v="84.992189999999994"/>
    <s v="T 1 3/8 10/31/28"/>
    <n v="85.0390625"/>
    <n v="84.9921875"/>
    <s v="US TREASURY N/B"/>
    <s v="USD"/>
    <n v="1.375"/>
    <s v="FIXED"/>
    <s v="Unsecured"/>
    <s v="31/10/2028"/>
    <n v="5.0924024640657084"/>
    <n v="4.7690461517405707"/>
    <n v="4.7238268000000003"/>
    <n v="84.984375"/>
    <n v="4.7362737655639648"/>
    <n v="85.01171875"/>
    <n v="4.7238268000000003"/>
    <n v="4.7247838973999023"/>
    <n v="85.0390625"/>
    <s v="#N/A N/A"/>
    <s v="Aaa"/>
    <s v="AA+u"/>
    <s v="Government"/>
    <s v="UNITED STATES"/>
    <n v="68303000000"/>
    <n v="100"/>
    <n v="6"/>
    <x v="8"/>
  </r>
  <r>
    <s v="US91282CDG33"/>
    <s v="US91282CDG33"/>
    <n v="9924"/>
    <n v="128"/>
    <n v="460702.11"/>
    <n v="0.34369917"/>
    <n v="462851.55"/>
    <n v="460702.11"/>
    <n v="0.34369917"/>
    <n v="462851.55"/>
    <n v="100.46655744641586"/>
    <n v="92.449219999999997"/>
    <n v="88.394534999999991"/>
    <s v="T 1 1/8 10/31/26"/>
    <n v="89.3984375"/>
    <n v="89.33203125"/>
    <s v="US TREASURY N/B"/>
    <s v="USD"/>
    <n v="1.125"/>
    <s v="FIXED"/>
    <s v="Unsecured"/>
    <s v="31/10/2026"/>
    <n v="3.0910335386721424"/>
    <n v="2.9522253514208328"/>
    <n v="4.8780691000000003"/>
    <n v="89.328125"/>
    <n v="4.8942775726318359"/>
    <n v="89.36328125"/>
    <n v="4.8780691000000003"/>
    <n v="4.8707046508789063"/>
    <n v="89.3984375"/>
    <s v="#N/A N/A"/>
    <s v="#N/A N/A"/>
    <s v="AA+u"/>
    <s v="Government"/>
    <s v="UNITED STATES"/>
    <n v="67202000000"/>
    <n v="100"/>
    <n v="4"/>
    <x v="0"/>
  </r>
  <r>
    <s v="US91282CDK45"/>
    <s v="US91282CDK45"/>
    <n v="9653"/>
    <n v="128"/>
    <n v="618664.11"/>
    <n v="0.48065297000000001"/>
    <n v="693015.64"/>
    <n v="618664.11"/>
    <n v="0.48065297000000001"/>
    <n v="693015.64"/>
    <n v="112.0180771436701"/>
    <n v="92.75"/>
    <n v="88.632814999999994"/>
    <s v="T 1 1/4 11/30/26"/>
    <n v="89.515625"/>
    <n v="89.45703125"/>
    <s v="US TREASURY N/B"/>
    <s v="USD"/>
    <n v="1.25"/>
    <s v="FIXED"/>
    <s v="Unsecured"/>
    <s v="30/11/2026"/>
    <n v="3.1731690622861053"/>
    <n v="3.0262923037474412"/>
    <n v="4.8700794256186608"/>
    <n v="89.453125"/>
    <n v="4.8844423294067383"/>
    <n v="89.484375"/>
    <n v="4.8700794256186608"/>
    <n v="4.8643369674682617"/>
    <n v="89.515625"/>
    <s v="#N/A N/A"/>
    <s v="Aaa"/>
    <s v="AA+u"/>
    <s v="Government"/>
    <s v="UNITED STATES"/>
    <n v="63863000000"/>
    <n v="100"/>
    <n v="4"/>
    <x v="0"/>
  </r>
  <r>
    <s v="US91282CED92"/>
    <s v="US91282CED92"/>
    <n v="9880"/>
    <n v="128"/>
    <n v="499670.45"/>
    <n v="0.36299382000000002"/>
    <n v="476648.43"/>
    <n v="499670.45"/>
    <n v="0.36299382000000002"/>
    <n v="476648.43"/>
    <n v="95.392559235792305"/>
    <n v="96.181639999999987"/>
    <n v="93.662109999999998"/>
    <s v="T 1 3/4 03/15/25"/>
    <n v="95.0546875"/>
    <n v="94.962890630000004"/>
    <s v="US TREASURY N/B"/>
    <s v="USD"/>
    <n v="1.75"/>
    <s v="FIXED"/>
    <s v="Unsecured"/>
    <s v="15/03/2025"/>
    <n v="1.462012320328542"/>
    <n v="1.4107260943939264"/>
    <n v="5.350085096910199"/>
    <n v="94.94921875"/>
    <n v="5.3865118026733398"/>
    <n v="95.001953125"/>
    <n v="5.350085096910199"/>
    <n v="5.3195066452026367"/>
    <n v="95.0546875"/>
    <s v="#N/A N/A"/>
    <s v="Aaa"/>
    <s v="AA+u"/>
    <s v="Government"/>
    <s v="UNITED STATES"/>
    <n v="56065000000"/>
    <n v="100"/>
    <n v="2"/>
    <x v="7"/>
  </r>
  <r>
    <s v="USU63768AB83"/>
    <s v="USU63768AB83"/>
    <n v="7112"/>
    <n v="128"/>
    <n v="189573.46"/>
    <n v="0.14123050000000001"/>
    <n v="203056"/>
    <n v="189573.46"/>
    <n v="0.14123050000000001"/>
    <n v="203056"/>
    <n v="107.11203983933194"/>
    <n v="98.421059999999997"/>
    <n v="87.385980000000004"/>
    <s v="MRFGBZ 6 5/8 08/06/29"/>
    <n v="91.262"/>
    <n v="91.680999999999997"/>
    <s v="NBM US HOLDINGS INC"/>
    <s v="USD"/>
    <n v="6.625"/>
    <s v="FIXED"/>
    <s v="Sr Unsecured"/>
    <s v="06/08/2029"/>
    <n v="5.8562628336755651"/>
    <n v="4.6449708619136931"/>
    <n v="8.5304125565823838"/>
    <n v="90.938999999999993"/>
    <n v="8.6259384155273438"/>
    <n v="91.356999999999999"/>
    <n v="8.5304125565823838"/>
    <n v="8.4311189651489258"/>
    <n v="91.775000000000006"/>
    <s v="BB+"/>
    <s v="#N/A N/A"/>
    <s v="BB+"/>
    <s v="Consumer, Non-cyclical"/>
    <s v="UNITED STATES"/>
    <n v="500000000"/>
    <n v="200000"/>
    <n v="6"/>
    <x v="15"/>
  </r>
  <r>
    <s v="USX8662DAW75"/>
    <s v="USX8662DAW75"/>
    <n v="1034"/>
    <n v="128"/>
    <n v="189165.88"/>
    <n v="0.20032522"/>
    <n v="252771.82"/>
    <n v="189165.88"/>
    <n v="0.20032522"/>
    <n v="252771.82"/>
    <n v="133.62442529276422"/>
    <n v="107.5759"/>
    <n v="101.51049999999999"/>
    <s v="STERV 7 1/4 04/15/36"/>
    <n v="101.51"/>
    <n v="101.511"/>
    <s v="STORA ENSO OYJ"/>
    <s v="USD"/>
    <n v="7.25"/>
    <s v="FIXED"/>
    <s v="Sr Unsecured"/>
    <s v="15/04/2036"/>
    <n v="12.547570157426421"/>
    <n v="7.9306099969792214"/>
    <n v="7.0658054265006918"/>
    <n v="101.235"/>
    <n v="7.0989990234375"/>
    <n v="101.511"/>
    <n v="7.0658054265006918"/>
    <n v="7.0326418876647949"/>
    <n v="101.78700000000001"/>
    <s v="NR"/>
    <s v="Baa3"/>
    <s v="BBB-"/>
    <s v="Industrial"/>
    <s v="FINLAND"/>
    <n v="300000000"/>
    <n v="100000"/>
    <n v="13"/>
    <x v="13"/>
  </r>
  <r>
    <s v="XS0193945655"/>
    <s v="XS0193945655"/>
    <n v="9263"/>
    <n v="128"/>
    <n v="100000"/>
    <n v="8.2694379999999998E-2"/>
    <n v="115136"/>
    <n v="100000"/>
    <n v="8.2694379999999998E-2"/>
    <n v="115136"/>
    <n v="115.136"/>
    <n v="102.95099999999999"/>
    <n v="101.212"/>
    <s v="ATOSTR 5 7/8 06/09/24"/>
    <n v="101.197"/>
    <n v="101.212"/>
    <s v="AUTOSTRADE PER L'ITALIA"/>
    <s v="EUR"/>
    <n v="5.875"/>
    <s v="FIXED"/>
    <s v="Sr Unsecured"/>
    <s v="09/06/2024"/>
    <n v="0.69815195071868585"/>
    <n v="0.66802471137020336"/>
    <n v="4.0083499464201218"/>
    <n v="101.107"/>
    <n v="4.1260099411010742"/>
    <n v="101.1965"/>
    <n v="4.0083499464201218"/>
    <n v="3.858799934387207"/>
    <n v="101.286"/>
    <s v="BBB-"/>
    <s v="Baa3"/>
    <s v="BBB"/>
    <s v="Consumer, Non-cyclical"/>
    <s v="ITALY"/>
    <n v="1000000000"/>
    <n v="100000"/>
    <n v="1"/>
    <x v="7"/>
  </r>
  <r>
    <s v="XS0215093534"/>
    <s v="XS0215093534"/>
    <n v="9244"/>
    <n v="128"/>
    <n v="300000"/>
    <n v="0.24844394"/>
    <n v="342187"/>
    <n v="300000"/>
    <n v="0.24844394"/>
    <n v="342187"/>
    <n v="114.06233333333333"/>
    <n v="102.35899999999999"/>
    <n v="100.636"/>
    <s v="LDOIM 4 7/8 03/24/25"/>
    <n v="100.58199999999999"/>
    <n v="100.667"/>
    <s v="LEONARDO SPA"/>
    <s v="EUR"/>
    <n v="4.875"/>
    <s v="FIXED"/>
    <s v="Sr Unsecured"/>
    <s v="24/03/2025"/>
    <n v="1.4866529774127311"/>
    <n v="1.371350400850482"/>
    <n v="4.4402441765880285"/>
    <n v="100.268"/>
    <n v="4.6704769134521484"/>
    <n v="100.58150000000001"/>
    <n v="4.4402441765880285"/>
    <n v="4.2203865051269531"/>
    <n v="100.895"/>
    <s v="BBB-"/>
    <s v="Baa3"/>
    <s v="BBB-"/>
    <s v="Industrial"/>
    <s v="ITALY"/>
    <n v="500000000"/>
    <n v="50000"/>
    <n v="2"/>
    <x v="7"/>
  </r>
  <r>
    <s v="XS0542534192"/>
    <s v="XS0542534192"/>
    <n v="9275"/>
    <n v="128"/>
    <n v="200000"/>
    <n v="0.16111833"/>
    <n v="230666"/>
    <n v="200000"/>
    <n v="0.16111833"/>
    <n v="230666"/>
    <n v="115.333"/>
    <n v="101.682"/>
    <n v="99.509"/>
    <s v="ATOSTR 4 3/8 09/16/25"/>
    <n v="100.211"/>
    <n v="100.255"/>
    <s v="AUTOSTRADE PER L'ITALIA"/>
    <s v="EUR"/>
    <n v="4.375"/>
    <s v="FIXED"/>
    <s v="Sr Unsecured"/>
    <s v="16/09/2025"/>
    <n v="1.9685147159479808"/>
    <n v="1.8378794224519359"/>
    <n v="4.2582487823240367"/>
    <n v="100.041"/>
    <n v="4.3531217575073242"/>
    <n v="100.211"/>
    <n v="4.2582487823240367"/>
    <n v="4.1634283065795898"/>
    <n v="100.381"/>
    <s v="BBB-"/>
    <s v="Baa3"/>
    <s v="BBB"/>
    <s v="Consumer, Non-cyclical"/>
    <s v="ITALY"/>
    <n v="500000000"/>
    <n v="50000"/>
    <n v="2"/>
    <x v="6"/>
  </r>
  <r>
    <s v="XS1028942354"/>
    <s v="XS1028942354"/>
    <n v="1410"/>
    <n v="128"/>
    <n v="700000"/>
    <n v="0.55599947999999999"/>
    <n v="708906"/>
    <n v="700000"/>
    <n v="0.55599947999999999"/>
    <n v="708906"/>
    <n v="101.27228571428572"/>
    <n v="100.151"/>
    <n v="96.409000000000006"/>
    <s v="ATRADI 5 1/4 09/23/44"/>
    <n v="98.992999999999995"/>
    <n v="98.947999999999993"/>
    <s v="ATRADIUS FINANCE BV"/>
    <s v="EUR"/>
    <n v="5.25"/>
    <s v="VARIABLE"/>
    <s v="Subordinated"/>
    <s v="23/09/2024"/>
    <n v="0.9883641341546886"/>
    <n v="0.92344759207539673"/>
    <n v="6.338577326813712"/>
    <n v="98.471000000000004"/>
    <n v="6.9170455932617188"/>
    <n v="98.992500000000007"/>
    <n v="6.338577326813712"/>
    <n v="5.7696561813354492"/>
    <n v="99.513999999999996"/>
    <s v="#N/A N/A"/>
    <s v="Baa2"/>
    <s v="#N/A N/A"/>
    <s v="Financial"/>
    <s v="NETHERLANDS"/>
    <n v="250000000"/>
    <n v="100000"/>
    <n v="1"/>
    <x v="7"/>
  </r>
  <r>
    <s v="XS1076781589"/>
    <s v="XS1076781589"/>
    <n v="9897"/>
    <n v="128"/>
    <n v="100000"/>
    <n v="8.0187620000000001E-2"/>
    <n v="105010"/>
    <n v="100000"/>
    <n v="8.0187620000000001E-2"/>
    <n v="105010"/>
    <n v="105.01"/>
    <n v="99.963999999999999"/>
    <n v="95.97"/>
    <s v="NNGRNV 4 3/8 PERP"/>
    <n v="98.582999999999998"/>
    <n v="98.626000000000005"/>
    <s v="NN GROUP NV"/>
    <s v="EUR"/>
    <n v="4.375"/>
    <s v="VARIABLE"/>
    <s v="Jr Subordinated"/>
    <s v="13/06/2024"/>
    <n v="0.70910335386721424"/>
    <n v="0.6699862020682873"/>
    <n v="6.4153452903639758"/>
    <n v="98.122"/>
    <n v="7.1121845245361328"/>
    <n v="98.58250000000001"/>
    <n v="6.4153452903639758"/>
    <n v="5.7273263931274414"/>
    <n v="99.043000000000006"/>
    <s v="BBB-"/>
    <s v="#N/A N/A"/>
    <s v="#N/A N/A"/>
    <s v="Financial"/>
    <s v="NETHERLANDS"/>
    <n v="750000000"/>
    <n v="100000"/>
    <n v="1"/>
    <x v="7"/>
  </r>
  <r>
    <s v="XS1298711729"/>
    <s v="XS1298711729"/>
    <n v="6512"/>
    <n v="128"/>
    <n v="172794.7"/>
    <n v="0.15217048"/>
    <n v="203307"/>
    <n v="172794.7"/>
    <n v="0.15217048"/>
    <n v="203307"/>
    <n v="117.6581226160293"/>
    <n v="97.201149999999998"/>
    <n v="90.316699999999997"/>
    <s v="TCELLT 5 3/4 10/15/25"/>
    <n v="96.962000000000003"/>
    <n v="96.962000000000003"/>
    <s v="TURKCELL ILETISIM HIZMET"/>
    <s v="USD"/>
    <n v="5.75"/>
    <s v="FIXED"/>
    <s v="Sr Unsecured"/>
    <s v="15/10/2025"/>
    <n v="2.0479123887748116"/>
    <n v="1.8304244632335229"/>
    <n v="7.380520421359801"/>
    <n v="96.843999999999994"/>
    <n v="7.4403762817382813"/>
    <n v="96.965499999999992"/>
    <n v="7.380520421359801"/>
    <n v="7.3077516555786133"/>
    <n v="97.087000000000003"/>
    <s v="B"/>
    <s v="B3u"/>
    <s v="B"/>
    <s v="Communications"/>
    <s v="TURKEY"/>
    <n v="500000000"/>
    <n v="200000"/>
    <n v="3"/>
    <x v="6"/>
  </r>
  <r>
    <s v="XS1327504087"/>
    <s v="XS1327504087"/>
    <n v="9260"/>
    <n v="128"/>
    <n v="400000"/>
    <n v="0.30234297999999998"/>
    <n v="415304"/>
    <n v="400000"/>
    <n v="0.30234297999999998"/>
    <n v="415304"/>
    <n v="103.82599999999999"/>
    <n v="94.128"/>
    <n v="90.119"/>
    <s v="ATOSTR 1 3/4 06/26/26"/>
    <n v="93.722999999999999"/>
    <n v="93.701999999999998"/>
    <s v="AUTOSTRADE PER L'ITALIA"/>
    <s v="EUR"/>
    <n v="1.75"/>
    <s v="FIXED"/>
    <s v="Sr Unsecured"/>
    <s v="26/06/2026"/>
    <n v="2.7433264887063653"/>
    <n v="2.5721523583100319"/>
    <n v="4.2280128738079483"/>
    <n v="93.54"/>
    <n v="4.3087968826293945"/>
    <n v="93.723000000000013"/>
    <n v="4.2280128738079483"/>
    <n v="4.1578235626220703"/>
    <n v="93.906000000000006"/>
    <s v="BBB-"/>
    <s v="Baa3"/>
    <s v="BBB"/>
    <s v="Consumer, Non-cyclical"/>
    <s v="ITALY"/>
    <n v="750000000"/>
    <n v="100000"/>
    <n v="3"/>
    <x v="0"/>
  </r>
  <r>
    <s v="XS1420357318"/>
    <s v="XS1420357318"/>
    <n v="7068"/>
    <n v="128"/>
    <n v="300000"/>
    <n v="0.21898007999999999"/>
    <n v="335055"/>
    <n v="300000"/>
    <n v="0.21898007999999999"/>
    <n v="335055"/>
    <n v="111.685"/>
    <n v="91.161000000000001"/>
    <n v="86.492999999999995"/>
    <s v="ROMANI 2 7/8 05/26/28"/>
    <n v="89.808999999999997"/>
    <n v="89.94"/>
    <s v="ROMANIA"/>
    <s v="EUR"/>
    <n v="2.875"/>
    <s v="FIXED"/>
    <s v="Sr Unsecured"/>
    <s v="26/05/2028"/>
    <n v="4.6598220396988363"/>
    <n v="4.1367260844794664"/>
    <n v="5.4092534529610603"/>
    <n v="89.533000000000001"/>
    <n v="5.4888725280761719"/>
    <n v="89.808500000000009"/>
    <n v="5.4092534529610603"/>
    <n v="5.3386249542236328"/>
    <n v="90.084000000000003"/>
    <s v="BBB-"/>
    <s v="Baa3"/>
    <s v="BBB-"/>
    <s v="Government"/>
    <s v="ROMANIA"/>
    <n v="2000000000"/>
    <n v="1000"/>
    <n v="5"/>
    <x v="8"/>
  </r>
  <r>
    <s v="XS1468525057"/>
    <s v="XS1468525057"/>
    <n v="3472"/>
    <n v="128"/>
    <n v="100000"/>
    <n v="8.1092349999999994E-2"/>
    <n v="98792"/>
    <n v="100000"/>
    <n v="8.1092349999999994E-2"/>
    <n v="98792"/>
    <n v="98.792000000000002"/>
    <n v="99.382000000000005"/>
    <n v="98.716999999999999"/>
    <s v="CLNXSM 2 3/8 01/16/24"/>
    <n v="99.378"/>
    <n v="99.382000000000005"/>
    <s v="CELLNEX TELECOM SA"/>
    <s v="EUR"/>
    <n v="2.375"/>
    <s v="FIXED"/>
    <s v="Sr Unsecured"/>
    <s v="16/01/2024"/>
    <n v="0.30116358658453113"/>
    <n v="0.28703318246103743"/>
    <n v="4.4709975499999999"/>
    <n v="99.256"/>
    <n v="4.8744878768920898"/>
    <n v="99.377499999999998"/>
    <n v="4.4709975499999999"/>
    <n v="4.0665569305419922"/>
    <n v="99.498999999999995"/>
    <s v="BB+"/>
    <s v="#N/A N/A"/>
    <s v="BBB-"/>
    <s v="Industrial"/>
    <s v="SPAIN"/>
    <n v="750000000"/>
    <n v="100000"/>
    <n v="1"/>
    <x v="17"/>
  </r>
  <r>
    <s v="XS1551726810"/>
    <s v="XS1551726810"/>
    <n v="3598"/>
    <n v="128"/>
    <n v="100000"/>
    <n v="7.9418610000000001E-2"/>
    <n v="107294"/>
    <n v="100000"/>
    <n v="7.9418610000000001E-2"/>
    <n v="107294"/>
    <n v="107.294"/>
    <n v="98.537999999999997"/>
    <n v="96.924999999999997"/>
    <s v="CLNXSM 2 7/8 04/18/25"/>
    <n v="97.668999999999997"/>
    <n v="97.673000000000002"/>
    <s v="CELLNEX TELECOM SA"/>
    <s v="EUR"/>
    <n v="2.875"/>
    <s v="FIXED"/>
    <s v="Sr Unsecured"/>
    <s v="18/04/2025"/>
    <n v="1.5550992470910336"/>
    <n v="1.4523599599107768"/>
    <n v="4.4603443606316082"/>
    <n v="97.495000000000005"/>
    <n v="4.5846567153930664"/>
    <n v="97.669000000000011"/>
    <n v="4.4603443606316082"/>
    <n v="4.3412017822265625"/>
    <n v="97.843000000000004"/>
    <s v="BB+"/>
    <s v="#N/A N/A"/>
    <s v="BBB-"/>
    <s v="Industrial"/>
    <s v="SPAIN"/>
    <n v="500000000"/>
    <n v="100000"/>
    <n v="2"/>
    <x v="6"/>
  </r>
  <r>
    <s v="XS1586555861"/>
    <s v="XS1586555861"/>
    <n v="10263"/>
    <n v="128"/>
    <n v="100000"/>
    <n v="8.1154889999999993E-2"/>
    <n v="98461"/>
    <n v="100000"/>
    <n v="8.1154889999999993E-2"/>
    <n v="98461"/>
    <n v="98.460999999999999"/>
    <n v="99.975999999999999"/>
    <n v="98.332999999999998"/>
    <s v="VW 1 1/8 10/02/23"/>
    <n v="99.97"/>
    <n v="99.975999999999999"/>
    <s v="VOLKSWAGEN INTL FIN NV"/>
    <s v="EUR"/>
    <n v="1.125"/>
    <s v="FIXED"/>
    <s v="Sr Unsecured"/>
    <s v="02/10/2023"/>
    <n v="1.0951403148528405E-2"/>
    <n v="8.2196457050173529E-3"/>
    <n v="4.723712133735015"/>
    <n v="99.924999999999997"/>
    <n v="10.202831268310547"/>
    <n v="99.97"/>
    <n v="4.723712133735015"/>
    <n v="-0.71124762296676636"/>
    <n v="100.015"/>
    <s v="BBB+"/>
    <s v="A3"/>
    <s v="A-u"/>
    <s v="Consumer, Cyclical"/>
    <s v="NETHERLANDS"/>
    <n v="1500000000"/>
    <n v="100000"/>
    <n v="1"/>
    <x v="16"/>
  </r>
  <r>
    <s v="XS1619643015"/>
    <s v="XS1619643015"/>
    <n v="7497"/>
    <n v="128"/>
    <n v="100000"/>
    <n v="7.7185149999999994E-2"/>
    <n v="101177"/>
    <n v="100000"/>
    <n v="7.7185149999999994E-2"/>
    <n v="101177"/>
    <n v="101.17700000000001"/>
    <n v="95.808000000000007"/>
    <n v="94.046000000000006"/>
    <s v="MRLSM 1 3/4 05/26/25"/>
    <n v="95.596999999999994"/>
    <n v="95.575000000000003"/>
    <s v="MERLIN PROPERTIES SOCIMI"/>
    <s v="EUR"/>
    <n v="1.75"/>
    <s v="FIXED"/>
    <s v="Sr Unsecured"/>
    <s v="26/05/2025"/>
    <n v="1.6591375770020533"/>
    <n v="1.5597355129017971"/>
    <n v="4.5795162643777649"/>
    <n v="95.474000000000004"/>
    <n v="4.6690845489501953"/>
    <n v="95.597000000000008"/>
    <n v="4.5795162643777649"/>
    <n v="4.5060415267944336"/>
    <n v="95.72"/>
    <s v="BBB"/>
    <s v="Baa2"/>
    <s v="#N/A N/A"/>
    <s v="Financial"/>
    <s v="SPAIN"/>
    <n v="600000000"/>
    <n v="100000"/>
    <n v="2"/>
    <x v="6"/>
  </r>
  <r>
    <s v="XS1627782771"/>
    <s v="XS1627782771"/>
    <n v="8899"/>
    <n v="128"/>
    <n v="200000"/>
    <n v="0.15815773999999999"/>
    <n v="203590"/>
    <n v="200000"/>
    <n v="0.15815773999999999"/>
    <n v="203590"/>
    <n v="101.795"/>
    <n v="98.087999999999994"/>
    <n v="96.941999999999993"/>
    <s v="LDOIM 1 1/2 06/07/24"/>
    <n v="98.078999999999994"/>
    <n v="98.085999999999999"/>
    <s v="LEONARDO SPA"/>
    <s v="EUR"/>
    <n v="1.5"/>
    <s v="FIXED"/>
    <s v="Sr Unsecured"/>
    <s v="07/06/2024"/>
    <n v="0.69267624914442161"/>
    <n v="0.6617043702009896"/>
    <n v="4.3868749977291897"/>
    <n v="97.915999999999997"/>
    <n v="4.6391448974609375"/>
    <n v="98.079000000000008"/>
    <n v="4.3868749977291897"/>
    <n v="4.1144828796386719"/>
    <n v="98.242000000000004"/>
    <s v="BBB-"/>
    <s v="Baa3"/>
    <s v="BBB-"/>
    <s v="Industrial"/>
    <s v="ITALY"/>
    <n v="600000000"/>
    <n v="100000"/>
    <n v="1"/>
    <x v="7"/>
  </r>
  <r>
    <s v="XS1631415582"/>
    <s v="XS1631415582"/>
    <n v="9504"/>
    <n v="128"/>
    <n v="169247.69"/>
    <n v="0.14180168000000001"/>
    <n v="223024"/>
    <n v="169247.69"/>
    <n v="0.14180168000000001"/>
    <n v="223024"/>
    <n v="131.77373351447218"/>
    <n v="94.694379999999995"/>
    <n v="87.616420000000005"/>
    <s v="UCGIM 5.861 06/19/32"/>
    <n v="90.858999999999995"/>
    <n v="90.858999999999995"/>
    <s v="UNICREDIT SPA"/>
    <s v="USD"/>
    <n v="5.8609999999999998"/>
    <s v="VARIABLE"/>
    <s v="Subordinated"/>
    <s v="19/06/2027"/>
    <n v="3.7234770704996576"/>
    <n v="3.175789125489151"/>
    <n v="8.7967684405911371"/>
    <n v="90.599000000000004"/>
    <n v="8.8830289840698242"/>
    <n v="90.852000000000004"/>
    <n v="8.7967684405911371"/>
    <n v="8.7106733322143555"/>
    <n v="91.105000000000004"/>
    <s v="BB+"/>
    <s v="Baa3"/>
    <s v="BB+"/>
    <s v="Financial"/>
    <s v="ITALY"/>
    <n v="1000000000"/>
    <n v="200000"/>
    <n v="4"/>
    <x v="1"/>
  </r>
  <r>
    <s v="XS1722898431"/>
    <s v="XS1722898431"/>
    <n v="7081"/>
    <n v="128"/>
    <n v="200000"/>
    <n v="0.15653065999999999"/>
    <n v="207424"/>
    <n v="200000"/>
    <n v="0.15653065999999999"/>
    <n v="207424"/>
    <n v="103.712"/>
    <n v="96.051000000000002"/>
    <n v="93.483000000000004"/>
    <s v="NEPSJ 1 3/4 11/23/24"/>
    <n v="96.06"/>
    <n v="96.042000000000002"/>
    <s v="NE PROPERTY BV"/>
    <s v="EUR"/>
    <n v="1.75"/>
    <s v="FIXED"/>
    <s v="Sr Unsecured"/>
    <s v="23/11/2024"/>
    <n v="1.1553730321697468"/>
    <n v="1.0692562132347292"/>
    <n v="5.392931392489241"/>
    <n v="95.843000000000004"/>
    <n v="5.60400390625"/>
    <n v="96.06"/>
    <n v="5.392931392489241"/>
    <n v="5.1871852874755859"/>
    <n v="96.277000000000001"/>
    <s v="BBB"/>
    <s v="#N/A N/A"/>
    <s v="BBB+"/>
    <s v="Financial"/>
    <s v="NETHERLANDS"/>
    <n v="500000000"/>
    <n v="100000"/>
    <n v="2"/>
    <x v="7"/>
  </r>
  <r>
    <s v="XS1731882186"/>
    <s v="XS1731882186"/>
    <n v="5760"/>
    <n v="128"/>
    <n v="600000"/>
    <n v="0.46070914000000002"/>
    <n v="602452"/>
    <n v="600000"/>
    <n v="0.46070914000000002"/>
    <n v="602452"/>
    <n v="100.40866666666666"/>
    <n v="95.893000000000001"/>
    <n v="87.894000000000005"/>
    <s v="DERSTG 1 5/8 12/09/24"/>
    <n v="94.435000000000002"/>
    <n v="94.4"/>
    <s v="ROADSTER FINANCE DAC"/>
    <s v="EUR"/>
    <n v="1.625"/>
    <s v="FIXED"/>
    <s v="1st lien"/>
    <s v="09/12/2029"/>
    <n v="1.1991786447638604"/>
    <n v="1.1022410847057671"/>
    <n v="6.6500784882420172"/>
    <n v="93.867999999999995"/>
    <n v="7.1952075958251953"/>
    <n v="94.43549999999999"/>
    <n v="6.6500784882420172"/>
    <n v="6.0765037536621094"/>
    <n v="95.003"/>
    <s v="#N/A N/A"/>
    <s v="Baa3"/>
    <s v="BBB-"/>
    <s v="Consumer, Cyclical"/>
    <s v="IRELAND"/>
    <n v="300000000"/>
    <n v="100000"/>
    <n v="7"/>
    <x v="7"/>
  </r>
  <r>
    <s v="XS1744744191"/>
    <s v="XS1744744191"/>
    <n v="6232"/>
    <n v="128"/>
    <n v="200000"/>
    <n v="0.15766261000000001"/>
    <n v="209252"/>
    <n v="200000"/>
    <n v="0.15766261000000001"/>
    <n v="209252"/>
    <n v="104.626"/>
    <n v="96.578000000000003"/>
    <n v="93.194000000000003"/>
    <s v="MACEDO 2 3/4 01/18/25"/>
    <n v="96.289000000000001"/>
    <n v="96.313000000000002"/>
    <s v="NORTH MACEDONIA"/>
    <s v="EUR"/>
    <n v="2.75"/>
    <s v="FIXED"/>
    <s v="Sr Unsecured"/>
    <s v="18/01/2025"/>
    <n v="1.3086926762491444"/>
    <n v="1.2027147713303026"/>
    <n v="5.7912494886022818"/>
    <n v="95.903000000000006"/>
    <n v="6.1192398071289063"/>
    <n v="96.289000000000001"/>
    <n v="5.7912494886022818"/>
    <n v="5.4640026092529297"/>
    <n v="96.674999999999997"/>
    <s v="BB-"/>
    <s v="#N/A N/A"/>
    <s v="BB+"/>
    <s v="Government"/>
    <s v="NORTH MACEDONIA"/>
    <n v="500000000"/>
    <n v="100000"/>
    <n v="2"/>
    <x v="7"/>
  </r>
  <r>
    <s v="XS1782625641"/>
    <s v="XS1782625641"/>
    <n v="7145"/>
    <n v="128"/>
    <n v="85881.14"/>
    <n v="7.7363749999999995E-2"/>
    <n v="106099"/>
    <n v="85881.14"/>
    <n v="7.7363749999999995E-2"/>
    <n v="106099"/>
    <n v="123.54167632148339"/>
    <n v="99.071449999999999"/>
    <n v="97.224739999999997"/>
    <s v="BACRED 3 1/2 03/29/24"/>
    <n v="98.879000000000005"/>
    <n v="98.879000000000005"/>
    <s v="MEDIOBANCA INTL LUX SA"/>
    <s v="USD"/>
    <n v="4.45"/>
    <s v="STEP CPN"/>
    <s v="Sr Preferred"/>
    <s v="29/03/2024"/>
    <n v="0.50102669404517453"/>
    <n v="0.47490054606822818"/>
    <n v="6.6642307101450333"/>
    <n v="98.608999999999995"/>
    <n v="7.2313928604125977"/>
    <n v="98.879500000000007"/>
    <n v="6.6642307101450333"/>
    <n v="6.1018943786621094"/>
    <n v="99.15"/>
    <s v="BBB"/>
    <s v="#N/A N/A"/>
    <s v="BBB"/>
    <s v="Financial"/>
    <s v="LUXEMBOURG"/>
    <n v="424624000"/>
    <n v="2000"/>
    <n v="1"/>
    <x v="7"/>
  </r>
  <r>
    <s v="XS1795406575"/>
    <s v="XS1795406575"/>
    <n v="9358"/>
    <n v="128"/>
    <n v="100000"/>
    <n v="8.1929940000000007E-2"/>
    <n v="101674"/>
    <n v="100000"/>
    <n v="8.1929940000000007E-2"/>
    <n v="101674"/>
    <n v="101.67400000000001"/>
    <n v="99.634"/>
    <n v="97.236000000000004"/>
    <s v="TELEFO 3 PERP"/>
    <n v="99.599000000000004"/>
    <n v="99.582999999999998"/>
    <s v="TELEFONICA EUROPE BV"/>
    <s v="EUR"/>
    <n v="3"/>
    <s v="VARIABLE"/>
    <s v="Jr Subordinated"/>
    <s v="30/10/2023"/>
    <n v="8.761122518822724E-2"/>
    <n v="0.17159928405550823"/>
    <n v="5.2147255291489367"/>
    <n v="99.278999999999996"/>
    <s v="#N/A N/A"/>
    <n v="99.59899999999999"/>
    <n v="5.2147255291489367"/>
    <s v="#N/A N/A"/>
    <n v="99.918999999999997"/>
    <s v="BB"/>
    <s v="Ba2"/>
    <s v="BB+"/>
    <s v="Communications"/>
    <s v="NETHERLANDS"/>
    <n v="1250000000"/>
    <n v="100000"/>
    <n v="1"/>
    <x v="18"/>
  </r>
  <r>
    <s v="XS1814065345"/>
    <s v="XS1814065345"/>
    <n v="6337"/>
    <n v="128"/>
    <n v="500000"/>
    <n v="0.39298850000000002"/>
    <n v="500611.66"/>
    <n v="500000"/>
    <n v="0.39298850000000002"/>
    <n v="500611.66"/>
    <n v="100.122332"/>
    <n v="97.403999999999996"/>
    <n v="94.509"/>
    <s v="GESTSM 3 1/4 04/30/26"/>
    <n v="96.576999999999998"/>
    <n v="96.608000000000004"/>
    <s v="GESTAMP AUTOMOCION SA"/>
    <s v="EUR"/>
    <n v="3.25"/>
    <s v="FIXED"/>
    <s v="3rd lien"/>
    <s v="30/04/2026"/>
    <n v="2.5872689938398357"/>
    <n v="2.3521879741681566"/>
    <n v="4.6741089319872877"/>
    <n v="96.042000000000002"/>
    <n v="4.8995780944824219"/>
    <n v="96.57650000000001"/>
    <n v="4.6741089319872877"/>
    <n v="4.4534406661987305"/>
    <n v="97.111000000000004"/>
    <s v="BB+"/>
    <s v="Ba3"/>
    <s v="#N/A N/A"/>
    <s v="Consumer, Cyclical"/>
    <s v="SPAIN"/>
    <n v="400000000"/>
    <n v="100000"/>
    <n v="3"/>
    <x v="0"/>
  </r>
  <r>
    <s v="XS1839682116"/>
    <s v="XS1839682116"/>
    <n v="7060"/>
    <n v="128"/>
    <n v="900000"/>
    <n v="0.70255155999999996"/>
    <n v="935963"/>
    <n v="900000"/>
    <n v="0.70255155999999996"/>
    <n v="935963"/>
    <n v="103.99588888888889"/>
    <n v="96.602999999999994"/>
    <n v="91.542000000000002"/>
    <s v="BULENR 3 1/2 06/28/25"/>
    <n v="96.361999999999995"/>
    <n v="96.381"/>
    <s v="BULGARIAN ENERGY HLD"/>
    <s v="EUR"/>
    <n v="3.5"/>
    <s v="FIXED"/>
    <s v="Sr Unsecured"/>
    <s v="28/06/2025"/>
    <n v="1.7494866529774127"/>
    <n v="1.6158829404938526"/>
    <n v="5.7477143007805358"/>
    <n v="95.828999999999994"/>
    <n v="6.0916910171508789"/>
    <n v="96.361999999999995"/>
    <n v="5.7477143007805358"/>
    <n v="5.4211063385009766"/>
    <n v="96.894999999999996"/>
    <s v="#N/A N/A"/>
    <s v="Ba2"/>
    <s v="BB+"/>
    <s v="Utilities"/>
    <s v="BULGARIA"/>
    <n v="600000000"/>
    <n v="100000"/>
    <n v="2"/>
    <x v="6"/>
  </r>
  <r>
    <s v="XS1844094885"/>
    <s v="XS1844094885"/>
    <n v="7394"/>
    <n v="128"/>
    <n v="84666.84"/>
    <n v="7.6461219999999996E-2"/>
    <n v="110136"/>
    <n v="84666.84"/>
    <n v="7.6461219999999996E-2"/>
    <n v="110136"/>
    <n v="130.08162345494412"/>
    <n v="99.944000000000003"/>
    <n v="98.549000000000007"/>
    <s v="BACRED 5.55 07/13/24"/>
    <n v="98.894999999999996"/>
    <n v="98.894999999999996"/>
    <s v="MEDIOBANCA DI CRED FIN"/>
    <s v="USD"/>
    <n v="5.5500000000000016"/>
    <s v="STEP CPN"/>
    <s v="Sr Preferred"/>
    <s v="13/07/2024"/>
    <n v="0.79123887748117727"/>
    <n v="0.73950901425645976"/>
    <n v="6.9597957823723799"/>
    <n v="98.78"/>
    <n v="7.1165409088134766"/>
    <n v="98.895499999999998"/>
    <n v="6.9597957823723799"/>
    <n v="6.804234504699707"/>
    <n v="99.010999999999996"/>
    <s v="BBB"/>
    <s v="#N/A N/A"/>
    <s v="BBB"/>
    <s v="Financial"/>
    <s v="ITALY"/>
    <n v="250262000"/>
    <n v="2000"/>
    <n v="1"/>
    <x v="7"/>
  </r>
  <r>
    <s v="XS1877860533"/>
    <s v="XS1877860533"/>
    <n v="8277"/>
    <n v="128"/>
    <n v="600000"/>
    <n v="0.44769700000000001"/>
    <n v="606397.5"/>
    <n v="600000"/>
    <n v="0.44769700000000001"/>
    <n v="606397.5"/>
    <n v="101.06625"/>
    <n v="96.284999999999997"/>
    <n v="84.629000000000005"/>
    <s v="RABOBK 4 5/8 PERP"/>
    <n v="91.728999999999999"/>
    <n v="91.796999999999997"/>
    <s v="COOPERATIEVE RABOBANK UA"/>
    <s v="EUR"/>
    <n v="4.625"/>
    <s v="VARIABLE"/>
    <s v="Jr Subordinated"/>
    <s v="29/12/2025"/>
    <n v="2.2532511978097194"/>
    <n v="1.9519718162177575"/>
    <n v="8.7651368997729655"/>
    <n v="91.447999999999993"/>
    <n v="8.9634838104248047"/>
    <n v="91.728499999999997"/>
    <n v="8.7651368997729655"/>
    <n v="8.6501674652099609"/>
    <n v="92.009"/>
    <s v="#N/A N/A"/>
    <s v="Baa3"/>
    <s v="BBB"/>
    <s v="Financial"/>
    <s v="NETHERLANDS"/>
    <n v="1000000000"/>
    <n v="200000"/>
    <n v="3"/>
    <x v="6"/>
  </r>
  <r>
    <s v="XS1892141620"/>
    <s v="XS1892141620"/>
    <n v="7048"/>
    <n v="128"/>
    <n v="300000"/>
    <n v="0.21558343999999999"/>
    <n v="333246"/>
    <n v="300000"/>
    <n v="0.21558343999999999"/>
    <n v="333246"/>
    <n v="111.08199999999999"/>
    <n v="88.406999999999996"/>
    <n v="82.954999999999998"/>
    <s v="ROMANI 2 7/8 03/11/29"/>
    <n v="87.820999999999998"/>
    <n v="87.948999999999998"/>
    <s v="ROMANIA"/>
    <s v="EUR"/>
    <n v="2.875"/>
    <s v="FIXED"/>
    <s v="Sr Unsecured"/>
    <s v="11/03/2029"/>
    <n v="5.4510609171800137"/>
    <n v="4.7427299332704083"/>
    <n v="5.5236975081340152"/>
    <n v="87.533000000000001"/>
    <n v="5.5969438552856445"/>
    <n v="87.820999999999998"/>
    <n v="5.5236975081340152"/>
    <n v="5.4602899551391602"/>
    <n v="88.108999999999995"/>
    <s v="BBB-"/>
    <s v="Baa3"/>
    <s v="BBB-"/>
    <s v="Government"/>
    <s v="ROMANIA"/>
    <n v="1150000000"/>
    <n v="1000"/>
    <n v="6"/>
    <x v="8"/>
  </r>
  <r>
    <s v="XS1892247963"/>
    <s v="XS1892247963"/>
    <n v="6648"/>
    <n v="128"/>
    <n v="529801.24"/>
    <n v="0.46914176000000002"/>
    <n v="618444"/>
    <n v="529801.24"/>
    <n v="0.46914176000000002"/>
    <n v="618444"/>
    <n v="116.73132361864612"/>
    <n v="99.912719999999993"/>
    <n v="98.96114"/>
    <s v="AFREXI 5 1/4 10/11/23"/>
    <n v="99.935000000000002"/>
    <n v="99.912999999999997"/>
    <s v="AFRICAN EXPORT-IMPORT BA"/>
    <s v="USD"/>
    <n v="5.25"/>
    <s v="FIXED"/>
    <s v="Sr Unsecured"/>
    <s v="11/10/2023"/>
    <n v="3.5592060232717319E-2"/>
    <n v="2.4952679657451547E-2"/>
    <n v="7.6443008222746229"/>
    <n v="99.933999999999997"/>
    <n v="7.7173891067504883"/>
    <n v="99.93549999999999"/>
    <n v="7.6443008222746229"/>
    <n v="7.6004114151000977"/>
    <n v="99.936999999999998"/>
    <s v="#N/A N/A"/>
    <s v="Baa1"/>
    <s v="BBB"/>
    <s v="Government"/>
    <s v="SNAT"/>
    <n v="500000000"/>
    <n v="200000"/>
    <n v="1"/>
    <x v="16"/>
  </r>
  <r>
    <s v="XS1928480166"/>
    <s v="XS1928480166"/>
    <n v="7285"/>
    <n v="128"/>
    <n v="315000"/>
    <n v="0.25509374000000001"/>
    <n v="326579.40000000002"/>
    <n v="315000"/>
    <n v="0.25509374000000001"/>
    <n v="326579.40000000002"/>
    <n v="103.67600000000002"/>
    <n v="99.402000000000001"/>
    <n v="98.135000000000005"/>
    <s v="BACRED 2 1/4 01/25/24"/>
    <n v="99.394999999999996"/>
    <n v="99.402000000000001"/>
    <s v="MEDIOBANCA DI CRED FIN"/>
    <s v="EUR"/>
    <n v="2.25"/>
    <s v="STEP CPN"/>
    <s v="Sr Preferred"/>
    <s v="25/01/2024"/>
    <n v="0.32580424366872007"/>
    <n v="0.31118628230894352"/>
    <n v="4.1331349074865456"/>
    <n v="99.34"/>
    <n v="4.3064069747924805"/>
    <n v="99.394499999999994"/>
    <n v="4.1331349074865456"/>
    <n v="3.9626483917236328"/>
    <n v="99.448999999999998"/>
    <s v="BBB"/>
    <s v="#N/A N/A"/>
    <s v="BBB"/>
    <s v="Financial"/>
    <s v="ITALY"/>
    <n v="657382000"/>
    <n v="1000"/>
    <n v="1"/>
    <x v="17"/>
  </r>
  <r>
    <s v="XS1933828433"/>
    <s v="XS1933828433"/>
    <n v="8958"/>
    <n v="128"/>
    <n v="100000"/>
    <n v="8.0727199999999999E-2"/>
    <n v="109131"/>
    <n v="100000"/>
    <n v="8.0727199999999999E-2"/>
    <n v="109131"/>
    <n v="109.131"/>
    <n v="98.721999999999994"/>
    <n v="95.724000000000004"/>
    <s v="TELEFO 4 3/8 PERP"/>
    <n v="98.212999999999994"/>
    <n v="98.210999999999999"/>
    <s v="TELEFONICA EUROPE BV"/>
    <s v="EUR"/>
    <n v="4.375"/>
    <s v="VARIABLE"/>
    <s v="Jr Subordinated"/>
    <s v="14/12/2024"/>
    <n v="1.2128678986995209"/>
    <n v="1.3334585690849203"/>
    <n v="5.6733891426837513"/>
    <n v="97.876000000000005"/>
    <s v="#N/A N/A"/>
    <n v="98.212500000000006"/>
    <n v="5.6733891426837513"/>
    <s v="#N/A N/A"/>
    <n v="98.549000000000007"/>
    <s v="BB"/>
    <s v="Ba2"/>
    <s v="BB+"/>
    <s v="Communications"/>
    <s v="NETHERLANDS"/>
    <n v="1300000000"/>
    <n v="100000"/>
    <n v="2"/>
    <x v="7"/>
  </r>
  <r>
    <s v="XS2001315766"/>
    <s v="XS2001315766"/>
    <n v="7213"/>
    <n v="128"/>
    <n v="900000"/>
    <n v="0.65565870000000004"/>
    <n v="905552"/>
    <n v="900000"/>
    <n v="0.65565870000000004"/>
    <n v="905552"/>
    <n v="100.61688888888889"/>
    <n v="92.009"/>
    <n v="87.99"/>
    <s v="EEFT 1 3/8 05/22/26"/>
    <n v="90.268000000000001"/>
    <n v="90.668999999999997"/>
    <s v="EURONET WORLDWIDE INC"/>
    <s v="EUR"/>
    <n v="1.375"/>
    <s v="FIXED"/>
    <s v="Sr Unsecured"/>
    <s v="22/05/2026"/>
    <n v="2.647501711156742"/>
    <n v="2.4634865819408645"/>
    <n v="5.4324597519909403"/>
    <n v="89.924000000000007"/>
    <n v="5.592620849609375"/>
    <n v="90.268000000000001"/>
    <n v="5.4324597519909403"/>
    <n v="5.2847528457641602"/>
    <n v="90.611999999999995"/>
    <s v="BBB"/>
    <s v="Ba2u"/>
    <s v="BBB"/>
    <s v="Consumer, Non-cyclical"/>
    <s v="UNITED STATES"/>
    <n v="600000000"/>
    <n v="100000"/>
    <n v="3"/>
    <x v="0"/>
  </r>
  <r>
    <s v="XS2009152591"/>
    <s v="XS2009152591"/>
    <n v="9505"/>
    <n v="128"/>
    <n v="100000"/>
    <n v="7.6020879999999999E-2"/>
    <n v="100879.5"/>
    <n v="100000"/>
    <n v="7.6020879999999999E-2"/>
    <n v="100879.5"/>
    <n v="100.87949999999999"/>
    <n v="94.605999999999995"/>
    <n v="91.198999999999998"/>
    <s v="EZJLN 0 7/8 06/11/25"/>
    <n v="94.495000000000005"/>
    <n v="94.481999999999999"/>
    <s v="EASYJET PLC"/>
    <s v="EUR"/>
    <n v="0.875"/>
    <s v="FIXED"/>
    <s v="Sr Unsecured"/>
    <s v="11/06/2025"/>
    <n v="1.7029431895961671"/>
    <n v="1.6144816068691787"/>
    <n v="4.3175412383653287"/>
    <n v="94.316000000000003"/>
    <n v="4.4412155151367188"/>
    <n v="94.495000000000005"/>
    <n v="4.3175412383653287"/>
    <n v="4.2065343856811523"/>
    <n v="94.674000000000007"/>
    <s v="BBB"/>
    <s v="Baa3"/>
    <s v="#N/A N/A"/>
    <s v="Consumer, Cyclical"/>
    <s v="BRITAIN"/>
    <n v="500000000"/>
    <n v="100000"/>
    <n v="2"/>
    <x v="6"/>
  </r>
  <r>
    <s v="XS2015314037"/>
    <s v="XS2015314037"/>
    <n v="7033"/>
    <n v="128"/>
    <n v="500000"/>
    <n v="0.39948610000000001"/>
    <n v="531847.5"/>
    <n v="500000"/>
    <n v="0.39948610000000001"/>
    <n v="531847.5"/>
    <n v="106.3695"/>
    <n v="99.046999999999997"/>
    <n v="98.231999999999999"/>
    <s v="ISPIM 2 5/8 06/20/24"/>
    <n v="98.82"/>
    <n v="98.820999999999998"/>
    <s v="INTESA SANPAOLO SPA"/>
    <s v="EUR"/>
    <n v="2.625"/>
    <s v="FIXED"/>
    <s v="Sr Non Preferred"/>
    <s v="20/06/2024"/>
    <n v="0.72826830937713893"/>
    <n v="0.69499694110293109"/>
    <n v="4.2927516481371244"/>
    <n v="98.748999999999995"/>
    <n v="4.3875551223754883"/>
    <n v="98.819500000000005"/>
    <n v="4.2927516481371244"/>
    <n v="4.1910486221313477"/>
    <n v="98.89"/>
    <s v="BBB-"/>
    <s v="Baa3"/>
    <s v="BBB-"/>
    <s v="Financial"/>
    <s v="ITALY"/>
    <n v="500000000"/>
    <n v="250000"/>
    <n v="1"/>
    <x v="7"/>
  </r>
  <r>
    <s v="XS2018637913"/>
    <s v="XS2018637913"/>
    <n v="10458"/>
    <n v="128"/>
    <n v="1000000"/>
    <n v="0.78152787999999995"/>
    <n v="959170"/>
    <n v="1000000"/>
    <n v="0.78152787999999995"/>
    <n v="959170"/>
    <n v="95.917000000000002"/>
    <n v="97.28"/>
    <n v="95.337999999999994"/>
    <s v="SANSCF 0 3/8 06/27/24"/>
    <n v="97.3"/>
    <n v="97.28"/>
    <s v="SANTAN CONSUMER FINANCE"/>
    <s v="EUR"/>
    <n v="0.375"/>
    <s v="FIXED"/>
    <s v="Sr Preferred"/>
    <s v="27/06/2024"/>
    <n v="0.74743326488706363"/>
    <n v="0.71368966824439695"/>
    <n v="4.1567058536704113"/>
    <n v="97.230999999999995"/>
    <n v="4.2533302307128906"/>
    <n v="97.3"/>
    <n v="4.1567058536704113"/>
    <n v="4.0562858581542969"/>
    <n v="97.369"/>
    <s v="A"/>
    <s v="A2"/>
    <s v="A"/>
    <s v="Financial"/>
    <s v="SPAIN"/>
    <n v="1000000000"/>
    <n v="100000"/>
    <n v="1"/>
    <x v="7"/>
  </r>
  <r>
    <s v="XS2020581752"/>
    <s v="XS2020581752"/>
    <n v="9302"/>
    <n v="128"/>
    <n v="200000"/>
    <n v="0.13862015999999999"/>
    <n v="182042"/>
    <n v="200000"/>
    <n v="0.13862015999999999"/>
    <n v="182042"/>
    <n v="91.021000000000001"/>
    <n v="87.631"/>
    <n v="78.747"/>
    <s v="IAGLN 1 1/2 07/04/27"/>
    <n v="85.968000000000004"/>
    <n v="85.963999999999999"/>
    <s v="INTL CONSOLIDATED AIRLIN"/>
    <s v="EUR"/>
    <n v="1.5"/>
    <s v="FIXED"/>
    <s v="Sr Unsecured"/>
    <s v="04/07/2027"/>
    <n v="3.7645448323066395"/>
    <n v="3.4636994639843852"/>
    <n v="5.760544278666325"/>
    <n v="85.52"/>
    <n v="5.9147806167602539"/>
    <n v="85.967500000000001"/>
    <n v="5.760544278666325"/>
    <n v="5.6182622909545898"/>
    <n v="86.415000000000006"/>
    <s v="BB+"/>
    <s v="B1"/>
    <s v="#N/A N/A"/>
    <s v="Consumer, Cyclical"/>
    <s v="SPAIN"/>
    <n v="500000000"/>
    <n v="100000"/>
    <n v="4"/>
    <x v="1"/>
  </r>
  <r>
    <s v="XS2027957815"/>
    <s v="XS2027957815"/>
    <n v="7086"/>
    <n v="128"/>
    <n v="100000"/>
    <n v="7.6055739999999997E-2"/>
    <n v="99596"/>
    <n v="100000"/>
    <n v="7.6055739999999997E-2"/>
    <n v="99596"/>
    <n v="99.596000000000004"/>
    <n v="94.864000000000004"/>
    <n v="93.117999999999995"/>
    <s v="BACRED 1 1/8 07/15/25"/>
    <n v="94.573999999999998"/>
    <n v="94.558000000000007"/>
    <s v="MEDIOBANCA DI CRED FIN"/>
    <s v="EUR"/>
    <n v="1.125"/>
    <s v="FIXED"/>
    <s v="Sr Preferred"/>
    <s v="15/07/2025"/>
    <n v="1.7960301163586585"/>
    <n v="1.7001499735912426"/>
    <n v="4.3492714803513115"/>
    <n v="94.44"/>
    <n v="4.4406528472900391"/>
    <n v="94.573499999999996"/>
    <n v="4.3492714803513115"/>
    <n v="4.2732133865356445"/>
    <n v="94.706999999999994"/>
    <s v="BBB"/>
    <s v="Baa1"/>
    <s v="BBB"/>
    <s v="Financial"/>
    <s v="ITALY"/>
    <n v="500000000"/>
    <n v="100000"/>
    <n v="2"/>
    <x v="6"/>
  </r>
  <r>
    <s v="XS2049419398"/>
    <s v="XS2049419398"/>
    <n v="7137"/>
    <n v="128"/>
    <n v="800000"/>
    <n v="0.59244779000000003"/>
    <n v="798225.7"/>
    <n v="800000"/>
    <n v="0.59244779000000003"/>
    <n v="798225.7"/>
    <n v="99.778212499999995"/>
    <n v="92.736000000000004"/>
    <n v="88.831000000000003"/>
    <s v="TVOYFH 1 1/8 03/09/26"/>
    <n v="91.745999999999995"/>
    <n v="91.7"/>
    <s v="TEOLLISUUDEN VOIMA OYJ"/>
    <s v="EUR"/>
    <n v="1.125"/>
    <s v="FIXED"/>
    <s v="Sr Unsecured"/>
    <s v="09/03/2026"/>
    <n v="2.4449007529089664"/>
    <n v="2.2912180296665632"/>
    <n v="4.7949486499602001"/>
    <n v="91.573999999999998"/>
    <n v="4.8810596466064453"/>
    <n v="91.746000000000009"/>
    <n v="4.7949486499602001"/>
    <n v="4.7183408737182617"/>
    <n v="91.918000000000006"/>
    <s v="BBB-"/>
    <s v="Baa3"/>
    <s v="BBB-"/>
    <s v="Utilities"/>
    <s v="FINLAND"/>
    <n v="650000000"/>
    <n v="100000"/>
    <n v="3"/>
    <x v="6"/>
  </r>
  <r>
    <s v="XS2053566068"/>
    <s v="XS2053566068"/>
    <n v="7165"/>
    <n v="128"/>
    <n v="271985.49"/>
    <n v="0.18927461000000001"/>
    <n v="302430"/>
    <n v="271985.49"/>
    <n v="0.18927461000000001"/>
    <n v="302430"/>
    <n v="111.19343167902082"/>
    <n v="89.468999999999994"/>
    <n v="82.216999999999999"/>
    <s v="AFREXI 3.994 09/21/29"/>
    <n v="82.119"/>
    <n v="82.216999999999999"/>
    <s v="AFRICAN EXPORT-IMPORT BA"/>
    <s v="USD"/>
    <n v="3.9940000000000002"/>
    <s v="FIXED"/>
    <s v="Sr Unsecured"/>
    <s v="21/09/2029"/>
    <n v="5.9822039698836411"/>
    <n v="5.0922462061018221"/>
    <n v="7.7970398168693134"/>
    <n v="81.638000000000005"/>
    <n v="7.9345932006835938"/>
    <n v="82.118500000000012"/>
    <n v="7.7970398168693134"/>
    <n v="7.7038373947143555"/>
    <n v="82.599000000000004"/>
    <s v="#N/A N/A"/>
    <s v="Baa1"/>
    <s v="BBB"/>
    <s v="Government"/>
    <s v="SNAT"/>
    <n v="750000000"/>
    <n v="200000"/>
    <n v="6"/>
    <x v="15"/>
  </r>
  <r>
    <s v="XS2055089457"/>
    <s v="XS2055089457"/>
    <n v="7315"/>
    <n v="128"/>
    <n v="200000"/>
    <n v="0.15413694999999999"/>
    <n v="202828"/>
    <n v="200000"/>
    <n v="0.15413694999999999"/>
    <n v="202828"/>
    <n v="101.414"/>
    <n v="96.200999999999993"/>
    <n v="90.643000000000001"/>
    <s v="UCGIM 2 09/23/29"/>
    <n v="95.86"/>
    <n v="95.962999999999994"/>
    <s v="UNICREDIT SPA"/>
    <s v="EUR"/>
    <n v="2"/>
    <s v="VARIABLE"/>
    <s v="Subordinated"/>
    <s v="23/09/2024"/>
    <n v="0.9883641341546886"/>
    <n v="0.92014790710130223"/>
    <n v="6.5112796168112332"/>
    <n v="95.546999999999997"/>
    <n v="6.8692026138305664"/>
    <n v="95.859499999999997"/>
    <n v="6.5112796168112332"/>
    <n v="6.1593208312988281"/>
    <n v="96.171999999999997"/>
    <s v="BB+"/>
    <s v="Baa3"/>
    <s v="BB+"/>
    <s v="Financial"/>
    <s v="ITALY"/>
    <n v="1250000000"/>
    <n v="200000"/>
    <n v="1"/>
    <x v="7"/>
  </r>
  <r>
    <s v="XS2055106210"/>
    <s v="XS2055106210"/>
    <n v="9885"/>
    <n v="128"/>
    <n v="100000"/>
    <n v="3.7607719999999997E-2"/>
    <n v="98270"/>
    <n v="100000"/>
    <n v="3.7607719999999997E-2"/>
    <n v="98270"/>
    <n v="98.27"/>
    <n v="57.826000000000001"/>
    <n v="40.848999999999997"/>
    <s v="ARNDTN 3 3/8 PERP"/>
    <n v="44.360999999999997"/>
    <n v="44.186"/>
    <s v="AROUNDTOWN SA"/>
    <s v="EUR"/>
    <n v="3.375"/>
    <s v="VARIABLE"/>
    <s v="Jr Subordinated"/>
    <s v="23/09/2024"/>
    <n v="0.9883641341546886"/>
    <n v="0.40348999638416905"/>
    <n v="136.84271146284746"/>
    <n v="43.267000000000003"/>
    <n v="142.91157531738281"/>
    <n v="44.361000000000004"/>
    <n v="136.84271146284746"/>
    <n v="131.06204223632813"/>
    <n v="45.454999999999998"/>
    <s v="BBB-"/>
    <s v="Ba1u"/>
    <s v="#N/A N/A"/>
    <s v="Financial"/>
    <s v="LUXEMBOURG"/>
    <n v="600000000"/>
    <n v="100000"/>
    <n v="1"/>
    <x v="7"/>
  </r>
  <r>
    <s v="XS2055190172"/>
    <s v="XS2055190172"/>
    <n v="8451"/>
    <n v="128"/>
    <n v="600000"/>
    <n v="0.45891864999999998"/>
    <n v="602960"/>
    <n v="600000"/>
    <n v="0.45891864999999998"/>
    <n v="602960"/>
    <n v="100.49333333333334"/>
    <n v="94.957999999999998"/>
    <n v="91.600999999999999"/>
    <s v="SABSM 1 1/8 03/27/25"/>
    <n v="94.744"/>
    <n v="94.721999999999994"/>
    <s v="BANCO DE SABADELL SA"/>
    <s v="EUR"/>
    <n v="1.125"/>
    <s v="FIXED"/>
    <s v="Sr Non Preferred"/>
    <s v="27/03/2025"/>
    <n v="1.4948665297741273"/>
    <n v="1.405313780999639"/>
    <n v="4.8787477817049485"/>
    <n v="94.572999999999993"/>
    <n v="5.0074043273925781"/>
    <n v="94.743499999999997"/>
    <n v="4.8787477817049485"/>
    <n v="4.7533712387084961"/>
    <n v="94.914000000000001"/>
    <s v="BB+"/>
    <s v="Ba2u"/>
    <s v="BBB-"/>
    <s v="Financial"/>
    <s v="SPAIN"/>
    <n v="500000000"/>
    <n v="100000"/>
    <n v="2"/>
    <x v="7"/>
  </r>
  <r>
    <s v="XS2055758804"/>
    <s v="XS2055758804"/>
    <n v="8366"/>
    <n v="128"/>
    <n v="700000"/>
    <n v="0.54605583000000002"/>
    <n v="696026"/>
    <n v="700000"/>
    <n v="0.54605583000000002"/>
    <n v="696026"/>
    <n v="99.432285714285712"/>
    <n v="96.584999999999994"/>
    <n v="94.712000000000003"/>
    <s v="CABKSM 0 5/8 10/01/24"/>
    <n v="96.602000000000004"/>
    <n v="96.584999999999994"/>
    <s v="CAIXABANK SA"/>
    <s v="EUR"/>
    <n v="0.625"/>
    <s v="FIXED"/>
    <s v="Sr Non Preferred"/>
    <s v="01/10/2024"/>
    <n v="1.0102669404517455"/>
    <n v="0.95810755500295719"/>
    <n v="4.1735327241376821"/>
    <n v="96.533000000000001"/>
    <n v="4.2555179595947266"/>
    <n v="96.602499999999992"/>
    <n v="4.1735327241376821"/>
    <n v="4.1024494171142578"/>
    <n v="96.671999999999997"/>
    <s v="BBB"/>
    <s v="Baa3"/>
    <s v="BBB+"/>
    <s v="Financial"/>
    <s v="SPAIN"/>
    <n v="1000000000"/>
    <n v="100000"/>
    <n v="2"/>
    <x v="7"/>
  </r>
  <r>
    <s v="XS2063535970"/>
    <s v="XS2063535970"/>
    <n v="7183"/>
    <n v="128"/>
    <n v="600000"/>
    <n v="0.43606012999999999"/>
    <n v="593988"/>
    <n v="600000"/>
    <n v="0.43606012999999999"/>
    <n v="593988"/>
    <n v="98.998000000000005"/>
    <n v="88.786000000000001"/>
    <n v="84.341999999999999"/>
    <s v="NEPSJ 1 7/8 10/09/26"/>
    <n v="88.760999999999996"/>
    <n v="88.739000000000004"/>
    <s v="NE PROPERTY BV"/>
    <s v="EUR"/>
    <n v="1.875"/>
    <s v="FIXED"/>
    <s v="Sr Unsecured"/>
    <s v="09/10/2026"/>
    <n v="3.030800821355236"/>
    <n v="2.7382517059567864"/>
    <n v="6.0594053368131204"/>
    <n v="88.397999999999996"/>
    <n v="6.2119817733764648"/>
    <n v="88.760999999999996"/>
    <n v="6.0594053368131204"/>
    <n v="5.9193611145019531"/>
    <n v="89.123999999999995"/>
    <s v="BBB"/>
    <s v="#N/A N/A"/>
    <s v="BBB+"/>
    <s v="Financial"/>
    <s v="NETHERLANDS"/>
    <n v="500000000"/>
    <n v="100000"/>
    <n v="4"/>
    <x v="0"/>
  </r>
  <r>
    <s v="XS2067213913"/>
    <s v="XS2067213913"/>
    <n v="8456"/>
    <n v="128"/>
    <n v="250000"/>
    <n v="0.19384815999999999"/>
    <n v="260012.5"/>
    <n v="250000"/>
    <n v="0.19384815999999999"/>
    <n v="260012.5"/>
    <n v="104.005"/>
    <n v="96.183000000000007"/>
    <n v="94.406999999999996"/>
    <s v="ISPIM 1 5/8 04/21/25"/>
    <n v="95.945999999999998"/>
    <n v="95.923000000000002"/>
    <s v="INTESA SANPAOLO SPA"/>
    <s v="EUR"/>
    <n v="1.625"/>
    <s v="FIXED"/>
    <s v="Sr Non Preferred"/>
    <s v="21/04/2025"/>
    <n v="1.5633127994524298"/>
    <n v="1.472274793733527"/>
    <n v="4.3775509375369177"/>
    <n v="95.828999999999994"/>
    <n v="4.4677534103393555"/>
    <n v="95.946499999999986"/>
    <n v="4.3775509375369177"/>
    <n v="4.3008584976196289"/>
    <n v="96.063999999999993"/>
    <s v="BBB-"/>
    <s v="Baa3"/>
    <s v="BBB-"/>
    <s v="Financial"/>
    <s v="ITALY"/>
    <n v="500000000"/>
    <n v="250000"/>
    <n v="2"/>
    <x v="6"/>
  </r>
  <r>
    <s v="XS2069960057"/>
    <s v="XS2069960057"/>
    <n v="8824"/>
    <n v="128"/>
    <n v="200000"/>
    <n v="0.15626361999999999"/>
    <n v="204248"/>
    <n v="200000"/>
    <n v="0.15626361999999999"/>
    <n v="204248"/>
    <n v="102.124"/>
    <n v="95.99"/>
    <n v="94.331000000000003"/>
    <s v="BNCMCC 1 1/2 10/24/24"/>
    <n v="95.989000000000004"/>
    <n v="95.99"/>
    <s v="MCC SPA"/>
    <s v="EUR"/>
    <n v="1.5"/>
    <s v="FIXED"/>
    <s v="Sr Preferred"/>
    <s v="24/10/2024"/>
    <n v="1.0732375085557837"/>
    <n v="0.99301308425833157"/>
    <n v="5.4954734669613465"/>
    <n v="95.733000000000004"/>
    <n v="5.7638740539550781"/>
    <n v="95.988500000000002"/>
    <n v="5.4954734669613465"/>
    <n v="5.2345294952392578"/>
    <n v="96.244"/>
    <s v="BBB-"/>
    <s v="Ba3"/>
    <s v="#N/A N/A"/>
    <s v="Financial"/>
    <s v="ITALY"/>
    <n v="300000000"/>
    <n v="100000"/>
    <n v="2"/>
    <x v="7"/>
  </r>
  <r>
    <s v="XS2078976805"/>
    <s v="XS2078976805"/>
    <n v="8982"/>
    <n v="128"/>
    <n v="500000"/>
    <n v="0.39391009999999999"/>
    <n v="515135"/>
    <n v="500000"/>
    <n v="0.39391009999999999"/>
    <n v="515135"/>
    <n v="103.027"/>
    <n v="97.042000000000002"/>
    <n v="94.034000000000006"/>
    <s v="PPFTEL 2 1/8 01/31/25"/>
    <n v="96.772999999999996"/>
    <n v="96.790999999999997"/>
    <s v="PPF TELECOM GROUP BV"/>
    <s v="EUR"/>
    <n v="2.125"/>
    <s v="FIXED"/>
    <s v="Sr Unsecured"/>
    <s v="31/01/2025"/>
    <n v="1.3442847364818618"/>
    <n v="1.2562014349346076"/>
    <n v="4.6727798759111732"/>
    <n v="96.316999999999993"/>
    <n v="5.0449304580688477"/>
    <n v="96.772499999999994"/>
    <n v="4.6727798759111732"/>
    <n v="4.3008432388305664"/>
    <n v="97.227999999999994"/>
    <s v="BB+ *+"/>
    <s v="Ba1"/>
    <s v="BBB-"/>
    <s v="Communications"/>
    <s v="NETHERLANDS"/>
    <n v="600000000"/>
    <n v="100000"/>
    <n v="2"/>
    <x v="7"/>
  </r>
  <r>
    <s v="XS2081491727"/>
    <s v="XS2081491727"/>
    <n v="7282"/>
    <n v="128"/>
    <n v="1016000"/>
    <n v="0.81566738999999999"/>
    <n v="992398.28"/>
    <n v="1016000"/>
    <n v="0.81566738999999999"/>
    <n v="992398.28"/>
    <n v="97.676996062992131"/>
    <n v="99.373000000000005"/>
    <n v="97.212000000000003"/>
    <s v="FCCSER 0.815 12/04/23"/>
    <n v="99.397999999999996"/>
    <n v="99.372"/>
    <s v="SERVICIOS MEDIO AMBIENTE"/>
    <s v="EUR"/>
    <n v="0.81499999999999995"/>
    <s v="FIXED"/>
    <s v="Sr Unsecured"/>
    <s v="04/12/2023"/>
    <n v="0.1834360027378508"/>
    <n v="0.1714664855179403"/>
    <n v="4.2996678810090829"/>
    <n v="99.319000000000003"/>
    <n v="4.7208566665649414"/>
    <n v="99.397999999999996"/>
    <n v="4.2996678810090829"/>
    <n v="3.8344964981079102"/>
    <n v="99.477000000000004"/>
    <s v="#N/A N/A"/>
    <s v="#N/A N/A"/>
    <s v="BBB"/>
    <s v="Industrial"/>
    <s v="SPAIN"/>
    <n v="600000000"/>
    <n v="100000"/>
    <n v="1"/>
    <x v="11"/>
  </r>
  <r>
    <s v="XS2081500907"/>
    <s v="XS2081500907"/>
    <n v="7283"/>
    <n v="128"/>
    <n v="200000"/>
    <n v="0.14942523999999999"/>
    <n v="200188"/>
    <n v="200000"/>
    <n v="0.14942523999999999"/>
    <n v="200188"/>
    <n v="100.09399999999999"/>
    <n v="93.102000000000004"/>
    <n v="89.088999999999999"/>
    <s v="FCCSER 1.661 12/04/26"/>
    <n v="91.694999999999993"/>
    <n v="91.712999999999994"/>
    <s v="SERVICIOS MEDIO AMBIENTE"/>
    <s v="EUR"/>
    <n v="1.661"/>
    <s v="FIXED"/>
    <s v="Sr Unsecured"/>
    <s v="04/12/2026"/>
    <n v="3.184120465434634"/>
    <n v="2.9392794347577111"/>
    <n v="4.5281650706594156"/>
    <n v="91.435000000000002"/>
    <n v="4.6294898986816406"/>
    <n v="91.694999999999993"/>
    <n v="4.5281650706594156"/>
    <n v="4.4387884140014648"/>
    <n v="91.954999999999998"/>
    <s v="#N/A N/A"/>
    <s v="#N/A N/A"/>
    <s v="BBB"/>
    <s v="Industrial"/>
    <s v="SPAIN"/>
    <n v="500000000"/>
    <n v="100000"/>
    <n v="4"/>
    <x v="0"/>
  </r>
  <r>
    <s v="XS2082324018"/>
    <s v="XS2082324018"/>
    <n v="7239"/>
    <n v="128"/>
    <n v="400000"/>
    <n v="0.30867157000000001"/>
    <n v="398218"/>
    <n v="400000"/>
    <n v="0.30867157000000001"/>
    <n v="398218"/>
    <n v="99.554500000000004"/>
    <n v="96.113"/>
    <n v="93.168999999999997"/>
    <s v="MTNA 1 3/4 11/19/25"/>
    <n v="94.680999999999997"/>
    <n v="94.665000000000006"/>
    <s v="ARCELORMITTAL"/>
    <s v="EUR"/>
    <n v="1.75"/>
    <s v="FIXED"/>
    <s v="Sr Unsecured"/>
    <s v="19/11/2025"/>
    <n v="2.1437371663244353"/>
    <n v="1.9919354090547368"/>
    <n v="4.417496779930457"/>
    <n v="94.503"/>
    <n v="4.5150489807128906"/>
    <n v="94.680499999999995"/>
    <n v="4.417496779930457"/>
    <n v="4.3290653228759766"/>
    <n v="94.858000000000004"/>
    <s v="BBB-"/>
    <s v="Baa3"/>
    <s v="WD"/>
    <s v="Basic Materials"/>
    <s v="LUXEMBOURG"/>
    <n v="750000000"/>
    <n v="100000"/>
    <n v="3"/>
    <x v="6"/>
  </r>
  <r>
    <s v="XS2084425466"/>
    <s v="XS2084425466"/>
    <n v="7262"/>
    <n v="128"/>
    <n v="200000"/>
    <n v="0.15091451"/>
    <n v="199916.4"/>
    <n v="200000"/>
    <n v="0.15091451"/>
    <n v="199916.4"/>
    <n v="99.958200000000005"/>
    <n v="93.56"/>
    <n v="85.710999999999999"/>
    <s v="IGDIM 2 1/8 11/28/24"/>
    <n v="92.290999999999997"/>
    <n v="92.302000000000007"/>
    <s v="IMMOBILIARE GRANDE DIST"/>
    <s v="EUR"/>
    <n v="2.125"/>
    <s v="FIXED"/>
    <s v="Sr Unsecured"/>
    <s v="28/11/2024"/>
    <n v="1.1690622861054072"/>
    <n v="1.0420197578536941"/>
    <n v="9.462845069615323"/>
    <n v="91.668999999999997"/>
    <n v="10.103272438049316"/>
    <n v="92.290500000000009"/>
    <n v="9.462845069615323"/>
    <n v="8.8290567398071289"/>
    <n v="92.912000000000006"/>
    <s v="BB *-"/>
    <s v="#N/A N/A"/>
    <s v="BBB- *-"/>
    <s v="Financial"/>
    <s v="ITALY"/>
    <n v="400000000"/>
    <n v="100000"/>
    <n v="2"/>
    <x v="7"/>
  </r>
  <r>
    <s v="XS2089229806"/>
    <s v="XS2089229806"/>
    <n v="8294"/>
    <n v="128"/>
    <n v="300000"/>
    <n v="0.17204203000000001"/>
    <n v="285557.57"/>
    <n v="300000"/>
    <n v="0.17204203000000001"/>
    <n v="285557.57"/>
    <n v="95.185856666666666"/>
    <n v="75.668000000000006"/>
    <n v="66.751000000000005"/>
    <s v="MRLSM 1 7/8 12/04/34"/>
    <n v="69.777000000000001"/>
    <n v="69.927000000000007"/>
    <s v="MERLIN PROPERTIES SOCIMI"/>
    <s v="EUR"/>
    <n v="1.875"/>
    <s v="FIXED"/>
    <s v="Sr Unsecured"/>
    <s v="04/12/2034"/>
    <n v="11.184120465434633"/>
    <n v="9.2197802377701397"/>
    <n v="5.5824987897847587"/>
    <n v="69.384"/>
    <n v="5.6552228927612305"/>
    <n v="69.776499999999999"/>
    <n v="5.5824987897847587"/>
    <n v="5.5349330902099609"/>
    <n v="70.168999999999997"/>
    <s v="BBB"/>
    <s v="Baa2"/>
    <s v="#N/A N/A"/>
    <s v="Financial"/>
    <s v="SPAIN"/>
    <n v="600000000"/>
    <n v="100000"/>
    <n v="12"/>
    <x v="19"/>
  </r>
  <r>
    <s v="XS2093880735"/>
    <s v="XS2093880735"/>
    <n v="9616"/>
    <n v="128"/>
    <n v="300000"/>
    <n v="0.23074428999999999"/>
    <n v="291252"/>
    <n v="300000"/>
    <n v="0.23074428999999999"/>
    <n v="291252"/>
    <n v="97.084000000000003"/>
    <n v="95.798000000000002"/>
    <n v="93.399000000000001"/>
    <s v="BERY 1 01/15/25"/>
    <n v="95.637"/>
    <n v="95.718000000000004"/>
    <s v="BERRY GLOBAL INC"/>
    <s v="EUR"/>
    <n v="1"/>
    <s v="FIXED"/>
    <s v="1st lien"/>
    <s v="15/01/2025"/>
    <n v="1.3004791238877482"/>
    <n v="1.2254389632318146"/>
    <n v="4.5314730244882764"/>
    <n v="95.260999999999996"/>
    <n v="4.8518877029418945"/>
    <n v="95.637"/>
    <n v="4.5314730244882764"/>
    <n v="4.236210823059082"/>
    <n v="96.013000000000005"/>
    <s v="BBB-"/>
    <s v="Ba1"/>
    <s v="BBB-"/>
    <s v="Industrial"/>
    <s v="UNITED STATES"/>
    <n v="700000000"/>
    <n v="100000"/>
    <n v="2"/>
    <x v="7"/>
  </r>
  <r>
    <s v="XS2103230152"/>
    <s v="XS2103230152"/>
    <n v="7349"/>
    <n v="128"/>
    <n v="300000"/>
    <n v="0.23870019000000001"/>
    <n v="297567"/>
    <n v="300000"/>
    <n v="0.23870019000000001"/>
    <n v="297567"/>
    <n v="99.188999999999993"/>
    <n v="98.796999999999997"/>
    <n v="95.826999999999998"/>
    <s v="POHANG 0 1/2 01/17/24"/>
    <n v="98.766999999999996"/>
    <n v="98.796999999999997"/>
    <s v="POSCO"/>
    <s v="EUR"/>
    <n v="0.5"/>
    <s v="FIXED"/>
    <s v="Sr Unsecured"/>
    <s v="17/01/2024"/>
    <n v="0.30390143737166325"/>
    <n v="0.28958161104758362"/>
    <n v="4.7477884135814783"/>
    <n v="98.611000000000004"/>
    <n v="5.2984247207641602"/>
    <n v="98.766999999999996"/>
    <n v="4.7477884135814783"/>
    <n v="4.1955184936523438"/>
    <n v="98.923000000000002"/>
    <s v="A-"/>
    <s v="Baa1"/>
    <s v="#N/A N/A"/>
    <s v="Basic Materials"/>
    <s v="SOUTH KOREA"/>
    <n v="500000000"/>
    <n v="100000"/>
    <n v="1"/>
    <x v="17"/>
  </r>
  <r>
    <s v="XS2107451069"/>
    <s v="XS2107451069"/>
    <n v="7430"/>
    <n v="128"/>
    <n v="100000"/>
    <n v="7.7289789999999997E-2"/>
    <n v="94224"/>
    <n v="100000"/>
    <n v="7.7289789999999997E-2"/>
    <n v="94224"/>
    <n v="94.224000000000004"/>
    <n v="96.185000000000002"/>
    <n v="91.52"/>
    <s v="RCSRDS 2 1/2 02/05/25"/>
    <n v="95.935000000000002"/>
    <n v="95.893000000000001"/>
    <s v="RCS &amp; RDS SA"/>
    <s v="EUR"/>
    <n v="2.5"/>
    <s v="FIXED"/>
    <s v="1st lien"/>
    <s v="05/02/2025"/>
    <n v="1.3579739904175223"/>
    <n v="1.2547953365562126"/>
    <n v="5.6867489551845338"/>
    <n v="95.513999999999996"/>
    <n v="6.0312557220458984"/>
    <n v="95.935000000000002"/>
    <n v="5.6867489551845338"/>
    <n v="5.3490877151489258"/>
    <n v="96.355999999999995"/>
    <s v="BB-"/>
    <s v="WR"/>
    <s v="#N/A N/A"/>
    <s v="Communications"/>
    <s v="ROMANIA"/>
    <n v="450000000"/>
    <n v="100000"/>
    <n v="2"/>
    <x v="7"/>
  </r>
  <r>
    <s v="XS2121417989"/>
    <s v="XS2121417989"/>
    <n v="7395"/>
    <n v="128"/>
    <n v="500000"/>
    <n v="0.38661668999999999"/>
    <n v="510156.67"/>
    <n v="500000"/>
    <n v="0.38661668999999999"/>
    <n v="510156.67"/>
    <n v="102.031334"/>
    <n v="95.447000000000003"/>
    <n v="93.254000000000005"/>
    <s v="BAMIIM 1 5/8 02/18/25"/>
    <n v="95.382999999999996"/>
    <n v="95.356999999999999"/>
    <s v="BANCO BPM SPA"/>
    <s v="EUR"/>
    <n v="1.625"/>
    <s v="FIXED"/>
    <s v="Sr Non Preferred"/>
    <s v="18/02/2025"/>
    <n v="1.3935660506502396"/>
    <n v="1.2985748570395099"/>
    <n v="5.16796793025767"/>
    <n v="95.248999999999995"/>
    <n v="5.2831840515136719"/>
    <n v="95.382499999999993"/>
    <n v="5.16796793025767"/>
    <n v="5.0650491714477539"/>
    <n v="95.516000000000005"/>
    <s v="#N/A N/A"/>
    <s v="Ba2"/>
    <s v="#N/A N/A"/>
    <s v="Financial"/>
    <s v="ITALY"/>
    <n v="750000000"/>
    <n v="250000"/>
    <n v="2"/>
    <x v="7"/>
  </r>
  <r>
    <s v="XS2121467497"/>
    <s v="XS2121467497"/>
    <n v="7399"/>
    <n v="128"/>
    <n v="900000"/>
    <n v="0.70295017000000004"/>
    <n v="890460"/>
    <n v="900000"/>
    <n v="0.70295017000000004"/>
    <n v="890460"/>
    <n v="98.94"/>
    <n v="97.16"/>
    <n v="91.688000000000002"/>
    <s v="LANBNN 0 1/2 05/20/24"/>
    <n v="97.185000000000002"/>
    <n v="97.16"/>
    <s v="LANDSBANKINN HF"/>
    <s v="EUR"/>
    <n v="0.5"/>
    <s v="FIXED"/>
    <s v="Sr Unsecured"/>
    <s v="20/05/2024"/>
    <n v="0.64339493497604383"/>
    <n v="0.61207763214955158"/>
    <n v="5.0932950802983576"/>
    <n v="97.091999999999999"/>
    <n v="5.245880126953125"/>
    <n v="97.18549999999999"/>
    <n v="5.0932950802983576"/>
    <n v="4.9670820236206055"/>
    <n v="97.278999999999996"/>
    <s v="BBB"/>
    <s v="#N/A N/A"/>
    <s v="#N/A N/A"/>
    <s v="Financial"/>
    <s v="ICELAND"/>
    <n v="300000000"/>
    <n v="100000"/>
    <n v="1"/>
    <x v="7"/>
  </r>
  <r>
    <s v="XS2178857285"/>
    <s v="XS2178857285"/>
    <n v="9594"/>
    <n v="128"/>
    <n v="400000"/>
    <n v="0.31113929000000001"/>
    <n v="429602"/>
    <n v="400000"/>
    <n v="0.31113929000000001"/>
    <n v="429602"/>
    <n v="107.40049999999999"/>
    <n v="96.119"/>
    <n v="93.831000000000003"/>
    <s v="ROMANI 2 3/4 02/26/26"/>
    <n v="95.301000000000002"/>
    <n v="95.313999999999993"/>
    <s v="ROMANIA"/>
    <s v="EUR"/>
    <n v="2.75"/>
    <s v="FIXED"/>
    <s v="Sr Unsecured"/>
    <s v="26/02/2026"/>
    <n v="2.4147843942505132"/>
    <n v="2.2162349534279411"/>
    <n v="4.8621678743522461"/>
    <n v="94.983999999999995"/>
    <n v="5.0104007720947266"/>
    <n v="95.300999999999988"/>
    <n v="4.8621678743522461"/>
    <n v="4.7147655487060547"/>
    <n v="95.617999999999995"/>
    <s v="BBB-"/>
    <s v="Baa3"/>
    <s v="BBB-"/>
    <s v="Government"/>
    <s v="ROMANIA"/>
    <n v="1300000000"/>
    <n v="1000"/>
    <n v="3"/>
    <x v="6"/>
  </r>
  <r>
    <s v="XS2189594315"/>
    <s v="XS2189594315"/>
    <n v="9577"/>
    <n v="128"/>
    <n v="100000"/>
    <n v="7.7662910000000002E-2"/>
    <n v="104815"/>
    <n v="100000"/>
    <n v="7.7662910000000002E-2"/>
    <n v="104815"/>
    <n v="104.815"/>
    <n v="97.35"/>
    <n v="94.090999999999994"/>
    <s v="SIGCBL 2 1/8 06/18/25"/>
    <n v="96.221999999999994"/>
    <n v="96.298000000000002"/>
    <s v="SIG COMBIBLOC PURCHASER"/>
    <s v="EUR"/>
    <n v="2.125"/>
    <s v="FIXED"/>
    <s v="Sr Unsecured"/>
    <s v="18/06/2025"/>
    <n v="1.7221081451060918"/>
    <n v="1.6112473360963881"/>
    <n v="4.4412252833457089"/>
    <n v="95.885000000000005"/>
    <n v="4.6538076400756836"/>
    <n v="96.221500000000006"/>
    <n v="4.4412252833457089"/>
    <n v="4.2303390502929688"/>
    <n v="96.558000000000007"/>
    <s v="BBB-"/>
    <s v="Ba1"/>
    <s v="#N/A N/A"/>
    <s v="Industrial"/>
    <s v="LUXEMBOURG"/>
    <n v="550000000"/>
    <n v="100000"/>
    <n v="2"/>
    <x v="6"/>
  </r>
  <r>
    <s v="XS2193661324"/>
    <s v="XS2193661324"/>
    <n v="8124"/>
    <n v="128"/>
    <n v="700000"/>
    <n v="0.53036022000000005"/>
    <n v="728989"/>
    <n v="700000"/>
    <n v="0.53036022000000005"/>
    <n v="728989"/>
    <n v="104.14128571428571"/>
    <n v="94.52"/>
    <n v="90.897999999999996"/>
    <s v="BPLN 3 1/4 PERP"/>
    <n v="93.492000000000004"/>
    <n v="93.492000000000004"/>
    <s v="BP CAPITAL MARKETS PLC"/>
    <s v="EUR"/>
    <n v="3.25"/>
    <s v="VARIABLE"/>
    <s v="Jr Subordinated"/>
    <s v="22/03/2026"/>
    <n v="2.4804928131416837"/>
    <n v="2.4810123147714589"/>
    <n v="5.9009761597196615"/>
    <n v="93.191000000000003"/>
    <s v="#N/A N/A"/>
    <n v="93.491500000000002"/>
    <n v="5.9009761597196615"/>
    <s v="#N/A N/A"/>
    <n v="93.792000000000002"/>
    <s v="BBB"/>
    <s v="Baa1"/>
    <s v="BBB+"/>
    <s v="Energy"/>
    <s v="BRITAIN"/>
    <n v="2500000000"/>
    <n v="100000"/>
    <n v="3"/>
    <x v="6"/>
  </r>
  <r>
    <s v="XS2201946634"/>
    <s v="XS2201946634"/>
    <n v="8275"/>
    <n v="128"/>
    <n v="300000"/>
    <n v="0.22462077"/>
    <n v="301917"/>
    <n v="300000"/>
    <n v="0.22462077"/>
    <n v="301917"/>
    <n v="100.639"/>
    <n v="94.236000000000004"/>
    <n v="89.850999999999999"/>
    <s v="MRLSM 2 3/8 07/13/27"/>
    <n v="92.768000000000001"/>
    <n v="92.771000000000001"/>
    <s v="MERLIN PROPERTIES SOCIMI"/>
    <s v="EUR"/>
    <n v="2.375"/>
    <s v="FIXED"/>
    <s v="Sr Unsecured"/>
    <s v="13/07/2027"/>
    <n v="3.7891854893908281"/>
    <n v="3.4813381079410179"/>
    <n v="4.4962008713818022"/>
    <n v="92.545000000000002"/>
    <n v="4.5727405548095703"/>
    <n v="92.767499999999998"/>
    <n v="4.4962008713818022"/>
    <n v="4.4349346160888672"/>
    <n v="92.99"/>
    <s v="BBB"/>
    <s v="#N/A N/A"/>
    <s v="#N/A N/A"/>
    <s v="Financial"/>
    <s v="SPAIN"/>
    <n v="500000000"/>
    <n v="100000"/>
    <n v="4"/>
    <x v="1"/>
  </r>
  <r>
    <s v="XS2208868914"/>
    <s v="XS2208868914"/>
    <n v="9386"/>
    <n v="128"/>
    <n v="200000"/>
    <n v="0.12466697"/>
    <n v="216968"/>
    <n v="200000"/>
    <n v="0.12466697"/>
    <n v="216968"/>
    <n v="108.48399999999999"/>
    <n v="83.311999999999998"/>
    <n v="74.858000000000004"/>
    <s v="GWILN 2.95 07/29/26"/>
    <n v="77.174999999999997"/>
    <n v="77.177000000000007"/>
    <s v="GLOBALWORTH REAL ESTATE"/>
    <s v="EUR"/>
    <n v="2.95"/>
    <s v="FIXED"/>
    <s v="Sr Unsecured"/>
    <s v="29/07/2026"/>
    <n v="2.8336755646817249"/>
    <n v="2.413302149334541"/>
    <n v="13.131004873017172"/>
    <n v="76.680000000000007"/>
    <n v="13.419751167297363"/>
    <n v="77.174499999999995"/>
    <n v="13.131004873017172"/>
    <n v="12.869527816772461"/>
    <n v="77.668999999999997"/>
    <s v="BB+"/>
    <s v="WR"/>
    <s v="BBB-"/>
    <s v="Financial"/>
    <s v="GUERNSEY"/>
    <n v="400000000"/>
    <n v="100000"/>
    <n v="3"/>
    <x v="0"/>
  </r>
  <r>
    <s v="XS2231191748"/>
    <s v="XS2231191748"/>
    <n v="8349"/>
    <n v="128"/>
    <n v="1000000"/>
    <n v="0.31848336999999999"/>
    <n v="944701"/>
    <n v="1000000"/>
    <n v="0.31848336999999999"/>
    <n v="944701"/>
    <n v="94.470100000000002"/>
    <n v="51.899000000000001"/>
    <n v="35.087000000000003"/>
    <s v="CPIPGR 4 7/8 PERP"/>
    <n v="35.195"/>
    <n v="35.247"/>
    <s v="CPI PROPERTY GROUP SA"/>
    <s v="EUR"/>
    <n v="4.875"/>
    <s v="VARIABLE"/>
    <s v="Subordinated"/>
    <s v="18/08/2026"/>
    <n v="2.8884325804243667"/>
    <n v="1.5734556035582572"/>
    <n v="54.069130619175304"/>
    <n v="34.026000000000003"/>
    <n v="56.029937744140625"/>
    <n v="35.194500000000005"/>
    <n v="54.069130619175304"/>
    <n v="52.186126708984375"/>
    <n v="36.363"/>
    <s v="BB"/>
    <s v="Ba2"/>
    <s v="#N/A N/A"/>
    <s v="Financial"/>
    <s v="LUXEMBOURG"/>
    <n v="525000000"/>
    <n v="100000"/>
    <n v="3"/>
    <x v="0"/>
  </r>
  <r>
    <s v="XS2231715322"/>
    <s v="XS2231715322"/>
    <n v="9042"/>
    <n v="128"/>
    <n v="300000"/>
    <n v="0.23068907999999999"/>
    <n v="315324"/>
    <n v="300000"/>
    <n v="0.23068907999999999"/>
    <n v="315324"/>
    <n v="105.108"/>
    <n v="96.198999999999998"/>
    <n v="92.494"/>
    <s v="ZFFNGR 3 09/21/25"/>
    <n v="95.72"/>
    <n v="95.724000000000004"/>
    <s v="ZF FINANCE GMBH"/>
    <s v="EUR"/>
    <n v="3"/>
    <s v="FIXED"/>
    <s v="Sr Unsecured"/>
    <s v="21/09/2025"/>
    <n v="1.9822039698836413"/>
    <n v="1.8451853306362238"/>
    <n v="5.3450363331513859"/>
    <n v="95.376999999999995"/>
    <n v="5.5404577255249023"/>
    <n v="95.720499999999987"/>
    <n v="5.3450363331513859"/>
    <n v="5.1532726287841797"/>
    <n v="96.063999999999993"/>
    <s v="BB+"/>
    <s v="Ba1"/>
    <s v="#N/A N/A"/>
    <s v="Consumer, Cyclical"/>
    <s v="GERMANY"/>
    <n v="750000000"/>
    <n v="100000"/>
    <n v="2"/>
    <x v="6"/>
  </r>
  <r>
    <s v="XS2237434803"/>
    <s v="XS2237434803"/>
    <n v="8365"/>
    <n v="128"/>
    <n v="300000"/>
    <n v="0.22482842"/>
    <n v="303306"/>
    <n v="300000"/>
    <n v="0.22482842"/>
    <n v="303306"/>
    <n v="101.102"/>
    <n v="97.611999999999995"/>
    <n v="89.423000000000002"/>
    <s v="UNIIM 3 1/4 09/23/30"/>
    <n v="93.209000000000003"/>
    <n v="93.355000000000004"/>
    <s v="UNIPOL GRUPPO SPA"/>
    <s v="EUR"/>
    <n v="3.25"/>
    <s v="FIXED"/>
    <s v="Sr Unsecured"/>
    <s v="23/09/2030"/>
    <n v="6.9869952087611225"/>
    <n v="6.0628942979066816"/>
    <n v="4.4013881961922028"/>
    <n v="92.632999999999996"/>
    <n v="4.5126113891601563"/>
    <n v="93.209499999999991"/>
    <n v="4.4013881961922028"/>
    <n v="4.3082265853881836"/>
    <n v="93.786000000000001"/>
    <s v="#N/A N/A"/>
    <s v="Ba1"/>
    <s v="BBB"/>
    <s v="Financial"/>
    <s v="ITALY"/>
    <n v="1000000000"/>
    <n v="100000"/>
    <n v="7"/>
    <x v="3"/>
  </r>
  <r>
    <s v="XS2238342484"/>
    <s v="XS2238342484"/>
    <n v="9076"/>
    <n v="128"/>
    <n v="400000"/>
    <n v="0.30525675000000002"/>
    <n v="425848"/>
    <n v="400000"/>
    <n v="0.30525675000000002"/>
    <n v="425848"/>
    <n v="106.462"/>
    <n v="93.12"/>
    <n v="86.338999999999999"/>
    <s v="CTPNV 2 1/8 10/01/25"/>
    <n v="93.028000000000006"/>
    <n v="93.009"/>
    <s v="CTP NV"/>
    <s v="EUR"/>
    <n v="2.125"/>
    <s v="FIXED"/>
    <s v="Sr Unsecured"/>
    <s v="01/10/2025"/>
    <n v="2.0095824777549622"/>
    <n v="1.8681861381581026"/>
    <n v="5.9288057362097222"/>
    <n v="92.728999999999999"/>
    <n v="6.1053800582885742"/>
    <n v="93.027999999999992"/>
    <n v="5.9288057362097222"/>
    <n v="5.7634201049804688"/>
    <n v="93.326999999999998"/>
    <s v="BBB-"/>
    <s v="Baa3"/>
    <s v="#N/A N/A"/>
    <s v="Financial"/>
    <s v="NETHERLANDS"/>
    <n v="650000000"/>
    <n v="100000"/>
    <n v="3"/>
    <x v="6"/>
  </r>
  <r>
    <s v="XS2247549731"/>
    <s v="XS2247549731"/>
    <n v="8413"/>
    <n v="128"/>
    <n v="400000"/>
    <n v="0.2653509"/>
    <n v="397151.2"/>
    <n v="400000"/>
    <n v="0.2653509"/>
    <n v="397151.2"/>
    <n v="99.287800000000004"/>
    <n v="83.626000000000005"/>
    <n v="77.968999999999994"/>
    <s v="CLNXSM 1 3/4 10/23/30"/>
    <n v="80.92"/>
    <n v="81.046000000000006"/>
    <s v="CELLNEX TELECOM SA"/>
    <s v="EUR"/>
    <n v="1.75"/>
    <s v="FIXED"/>
    <s v="Sr Unsecured"/>
    <s v="23/10/2030"/>
    <n v="7.0691307323750854"/>
    <n v="6.2124029956609297"/>
    <n v="5.0278657096826"/>
    <n v="80.584000000000003"/>
    <n v="5.1042442321777344"/>
    <n v="80.919499999999999"/>
    <n v="5.0278657096826"/>
    <n v="4.9728860855102539"/>
    <n v="81.254999999999995"/>
    <s v="BB+"/>
    <s v="#N/A N/A"/>
    <s v="BBB-"/>
    <s v="Industrial"/>
    <s v="SPAIN"/>
    <n v="1000000000"/>
    <n v="100000"/>
    <n v="8"/>
    <x v="3"/>
  </r>
  <r>
    <s v="XS2264074647"/>
    <s v="XS2264074647"/>
    <n v="8816"/>
    <n v="128"/>
    <n v="400000"/>
    <n v="0.31366356000000001"/>
    <n v="419730"/>
    <n v="400000"/>
    <n v="0.31366356000000001"/>
    <n v="419730"/>
    <n v="104.9325"/>
    <n v="96.634"/>
    <n v="94.045000000000002"/>
    <s v="LOUDRE 2 3/8 11/27/25"/>
    <n v="95.775999999999996"/>
    <n v="95.748000000000005"/>
    <s v="LOUIS DREYFUS FINANCE BV"/>
    <s v="EUR"/>
    <n v="2.375"/>
    <s v="FIXED"/>
    <s v="Sr Unsecured"/>
    <s v="27/11/2025"/>
    <n v="2.1656399726214923"/>
    <n v="1.9947718763812716"/>
    <n v="4.4726446289162185"/>
    <n v="95.599000000000004"/>
    <n v="4.5754966735839844"/>
    <n v="95.77600000000001"/>
    <n v="4.4726446289162185"/>
    <n v="4.3874654769897461"/>
    <n v="95.953000000000003"/>
    <s v="BBB"/>
    <s v="#N/A N/A"/>
    <s v="#N/A N/A"/>
    <s v="Consumer, Non-cyclical"/>
    <s v="NETHERLANDS"/>
    <n v="650000000"/>
    <n v="100000"/>
    <n v="3"/>
    <x v="6"/>
  </r>
  <r>
    <s v="XS2267889991"/>
    <s v="XS2267889991"/>
    <n v="9259"/>
    <n v="128"/>
    <n v="100000"/>
    <n v="7.1494740000000001E-2"/>
    <n v="105058"/>
    <n v="100000"/>
    <n v="7.1494740000000001E-2"/>
    <n v="105058"/>
    <n v="105.05800000000001"/>
    <n v="88.878"/>
    <n v="82.816000000000003"/>
    <s v="ATOSTR 2 12/04/28"/>
    <n v="87.406000000000006"/>
    <n v="87.447000000000003"/>
    <s v="AUTOSTRADE PER L'ITALIA"/>
    <s v="EUR"/>
    <n v="2"/>
    <s v="FIXED"/>
    <s v="Sr Unsecured"/>
    <s v="04/12/2028"/>
    <n v="5.1854893908281996"/>
    <n v="4.6385889907737292"/>
    <n v="4.8061814560867386"/>
    <n v="87.164000000000001"/>
    <n v="4.8722867965698242"/>
    <n v="87.406000000000006"/>
    <n v="4.8061814560867386"/>
    <n v="4.7561874389648438"/>
    <n v="87.647999999999996"/>
    <s v="BBB-"/>
    <s v="Baa3"/>
    <s v="BBB"/>
    <s v="Consumer, Non-cyclical"/>
    <s v="ITALY"/>
    <n v="1250000000"/>
    <n v="100000"/>
    <n v="6"/>
    <x v="8"/>
  </r>
  <r>
    <s v="XS2287744721"/>
    <s v="XS2287744721"/>
    <n v="8766"/>
    <n v="128"/>
    <n v="200000"/>
    <n v="5.4775480000000001E-2"/>
    <n v="183921"/>
    <n v="200000"/>
    <n v="5.4775480000000001E-2"/>
    <n v="183921"/>
    <n v="91.960499999999996"/>
    <n v="42.024000000000001"/>
    <n v="26.242999999999999"/>
    <s v="ARNDTN 1 5/8 PERP"/>
    <n v="33.773000000000003"/>
    <n v="33.823"/>
    <s v="AROUNDTOWN SA"/>
    <s v="EUR"/>
    <n v="1.625"/>
    <s v="VARIABLE"/>
    <s v="Jr Subordinated"/>
    <s v="15/04/2026"/>
    <n v="2.5462012320328542"/>
    <n v="1.5928785895518929"/>
    <n v="57.011854156743652"/>
    <n v="32.427"/>
    <n v="59.602294921875"/>
    <n v="33.772500000000001"/>
    <n v="57.011854156743652"/>
    <n v="54.565475463867188"/>
    <n v="35.118000000000002"/>
    <s v="BBB-"/>
    <s v="#N/A N/A"/>
    <s v="#N/A N/A"/>
    <s v="Financial"/>
    <s v="LUXEMBOURG"/>
    <n v="600000000"/>
    <n v="100000"/>
    <n v="3"/>
    <x v="0"/>
  </r>
  <r>
    <s v="XS2300292617"/>
    <s v="XS2300292617"/>
    <n v="8901"/>
    <n v="128"/>
    <n v="100000"/>
    <n v="7.1760000000000004E-2"/>
    <n v="99507"/>
    <n v="100000"/>
    <n v="7.1760000000000004E-2"/>
    <n v="99507"/>
    <n v="99.507000000000005"/>
    <n v="90.018000000000001"/>
    <n v="85.962000000000003"/>
    <s v="CLNXSM 0 3/4 11/15/26"/>
    <n v="88.778000000000006"/>
    <n v="88.763000000000005"/>
    <s v="CELLNEX FINANCE CO SA"/>
    <s v="EUR"/>
    <n v="0.75"/>
    <s v="FIXED"/>
    <s v="Sr Unsecured"/>
    <s v="15/11/2026"/>
    <n v="3.1321013004791238"/>
    <n v="2.9367068251648614"/>
    <n v="4.6993440686465799"/>
    <n v="88.543000000000006"/>
    <n v="4.7969846725463867"/>
    <n v="88.778000000000006"/>
    <n v="4.6993440686465799"/>
    <n v="4.6157932281494141"/>
    <n v="89.013000000000005"/>
    <s v="BB+"/>
    <s v="#N/A N/A"/>
    <s v="BBB-"/>
    <s v="Industrial"/>
    <s v="SPAIN"/>
    <n v="500000000"/>
    <n v="100000"/>
    <n v="4"/>
    <x v="0"/>
  </r>
  <r>
    <s v="XS2306601746"/>
    <s v="XS2306601746"/>
    <n v="9414"/>
    <n v="128"/>
    <n v="300000"/>
    <n v="0.21346045"/>
    <n v="300511"/>
    <n v="300000"/>
    <n v="0.21346045"/>
    <n v="300511"/>
    <n v="100.17033333333333"/>
    <n v="89.186999999999998"/>
    <n v="80.825999999999993"/>
    <s v="EZJLN 1 7/8 03/03/28"/>
    <n v="87.546999999999997"/>
    <n v="87.614999999999995"/>
    <s v="EASYJET FINCO BV"/>
    <s v="EUR"/>
    <n v="1.875"/>
    <s v="FIXED"/>
    <s v="Sr Unsecured"/>
    <s v="03/03/2028"/>
    <n v="4.42984257357974"/>
    <n v="4.0193451627770571"/>
    <n v="5.0905669738350179"/>
    <n v="87.287000000000006"/>
    <n v="5.1711540222167969"/>
    <n v="87.546500000000009"/>
    <n v="5.0905669738350179"/>
    <n v="5.0252304077148438"/>
    <n v="87.805999999999997"/>
    <s v="BBB"/>
    <s v="Baa3"/>
    <s v="#N/A N/A"/>
    <s v="Consumer, Cyclical"/>
    <s v="NETHERLANDS"/>
    <n v="1200000000"/>
    <n v="100000"/>
    <n v="5"/>
    <x v="1"/>
  </r>
  <r>
    <s v="XS2306621934"/>
    <s v="XS2306621934"/>
    <n v="8972"/>
    <n v="128"/>
    <n v="200000"/>
    <n v="0.14877599"/>
    <n v="199132"/>
    <n v="200000"/>
    <n v="0.14877599"/>
    <n v="199132"/>
    <n v="99.566000000000003"/>
    <n v="92.558000000000007"/>
    <n v="85.42"/>
    <s v="LANBNN 0 3/8 05/23/25"/>
    <n v="92.578999999999994"/>
    <n v="92.525999999999996"/>
    <s v="LANDSBANKINN HF"/>
    <s v="EUR"/>
    <n v="0.375"/>
    <s v="FIXED"/>
    <s v="Sr Unsecured"/>
    <s v="23/05/2025"/>
    <n v="1.6509240246406571"/>
    <n v="1.5563113147622478"/>
    <n v="5.2135173646507988"/>
    <n v="92.391999999999996"/>
    <n v="5.3473091125488281"/>
    <n v="92.579000000000008"/>
    <n v="5.2135173646507988"/>
    <n v="5.0891399383544922"/>
    <n v="92.766000000000005"/>
    <s v="BBB"/>
    <s v="#N/A N/A"/>
    <s v="#N/A N/A"/>
    <s v="Financial"/>
    <s v="ICELAND"/>
    <n v="300000000"/>
    <n v="100000"/>
    <n v="2"/>
    <x v="6"/>
  </r>
  <r>
    <s v="XS2310118893"/>
    <s v="XS2310118893"/>
    <n v="9001"/>
    <n v="128"/>
    <n v="100000"/>
    <n v="6.6837579999999994E-2"/>
    <n v="97446"/>
    <n v="100000"/>
    <n v="6.6837579999999994E-2"/>
    <n v="97446"/>
    <n v="97.445999999999998"/>
    <n v="82.771000000000001"/>
    <n v="77.27"/>
    <s v="MACEDO 1 5/8 03/10/28"/>
    <n v="81.986999999999995"/>
    <n v="82.152000000000001"/>
    <s v="NORTH MACEDONIA"/>
    <s v="EUR"/>
    <n v="1.625"/>
    <s v="FIXED"/>
    <s v="Sr Unsecured"/>
    <s v="10/03/2028"/>
    <n v="4.4490075290896645"/>
    <n v="4.0060978666426124"/>
    <n v="6.4145050434863204"/>
    <n v="81.578000000000003"/>
    <n v="6.5381174087524414"/>
    <n v="81.986500000000007"/>
    <n v="6.4145050434863204"/>
    <n v="6.2916669845581055"/>
    <n v="82.394999999999996"/>
    <s v="BB-"/>
    <s v="#N/A N/A"/>
    <s v="BB+"/>
    <s v="Government"/>
    <s v="NORTH MACEDONIA"/>
    <n v="700000000"/>
    <n v="100000"/>
    <n v="5"/>
    <x v="1"/>
  </r>
  <r>
    <s v="XS2321651031"/>
    <s v="XS2321651031"/>
    <n v="9070"/>
    <n v="128"/>
    <n v="100000"/>
    <n v="7.7714130000000006E-2"/>
    <n v="104191"/>
    <n v="100000"/>
    <n v="7.7714130000000006E-2"/>
    <n v="104191"/>
    <n v="104.191"/>
    <n v="95.772999999999996"/>
    <n v="89.629000000000005"/>
    <s v="CELDES 5 1/4 04/01/26"/>
    <n v="94.405000000000001"/>
    <n v="94.4"/>
    <s v="VIA CELERE DESARROLLOS"/>
    <s v="EUR"/>
    <n v="5.25"/>
    <s v="FIXED"/>
    <s v="Secured"/>
    <s v="01/04/2026"/>
    <n v="2.5078713210130048"/>
    <n v="2.2005538239066582"/>
    <n v="7.757426101137777"/>
    <n v="93.852000000000004"/>
    <n v="8.0150957107543945"/>
    <n v="94.405000000000001"/>
    <n v="7.757426101137777"/>
    <n v="7.5014657974243164"/>
    <n v="94.957999999999998"/>
    <s v="B+"/>
    <s v="#N/A N/A"/>
    <s v="BB"/>
    <s v="Financial"/>
    <s v="SPAIN"/>
    <n v="300000000"/>
    <n v="100000"/>
    <n v="3"/>
    <x v="0"/>
  </r>
  <r>
    <s v="XS2322423455"/>
    <s v="XS2322423455"/>
    <n v="9072"/>
    <n v="128"/>
    <n v="300000"/>
    <n v="0.23540649999999999"/>
    <n v="301255.5"/>
    <n v="300000"/>
    <n v="0.23540649999999999"/>
    <n v="301255.5"/>
    <n v="100.41849999999999"/>
    <n v="97.233000000000004"/>
    <n v="91.694000000000003"/>
    <s v="IAGLN 2 3/4 03/25/25"/>
    <n v="96.400999999999996"/>
    <n v="96.393000000000001"/>
    <s v="INTL CONSOLIDATED AIRLIN"/>
    <s v="EUR"/>
    <n v="2.75"/>
    <s v="FIXED"/>
    <s v="Sr Unsecured"/>
    <s v="25/03/2025"/>
    <n v="1.4893908281998631"/>
    <n v="1.3813452792844216"/>
    <n v="5.3335215255528929"/>
    <n v="95.988"/>
    <n v="5.643519401550293"/>
    <n v="96.400999999999996"/>
    <n v="5.3335215255528929"/>
    <n v="5.014897346496582"/>
    <n v="96.813999999999993"/>
    <s v="BB+"/>
    <s v="B1"/>
    <s v="#N/A N/A"/>
    <s v="Consumer, Cyclical"/>
    <s v="SPAIN"/>
    <n v="500000000"/>
    <n v="100000"/>
    <n v="2"/>
    <x v="7"/>
  </r>
  <r>
    <s v="XS2322423539"/>
    <s v="XS2322423539"/>
    <n v="9301"/>
    <n v="128"/>
    <n v="100000"/>
    <n v="7.1241600000000002E-2"/>
    <n v="100274"/>
    <n v="100000"/>
    <n v="7.1241600000000002E-2"/>
    <n v="100274"/>
    <n v="100.274"/>
    <n v="89.164000000000001"/>
    <n v="77.206999999999994"/>
    <s v="IAGLN 3 3/4 03/25/29"/>
    <n v="86.822000000000003"/>
    <n v="86.834999999999994"/>
    <s v="INTL CONSOLIDATED AIRLIN"/>
    <s v="EUR"/>
    <n v="3.75"/>
    <s v="FIXED"/>
    <s v="Sr Unsecured"/>
    <s v="25/03/2029"/>
    <n v="5.4893908281998627"/>
    <n v="4.6120117549062822"/>
    <n v="6.6955339370313398"/>
    <n v="86.308999999999997"/>
    <n v="6.8201360702514648"/>
    <n v="86.822499999999991"/>
    <n v="6.6955339370313398"/>
    <n v="6.5729923248291016"/>
    <n v="87.335999999999999"/>
    <s v="BB+"/>
    <s v="B1"/>
    <s v="#N/A N/A"/>
    <s v="Consumer, Cyclical"/>
    <s v="SPAIN"/>
    <n v="700000000"/>
    <n v="100000"/>
    <n v="6"/>
    <x v="8"/>
  </r>
  <r>
    <s v="XS2333301674"/>
    <s v="XS2333301674"/>
    <n v="9136"/>
    <n v="128"/>
    <n v="900000"/>
    <n v="0.58491879000000002"/>
    <n v="918138"/>
    <n v="900000"/>
    <n v="0.58491879000000002"/>
    <n v="918138"/>
    <n v="102.01533333333333"/>
    <n v="87.289000000000001"/>
    <n v="76.548000000000002"/>
    <s v="PFLEID 4 3/4 04/15/26"/>
    <n v="78.834000000000003"/>
    <n v="78.808999999999997"/>
    <s v="PCF GMBH"/>
    <s v="EUR"/>
    <n v="4.75"/>
    <s v="FIXED"/>
    <s v="Secured"/>
    <s v="15/04/2026"/>
    <n v="2.5462012320328542"/>
    <n v="2.0281996490776941"/>
    <n v="15.100133467870265"/>
    <n v="78.185000000000002"/>
    <n v="15.470653533935547"/>
    <n v="78.834499999999991"/>
    <n v="15.100133467870265"/>
    <n v="14.733317375183105"/>
    <n v="79.483999999999995"/>
    <s v="B"/>
    <s v="B2"/>
    <s v="BB-"/>
    <s v="Industrial"/>
    <s v="GERMANY"/>
    <n v="400000000"/>
    <n v="100000"/>
    <n v="3"/>
    <x v="0"/>
  </r>
  <r>
    <s v="XS2334852253"/>
    <s v="XS2334852253"/>
    <n v="9184"/>
    <n v="128"/>
    <n v="200000"/>
    <n v="0.13879201999999999"/>
    <n v="199122"/>
    <n v="200000"/>
    <n v="0.13879201999999999"/>
    <n v="199122"/>
    <n v="99.561000000000007"/>
    <n v="86.730999999999995"/>
    <n v="82.682000000000002"/>
    <s v="ENIIM 2 PERP"/>
    <n v="85.715000000000003"/>
    <n v="85.715999999999994"/>
    <s v="ENI SPA"/>
    <s v="EUR"/>
    <n v="2"/>
    <s v="VARIABLE"/>
    <s v="Jr Subordinated"/>
    <s v="11/02/2027"/>
    <n v="3.3730321697467489"/>
    <n v="3.268243697457728"/>
    <n v="6.5719409734846552"/>
    <n v="85.352000000000004"/>
    <s v="#N/A N/A"/>
    <n v="85.715499999999992"/>
    <n v="6.5719409734846552"/>
    <s v="#N/A N/A"/>
    <n v="86.078999999999994"/>
    <s v="BBB"/>
    <s v="Baa3"/>
    <s v="BBB"/>
    <s v="Energy"/>
    <s v="ITALY"/>
    <n v="1000000000"/>
    <n v="100000"/>
    <n v="4"/>
    <x v="0"/>
  </r>
  <r>
    <s v="XS2343532417"/>
    <s v="XS2343532417"/>
    <n v="9461"/>
    <n v="128"/>
    <n v="100000"/>
    <n v="7.6816220000000004E-2"/>
    <n v="100388"/>
    <n v="100000"/>
    <n v="7.6816220000000004E-2"/>
    <n v="100388"/>
    <n v="100.38800000000001"/>
    <n v="95.065250000000006"/>
    <n v="92.388900000000007"/>
    <s v="ANASM 1.2 01/14/25"/>
    <n v="95.200999999999993"/>
    <n v="94.991"/>
    <s v="ACCIONA FINANCIACION FIL"/>
    <s v="EUR"/>
    <n v="1.2"/>
    <s v="FIXED"/>
    <s v="Sr Unsecured"/>
    <s v="14/01/2025"/>
    <n v="1.2977412731006159"/>
    <n v="1.2111960948056888"/>
    <n v="5.1495929662827322"/>
    <n v="95.111000000000004"/>
    <n v="5.2273044586181641"/>
    <n v="95.20150000000001"/>
    <n v="5.1495929662827322"/>
    <n v="5.0720071792602539"/>
    <n v="95.292000000000002"/>
    <s v="#N/A N/A"/>
    <s v="#N/A N/A"/>
    <s v="#N/A N/A"/>
    <s v="Industrial"/>
    <s v="SPAIN"/>
    <n v="159600000"/>
    <n v="100000"/>
    <n v="2"/>
    <x v="7"/>
  </r>
  <r>
    <s v="XS2347367018"/>
    <s v="XS2347367018"/>
    <n v="9246"/>
    <n v="128"/>
    <n v="300000"/>
    <n v="0.18928405000000001"/>
    <n v="297822"/>
    <n v="300000"/>
    <n v="0.18928405000000001"/>
    <n v="297822"/>
    <n v="99.274000000000001"/>
    <n v="82.308999999999997"/>
    <n v="74.875"/>
    <s v="MRLSM 1 3/8 06/01/30"/>
    <n v="78.114000000000004"/>
    <n v="78.168000000000006"/>
    <s v="MERLIN PROPERTIES SOCIMI"/>
    <s v="EUR"/>
    <n v="1.375"/>
    <s v="FIXED"/>
    <s v="Sr Unsecured"/>
    <s v="01/06/2030"/>
    <n v="6.6748802190280632"/>
    <n v="6.0192059044844886"/>
    <n v="5.3663094804465814"/>
    <n v="77.816999999999993"/>
    <n v="5.4422273635864258"/>
    <n v="78.114499999999992"/>
    <n v="5.3663094804465814"/>
    <n v="5.3156347274780273"/>
    <n v="78.412000000000006"/>
    <s v="BBB"/>
    <s v="#N/A N/A"/>
    <s v="#N/A N/A"/>
    <s v="Financial"/>
    <s v="SPAIN"/>
    <n v="500000000"/>
    <n v="100000"/>
    <n v="7"/>
    <x v="3"/>
  </r>
  <r>
    <s v="XS2356030556"/>
    <s v="XS2356030556"/>
    <n v="9311"/>
    <n v="128"/>
    <n v="200000"/>
    <n v="0.12137455"/>
    <n v="198052"/>
    <n v="200000"/>
    <n v="0.12137455"/>
    <n v="198052"/>
    <n v="99.025999999999996"/>
    <n v="77.319000000000003"/>
    <n v="66.831000000000003"/>
    <s v="CTPNV 1 1/4 06/21/29"/>
    <n v="75.224999999999994"/>
    <n v="75.287999999999997"/>
    <s v="CTP NV"/>
    <s v="EUR"/>
    <n v="1.25"/>
    <s v="FIXED"/>
    <s v="Sr Unsecured"/>
    <s v="21/06/2029"/>
    <n v="5.7303216974674882"/>
    <n v="5.1679853897656978"/>
    <n v="6.5873274846685561"/>
    <n v="74.682000000000002"/>
    <n v="6.7377824783325195"/>
    <n v="75.224999999999994"/>
    <n v="6.5873274846685561"/>
    <n v="6.4585132598876953"/>
    <n v="75.768000000000001"/>
    <s v="BBB-"/>
    <s v="Baa3"/>
    <s v="#N/A N/A"/>
    <s v="Financial"/>
    <s v="NETHERLANDS"/>
    <n v="500000000"/>
    <n v="100000"/>
    <n v="6"/>
    <x v="15"/>
  </r>
  <r>
    <s v="XS2356571559"/>
    <s v="XS2356571559"/>
    <n v="9352"/>
    <n v="128"/>
    <n v="167700.82"/>
    <n v="0.12734303"/>
    <n v="199932"/>
    <n v="167700.82"/>
    <n v="0.12734303"/>
    <n v="199932"/>
    <n v="119.21945283272913"/>
    <n v="86.850999999999999"/>
    <n v="80.337999999999994"/>
    <s v="TDBBNK 4 1/8 06/30/28"/>
    <n v="82.207999999999998"/>
    <n v="82.207999999999998"/>
    <s v="EASTERN &amp; SOUTHERN AFRIC"/>
    <s v="USD"/>
    <n v="4.125"/>
    <s v="FIXED"/>
    <s v="Sr Unsecured"/>
    <s v="30/06/2028"/>
    <n v="4.7556468172484596"/>
    <n v="4.0817399156322711"/>
    <n v="8.7887086430514962"/>
    <n v="81.653000000000006"/>
    <n v="8.9530878067016602"/>
    <n v="82.208500000000001"/>
    <n v="8.7887086430514962"/>
    <n v="8.6257295608520508"/>
    <n v="82.763999999999996"/>
    <s v="#N/A N/A"/>
    <s v="Baa3"/>
    <s v="BB+"/>
    <s v="Government"/>
    <s v="SNAT"/>
    <n v="650000000"/>
    <n v="200000"/>
    <n v="5"/>
    <x v="8"/>
  </r>
  <r>
    <s v="XS2357281174"/>
    <s v="XS2357281174"/>
    <n v="9326"/>
    <n v="128"/>
    <n v="400000"/>
    <n v="0.30881883999999998"/>
    <n v="401946"/>
    <n v="400000"/>
    <n v="0.30881883999999998"/>
    <n v="401946"/>
    <n v="100.48650000000001"/>
    <n v="97.009"/>
    <n v="92.233999999999995"/>
    <s v="NHHSM 4 07/02/26"/>
    <n v="95.286000000000001"/>
    <n v="95.376000000000005"/>
    <s v="NH HOTEL GROUP SA"/>
    <s v="EUR"/>
    <n v="4"/>
    <s v="FIXED"/>
    <s v="1st lien"/>
    <s v="02/07/2026"/>
    <n v="2.7597535934291582"/>
    <n v="2.4600319918670288"/>
    <n v="5.878803974388183"/>
    <n v="94.881"/>
    <n v="6.044032096862793"/>
    <n v="95.285499999999999"/>
    <n v="5.878803974388183"/>
    <n v="5.7133502960205078"/>
    <n v="95.69"/>
    <s v="#N/A N/A"/>
    <s v="B1"/>
    <s v="BB-"/>
    <s v="Consumer, Cyclical"/>
    <s v="SPAIN"/>
    <n v="400000000"/>
    <n v="100000"/>
    <n v="3"/>
    <x v="0"/>
  </r>
  <r>
    <s v="XS2357357768"/>
    <s v="XS2357357768"/>
    <n v="9331"/>
    <n v="128"/>
    <n v="400000"/>
    <n v="0.1463913"/>
    <n v="400244"/>
    <n v="400000"/>
    <n v="0.1463913"/>
    <n v="400244"/>
    <n v="100.06100000000001"/>
    <n v="65.361999999999995"/>
    <n v="42.601999999999997"/>
    <s v="HEIBOS 3 PERP"/>
    <n v="43.860999999999997"/>
    <n v="43.850999999999999"/>
    <s v="HEIMSTADEN BOSTA"/>
    <s v="EUR"/>
    <n v="3"/>
    <s v="VARIABLE"/>
    <s v="Jr Subordinated"/>
    <s v="29/10/2027"/>
    <n v="4.084873374401095"/>
    <n v="3.0771187607488555"/>
    <n v="26.107449317390007"/>
    <n v="42.216000000000001"/>
    <s v="#N/A N/A"/>
    <n v="43.861000000000004"/>
    <n v="26.107449317390007"/>
    <s v="#N/A N/A"/>
    <n v="45.506"/>
    <s v="BB+"/>
    <s v="#N/A N/A"/>
    <s v="BB+ *-"/>
    <s v="Financial"/>
    <s v="SWEDEN"/>
    <n v="600000000"/>
    <n v="100000"/>
    <n v="5"/>
    <x v="1"/>
  </r>
  <r>
    <s v="XS2362994068"/>
    <s v="XS2362994068"/>
    <n v="9395"/>
    <n v="128"/>
    <n v="600000"/>
    <n v="0.39078924999999998"/>
    <n v="599850"/>
    <n v="600000"/>
    <n v="0.39078924999999998"/>
    <n v="599850"/>
    <n v="99.974999999999994"/>
    <n v="83.376999999999995"/>
    <n v="73.418000000000006"/>
    <s v="TNEMAK 2 1/4 07/20/28"/>
    <n v="80.801000000000002"/>
    <n v="80.906000000000006"/>
    <s v="NEMAK SAB DE CV"/>
    <s v="EUR"/>
    <n v="2.25"/>
    <s v="FIXED"/>
    <s v="Sr Unsecured"/>
    <s v="20/07/2028"/>
    <n v="4.8104038329911019"/>
    <n v="4.2570957896993704"/>
    <n v="7.1090604499434891"/>
    <n v="80.289000000000001"/>
    <n v="7.2591075897216797"/>
    <n v="80.8005"/>
    <n v="7.1090604499434891"/>
    <n v="6.9650983810424805"/>
    <n v="81.311999999999998"/>
    <s v="BB+"/>
    <s v="Ba1"/>
    <s v="BBB-"/>
    <s v="Consumer, Cyclical"/>
    <s v="MEXICO"/>
    <n v="500000000"/>
    <n v="100000"/>
    <n v="5"/>
    <x v="8"/>
  </r>
  <r>
    <s v="XS2363244513"/>
    <s v="XS2363244513"/>
    <n v="9392"/>
    <n v="128"/>
    <n v="100000"/>
    <n v="7.8768809999999995E-2"/>
    <n v="99550"/>
    <n v="100000"/>
    <n v="7.8768809999999995E-2"/>
    <n v="99550"/>
    <n v="99.55"/>
    <n v="97.896000000000001"/>
    <n v="96.257000000000005"/>
    <s v="LHAGR 2 07/14/24"/>
    <n v="97.695999999999998"/>
    <n v="97.7"/>
    <s v="DEUTSCHE LUFTHANSA AG"/>
    <s v="EUR"/>
    <n v="2"/>
    <s v="FIXED"/>
    <s v="Sr Unsecured"/>
    <s v="14/07/2024"/>
    <n v="0.79397672826830934"/>
    <n v="0.75446296696574089"/>
    <n v="5.0432908491224833"/>
    <n v="97.346999999999994"/>
    <n v="5.5231075286865234"/>
    <n v="97.695499999999996"/>
    <n v="5.0432908491224833"/>
    <n v="4.5728731155395508"/>
    <n v="98.043999999999997"/>
    <s v="BB+"/>
    <s v="Ba1"/>
    <s v="#N/A N/A"/>
    <s v="Consumer, Cyclical"/>
    <s v="GERMANY"/>
    <n v="500000000"/>
    <n v="100000"/>
    <n v="1"/>
    <x v="7"/>
  </r>
  <r>
    <s v="XS2363989273"/>
    <s v="XS2363989273"/>
    <n v="9406"/>
    <n v="128"/>
    <n v="400000"/>
    <n v="0.28326213"/>
    <n v="406944.57"/>
    <n v="400000"/>
    <n v="0.28326213"/>
    <n v="406944.57"/>
    <n v="101.7361425"/>
    <n v="87.935000000000002"/>
    <n v="80.820999999999998"/>
    <s v="LRESM 1 3/4 07/22/26"/>
    <n v="87.867999999999995"/>
    <n v="87.831999999999994"/>
    <s v="LAR ESPANA REAL ESTATE"/>
    <s v="EUR"/>
    <n v="1.75"/>
    <s v="FIXED"/>
    <s v="Sr Unsecured"/>
    <s v="22/07/2026"/>
    <n v="2.8145106091718"/>
    <n v="2.5818025308831247"/>
    <n v="6.6306598296139931"/>
    <n v="87.433999999999997"/>
    <n v="6.8101320266723633"/>
    <n v="87.867500000000007"/>
    <n v="6.6306598296139931"/>
    <n v="6.4455394744873047"/>
    <n v="88.301000000000002"/>
    <s v="#N/A N/A"/>
    <s v="#N/A N/A"/>
    <s v="BBB"/>
    <s v="Financial"/>
    <s v="SPAIN"/>
    <n v="400000000"/>
    <n v="100000"/>
    <n v="3"/>
    <x v="0"/>
  </r>
  <r>
    <s v="XS2364754098"/>
    <s v="XS2364754098"/>
    <n v="9396"/>
    <n v="128"/>
    <n v="700000"/>
    <n v="0.51896989999999998"/>
    <n v="694884"/>
    <n v="700000"/>
    <n v="0.51896989999999998"/>
    <n v="694884"/>
    <n v="99.269142857142853"/>
    <n v="92.320999999999998"/>
    <n v="84.471999999999994"/>
    <s v="ARION 0 3/8 07/14/25"/>
    <n v="92.304000000000002"/>
    <n v="92.278999999999996"/>
    <s v="ARION BANKI HF"/>
    <s v="EUR"/>
    <n v="0.375"/>
    <s v="FIXED"/>
    <s v="Sr Preferred"/>
    <s v="14/07/2025"/>
    <n v="1.7932922655715264"/>
    <n v="1.6945304283326699"/>
    <n v="4.9963009635497571"/>
    <n v="92.149000000000001"/>
    <n v="5.1016607284545898"/>
    <n v="92.304000000000002"/>
    <n v="4.9963009635497571"/>
    <n v="4.8920564651489258"/>
    <n v="92.459000000000003"/>
    <s v="BBB"/>
    <s v="#N/A N/A"/>
    <s v="#N/A N/A"/>
    <s v="Financial"/>
    <s v="ICELAND"/>
    <n v="300000000"/>
    <n v="100000"/>
    <n v="2"/>
    <x v="6"/>
  </r>
  <r>
    <s v="XS2367164576"/>
    <s v="XS2367164576"/>
    <n v="9407"/>
    <n v="128"/>
    <n v="700000"/>
    <n v="0.47583980999999997"/>
    <n v="695899"/>
    <n v="700000"/>
    <n v="0.47583980999999997"/>
    <n v="695899"/>
    <n v="99.414142857142863"/>
    <n v="84.688999999999993"/>
    <n v="77.814999999999998"/>
    <s v="BULENR 2.45 07/22/28"/>
    <n v="84.141999999999996"/>
    <n v="84.179000000000002"/>
    <s v="BULGARIAN ENERGY HLD"/>
    <s v="EUR"/>
    <n v="2.4500000000000002"/>
    <s v="FIXED"/>
    <s v="Sr Unsecured"/>
    <s v="22/07/2028"/>
    <n v="4.815879534565366"/>
    <n v="4.2773519545987266"/>
    <n v="6.3840716641523514"/>
    <n v="83.661000000000001"/>
    <n v="6.5200099945068359"/>
    <n v="84.141999999999996"/>
    <n v="6.3840716641523514"/>
    <n v="6.2542190551757813"/>
    <n v="84.623000000000005"/>
    <s v="#N/A N/A"/>
    <s v="Ba2"/>
    <s v="BB+"/>
    <s v="Utilities"/>
    <s v="BULGARIA"/>
    <n v="600000000"/>
    <n v="100000"/>
    <n v="5"/>
    <x v="8"/>
  </r>
  <r>
    <s v="XS2378468420"/>
    <s v="XS2378468420"/>
    <n v="9468"/>
    <n v="128"/>
    <n v="200000"/>
    <n v="0.11415723"/>
    <n v="198534"/>
    <n v="200000"/>
    <n v="0.11415723"/>
    <n v="198534"/>
    <n v="99.266999999999996"/>
    <n v="74.268000000000001"/>
    <n v="69.569999999999993"/>
    <s v="WUWGR 2 1/8 09/10/41"/>
    <n v="70.997"/>
    <n v="71.009"/>
    <s v="WUESTENROT&amp;WUERTTEMBERG"/>
    <s v="EUR"/>
    <n v="2.125"/>
    <s v="VARIABLE"/>
    <s v="Subordinated"/>
    <s v="10/03/2031"/>
    <n v="7.4469541409993152"/>
    <n v="6.3736813815814495"/>
    <n v="7.3223254768364985"/>
    <n v="70.549000000000007"/>
    <n v="7.423039436340332"/>
    <n v="70.996499999999997"/>
    <n v="7.3223254768364985"/>
    <n v="7.2251949310302734"/>
    <n v="71.444000000000003"/>
    <s v="BBB-"/>
    <s v="#N/A N/A"/>
    <s v="#N/A N/A"/>
    <s v="Financial"/>
    <s v="GERMANY"/>
    <n v="300000000"/>
    <n v="100000"/>
    <n v="8"/>
    <x v="3"/>
  </r>
  <r>
    <s v="XS2385393405"/>
    <s v="XS2385393405"/>
    <n v="9472"/>
    <n v="128"/>
    <n v="400000"/>
    <n v="0.27786654999999999"/>
    <n v="393494"/>
    <n v="400000"/>
    <n v="0.27786654999999999"/>
    <n v="393494"/>
    <n v="98.373500000000007"/>
    <n v="88.081999999999994"/>
    <n v="83.653999999999996"/>
    <s v="CLNXSM 1 09/15/27"/>
    <n v="86.513000000000005"/>
    <n v="86.542000000000002"/>
    <s v="CELLNEX FINANCE CO SA"/>
    <s v="EUR"/>
    <n v="1"/>
    <s v="FIXED"/>
    <s v="Sr Unsecured"/>
    <s v="15/09/2027"/>
    <n v="3.9644079397672827"/>
    <n v="3.7125272181393272"/>
    <n v="4.828657257008989"/>
    <n v="86.304000000000002"/>
    <n v="4.9019412994384766"/>
    <n v="86.512500000000003"/>
    <n v="4.828657257008989"/>
    <n v="4.7738103866577148"/>
    <n v="86.721000000000004"/>
    <s v="BB+"/>
    <s v="#N/A N/A"/>
    <s v="BBB-"/>
    <s v="Industrial"/>
    <s v="SPAIN"/>
    <n v="1000000000"/>
    <n v="100000"/>
    <n v="4"/>
    <x v="1"/>
  </r>
  <r>
    <s v="XS2386287689"/>
    <s v="XS2386287689"/>
    <n v="9471"/>
    <n v="128"/>
    <n v="250000"/>
    <n v="0.17209458999999999"/>
    <n v="250477.5"/>
    <n v="250000"/>
    <n v="0.17209458999999999"/>
    <n v="250477.5"/>
    <n v="100.191"/>
    <n v="86.049000000000007"/>
    <n v="81.596000000000004"/>
    <s v="BACRED 0 3/4 11/02/28"/>
    <n v="85.063999999999993"/>
    <n v="85.096000000000004"/>
    <s v="MEDIOBANCA DI CRED FIN"/>
    <s v="EUR"/>
    <n v="0.75"/>
    <s v="VARIABLE"/>
    <s v="Sr Non Preferred"/>
    <s v="02/11/2027"/>
    <n v="4.0958247775496233"/>
    <n v="3.8185996883312945"/>
    <n v="4.8698927919243911"/>
    <n v="84.837999999999994"/>
    <n v="4.9501314163208008"/>
    <n v="85.063500000000005"/>
    <n v="4.8698927919243911"/>
    <n v="4.8086919784545898"/>
    <n v="85.289000000000001"/>
    <s v="BBB-"/>
    <s v="Baa3"/>
    <s v="BBB-"/>
    <s v="Financial"/>
    <s v="ITALY"/>
    <n v="500000000"/>
    <n v="250000"/>
    <n v="5"/>
    <x v="1"/>
  </r>
  <r>
    <s v="XS2407027031"/>
    <s v="XS2407027031"/>
    <n v="9603"/>
    <n v="128"/>
    <n v="100000"/>
    <n v="6.8093630000000002E-2"/>
    <n v="100175"/>
    <n v="100000"/>
    <n v="6.8093630000000002E-2"/>
    <n v="100175"/>
    <n v="100.175"/>
    <n v="84.584000000000003"/>
    <n v="75.980999999999995"/>
    <s v="VIAOUT 1 3/4 11/15/28"/>
    <n v="83.346999999999994"/>
    <n v="83.382999999999996"/>
    <s v="VIA OUTLETS BV"/>
    <s v="EUR"/>
    <n v="1.75"/>
    <s v="FIXED"/>
    <s v="Sr Unsecured"/>
    <s v="15/11/2028"/>
    <n v="5.1334702258726903"/>
    <n v="4.5829811352956318"/>
    <n v="5.57671103033499"/>
    <n v="83.034000000000006"/>
    <n v="5.6656064987182617"/>
    <n v="83.347000000000008"/>
    <n v="5.57671103033499"/>
    <n v="5.505894660949707"/>
    <n v="83.66"/>
    <s v="#N/A N/A"/>
    <s v="#N/A N/A"/>
    <s v="BBB+"/>
    <s v="Financial"/>
    <s v="NETHERLANDS"/>
    <n v="600000000"/>
    <n v="100000"/>
    <n v="6"/>
    <x v="8"/>
  </r>
  <r>
    <s v="XS2408458227"/>
    <s v="XS2408458227"/>
    <n v="9606"/>
    <n v="128"/>
    <n v="200000"/>
    <n v="0.16227554999999999"/>
    <n v="200366"/>
    <n v="200000"/>
    <n v="0.16227554999999999"/>
    <n v="200366"/>
    <n v="100.18300000000001"/>
    <n v="99.632999999999996"/>
    <n v="97.784000000000006"/>
    <s v="LHAGR 1 5/8 11/16/23"/>
    <n v="99.634"/>
    <n v="99.632999999999996"/>
    <s v="DEUTSCHE LUFTHANSA AG"/>
    <s v="EUR"/>
    <n v="1.625"/>
    <s v="FIXED"/>
    <s v="Sr Unsecured"/>
    <s v="16/11/2023"/>
    <n v="0.13415468856947296"/>
    <n v="0.12291602796141944"/>
    <n v="4.54958049345404"/>
    <n v="99.373000000000005"/>
    <n v="6.6572046279907227"/>
    <n v="99.633499999999998"/>
    <n v="4.54958049345404"/>
    <n v="2.4521551132202148"/>
    <n v="99.894000000000005"/>
    <s v="BB+"/>
    <s v="Ba1"/>
    <s v="#N/A N/A"/>
    <s v="Consumer, Cyclical"/>
    <s v="GERMANY"/>
    <n v="600000000"/>
    <n v="100000"/>
    <n v="1"/>
    <x v="18"/>
  </r>
  <r>
    <s v="XS2432162654"/>
    <s v="XS2432162654"/>
    <n v="9706"/>
    <n v="128"/>
    <n v="100000"/>
    <n v="5.1650649999999999E-2"/>
    <n v="98271"/>
    <n v="100000"/>
    <n v="5.1650649999999999E-2"/>
    <n v="98271"/>
    <n v="98.271000000000001"/>
    <n v="65.525999999999996"/>
    <n v="57.436"/>
    <s v="CPIPGR 1 3/4 01/14/30"/>
    <n v="62.89"/>
    <n v="63.125"/>
    <s v="CPI PROPERTY GROUP SA"/>
    <s v="EUR"/>
    <n v="1.75"/>
    <s v="FIXED"/>
    <s v="Sr Unsecured"/>
    <s v="14/01/2030"/>
    <n v="6.2970568104038334"/>
    <n v="5.2849927345351917"/>
    <n v="9.9746760323995289"/>
    <n v="62.514000000000003"/>
    <n v="10.08977222442627"/>
    <n v="62.89"/>
    <n v="9.9746760323995289"/>
    <n v="9.8677873611450195"/>
    <n v="63.265999999999998"/>
    <s v="BBB-"/>
    <s v="Baa3"/>
    <s v="#N/A N/A"/>
    <s v="Financial"/>
    <s v="LUXEMBOURG"/>
    <n v="700000000"/>
    <n v="100000"/>
    <n v="7"/>
    <x v="15"/>
  </r>
  <r>
    <s v="XS2434763483"/>
    <s v="XS2434763483"/>
    <n v="9713"/>
    <n v="128"/>
    <n v="200000"/>
    <n v="0.12558865"/>
    <n v="196856"/>
    <n v="200000"/>
    <n v="0.12558865"/>
    <n v="196856"/>
    <n v="98.427999999999997"/>
    <n v="77.207999999999998"/>
    <n v="69.691000000000003"/>
    <s v="NEPSJ 2 01/20/30"/>
    <n v="76.867000000000004"/>
    <n v="76.899000000000001"/>
    <s v="NE PROPERTY BV"/>
    <s v="EUR"/>
    <n v="2"/>
    <s v="FIXED"/>
    <s v="Sr Unsecured"/>
    <s v="20/01/2030"/>
    <n v="6.3134839151266258"/>
    <n v="5.4738686864839465"/>
    <n v="6.603363425838932"/>
    <n v="76.317999999999998"/>
    <n v="6.7393274307250977"/>
    <n v="76.866500000000002"/>
    <n v="6.603363425838932"/>
    <n v="6.4827117919921875"/>
    <n v="77.415000000000006"/>
    <s v="BBB"/>
    <s v="#N/A N/A"/>
    <s v="BBB+"/>
    <s v="Financial"/>
    <s v="NETHERLANDS"/>
    <n v="500000000"/>
    <n v="100000"/>
    <n v="7"/>
    <x v="15"/>
  </r>
  <r>
    <s v="XS2435611244"/>
    <s v="XS2435611244"/>
    <n v="9722"/>
    <n v="128"/>
    <n v="200000"/>
    <n v="0.11775527"/>
    <n v="198880"/>
    <n v="200000"/>
    <n v="0.11775527"/>
    <n v="198880"/>
    <n v="99.44"/>
    <n v="78.108999999999995"/>
    <n v="67.203000000000003"/>
    <s v="HEIBOS 1 3/8 07/24/28"/>
    <n v="73.135000000000005"/>
    <n v="73.129000000000005"/>
    <s v="HEIMSTADEN BOSTAD TRESRY"/>
    <s v="EUR"/>
    <n v="1.375"/>
    <s v="FIXED"/>
    <s v="Sr Unsecured"/>
    <s v="24/07/2028"/>
    <n v="4.8213552361396301"/>
    <n v="4.2926976330023656"/>
    <n v="8.3903284247143279"/>
    <n v="72.695999999999998"/>
    <n v="8.5371685028076172"/>
    <n v="73.134999999999991"/>
    <n v="8.3903284247143279"/>
    <n v="8.2578277587890625"/>
    <n v="73.573999999999998"/>
    <s v="BBB"/>
    <s v="#N/A N/A"/>
    <s v="BBB *-"/>
    <s v="Financial"/>
    <s v="NETHERLANDS"/>
    <n v="500000000"/>
    <n v="100000"/>
    <n v="5"/>
    <x v="8"/>
  </r>
  <r>
    <s v="XS2438615606"/>
    <s v="XS2438615606"/>
    <n v="9744"/>
    <n v="128"/>
    <n v="1000000"/>
    <n v="0.76360618999999996"/>
    <n v="941150"/>
    <n v="1000000"/>
    <n v="0.76360618999999996"/>
    <n v="941150"/>
    <n v="94.114999999999995"/>
    <n v="95.052999999999997"/>
    <n v="92.753"/>
    <s v="VW 0 1/4 01/31/25"/>
    <n v="95.018000000000001"/>
    <n v="94.998999999999995"/>
    <s v="VOLKSWAGEN FIN SERV AG"/>
    <s v="EUR"/>
    <n v="0.25"/>
    <s v="FIXED"/>
    <s v="Sr Unsecured"/>
    <s v="31/01/2025"/>
    <n v="1.3442847364818618"/>
    <n v="1.276487790827745"/>
    <n v="4.1731683818932233"/>
    <n v="94.938000000000002"/>
    <n v="4.2453956604003906"/>
    <n v="95.018000000000001"/>
    <n v="4.1731683818932233"/>
    <n v="4.1119022369384766"/>
    <n v="95.097999999999999"/>
    <s v="BBB+"/>
    <s v="A3"/>
    <s v="#N/A N/A"/>
    <s v="Consumer, Cyclical"/>
    <s v="GERMANY"/>
    <n v="1000000000"/>
    <n v="1000"/>
    <n v="2"/>
    <x v="7"/>
  </r>
  <r>
    <s v="XS2455392584"/>
    <s v="XS2455392584"/>
    <n v="9871"/>
    <n v="128"/>
    <n v="100000"/>
    <n v="7.8271629999999995E-2"/>
    <n v="100147"/>
    <n v="100000"/>
    <n v="7.8271629999999995E-2"/>
    <n v="100147"/>
    <n v="100.14700000000001"/>
    <n v="96.447000000000003"/>
    <n v="93.912999999999997"/>
    <s v="SABSM 2 5/8 03/24/26"/>
    <n v="96.159000000000006"/>
    <n v="96.146000000000001"/>
    <s v="BANCO DE SABADELL SA"/>
    <s v="EUR"/>
    <n v="2.625"/>
    <s v="VARIABLE"/>
    <s v="Sr Non Preferred"/>
    <s v="24/03/2025"/>
    <n v="1.4866529774127311"/>
    <n v="1.3764662790342532"/>
    <n v="5.3903195992331954"/>
    <n v="96.015000000000001"/>
    <n v="5.5001716613769531"/>
    <n v="96.158999999999992"/>
    <n v="5.3903195992331954"/>
    <n v="5.2522916793823242"/>
    <n v="96.302999999999997"/>
    <s v="BB+"/>
    <s v="NR"/>
    <s v="BBB-"/>
    <s v="Financial"/>
    <s v="SPAIN"/>
    <n v="750000000"/>
    <n v="100000"/>
    <n v="2"/>
    <x v="7"/>
  </r>
  <r>
    <s v="XS2465984289"/>
    <s v="XS2465984289"/>
    <n v="9894"/>
    <n v="128"/>
    <n v="200000"/>
    <n v="0.15407646999999999"/>
    <n v="199382"/>
    <n v="200000"/>
    <n v="0.15407646999999999"/>
    <n v="199382"/>
    <n v="99.691000000000003"/>
    <n v="95.635999999999996"/>
    <n v="92.786000000000001"/>
    <s v="BKIR 1 7/8 06/05/26"/>
    <n v="95.388999999999996"/>
    <n v="95.403999999999996"/>
    <s v="BANK OF IRELAND GROUP"/>
    <s v="EUR"/>
    <n v="1.875"/>
    <s v="VARIABLE"/>
    <s v="Sr Unsecured"/>
    <s v="05/06/2025"/>
    <n v="1.6865160848733745"/>
    <n v="1.5809557446953222"/>
    <n v="4.7996024894494038"/>
    <n v="95.304000000000002"/>
    <n v="4.8614673614501953"/>
    <n v="95.38900000000001"/>
    <n v="4.7996024894494038"/>
    <n v="4.7492055892944336"/>
    <n v="95.474000000000004"/>
    <s v="BBB"/>
    <s v="A3"/>
    <s v="BBB+"/>
    <s v="Financial"/>
    <s v="IRELAND"/>
    <n v="1000000000"/>
    <n v="100000"/>
    <n v="2"/>
    <x v="6"/>
  </r>
  <r>
    <s v="XS2528155893"/>
    <s v="XS2528155893"/>
    <n v="10137"/>
    <n v="128"/>
    <n v="300000"/>
    <n v="0.24127724"/>
    <n v="301389"/>
    <n v="300000"/>
    <n v="0.24127724"/>
    <n v="301389"/>
    <n v="100.46299999999999"/>
    <n v="102.373"/>
    <n v="98.588999999999999"/>
    <s v="SABSM 5 3/8 09/08/26"/>
    <n v="99.834000000000003"/>
    <n v="99.855000000000004"/>
    <s v="BANCO DE SABADELL SA"/>
    <s v="EUR"/>
    <n v="5.375"/>
    <s v="VARIABLE"/>
    <s v="Sr Non Preferred"/>
    <s v="08/09/2025"/>
    <n v="1.946611909650924"/>
    <n v="1.7873630971096777"/>
    <n v="5.463172113984613"/>
    <n v="99.674000000000007"/>
    <n v="5.5565948486328125"/>
    <n v="99.833500000000001"/>
    <n v="5.463172113984613"/>
    <n v="5.3777656555175781"/>
    <n v="99.992999999999995"/>
    <s v="BB+"/>
    <s v="NR"/>
    <s v="BBB-"/>
    <s v="Financial"/>
    <s v="SPAIN"/>
    <n v="500000000"/>
    <n v="100000"/>
    <n v="2"/>
    <x v="6"/>
  </r>
  <r>
    <s v="XS2544400786"/>
    <s v="XS2544400786"/>
    <n v="10189"/>
    <n v="128"/>
    <n v="300000"/>
    <n v="0.24533448999999999"/>
    <n v="296835"/>
    <n v="300000"/>
    <n v="0.24533448999999999"/>
    <n v="296835"/>
    <n v="98.944999999999993"/>
    <n v="101.40900000000001"/>
    <n v="99.203000000000003"/>
    <s v="JYBC 4 5/8 04/11/26"/>
    <n v="99.75"/>
    <n v="99.745999999999995"/>
    <s v="JYSKE BANK A/S"/>
    <s v="EUR"/>
    <n v="4.625"/>
    <s v="VARIABLE"/>
    <s v="Sr Non Preferred"/>
    <s v="11/04/2025"/>
    <n v="1.5359342915811087"/>
    <n v="1.4136160691153643"/>
    <n v="4.7805345945203586"/>
    <n v="99.662999999999997"/>
    <n v="4.8450450897216797"/>
    <n v="99.749499999999998"/>
    <n v="4.7805345945203586"/>
    <n v="4.7241582870483398"/>
    <n v="99.835999999999999"/>
    <s v="BBB+"/>
    <s v="NR"/>
    <s v="#N/A N/A"/>
    <s v="Financial"/>
    <s v="DENMARK"/>
    <n v="500000000"/>
    <n v="100000"/>
    <n v="2"/>
    <x v="6"/>
  </r>
  <r>
    <s v="XS2547591474"/>
    <s v="XS2547591474"/>
    <n v="10371"/>
    <n v="128"/>
    <n v="1000000"/>
    <n v="0.81089372000000004"/>
    <n v="998950"/>
    <n v="1000000"/>
    <n v="0.81089372000000004"/>
    <n v="998950"/>
    <n v="99.894999999999996"/>
    <n v="100.928"/>
    <n v="98.566000000000003"/>
    <s v="SUMIBK 3.602 02/16/26"/>
    <n v="98.769000000000005"/>
    <n v="98.843999999999994"/>
    <s v="SUMITOMO MITSUI BANKING"/>
    <s v="EUR"/>
    <n v="3.6019999999999999"/>
    <s v="FIXED"/>
    <s v="Secured"/>
    <s v="16/02/2026"/>
    <n v="2.3874058863791925"/>
    <n v="2.1816467619326443"/>
    <n v="4.1491176581457658"/>
    <n v="98.695999999999998"/>
    <n v="4.189453125"/>
    <n v="98.769000000000005"/>
    <n v="4.1491176581457658"/>
    <n v="4.1230430603027344"/>
    <n v="98.841999999999999"/>
    <s v="#N/A N/A"/>
    <s v="Aaa"/>
    <s v="#N/A N/A"/>
    <s v="Financial"/>
    <s v="JAPAN"/>
    <n v="750000000"/>
    <n v="100000"/>
    <n v="3"/>
    <x v="6"/>
  </r>
  <r>
    <s v="XS2584643113"/>
    <s v="XS2584643113"/>
    <n v="10368"/>
    <n v="128"/>
    <n v="300000"/>
    <n v="0.24327824000000001"/>
    <n v="299598"/>
    <n v="300000"/>
    <n v="0.24327824000000001"/>
    <n v="299598"/>
    <n v="99.866"/>
    <n v="99.978999999999999"/>
    <n v="98.581999999999994"/>
    <s v="NDAFH 3 5/8 02/10/26"/>
    <n v="98.757999999999996"/>
    <n v="98.76"/>
    <s v="NORDEA BANK ABP"/>
    <s v="EUR"/>
    <n v="3.625"/>
    <s v="VARIABLE"/>
    <s v="Sr Non Preferred"/>
    <s v="10/02/2025"/>
    <n v="1.3716632443531827"/>
    <n v="1.2664964661512546"/>
    <n v="4.5739119059968001"/>
    <n v="98.677999999999997"/>
    <n v="4.642216682434082"/>
    <n v="98.757999999999996"/>
    <n v="4.5739119059968001"/>
    <n v="4.5159931182861328"/>
    <n v="98.837999999999994"/>
    <s v="A"/>
    <s v="A3"/>
    <s v="AA-"/>
    <s v="Financial"/>
    <s v="FINLAND"/>
    <n v="1000000000"/>
    <n v="100000"/>
    <n v="2"/>
    <x v="7"/>
  </r>
  <r>
    <s v="XS2592650373"/>
    <s v="XS2592650373"/>
    <n v="10426"/>
    <n v="128"/>
    <n v="500000"/>
    <n v="0.41166652999999997"/>
    <n v="496630"/>
    <n v="500000"/>
    <n v="0.41166652999999997"/>
    <n v="496630"/>
    <n v="99.325999999999993"/>
    <n v="101.378"/>
    <n v="98.855999999999995"/>
    <s v="ISPIM 5 03/08/28"/>
    <n v="99.739000000000004"/>
    <n v="99.786000000000001"/>
    <s v="INTESA SANPAOLO SPA"/>
    <s v="EUR"/>
    <n v="5"/>
    <s v="VARIABLE"/>
    <s v="Sr Non Preferred"/>
    <s v="08/03/2027"/>
    <n v="3.4414784394250515"/>
    <n v="3.0037527973107601"/>
    <n v="5.0747444220321487"/>
    <n v="99.596000000000004"/>
    <n v="5.1286458969116211"/>
    <n v="99.739499999999992"/>
    <n v="5.0747444220321487"/>
    <n v="5.0353336334228516"/>
    <n v="99.882999999999996"/>
    <s v="BBB-"/>
    <s v="Baa3"/>
    <s v="BBB-"/>
    <s v="Financial"/>
    <s v="ITALY"/>
    <n v="1500000000"/>
    <n v="150000"/>
    <n v="4"/>
    <x v="0"/>
  </r>
  <r>
    <s v="US91282CGM73"/>
    <s v="US91282CGM73"/>
    <n v="10477"/>
    <n v="128"/>
    <n v="1844167.82"/>
    <n v="1.4127742299999999"/>
    <n v="1988125"/>
    <n v="1844167.82"/>
    <n v="1.4127742299999999"/>
    <n v="1988125"/>
    <n v="107.80607808241659"/>
    <n v="101.60155"/>
    <n v="91.515625"/>
    <s v="T 3 1/2 02/15/33"/>
    <n v="91.546875"/>
    <n v="91.515625"/>
    <s v="US TREASURY N/B"/>
    <s v="USD"/>
    <n v="3.5"/>
    <s v="FIXED"/>
    <s v="Unsecured"/>
    <s v="15/02/2033"/>
    <n v="9.3853524982888441"/>
    <n v="7.7861732306329845"/>
    <n v="4.6237499602587615"/>
    <n v="91.5"/>
    <n v="4.6357603073120117"/>
    <n v="91.5234375"/>
    <n v="4.6237499602587615"/>
    <n v="4.6292076110839844"/>
    <n v="91.546875"/>
    <s v="#N/A N/A"/>
    <s v="Aaa"/>
    <s v="AA+u"/>
    <s v="Government"/>
    <s v="UNITED STATES"/>
    <n v="114701000000"/>
    <n v="100"/>
    <n v="10"/>
    <x v="5"/>
  </r>
  <r>
    <s v="EU000A3KSXE1"/>
    <s v="EU000A3KSXE1"/>
    <n v="10483"/>
    <n v="128"/>
    <n v="2000000"/>
    <n v="1.23746098"/>
    <n v="1577200"/>
    <n v="2000000"/>
    <n v="1.23746098"/>
    <n v="1577200"/>
    <n v="78.86"/>
    <n v="80.674000000000007"/>
    <n v="76.236999999999995"/>
    <s v="EU 0 07/04/31"/>
    <n v="76.902000000000001"/>
    <n v="77.097999999999999"/>
    <s v="EUROPEAN UNION"/>
    <s v="EUR"/>
    <n v="0"/>
    <s v="FIXED"/>
    <s v="Sr Unsecured"/>
    <s v="04/07/2031"/>
    <n v="7.7645448323066395"/>
    <n v="7.4964121221093567"/>
    <n v="3.4451052057292486"/>
    <n v="76.858000000000004"/>
    <n v="3.4619112014770508"/>
    <n v="76.902000000000001"/>
    <n v="3.4451052057292486"/>
    <n v="3.4467258453369141"/>
    <n v="76.945999999999998"/>
    <s v="AA+"/>
    <s v="Aaa"/>
    <s v="AAA"/>
    <s v="Government"/>
    <s v="SNAT"/>
    <n v="20000000000"/>
    <n v="1"/>
    <n v="8"/>
    <x v="4"/>
  </r>
  <r>
    <s v="IT0005359507"/>
    <s v="IT0005359507"/>
    <n v="7614"/>
    <n v="128"/>
    <n v="1000000"/>
    <n v="0.80708919000000001"/>
    <n v="985830"/>
    <n v="1000000"/>
    <n v="0.80708919000000001"/>
    <n v="985830"/>
    <n v="98.582999999999998"/>
    <n v="99.266000000000005"/>
    <n v="98.108000000000004"/>
    <s v="MONTE 2 01/29/24"/>
    <n v="99.274000000000001"/>
    <n v="99.227999999999994"/>
    <s v="BANCA MONTE DEI PASCHI S"/>
    <s v="EUR"/>
    <n v="2"/>
    <s v="FIXED"/>
    <s v="Secured"/>
    <s v="29/01/2024"/>
    <n v="0.33675564681724846"/>
    <n v="0.32175370646873547"/>
    <n v="4.2022258053437689"/>
    <n v="99.231999999999999"/>
    <n v="4.3344402313232422"/>
    <n v="99.273499999999999"/>
    <n v="4.2022258053437689"/>
    <n v="4.1019086837768555"/>
    <n v="99.314999999999998"/>
    <s v="#N/A N/A"/>
    <s v="Aa3"/>
    <s v="AA-"/>
    <s v="Financial"/>
    <s v="ITALY"/>
    <n v="1000000000"/>
    <n v="100000"/>
    <n v="1"/>
    <x v="17"/>
  </r>
  <r>
    <s v="DE000BU0E030"/>
    <s v="DE000BU0E030"/>
    <n v="10492"/>
    <n v="128"/>
    <n v="3000000"/>
    <n v="2.36564547"/>
    <n v="2917650"/>
    <n v="3000000"/>
    <n v="2.36564547"/>
    <n v="2917650"/>
    <n v="97.254999999999995"/>
    <n v="98.248000000000005"/>
    <n v="97.070999999999998"/>
    <s v="BUBILL 0 03/20/24"/>
    <n v="98.274000000000001"/>
    <n v="98.248000000000005"/>
    <s v="GERMAN TREASURY BILL"/>
    <s v="EUR"/>
    <n v="0"/>
    <s v="ZERO COUPON"/>
    <s v="Unsecured"/>
    <s v="20/03/2024"/>
    <n v="0.47638603696098564"/>
    <n v="0.46410944544517657"/>
    <n v="3.7181567955065082"/>
    <n v="98.266999999999996"/>
    <n v="3.7332344055175781"/>
    <n v="98.274499999999989"/>
    <n v="3.7181567955065082"/>
    <n v="3.7017850875854492"/>
    <n v="98.281999999999996"/>
    <s v="#N/A N/A"/>
    <s v="#N/A N/A"/>
    <s v="F1+u"/>
    <s v="Government"/>
    <s v="GERMANY"/>
    <n v="17000000000"/>
    <n v="0.01"/>
    <n v="1"/>
    <x v="10"/>
  </r>
  <r>
    <s v="FR0127613513"/>
    <s v="FR0127613513"/>
    <n v="10493"/>
    <n v="128"/>
    <n v="200000"/>
    <n v="0.15763585999999999"/>
    <n v="194246"/>
    <n v="200000"/>
    <n v="0.15763585999999999"/>
    <n v="194246"/>
    <n v="97.123000000000005"/>
    <n v="98.212000000000003"/>
    <n v="96.989000000000004"/>
    <s v="BTF 0 03/20/24"/>
    <n v="98.242000000000004"/>
    <n v="98.212000000000003"/>
    <s v="FRENCH DISCOUNT T-BILL"/>
    <s v="EUR"/>
    <n v="0"/>
    <s v="ZERO COUPON"/>
    <s v="Unsecured"/>
    <s v="20/03/2024"/>
    <n v="0.47638603696098564"/>
    <n v="0.46394416766631169"/>
    <n v="3.7894419183361556"/>
    <n v="98.236999999999995"/>
    <n v="3.8025903701782227"/>
    <n v="98.24199999999999"/>
    <n v="3.7894419183361556"/>
    <n v="3.7776813507080078"/>
    <n v="98.247"/>
    <s v="#N/A N/A"/>
    <s v="#N/A N/A"/>
    <s v="F1+u"/>
    <s v="Government"/>
    <s v="FRANCE"/>
    <n v="8507000000"/>
    <n v="1"/>
    <n v="1"/>
    <x v="10"/>
  </r>
  <r>
    <s v="EU000A3K4D58"/>
    <s v="EU000A3K4D58"/>
    <n v="10519"/>
    <n v="128"/>
    <n v="2500000"/>
    <n v="2.0048705099999999"/>
    <n v="2463625"/>
    <n v="2500000"/>
    <n v="2.0048705099999999"/>
    <n v="2463625"/>
    <n v="98.545000000000002"/>
    <n v="99.927000000000007"/>
    <n v="98.498999999999995"/>
    <s v="EUB 0 10/06/23"/>
    <n v="99.959000000000003"/>
    <n v="99.927000000000007"/>
    <s v="EUROPEAN UNION BILL"/>
    <s v="EUR"/>
    <n v="0"/>
    <s v="ZERO COUPON"/>
    <s v="Unsecured"/>
    <s v="06/10/2023"/>
    <n v="2.190280629705681E-2"/>
    <n v="1.1106555555646509E-2"/>
    <n v="3.7365506685280714"/>
    <n v="99.957999999999998"/>
    <n v="3.7877559661865234"/>
    <n v="99.958500000000001"/>
    <n v="3.7365506685280714"/>
    <n v="3.6874227523803711"/>
    <n v="99.959000000000003"/>
    <s v="A-1+"/>
    <s v="P-1"/>
    <s v="F1+"/>
    <s v="Government"/>
    <s v="SNAT"/>
    <n v="3986000000"/>
    <n v="1"/>
    <n v="1"/>
    <x v="16"/>
  </r>
  <r>
    <s v="ES0365936048"/>
    <s v="ES0365936048"/>
    <n v="10558"/>
    <n v="128"/>
    <n v="600000"/>
    <n v="0.49076246000000001"/>
    <n v="598584"/>
    <n v="600000"/>
    <n v="0.49076246000000001"/>
    <n v="598584"/>
    <n v="99.763999999999996"/>
    <n v="100.203"/>
    <n v="99.391999999999996"/>
    <s v="ABANCA 5 1/2 05/18/26"/>
    <n v="99.91"/>
    <n v="99.918000000000006"/>
    <s v="ABANCA CORP BANCARIA SA"/>
    <s v="EUR"/>
    <n v="5.5"/>
    <s v="VARIABLE"/>
    <s v="Sr Preferred"/>
    <s v="18/05/2025"/>
    <n v="1.6372347707049966"/>
    <n v="1.4920573768754479"/>
    <n v="5.5368804286798126"/>
    <n v="99.796999999999997"/>
    <n v="5.6181726455688477"/>
    <n v="99.909500000000008"/>
    <n v="5.5368804286798126"/>
    <n v="5.4694795608520508"/>
    <n v="100.02200000000001"/>
    <s v="#N/A N/A"/>
    <s v="Baa3"/>
    <s v="BBB-"/>
    <s v="Financial"/>
    <s v="SPAIN"/>
    <n v="500000000"/>
    <n v="100000"/>
    <n v="2"/>
    <x v="6"/>
  </r>
  <r>
    <s v="XS2623501181"/>
    <s v="XS2623501181"/>
    <n v="10554"/>
    <n v="128"/>
    <n v="600000"/>
    <n v="0.48669708"/>
    <n v="601272"/>
    <n v="600000"/>
    <n v="0.48669708"/>
    <n v="601272"/>
    <n v="100.212"/>
    <n v="100.258"/>
    <n v="98.822999999999993"/>
    <s v="CABKSM 4 5/8 05/16/27"/>
    <n v="99.352999999999994"/>
    <n v="99.376999999999995"/>
    <s v="CAIXABANK SA"/>
    <s v="EUR"/>
    <n v="4.625"/>
    <s v="VARIABLE"/>
    <s v="Sr Non Preferred"/>
    <s v="16/05/2026"/>
    <n v="2.6310746064339492"/>
    <n v="2.3741990609653412"/>
    <n v="4.8832555048059323"/>
    <n v="99.251999999999995"/>
    <n v="4.9312372207641602"/>
    <n v="99.352999999999994"/>
    <n v="4.8832555048059323"/>
    <n v="4.8471708297729492"/>
    <n v="99.453999999999994"/>
    <s v="BBB"/>
    <s v="Baa3"/>
    <s v="BBB+"/>
    <s v="Financial"/>
    <s v="SPAIN"/>
    <n v="1000000000"/>
    <n v="100000"/>
    <n v="3"/>
    <x v="0"/>
  </r>
  <r>
    <s v="XS2629047254"/>
    <s v="XS2629047254"/>
    <n v="10577"/>
    <n v="128"/>
    <n v="2000000"/>
    <n v="1.6281279399999999"/>
    <n v="1997710"/>
    <n v="2000000"/>
    <n v="1.6281279399999999"/>
    <n v="1997710"/>
    <n v="99.885499999999993"/>
    <n v="100.167"/>
    <n v="99.25"/>
    <s v="SWEDA 4 5/8 05/30/26"/>
    <n v="99.900999999999996"/>
    <n v="99.902000000000001"/>
    <s v="SWEDBANK AB"/>
    <s v="EUR"/>
    <n v="4.625"/>
    <s v="VARIABLE"/>
    <s v="Sr Non Preferred"/>
    <s v="30/05/2025"/>
    <n v="1.6700889801505818"/>
    <n v="1.5430447185868963"/>
    <n v="4.6735609691503992"/>
    <n v="99.81"/>
    <n v="4.7363357543945313"/>
    <n v="99.900499999999994"/>
    <n v="4.6735609691503992"/>
    <n v="4.6200618743896484"/>
    <n v="99.991"/>
    <s v="A-"/>
    <s v="Baa1"/>
    <s v="AA-"/>
    <s v="Financial"/>
    <s v="SWEDEN"/>
    <n v="750000000"/>
    <n v="100000"/>
    <n v="2"/>
    <x v="6"/>
  </r>
  <r>
    <s v="BE0002950310"/>
    <s v="BE0002950310"/>
    <n v="10612"/>
    <n v="128"/>
    <n v="800000"/>
    <n v="0.65050704000000004"/>
    <n v="798432"/>
    <n v="800000"/>
    <n v="0.65050704000000004"/>
    <n v="798432"/>
    <n v="99.804000000000002"/>
    <n v="100.30500000000001"/>
    <n v="99.349000000000004"/>
    <s v="KBCBB 4 1/2 06/06/26"/>
    <n v="99.911000000000001"/>
    <n v="99.912000000000006"/>
    <s v="KBC GROUP NV"/>
    <s v="EUR"/>
    <n v="4.5"/>
    <s v="VARIABLE"/>
    <s v="Sr Unsecured"/>
    <s v="06/06/2025"/>
    <n v="1.6892539356605065"/>
    <n v="1.564258834758453"/>
    <n v="4.5425198266590465"/>
    <n v="99.831999999999994"/>
    <n v="4.5975856781005859"/>
    <n v="99.911000000000001"/>
    <n v="4.5425198266590465"/>
    <n v="4.4976263046264648"/>
    <n v="99.99"/>
    <s v="A-"/>
    <s v="Baa1"/>
    <s v="A"/>
    <s v="Financial"/>
    <s v="BELGIUM"/>
    <n v="1250000000"/>
    <n v="100000"/>
    <n v="2"/>
    <x v="6"/>
  </r>
  <r>
    <s v="ES0344251014"/>
    <s v="ES0344251014"/>
    <n v="10614"/>
    <n v="128"/>
    <n v="800000"/>
    <n v="0.65639853000000004"/>
    <n v="797496"/>
    <n v="800000"/>
    <n v="0.65639853000000004"/>
    <n v="797496"/>
    <n v="99.686999999999998"/>
    <n v="101.304"/>
    <n v="99.459000000000003"/>
    <s v="CAZAR 5 5/8 06/07/27"/>
    <n v="100.446"/>
    <n v="100.499"/>
    <s v="IBERCAJA BANCO SA"/>
    <s v="EUR"/>
    <n v="5.625"/>
    <s v="VARIABLE"/>
    <s v="Sr Preferred"/>
    <s v="07/06/2026"/>
    <n v="2.6913073237508556"/>
    <n v="2.3956072970873863"/>
    <n v="5.4286951450848075"/>
    <n v="100.276"/>
    <n v="5.5052289962768555"/>
    <n v="100.4455"/>
    <n v="5.4286951450848075"/>
    <n v="5.3641605377197266"/>
    <n v="100.61499999999999"/>
    <s v="#N/A N/A"/>
    <s v="Baa3"/>
    <s v="BBB-"/>
    <s v="Financial"/>
    <s v="SPAIN"/>
    <n v="500000000"/>
    <n v="100000"/>
    <n v="3"/>
    <x v="0"/>
  </r>
  <r>
    <s v="XS2598331242"/>
    <s v="XS2598331242"/>
    <n v="10613"/>
    <n v="128"/>
    <n v="500000"/>
    <n v="0.40630836999999997"/>
    <n v="499180"/>
    <n v="500000"/>
    <n v="0.40630836999999997"/>
    <n v="499180"/>
    <n v="99.835999999999999"/>
    <n v="101.625"/>
    <n v="99.33"/>
    <s v="SABSM 5 06/07/29"/>
    <n v="99.518000000000001"/>
    <n v="99.635999999999996"/>
    <s v="BANCO DE SABADELL SA"/>
    <s v="EUR"/>
    <n v="5"/>
    <s v="VARIABLE"/>
    <s v="Sr Preferred"/>
    <s v="07/06/2028"/>
    <n v="4.6926762491444221"/>
    <n v="4.0219117344596453"/>
    <n v="5.1117548128322365"/>
    <n v="99.322000000000003"/>
    <n v="5.1708583831787109"/>
    <n v="99.518000000000001"/>
    <n v="5.1117548128322365"/>
    <n v="5.0762300491333008"/>
    <n v="99.713999999999999"/>
    <s v="BBB"/>
    <s v="NR"/>
    <s v="BBB"/>
    <s v="Financial"/>
    <s v="SPAIN"/>
    <n v="750000000"/>
    <n v="100000"/>
    <n v="5"/>
    <x v="8"/>
  </r>
  <r>
    <s v="ES0343307031"/>
    <s v="ES0343307031"/>
    <n v="10620"/>
    <n v="128"/>
    <n v="1200000"/>
    <n v="0.96718442000000004"/>
    <n v="1193916"/>
    <n v="1200000"/>
    <n v="0.96718442000000004"/>
    <n v="1193916"/>
    <n v="99.492999999999995"/>
    <n v="100.017"/>
    <n v="98.783000000000001"/>
    <s v="KUTXAB 4 3/4 06/15/27"/>
    <n v="99.037000000000006"/>
    <n v="99.043000000000006"/>
    <s v="KUTXABANK SA"/>
    <s v="EUR"/>
    <n v="4.75"/>
    <s v="VARIABLE"/>
    <s v="Sr Non Preferred"/>
    <s v="15/06/2026"/>
    <n v="2.7132101300479126"/>
    <n v="2.443463092985922"/>
    <n v="5.1306571998591499"/>
    <n v="98.909000000000006"/>
    <n v="5.1916818618774414"/>
    <n v="99.037000000000006"/>
    <n v="5.1306571998591499"/>
    <n v="5.0861454010009766"/>
    <n v="99.165000000000006"/>
    <s v="#N/A N/A"/>
    <s v="Baa2"/>
    <s v="BBB+"/>
    <s v="Financial"/>
    <s v="SPAIN"/>
    <n v="500000000"/>
    <n v="100000"/>
    <n v="3"/>
    <x v="0"/>
  </r>
  <r>
    <s v="ES0000012K53"/>
    <s v="ES0000012K53"/>
    <n v="9971"/>
    <n v="128"/>
    <n v="1000000"/>
    <n v="0.68833473999999994"/>
    <n v="868380"/>
    <n v="1000000"/>
    <n v="0.68833473999999994"/>
    <n v="868380"/>
    <n v="86.837999999999994"/>
    <n v="88.665000000000006"/>
    <n v="84.528999999999996"/>
    <s v="SPGB 0.8 07/30/29"/>
    <n v="85.403000000000006"/>
    <n v="85.554000000000002"/>
    <s v="BONOS Y OBLIG DEL ESTADO"/>
    <s v="EUR"/>
    <n v="0.8"/>
    <s v="FIXED"/>
    <s v="Sr Unsecured"/>
    <s v="30/07/2029"/>
    <n v="5.8370978781656397"/>
    <n v="5.4962486469695477"/>
    <n v="3.6243671663360497"/>
    <n v="85.375"/>
    <n v="3.6402797698974609"/>
    <n v="85.402500000000003"/>
    <n v="3.6243671663360497"/>
    <n v="3.6295356750488281"/>
    <n v="85.43"/>
    <s v="#N/A N/A"/>
    <s v="#N/A N/A"/>
    <s v="#N/A N/A"/>
    <s v="Government"/>
    <s v="SPAIN"/>
    <n v="24731207000"/>
    <n v="1000"/>
    <n v="6"/>
    <x v="15"/>
  </r>
  <r>
    <s v="PTGGDDOM0008"/>
    <s v="PTGGDDOM0008"/>
    <n v="10668"/>
    <n v="128"/>
    <n v="600000"/>
    <n v="0.48235027000000003"/>
    <n v="600408"/>
    <n v="600000"/>
    <n v="0.48235027000000003"/>
    <n v="600408"/>
    <n v="100.068"/>
    <n v="100.622"/>
    <n v="99.012"/>
    <s v="FLOEPT 4 7/8 07/03/28"/>
    <n v="98.944000000000003"/>
    <n v="99.012"/>
    <s v="FLOENE ENERGIAS SA"/>
    <s v="EUR"/>
    <n v="4.875"/>
    <s v="FIXED"/>
    <s v="Sr Unsecured"/>
    <s v="03/07/2028"/>
    <n v="4.7638603696098567"/>
    <n v="4.0970317461296544"/>
    <n v="5.1255380049244152"/>
    <n v="98.774000000000001"/>
    <n v="5.1764678955078125"/>
    <n v="98.944000000000003"/>
    <n v="5.1255380049244152"/>
    <n v="5.0932703018188477"/>
    <n v="99.114000000000004"/>
    <s v="BBB-"/>
    <s v="#N/A N/A"/>
    <s v="#N/A N/A"/>
    <s v="Utilities"/>
    <s v="PORTUGAL"/>
    <n v="420000000"/>
    <n v="100000"/>
    <n v="5"/>
    <x v="8"/>
  </r>
  <r>
    <s v="XS1963849440"/>
    <s v="XS1963849440"/>
    <n v="7525"/>
    <n v="128"/>
    <n v="300000"/>
    <n v="0.24011652"/>
    <n v="294750"/>
    <n v="300000"/>
    <n v="0.24011652"/>
    <n v="294750"/>
    <n v="98.25"/>
    <n v="98.852000000000004"/>
    <n v="97.412999999999997"/>
    <s v="DANBNK 1 5/8 03/15/24"/>
    <n v="98.866"/>
    <n v="98.852000000000004"/>
    <s v="DANSKE BANK A/S"/>
    <s v="EUR"/>
    <n v="1.625"/>
    <s v="FIXED"/>
    <s v="Sr Non Preferred"/>
    <s v="15/03/2024"/>
    <n v="0.46269678302532513"/>
    <n v="0.4427211906963045"/>
    <n v="4.1504449082756567"/>
    <n v="98.825000000000003"/>
    <n v="4.2397346496582031"/>
    <n v="98.866"/>
    <n v="4.1504449082756567"/>
    <n v="4.0550165176391602"/>
    <n v="98.906999999999996"/>
    <s v="BBB+"/>
    <s v="Baa2"/>
    <s v="A+"/>
    <s v="Financial"/>
    <s v="DENMARK"/>
    <n v="500000000"/>
    <n v="100000"/>
    <n v="1"/>
    <x v="10"/>
  </r>
  <r>
    <s v="DE000BU0E055"/>
    <s v="DE000BU0E055"/>
    <n v="10666"/>
    <n v="128"/>
    <n v="1000000"/>
    <n v="0.78397355999999996"/>
    <n v="969170"/>
    <n v="1000000"/>
    <n v="0.78397355999999996"/>
    <n v="969170"/>
    <n v="96.917000000000002"/>
    <n v="97.685000000000002"/>
    <n v="96.846999999999994"/>
    <s v="BUBILL 0 05/15/24"/>
    <n v="97.718000000000004"/>
    <n v="97.685000000000002"/>
    <s v="GERMAN TREASURY BILL"/>
    <s v="EUR"/>
    <n v="0"/>
    <s v="ZERO COUPON"/>
    <s v="Unsecured"/>
    <s v="15/05/2024"/>
    <n v="0.62970568104038327"/>
    <n v="0.61350211341986127"/>
    <n v="3.7199331216230758"/>
    <n v="97.71"/>
    <n v="3.7334461212158203"/>
    <n v="97.717999999999989"/>
    <n v="3.7199331216230758"/>
    <n v="3.7087039947509766"/>
    <n v="97.725999999999999"/>
    <s v="#N/A N/A"/>
    <s v="#N/A N/A"/>
    <s v="F1+u"/>
    <s v="Government"/>
    <s v="GERMANY"/>
    <n v="12500000000"/>
    <n v="0.01"/>
    <n v="1"/>
    <x v="7"/>
  </r>
  <r>
    <s v="XS2468378059"/>
    <s v="XS2468378059"/>
    <n v="10488"/>
    <n v="128"/>
    <n v="1000000"/>
    <n v="0.77099443999999995"/>
    <n v="944800"/>
    <n v="1000000"/>
    <n v="0.77099443999999995"/>
    <n v="944800"/>
    <n v="94.48"/>
    <n v="95.460999999999999"/>
    <n v="93.49"/>
    <s v="CABKSM 1 5/8 04/13/26"/>
    <n v="95.33"/>
    <n v="95.313000000000002"/>
    <s v="CAIXABANK SA"/>
    <s v="EUR"/>
    <n v="1.625"/>
    <s v="VARIABLE"/>
    <s v="Sr Non Preferred"/>
    <s v="13/04/2025"/>
    <n v="1.5414099931553731"/>
    <n v="1.4441712776629521"/>
    <n v="4.8592723674340128"/>
    <n v="95.254999999999995"/>
    <n v="4.9199609756469727"/>
    <n v="95.329499999999996"/>
    <n v="4.8592723674340128"/>
    <n v="4.8112335205078125"/>
    <n v="95.403999999999996"/>
    <s v="BBB"/>
    <s v="Baa3"/>
    <s v="BBB+"/>
    <s v="Financial"/>
    <s v="SPAIN"/>
    <n v="1000000000"/>
    <n v="100000"/>
    <n v="2"/>
    <x v="6"/>
  </r>
  <r>
    <s v="FR001400IU83"/>
    <s v="FR001400IU83"/>
    <n v="10699"/>
    <n v="128"/>
    <n v="100000"/>
    <n v="7.3691670000000001E-2"/>
    <n v="98120.33"/>
    <n v="100000"/>
    <n v="7.3691670000000001E-2"/>
    <n v="98120.33"/>
    <n v="98.120329999999996"/>
    <n v="91.24"/>
    <n v="89.8"/>
    <s v="ULFP 7 1/4 PERP"/>
    <n v="90.106999999999999"/>
    <n v="90.138000000000005"/>
    <s v="UNIBAIL-RODAMCO-WESTFLD"/>
    <s v="EUR"/>
    <n v="7.25"/>
    <s v="VARIABLE"/>
    <s v="Jr Subordinated"/>
    <s v="03/07/2028"/>
    <n v="4.7638603696098567"/>
    <n v="3.87283451970921"/>
    <n v="9.8486698648128783"/>
    <n v="89.65"/>
    <s v="#N/A N/A"/>
    <n v="90.106999999999999"/>
    <n v="9.8486698648128783"/>
    <s v="#N/A N/A"/>
    <n v="90.563999999999993"/>
    <s v="BBB-"/>
    <s v="Ba1"/>
    <s v="BBB-u"/>
    <s v="Financial"/>
    <s v="FRANCE"/>
    <n v="995000000"/>
    <n v="100000"/>
    <n v="5"/>
    <x v="8"/>
  </r>
  <r>
    <s v="ES0000012L78"/>
    <s v="ES0000012L78"/>
    <n v="10634"/>
    <n v="128"/>
    <n v="3000000"/>
    <n v="2.3590228799999999"/>
    <n v="3027870"/>
    <n v="3000000"/>
    <n v="2.3590228799999999"/>
    <n v="3027870"/>
    <n v="100.929"/>
    <n v="101.864"/>
    <n v="96.816999999999993"/>
    <s v="SPGB 3.55 10/31/33"/>
    <n v="96.501999999999995"/>
    <n v="96.816999999999993"/>
    <s v="BONOS Y OBLIG DEL ESTADO"/>
    <s v="EUR"/>
    <n v="3.55"/>
    <s v="FIXED"/>
    <s v="Sr Unsecured"/>
    <s v="31/10/2033"/>
    <n v="10.091718001368925"/>
    <n v="8.1959454079917684"/>
    <n v="3.9783002893604111"/>
    <n v="96.475999999999999"/>
    <n v="3.9927291870117188"/>
    <n v="96.501499999999993"/>
    <n v="3.9783002893604111"/>
    <n v="3.9863033294677734"/>
    <n v="96.527000000000001"/>
    <s v="#N/A N/A"/>
    <s v="#N/A N/A"/>
    <s v="#N/A N/A"/>
    <s v="Government"/>
    <s v="SPAIN"/>
    <n v="21014127000"/>
    <n v="1000"/>
    <n v="11"/>
    <x v="20"/>
  </r>
  <r>
    <s v="US912828WE61"/>
    <s v="US912828WE61"/>
    <n v="3626"/>
    <n v="128"/>
    <n v="1781261.13"/>
    <n v="1.5380507400000001"/>
    <n v="1983476.56"/>
    <n v="1781261.13"/>
    <n v="1.5380507400000001"/>
    <n v="1983476.56"/>
    <n v="111.35237425856815"/>
    <n v="99.650389999999987"/>
    <n v="98.296880000000002"/>
    <s v="T 2 3/4 11/15/23"/>
    <n v="99.69921875"/>
    <n v="99.650390630000004"/>
    <s v="US TREASURY N/B"/>
    <s v="USD"/>
    <n v="2.75"/>
    <s v="FIXED"/>
    <s v="Unsecured"/>
    <s v="15/11/2023"/>
    <n v="0.13141683778234087"/>
    <n v="0.12689596336257411"/>
    <n v="5.3588560294460486"/>
    <n v="99.625"/>
    <n v="5.6801261901855469"/>
    <n v="99.662109375"/>
    <n v="5.3588560294460486"/>
    <n v="5.0072898864746094"/>
    <n v="99.69921875"/>
    <s v="#N/A N/A"/>
    <s v="Aaa"/>
    <s v="AA+u"/>
    <s v="Government"/>
    <s v="UNITED STATES"/>
    <n v="65996000000"/>
    <n v="100"/>
    <n v="1"/>
    <x v="18"/>
  </r>
  <r>
    <s v="US91282CHR51"/>
    <s v="US91282CHR51"/>
    <n v="10735"/>
    <n v="128"/>
    <n v="1287593.1200000001"/>
    <n v="1.0338745499999999"/>
    <n v="1371125"/>
    <n v="1287593.1200000001"/>
    <n v="1.0338745499999999"/>
    <n v="1371125"/>
    <n v="106.48744379746296"/>
    <n v="99.554689999999994"/>
    <n v="96.023439999999994"/>
    <s v="T 4 07/31/30"/>
    <n v="96.046875"/>
    <n v="96.0234375"/>
    <s v="US TREASURY N/B"/>
    <s v="USD"/>
    <n v="4"/>
    <s v="FIXED"/>
    <s v="Unsecured"/>
    <s v="31/07/2030"/>
    <n v="6.839151266255989"/>
    <n v="5.8531152114973519"/>
    <n v="4.6856088294483431"/>
    <n v="96"/>
    <n v="4.6980409622192383"/>
    <n v="96.0234375"/>
    <n v="4.6856088294483431"/>
    <n v="4.6897516250610352"/>
    <n v="96.046875"/>
    <s v="#N/A N/A"/>
    <s v="Aaa"/>
    <s v="AA+u"/>
    <s v="Government"/>
    <s v="UNITED STATES"/>
    <n v="34990000000"/>
    <n v="100"/>
    <n v="7"/>
    <x v="3"/>
  </r>
  <r>
    <s v="DE000BU0E048"/>
    <s v="DE000BU0E048"/>
    <n v="10772"/>
    <n v="128"/>
    <n v="1000000"/>
    <n v="0.78532195999999999"/>
    <n v="978390"/>
    <n v="1000000"/>
    <n v="0.78532195999999999"/>
    <n v="978390"/>
    <n v="97.838999999999999"/>
    <n v="97.959000000000003"/>
    <n v="96.808000000000007"/>
    <s v="BUBILL 0 04/17/24"/>
    <n v="97.986999999999995"/>
    <n v="97.959000000000003"/>
    <s v="GERMAN TREASURY BILL"/>
    <s v="EUR"/>
    <n v="0"/>
    <s v="ZERO COUPON"/>
    <s v="Unsecured"/>
    <s v="17/04/2024"/>
    <n v="0.55304585900068448"/>
    <n v="0.5389615015649909"/>
    <n v="3.7361361931583286"/>
    <n v="97.98"/>
    <n v="3.7491178512573242"/>
    <n v="97.986500000000007"/>
    <n v="3.7361361931583286"/>
    <n v="3.7240371704101563"/>
    <n v="97.992999999999995"/>
    <s v="#N/A N/A"/>
    <s v="#N/A N/A"/>
    <s v="F1+u"/>
    <s v="Government"/>
    <s v="GERMANY"/>
    <n v="13000000000"/>
    <n v="0.01"/>
    <n v="1"/>
    <x v="7"/>
  </r>
  <r>
    <s v="US91282CEK36"/>
    <s v="US91282CEK36"/>
    <n v="10724"/>
    <n v="128"/>
    <n v="934579.44"/>
    <n v="0.75780080000000005"/>
    <n v="984062.5"/>
    <n v="934579.44"/>
    <n v="0.75780080000000005"/>
    <n v="984062.5"/>
    <n v="105.29468741576426"/>
    <n v="98.287110000000013"/>
    <n v="96.818360000000013"/>
    <s v="T 2 1/2 04/30/24"/>
    <n v="98.33984375"/>
    <n v="98.27734375"/>
    <s v="US TREASURY N/B"/>
    <s v="USD"/>
    <n v="2.5"/>
    <s v="FIXED"/>
    <s v="Unsecured"/>
    <s v="30/04/2024"/>
    <n v="0.58863791923340181"/>
    <n v="0.56540923553495481"/>
    <n v="5.4943308999999996"/>
    <n v="98.2421875"/>
    <n v="5.581355094909668"/>
    <n v="98.291015625"/>
    <n v="5.4943308999999996"/>
    <n v="5.4143390655517578"/>
    <n v="98.33984375"/>
    <s v="#N/A N/A"/>
    <s v="Aaa"/>
    <s v="AA+u"/>
    <s v="Government"/>
    <s v="UNITED STATES"/>
    <n v="54646000000"/>
    <n v="100"/>
    <n v="1"/>
    <x v="7"/>
  </r>
  <r>
    <s v="PTBCP2OM0058"/>
    <s v="PTBCP2OM0058"/>
    <n v="10788"/>
    <n v="128"/>
    <n v="299475"/>
    <n v="0"/>
    <n v="299475"/>
    <n v="299475"/>
    <n v="0"/>
    <n v="299475"/>
    <n v="100"/>
    <n v="99.977000000000004"/>
    <n v="99.977000000000004"/>
    <s v="BCPPL 5 5/8 10/02/26"/>
    <n v="99.971000000000004"/>
    <n v="99.977000000000004"/>
    <s v="BANCO COMERC PORTUGUES"/>
    <s v="EUR"/>
    <n v="5.625"/>
    <s v="VARIABLE"/>
    <s v="Sr Preferred"/>
    <s v="02/10/2025"/>
    <n v="2.0123203285420943"/>
    <n v="1.8436360065737616"/>
    <n v="5.6410094854958492"/>
    <n v="99.882999999999996"/>
    <n v="5.6954841613769531"/>
    <n v="99.970500000000001"/>
    <n v="5.6410094854958492"/>
    <n v="5.6007766723632813"/>
    <n v="100.05800000000001"/>
    <s v="#N/A N/A"/>
    <s v="#N/A N/A"/>
    <s v="#N/A N/A"/>
    <s v="Financial"/>
    <s v="PORTUGAL"/>
    <n v="500000000"/>
    <n v="100000"/>
    <n v="3"/>
    <x v="6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1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4">
  <r>
    <n v="16975377"/>
    <n v="128"/>
    <n v="10749"/>
    <n v="0"/>
    <n v="0"/>
    <n v="0"/>
    <n v="0"/>
    <n v="0"/>
    <n v="215"/>
    <n v="215"/>
    <n v="215"/>
    <n v="215"/>
    <n v="215"/>
    <n v="200.37"/>
    <n v="28967218.75"/>
    <n v="26996476"/>
    <n v="28967218.75"/>
    <n v="26996476"/>
    <n v="28967218.75"/>
    <n v="27415501.370000001"/>
    <n v="28967218.75"/>
    <n v="27415501.370000001"/>
    <n v="0"/>
    <n v="0"/>
    <n v="0"/>
    <n v="0"/>
    <n v="0"/>
    <n v="0"/>
    <n v="0"/>
    <n v="0"/>
    <m/>
    <s v="MEDIOLANUM PENSIONES II, FONDO DE PENSIONES"/>
    <s v="03/10/2023 00:00:00"/>
    <x v="0"/>
    <n v="5"/>
    <s v="USD"/>
    <s v="U"/>
    <n v="1.06125"/>
    <n v="1.0527"/>
    <n v="28291312.5"/>
    <n v="26356083.120000001"/>
    <s v="N"/>
    <n v="4"/>
    <s v="EUR"/>
    <n v="132534288.59999999"/>
    <s v="N"/>
    <n v="1"/>
    <n v="0"/>
    <s v="Futuros y Opciones"/>
    <s v=""/>
    <n v="0"/>
    <n v="999999999"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9.897953579999999"/>
    <s v="ok"/>
    <s v="ok"/>
    <n v="26356083.120000001"/>
    <n v="0"/>
    <n v="-219173.26"/>
    <n v="-0.94"/>
    <s v="PA"/>
    <n v="-78038.69"/>
    <s v="FU"/>
    <s v="FDIV"/>
    <n v="-446125"/>
    <n v="-421219.62"/>
    <n v="28521093.75"/>
    <n v="26575256.379999999"/>
    <n v="0"/>
    <n v="1.4438757900000001"/>
    <n v="13.27863496"/>
    <n v="17588381.91"/>
    <n v="1912503.72"/>
    <n v="6269233.6699999999"/>
    <s v="N"/>
    <s v="N"/>
    <s v=" FUTUROS"/>
    <s v="29/09/2023 00:00:00"/>
    <x v="0"/>
    <n v="0"/>
    <s v="29/09/2023 00:00:00"/>
    <n v="0"/>
    <m/>
    <n v="0"/>
    <n v="-219173.26"/>
    <m/>
    <m/>
    <m/>
    <n v="1355558.46"/>
    <n v="0"/>
    <n v="2520.3126550000002"/>
    <n v="52555.483399999997"/>
    <n v="-296353.43"/>
    <n v="92570020.519999996"/>
    <n v="-229781.25"/>
    <n v="394770.09"/>
    <n v="0.29803809999999997"/>
    <s v="DIV"/>
    <n v="0"/>
    <n v="0"/>
    <n v="-296353.43"/>
    <n v="0"/>
    <n v="0"/>
    <n v="16777215"/>
    <n v="0"/>
    <n v="0"/>
    <n v="0"/>
    <n v="0"/>
    <n v="0"/>
    <n v="28291312.5"/>
    <n v="26356083.12000000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.06125"/>
    <n v="1.0572999999999999"/>
    <n v="0"/>
    <n v="0"/>
    <n v="0"/>
    <n v="0"/>
    <n v="0"/>
    <m/>
    <n v="0"/>
    <n v="0"/>
    <n v="0"/>
    <n v="0"/>
    <n v="0"/>
    <n v="0"/>
  </r>
  <r>
    <n v="16975460"/>
    <n v="128"/>
    <n v="9949"/>
    <n v="0"/>
    <n v="0"/>
    <n v="0"/>
    <n v="0"/>
    <n v="0"/>
    <n v="25000"/>
    <n v="25000"/>
    <n v="0.5"/>
    <n v="0.5"/>
    <n v="0.5"/>
    <n v="0.04"/>
    <n v="4213954.92"/>
    <n v="502475.39"/>
    <n v="4213954.92"/>
    <n v="502475.3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"/>
    <n v="59"/>
    <s v="HKD"/>
    <s v="A"/>
    <n v="115.1"/>
    <n v="115.10000000000001"/>
    <n v="2877500"/>
    <n v="350410.39"/>
    <s v="S"/>
    <n v="4"/>
    <s v="EUR"/>
    <n v="132534288.59999999"/>
    <s v="S"/>
    <n v="1"/>
    <n v="1"/>
    <s v="Comunicaciones"/>
    <s v="Internet"/>
    <n v="0"/>
    <m/>
    <n v="8205251.6799999997"/>
    <n v="8.2118000000000002"/>
    <m/>
    <s v="03/10/2023 23:59:59"/>
    <n v="1"/>
    <n v="1"/>
    <s v="B"/>
    <n v="0"/>
    <n v="31345322.399999999"/>
    <n v="1.1179032900000001"/>
    <n v="123618989.48999999"/>
    <n v="132456249.91"/>
    <n v="596150.00000000012"/>
    <n v="9219855.2300000004"/>
    <n v="23.664660909999998"/>
    <n v="0.45007313999999998"/>
    <n v="6.9606796500000003"/>
    <n v="0.26454801999999999"/>
    <s v="ok"/>
    <s v="ok"/>
    <n v="26356083.120000001"/>
    <n v="1.1179032900000001"/>
    <n v="2831.66"/>
    <n v="0"/>
    <s v="PA"/>
    <n v="-78038.69"/>
    <s v="RV"/>
    <s v="ACE"/>
    <n v="-1336454.92"/>
    <n v="-154896.66"/>
    <n v="2877500"/>
    <n v="347578.7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8345999999999999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2877500"/>
    <n v="350410.39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15.1"/>
    <n v="8.2797999999999998"/>
    <n v="0"/>
    <n v="0"/>
    <n v="0"/>
    <n v="0"/>
    <n v="0"/>
    <n v="0"/>
    <n v="0"/>
    <n v="0"/>
    <n v="0"/>
    <n v="0"/>
    <n v="0"/>
    <n v="0"/>
  </r>
  <r>
    <n v="16975465"/>
    <n v="128"/>
    <n v="9937"/>
    <n v="0"/>
    <n v="0"/>
    <n v="0"/>
    <n v="0"/>
    <n v="0"/>
    <n v="41000"/>
    <n v="41000"/>
    <n v="0.13"/>
    <n v="0.13"/>
    <n v="0.13"/>
    <n v="0"/>
    <n v="3889829.57"/>
    <n v="474232.39"/>
    <n v="3889829.57"/>
    <n v="474232.3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"/>
    <n v="59"/>
    <s v="HKD"/>
    <s v="A"/>
    <n v="85.6"/>
    <n v="85.600000000000009"/>
    <n v="3509600.0000000005"/>
    <n v="427384.98"/>
    <s v="S"/>
    <n v="4"/>
    <s v="EUR"/>
    <n v="132534288.59999999"/>
    <s v="S"/>
    <n v="1"/>
    <n v="1"/>
    <s v="Comunicaciones"/>
    <s v="Internet"/>
    <n v="0"/>
    <m/>
    <n v="8205251.6799999997"/>
    <n v="8.2118000000000002"/>
    <m/>
    <s v="03/10/2023 23:59:59"/>
    <n v="1"/>
    <n v="1"/>
    <s v="B"/>
    <n v="0"/>
    <n v="31345322.399999999"/>
    <n v="1.36347291"/>
    <n v="123618989.48999999"/>
    <n v="132456249.91"/>
    <n v="596150.00000000012"/>
    <n v="9219855.2300000004"/>
    <n v="23.664660909999998"/>
    <n v="0.45007313999999998"/>
    <n v="6.9606796500000003"/>
    <n v="0.32266124000000002"/>
    <s v="ok"/>
    <s v="ok"/>
    <n v="26356083.120000001"/>
    <n v="1.36347291"/>
    <n v="3453.69"/>
    <n v="0"/>
    <s v="PA"/>
    <n v="-78038.69"/>
    <s v="RV"/>
    <s v="ACE"/>
    <n v="-380229.57"/>
    <n v="-50301.1"/>
    <n v="3509600"/>
    <n v="423931.2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4572761000000002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3509600.0000000005"/>
    <n v="427384.9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85.6"/>
    <n v="8.2797999999999998"/>
    <n v="0"/>
    <n v="0"/>
    <n v="0"/>
    <n v="0"/>
    <n v="0"/>
    <n v="0"/>
    <n v="0"/>
    <n v="0"/>
    <n v="0"/>
    <n v="0"/>
    <n v="0"/>
    <n v="0"/>
  </r>
  <r>
    <n v="16975342"/>
    <n v="128"/>
    <n v="10672"/>
    <n v="0"/>
    <n v="0"/>
    <n v="0"/>
    <n v="0"/>
    <n v="0"/>
    <n v="3500"/>
    <n v="3500"/>
    <n v="0.35"/>
    <n v="0.35"/>
    <n v="0.35"/>
    <n v="0.32"/>
    <n v="446390"/>
    <n v="410851.36"/>
    <n v="446390"/>
    <n v="410851.3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"/>
    <n v="5"/>
    <s v="USD"/>
    <s v="U"/>
    <n v="137.21"/>
    <n v="136.56"/>
    <n v="477960"/>
    <n v="455894.7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1.45442658"/>
    <n v="123618989.48999999"/>
    <n v="132456249.91"/>
    <n v="596150.00000000012"/>
    <n v="9219855.2300000004"/>
    <n v="23.664660909999998"/>
    <n v="0.45007313999999998"/>
    <n v="6.9606796500000003"/>
    <n v="0.34418512000000001"/>
    <s v="ok"/>
    <s v="ok"/>
    <n v="26356083.120000001"/>
    <n v="1.45442658"/>
    <n v="1685.87"/>
    <n v="-0.47"/>
    <s v="PA"/>
    <n v="-78038.69"/>
    <s v="RV"/>
    <s v="ACE"/>
    <n v="33845"/>
    <n v="43357.47"/>
    <n v="480235"/>
    <n v="454208.8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6879018000000002"/>
    <m/>
    <n v="0"/>
    <n v="-219173.26"/>
    <m/>
    <m/>
    <m/>
    <n v="1355558.46"/>
    <n v="0"/>
    <n v="2520.3126550000002"/>
    <n v="52555.483399999997"/>
    <n v="-296353.43"/>
    <n v="92570020.519999996"/>
    <n v="-2275"/>
    <n v="394770.09"/>
    <n v="0.29803809999999997"/>
    <m/>
    <n v="0"/>
    <n v="0"/>
    <n v="-296353.43"/>
    <n v="0"/>
    <n v="0"/>
    <n v="16777215"/>
    <n v="0"/>
    <n v="0"/>
    <n v="0"/>
    <n v="0"/>
    <n v="0"/>
    <n v="477960"/>
    <n v="455894.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37.21"/>
    <n v="1.0572999999999999"/>
    <n v="0"/>
    <n v="0"/>
    <n v="0"/>
    <n v="0"/>
    <n v="0"/>
    <n v="0"/>
    <n v="0"/>
    <n v="0"/>
    <n v="0"/>
    <n v="0"/>
    <n v="0"/>
    <n v="0"/>
  </r>
  <r>
    <n v="16975599"/>
    <n v="128"/>
    <n v="8074"/>
    <n v="0"/>
    <n v="0"/>
    <n v="0"/>
    <n v="0"/>
    <n v="0"/>
    <n v="170"/>
    <n v="170"/>
    <n v="1.36"/>
    <n v="1.36"/>
    <n v="1.36"/>
    <n v="1.25"/>
    <n v="373135.73"/>
    <n v="342095.69"/>
    <n v="373135.73"/>
    <n v="342095.6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"/>
    <n v="5"/>
    <s v="USD"/>
    <s v="U"/>
    <n v="3083.95"/>
    <n v="3093.76"/>
    <n v="525939.19999999995"/>
    <n v="501658.91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1.6004267000000001"/>
    <n v="123618989.48999999"/>
    <n v="132456249.91"/>
    <n v="596150.00000000012"/>
    <n v="9219855.2300000004"/>
    <n v="23.664660909999998"/>
    <n v="0.45007313999999998"/>
    <n v="6.9606796500000003"/>
    <n v="0.37873554999999998"/>
    <s v="ok"/>
    <s v="ok"/>
    <n v="26356083.120000001"/>
    <n v="1.6004267000000001"/>
    <n v="5800.12"/>
    <n v="0.32"/>
    <s v="PA"/>
    <n v="-78038.69"/>
    <s v="RV"/>
    <s v="ACE"/>
    <n v="151135.76999999999"/>
    <n v="153763.1"/>
    <n v="524271.5"/>
    <n v="495858.7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40581055999999999"/>
    <m/>
    <n v="0"/>
    <n v="-219173.26"/>
    <m/>
    <m/>
    <m/>
    <n v="1355558.46"/>
    <n v="0"/>
    <n v="2520.3126550000002"/>
    <n v="52555.483399999997"/>
    <n v="-296353.43"/>
    <n v="92570020.519999996"/>
    <n v="1667.7"/>
    <n v="394770.09"/>
    <n v="0.29803809999999997"/>
    <m/>
    <n v="0"/>
    <n v="0"/>
    <n v="-296353.43"/>
    <n v="0"/>
    <n v="0"/>
    <n v="16777215"/>
    <n v="0"/>
    <n v="0"/>
    <n v="0"/>
    <n v="0"/>
    <n v="0"/>
    <n v="525939.19999999995"/>
    <n v="501658.9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083.95"/>
    <n v="1.0572999999999999"/>
    <n v="0"/>
    <n v="0"/>
    <n v="0"/>
    <n v="0"/>
    <n v="0"/>
    <n v="0"/>
    <n v="0"/>
    <n v="0"/>
    <n v="0"/>
    <n v="0"/>
    <n v="0"/>
    <n v="0"/>
  </r>
  <r>
    <n v="16975367"/>
    <n v="128"/>
    <n v="8167"/>
    <n v="0"/>
    <n v="0"/>
    <n v="0"/>
    <n v="0"/>
    <n v="0"/>
    <n v="5000"/>
    <n v="5000"/>
    <n v="5"/>
    <n v="5"/>
    <n v="5"/>
    <n v="4.5999999999999996"/>
    <n v="437450"/>
    <n v="402623.1"/>
    <n v="437450"/>
    <n v="402623.1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"/>
    <n v="5"/>
    <s v="USD"/>
    <s v="U"/>
    <n v="64.58"/>
    <n v="64.650000000000006"/>
    <n v="323250"/>
    <n v="308326.96999999997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0.98364587000000003"/>
    <n v="123618989.48999999"/>
    <n v="132456249.91"/>
    <n v="596150.00000000012"/>
    <n v="9219855.2300000004"/>
    <n v="23.664660909999998"/>
    <n v="0.45007313999999998"/>
    <n v="6.9606796500000003"/>
    <n v="0.23277645999999999"/>
    <s v="ok"/>
    <s v="ok"/>
    <n v="26356083.120000001"/>
    <n v="0.98364587000000003"/>
    <n v="2926.42"/>
    <n v="0.11"/>
    <s v="PA"/>
    <n v="-78038.69"/>
    <s v="RV"/>
    <s v="ACE"/>
    <n v="-114550"/>
    <n v="-97222.55"/>
    <n v="322900"/>
    <n v="305400.55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4941716"/>
    <m/>
    <n v="0"/>
    <n v="-219173.26"/>
    <m/>
    <m/>
    <m/>
    <n v="1355558.46"/>
    <n v="0"/>
    <n v="2520.3126550000002"/>
    <n v="52555.483399999997"/>
    <n v="-296353.43"/>
    <n v="92570020.519999996"/>
    <n v="350"/>
    <n v="394770.09"/>
    <n v="0.29803809999999997"/>
    <m/>
    <n v="0"/>
    <n v="0"/>
    <n v="-296353.43"/>
    <n v="0"/>
    <n v="0"/>
    <n v="16777215"/>
    <n v="0"/>
    <n v="0"/>
    <n v="0"/>
    <n v="0"/>
    <n v="0"/>
    <n v="323250"/>
    <n v="308326.9699999999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64.58"/>
    <n v="1.0572999999999999"/>
    <n v="0"/>
    <n v="0"/>
    <n v="0"/>
    <n v="0"/>
    <n v="0"/>
    <n v="0"/>
    <n v="0"/>
    <n v="0"/>
    <n v="0"/>
    <n v="0"/>
    <n v="0"/>
    <n v="0"/>
  </r>
  <r>
    <n v="16975413"/>
    <n v="128"/>
    <n v="3856"/>
    <n v="0"/>
    <n v="0"/>
    <n v="0"/>
    <n v="0"/>
    <n v="0"/>
    <n v="12000"/>
    <n v="12000"/>
    <n v="12"/>
    <n v="12"/>
    <n v="12"/>
    <n v="11.67"/>
    <n v="1432144.15"/>
    <n v="1311330.8799999999"/>
    <n v="1432144.15"/>
    <n v="1311330.879999999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"/>
    <n v="5"/>
    <s v="USD"/>
    <s v="U"/>
    <n v="130.86000000000001"/>
    <n v="134.17000000000002"/>
    <n v="1610040.0000000002"/>
    <n v="1535711.56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4.89933248"/>
    <n v="123618989.48999999"/>
    <n v="132456249.91"/>
    <n v="596150.00000000012"/>
    <n v="9219855.2300000004"/>
    <n v="23.664660909999998"/>
    <n v="0.45007313999999998"/>
    <n v="6.9606796500000003"/>
    <n v="1.1594104199999999"/>
    <s v="ok"/>
    <s v="ok"/>
    <n v="26356083.120000001"/>
    <n v="4.89933248"/>
    <n v="50494.5"/>
    <n v="2.5299999999999998"/>
    <s v="PA"/>
    <n v="-78038.69"/>
    <s v="RV"/>
    <s v="ACE"/>
    <n v="138175.85"/>
    <n v="173886.18"/>
    <n v="1570320"/>
    <n v="1485217.0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1.24229422"/>
    <m/>
    <n v="0"/>
    <n v="-219173.26"/>
    <m/>
    <m/>
    <m/>
    <n v="1355558.46"/>
    <n v="0"/>
    <n v="2520.3126550000002"/>
    <n v="52555.483399999997"/>
    <n v="-296353.43"/>
    <n v="92570020.519999996"/>
    <n v="39720"/>
    <n v="394770.09"/>
    <n v="0.29803809999999997"/>
    <m/>
    <n v="0"/>
    <n v="0"/>
    <n v="-296353.43"/>
    <n v="0"/>
    <n v="0"/>
    <n v="16777215"/>
    <n v="0"/>
    <n v="0"/>
    <n v="0"/>
    <n v="0"/>
    <n v="0"/>
    <n v="1610040.0000000002"/>
    <n v="1535711.5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30.86000000000001"/>
    <n v="1.0572999999999999"/>
    <n v="0"/>
    <n v="0"/>
    <n v="0"/>
    <n v="0"/>
    <n v="0"/>
    <n v="0"/>
    <n v="0"/>
    <n v="0"/>
    <n v="0"/>
    <n v="0"/>
    <n v="0"/>
    <n v="0"/>
  </r>
  <r>
    <n v="16975335"/>
    <n v="128"/>
    <n v="7736"/>
    <n v="0"/>
    <n v="0"/>
    <n v="0"/>
    <n v="0"/>
    <n v="0"/>
    <n v="2600"/>
    <n v="2600"/>
    <n v="0.26"/>
    <n v="0.26"/>
    <n v="0.26"/>
    <n v="0.25"/>
    <n v="442905.03"/>
    <n v="407094.8"/>
    <n v="442905.03"/>
    <n v="407094.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7"/>
    <n v="5"/>
    <s v="USD"/>
    <s v="U"/>
    <n v="234.44"/>
    <n v="236.77"/>
    <n v="615602"/>
    <n v="587182.37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1.87326952"/>
    <n v="123618989.48999999"/>
    <n v="132456249.91"/>
    <n v="596150.00000000012"/>
    <n v="9219855.2300000004"/>
    <n v="23.664660909999998"/>
    <n v="0.45007313999999998"/>
    <n v="6.9606796500000003"/>
    <n v="0.44330288000000001"/>
    <s v="ok"/>
    <s v="ok"/>
    <n v="26356083.120000001"/>
    <n v="1.87326952"/>
    <n v="10672.39"/>
    <n v="0.99"/>
    <s v="PA"/>
    <n v="-78038.69"/>
    <s v="RV"/>
    <s v="ACE"/>
    <n v="166638.97"/>
    <n v="169415.18"/>
    <n v="609544"/>
    <n v="576509.9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47499366999999998"/>
    <m/>
    <n v="0"/>
    <n v="-219173.26"/>
    <m/>
    <m/>
    <m/>
    <n v="1355558.46"/>
    <n v="0"/>
    <n v="2520.3126550000002"/>
    <n v="52555.483399999997"/>
    <n v="-296353.43"/>
    <n v="92570020.519999996"/>
    <n v="6058"/>
    <n v="394770.09"/>
    <n v="0.29803809999999997"/>
    <m/>
    <n v="0"/>
    <n v="0"/>
    <n v="-296353.43"/>
    <n v="0"/>
    <n v="0"/>
    <n v="16777215"/>
    <n v="0"/>
    <n v="0"/>
    <n v="0"/>
    <n v="0"/>
    <n v="0"/>
    <n v="615602"/>
    <n v="587182.3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34.44"/>
    <n v="1.0572999999999999"/>
    <n v="0"/>
    <n v="0"/>
    <n v="0"/>
    <n v="0"/>
    <n v="0"/>
    <n v="0"/>
    <n v="0"/>
    <n v="0"/>
    <n v="0"/>
    <n v="0"/>
    <n v="0"/>
    <n v="0"/>
  </r>
  <r>
    <n v="16975368"/>
    <n v="128"/>
    <n v="10680"/>
    <n v="0"/>
    <n v="0"/>
    <n v="0"/>
    <n v="0"/>
    <n v="0"/>
    <n v="5500"/>
    <n v="5500"/>
    <n v="5.5"/>
    <n v="5.5"/>
    <n v="5.5"/>
    <n v="5.0599999999999996"/>
    <n v="450450"/>
    <n v="414588.13"/>
    <n v="450450"/>
    <n v="414588.13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8"/>
    <n v="5"/>
    <s v="USD"/>
    <s v="U"/>
    <n v="57.86"/>
    <n v="57.17"/>
    <n v="314435"/>
    <n v="299918.92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0.95682193000000004"/>
    <n v="123618989.48999999"/>
    <n v="132456249.91"/>
    <n v="596150.00000000012"/>
    <n v="9219855.2300000004"/>
    <n v="23.664660909999998"/>
    <n v="0.45007313999999998"/>
    <n v="6.9606796500000003"/>
    <n v="0.22642867"/>
    <s v="ok"/>
    <s v="ok"/>
    <n v="26356083.120000001"/>
    <n v="0.95682193000000004"/>
    <n v="-1064.72"/>
    <n v="-1.19"/>
    <s v="PA"/>
    <n v="-78038.69"/>
    <s v="RV"/>
    <s v="ACE"/>
    <n v="-132220"/>
    <n v="-113604.49"/>
    <n v="318230"/>
    <n v="300983.64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4261557"/>
    <m/>
    <n v="0"/>
    <n v="-219173.26"/>
    <m/>
    <m/>
    <m/>
    <n v="1355558.46"/>
    <n v="0"/>
    <n v="2520.3126550000002"/>
    <n v="52555.483399999997"/>
    <n v="-296353.43"/>
    <n v="92570020.519999996"/>
    <n v="-3795"/>
    <n v="394770.09"/>
    <n v="0.29803809999999997"/>
    <m/>
    <n v="0"/>
    <n v="0"/>
    <n v="-296353.43"/>
    <n v="0"/>
    <n v="0"/>
    <n v="16777215"/>
    <n v="0"/>
    <n v="0"/>
    <n v="0"/>
    <n v="0"/>
    <n v="0"/>
    <n v="314435"/>
    <n v="299918.9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7.86"/>
    <n v="1.0572999999999999"/>
    <n v="0"/>
    <n v="0"/>
    <n v="0"/>
    <n v="0"/>
    <n v="0"/>
    <n v="0"/>
    <n v="0"/>
    <n v="0"/>
    <n v="0"/>
    <n v="0"/>
    <n v="0"/>
    <n v="0"/>
  </r>
  <r>
    <n v="16975416"/>
    <n v="128"/>
    <n v="8611"/>
    <n v="0"/>
    <n v="0"/>
    <n v="0"/>
    <n v="0"/>
    <n v="0"/>
    <n v="13077"/>
    <n v="13077"/>
    <n v="205.31"/>
    <n v="205.31"/>
    <n v="205.31"/>
    <n v="267.77999999999997"/>
    <n v="337539.16"/>
    <n v="337539.16"/>
    <n v="337539.16"/>
    <n v="337539.1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9"/>
    <n v="4"/>
    <s v="EUR"/>
    <s v="E"/>
    <n v="27.919999616895002"/>
    <n v="27.865000000000002"/>
    <n v="364390.61"/>
    <n v="364390.61"/>
    <s v="S"/>
    <n v="4"/>
    <s v="EUR"/>
    <n v="132534288.59999999"/>
    <s v="S"/>
    <n v="1"/>
    <n v="1"/>
    <s v="Comunicaciones"/>
    <s v="Internet"/>
    <n v="0"/>
    <m/>
    <n v="8205251.6799999997"/>
    <n v="1"/>
    <m/>
    <s v="03/10/2023 23:59:59"/>
    <n v="1"/>
    <n v="1"/>
    <s v="B"/>
    <n v="0"/>
    <n v="31345322.399999999"/>
    <n v="1.1625039500000001"/>
    <n v="123618989.48999999"/>
    <n v="132456249.91"/>
    <n v="596150.00000000012"/>
    <n v="9219855.2300000004"/>
    <n v="23.664660909999998"/>
    <n v="0.45007313999999998"/>
    <n v="6.9606796500000003"/>
    <n v="0.27510262000000002"/>
    <s v="ok"/>
    <s v="ok"/>
    <n v="26356083.120000001"/>
    <n v="1.1625039500000001"/>
    <n v="-719.23"/>
    <n v="-0.18"/>
    <s v="PA"/>
    <n v="-78038.69"/>
    <s v="RV"/>
    <s v="ACE"/>
    <n v="27570.68"/>
    <n v="27570.68"/>
    <n v="365109.84"/>
    <n v="365109.84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9476912"/>
    <m/>
    <n v="0"/>
    <n v="-219173.26"/>
    <m/>
    <m/>
    <m/>
    <n v="1355558.46"/>
    <n v="0"/>
    <n v="2520.3126550000002"/>
    <n v="52555.483399999997"/>
    <n v="-296353.43"/>
    <n v="92570020.519999996"/>
    <n v="-719.23"/>
    <n v="394770.09"/>
    <n v="0.29803809999999997"/>
    <m/>
    <n v="0"/>
    <n v="0"/>
    <n v="-296353.43"/>
    <n v="0"/>
    <n v="0"/>
    <n v="16777215"/>
    <n v="0"/>
    <n v="0"/>
    <n v="0"/>
    <n v="0"/>
    <n v="0"/>
    <n v="364390.61"/>
    <n v="364390.6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7.92"/>
    <n v="1"/>
    <n v="0"/>
    <n v="0"/>
    <n v="0"/>
    <n v="0"/>
    <n v="0"/>
    <n v="0"/>
    <n v="0"/>
    <n v="0"/>
    <n v="0"/>
    <n v="0"/>
    <n v="0"/>
    <n v="0"/>
  </r>
  <r>
    <n v="16975463"/>
    <n v="128"/>
    <n v="7796"/>
    <n v="0"/>
    <n v="0"/>
    <n v="0"/>
    <n v="0"/>
    <n v="0"/>
    <n v="27000"/>
    <n v="27000"/>
    <n v="3002.4"/>
    <n v="3002.4"/>
    <n v="3002.4"/>
    <n v="3159.03"/>
    <n v="362673.44"/>
    <n v="332611.55"/>
    <n v="362673.44"/>
    <n v="332611.5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0"/>
    <n v="5"/>
    <s v="USD"/>
    <s v="A"/>
    <n v="16.010000000000002"/>
    <n v="15.93"/>
    <n v="430110"/>
    <n v="410253.72"/>
    <s v="S"/>
    <n v="4"/>
    <s v="EUR"/>
    <n v="132534288.59999999"/>
    <s v="S"/>
    <n v="1"/>
    <n v="1"/>
    <s v="Comunicaciones"/>
    <s v="Internet"/>
    <n v="0"/>
    <m/>
    <n v="8205251.6799999997"/>
    <n v="1.0484"/>
    <m/>
    <s v="03/10/2023 23:59:59"/>
    <n v="1"/>
    <n v="1"/>
    <s v="B"/>
    <n v="0"/>
    <n v="31345322.399999999"/>
    <n v="1.3088195899999999"/>
    <n v="123618989.48999999"/>
    <n v="132456249.91"/>
    <n v="596150.00000000012"/>
    <n v="9219855.2300000004"/>
    <n v="23.664660909999998"/>
    <n v="0.45007313999999998"/>
    <n v="6.9606796500000003"/>
    <n v="0.30972771999999998"/>
    <s v="ok"/>
    <s v="ok"/>
    <n v="26356083.120000001"/>
    <n v="1.3088195899999999"/>
    <n v="1410.44"/>
    <n v="-0.5"/>
    <s v="PA"/>
    <n v="-78038.69"/>
    <s v="RV"/>
    <s v="ACE"/>
    <n v="69596.56"/>
    <n v="76231.73"/>
    <n v="432270"/>
    <n v="408843.2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3186949999999998"/>
    <m/>
    <n v="0"/>
    <n v="-219173.26"/>
    <m/>
    <m/>
    <m/>
    <n v="1355558.46"/>
    <n v="0"/>
    <n v="2520.3126550000002"/>
    <n v="52555.483399999997"/>
    <n v="-296353.43"/>
    <n v="92570020.519999996"/>
    <n v="-2160"/>
    <n v="394770.09"/>
    <n v="0.29803809999999997"/>
    <m/>
    <n v="0"/>
    <n v="0"/>
    <n v="-296353.43"/>
    <n v="0"/>
    <n v="0"/>
    <n v="16777215"/>
    <n v="0"/>
    <n v="0"/>
    <n v="0"/>
    <n v="0"/>
    <n v="0"/>
    <n v="430110"/>
    <n v="410253.7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6.010000000000002"/>
    <n v="1.0572999999999999"/>
    <n v="0"/>
    <n v="0"/>
    <n v="0"/>
    <n v="0"/>
    <n v="0"/>
    <n v="0"/>
    <n v="0"/>
    <n v="0"/>
    <n v="0"/>
    <n v="0"/>
    <n v="0"/>
    <n v="0"/>
  </r>
  <r>
    <n v="16975394"/>
    <n v="128"/>
    <n v="9628"/>
    <n v="0"/>
    <n v="0"/>
    <n v="0"/>
    <n v="0"/>
    <n v="0"/>
    <n v="10000"/>
    <n v="10000"/>
    <n v="10000"/>
    <n v="10000"/>
    <n v="10000"/>
    <n v="63.51"/>
    <n v="66950000"/>
    <n v="425187.35"/>
    <n v="66950000"/>
    <n v="425187.3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1"/>
    <n v="12"/>
    <s v="JPY"/>
    <s v="J"/>
    <n v="6335"/>
    <n v="6250"/>
    <n v="62500000"/>
    <n v="394770.09"/>
    <s v="S"/>
    <n v="4"/>
    <s v="EUR"/>
    <n v="132534288.59999999"/>
    <s v="S"/>
    <n v="1"/>
    <n v="1"/>
    <s v="Comunicaciones"/>
    <s v="Telecomunicación"/>
    <n v="0"/>
    <m/>
    <n v="8205251.6799999997"/>
    <n v="158.32"/>
    <m/>
    <s v="03/10/2023 23:59:59"/>
    <n v="1"/>
    <n v="1"/>
    <s v="B"/>
    <n v="0"/>
    <n v="31345322.399999999"/>
    <n v="1.2594226500000001"/>
    <n v="123618989.48999999"/>
    <n v="132456249.91"/>
    <n v="596150.00000000012"/>
    <n v="9219855.2300000004"/>
    <n v="23.664660909999998"/>
    <n v="0.45007313999999998"/>
    <n v="6.9606796500000003"/>
    <n v="0.29803809999999997"/>
    <s v="ok"/>
    <s v="ok"/>
    <n v="26356083.120000001"/>
    <n v="1.2594226500000001"/>
    <n v="-6407.8"/>
    <n v="-1.34"/>
    <s v="PA"/>
    <n v="-78038.69"/>
    <s v="RV"/>
    <s v="ACE"/>
    <n v="-3600000"/>
    <n v="-24009.46"/>
    <n v="63350000"/>
    <n v="401177.8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934421000000002"/>
    <m/>
    <n v="0"/>
    <n v="-219173.26"/>
    <m/>
    <m/>
    <m/>
    <n v="1355558.46"/>
    <n v="0"/>
    <n v="2520.3126550000002"/>
    <n v="52555.483399999997"/>
    <n v="-296353.43"/>
    <n v="92570020.519999996"/>
    <n v="-850000"/>
    <n v="394770.09"/>
    <n v="0.29803809999999997"/>
    <m/>
    <n v="0"/>
    <n v="0"/>
    <n v="-296353.43"/>
    <n v="0"/>
    <n v="0"/>
    <n v="16777215"/>
    <n v="0"/>
    <n v="0"/>
    <n v="0"/>
    <n v="0"/>
    <n v="0"/>
    <n v="62500000"/>
    <n v="394770.09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6335"/>
    <n v="157.80000000000001"/>
    <n v="0"/>
    <n v="0"/>
    <n v="0"/>
    <n v="0"/>
    <n v="0"/>
    <n v="0"/>
    <n v="0"/>
    <n v="0"/>
    <n v="0"/>
    <n v="0"/>
    <n v="0"/>
    <n v="0"/>
  </r>
  <r>
    <n v="16975421"/>
    <n v="128"/>
    <n v="10688"/>
    <n v="0"/>
    <n v="0"/>
    <n v="0"/>
    <n v="0"/>
    <n v="0"/>
    <n v="15500"/>
    <n v="15500"/>
    <n v="3875"/>
    <n v="3875"/>
    <n v="3875"/>
    <n v="4502.32"/>
    <n v="178000.01"/>
    <n v="206815.39"/>
    <n v="178000.01"/>
    <n v="206815.3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2"/>
    <n v="11"/>
    <s v="GBP"/>
    <s v="E"/>
    <n v="1092"/>
    <n v="1074"/>
    <n v="166470"/>
    <n v="192266.38"/>
    <s v="S"/>
    <n v="4"/>
    <s v="EUR"/>
    <n v="132534288.59999999"/>
    <s v="S"/>
    <n v="1"/>
    <n v="1"/>
    <s v="Comunicaciones"/>
    <s v="Telecomunicación"/>
    <n v="0"/>
    <m/>
    <n v="8205251.6799999997"/>
    <n v="0.86582999999999999"/>
    <m/>
    <s v="03/10/2023 23:59:59"/>
    <n v="1"/>
    <n v="1"/>
    <s v="B"/>
    <n v="0"/>
    <n v="31345322.399999999"/>
    <n v="0.61338141000000002"/>
    <n v="123618989.48999999"/>
    <n v="132456249.91"/>
    <n v="596150.00000000012"/>
    <n v="9219855.2300000004"/>
    <n v="23.664660909999998"/>
    <n v="0.45007313999999998"/>
    <n v="6.9606796500000003"/>
    <n v="0.14515463000000001"/>
    <s v="ok"/>
    <s v="ok"/>
    <n v="26356083.120000001"/>
    <n v="0.61338141000000002"/>
    <n v="-3059.91"/>
    <n v="-1.65"/>
    <s v="PA"/>
    <n v="-78038.69"/>
    <s v="RV"/>
    <s v="ACE"/>
    <n v="-8740.01"/>
    <n v="-11489.1"/>
    <n v="169260"/>
    <n v="195326.2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15553143"/>
    <m/>
    <n v="0"/>
    <n v="-219173.26"/>
    <m/>
    <m/>
    <m/>
    <n v="1355558.46"/>
    <n v="0"/>
    <n v="2520.3126550000002"/>
    <n v="52555.483399999997"/>
    <n v="-296353.43"/>
    <n v="92570020.519999996"/>
    <n v="-2790"/>
    <n v="394770.09"/>
    <n v="0.29803809999999997"/>
    <m/>
    <n v="0"/>
    <n v="0"/>
    <n v="-296353.43"/>
    <n v="0"/>
    <n v="0"/>
    <n v="16777215"/>
    <n v="0"/>
    <n v="0"/>
    <n v="0"/>
    <n v="0"/>
    <n v="0"/>
    <n v="166470"/>
    <n v="192266.3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092"/>
    <n v="0.86770000000000003"/>
    <n v="0"/>
    <n v="0"/>
    <n v="0"/>
    <n v="0"/>
    <n v="0"/>
    <n v="0"/>
    <n v="0"/>
    <n v="0"/>
    <n v="0"/>
    <n v="0"/>
    <n v="0"/>
    <n v="0"/>
  </r>
  <r>
    <n v="16975391"/>
    <n v="128"/>
    <n v="2039"/>
    <n v="0"/>
    <n v="0"/>
    <n v="0"/>
    <n v="0"/>
    <n v="0"/>
    <n v="10000"/>
    <n v="10000"/>
    <n v="100"/>
    <n v="100"/>
    <n v="100"/>
    <n v="94.78"/>
    <n v="1196492.9099999999"/>
    <n v="1108601.7"/>
    <n v="1196492.9099999999"/>
    <n v="1108601.7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3"/>
    <n v="5"/>
    <s v="USD"/>
    <s v="U"/>
    <n v="127.12"/>
    <n v="129.46"/>
    <n v="1294600"/>
    <n v="1234834.03"/>
    <s v="S"/>
    <n v="4"/>
    <s v="EUR"/>
    <n v="132534288.59999999"/>
    <s v="S"/>
    <n v="1"/>
    <n v="1"/>
    <s v="Comunicaciones"/>
    <s v=""/>
    <n v="0"/>
    <n v="999999999"/>
    <n v="8205251.6799999997"/>
    <n v="1.0484"/>
    <m/>
    <s v="03/10/2023 23:59:59"/>
    <n v="1"/>
    <n v="1"/>
    <s v="B"/>
    <n v="0"/>
    <n v="31345322.399999999"/>
    <n v="3.93945232"/>
    <n v="123618989.48999999"/>
    <n v="132456249.91"/>
    <n v="596150.00000000012"/>
    <n v="9219855.2300000004"/>
    <n v="23.664660909999998"/>
    <n v="0.45007313999999998"/>
    <n v="6.9606796500000003"/>
    <n v="0.93225802999999996"/>
    <s v="ok"/>
    <s v="ok"/>
    <n v="26356083.120000001"/>
    <n v="3.93945232"/>
    <n v="32526.26"/>
    <n v="1.84"/>
    <s v="PA"/>
    <n v="-78038.69"/>
    <s v="RV"/>
    <s v="ACE"/>
    <n v="74707.09"/>
    <n v="93706.07"/>
    <n v="1271200"/>
    <n v="1202307.7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99890319000000005"/>
    <m/>
    <n v="0"/>
    <n v="-219173.26"/>
    <m/>
    <m/>
    <m/>
    <n v="1355558.46"/>
    <n v="0"/>
    <n v="2520.3126550000002"/>
    <n v="52555.483399999997"/>
    <n v="-296353.43"/>
    <n v="92570020.519999996"/>
    <n v="23400"/>
    <n v="394770.09"/>
    <n v="0.29803809999999997"/>
    <m/>
    <n v="0"/>
    <n v="0"/>
    <n v="-296353.43"/>
    <n v="0"/>
    <n v="0"/>
    <n v="16777215"/>
    <n v="0"/>
    <n v="0"/>
    <n v="0"/>
    <n v="0"/>
    <n v="0"/>
    <n v="1294600"/>
    <n v="1234834.03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27.12"/>
    <n v="1.0572999999999999"/>
    <n v="0"/>
    <n v="0"/>
    <n v="0"/>
    <n v="0"/>
    <n v="0"/>
    <n v="0"/>
    <n v="0"/>
    <n v="0"/>
    <n v="0"/>
    <n v="0"/>
    <n v="0"/>
    <n v="0"/>
  </r>
  <r>
    <n v="16975345"/>
    <n v="128"/>
    <n v="2042"/>
    <n v="0"/>
    <n v="0"/>
    <n v="0"/>
    <n v="0"/>
    <n v="0"/>
    <n v="4000"/>
    <n v="4000"/>
    <n v="4000"/>
    <n v="4000"/>
    <n v="4000"/>
    <n v="3724.12"/>
    <n v="775780.23"/>
    <n v="709890.75"/>
    <n v="775780.23"/>
    <n v="709890.7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4"/>
    <n v="5"/>
    <s v="USD"/>
    <s v="U"/>
    <n v="300.20999999999998"/>
    <n v="306.82"/>
    <n v="1227280"/>
    <n v="1170621.8999999999"/>
    <s v="S"/>
    <n v="4"/>
    <s v="EUR"/>
    <n v="132534288.59999999"/>
    <s v="S"/>
    <n v="1"/>
    <n v="1"/>
    <s v="Comunicaciones"/>
    <s v=""/>
    <n v="0"/>
    <n v="999999999"/>
    <n v="8205251.6799999997"/>
    <n v="1.0484"/>
    <m/>
    <s v="03/10/2023 23:59:59"/>
    <n v="1"/>
    <n v="1"/>
    <s v="B"/>
    <n v="0"/>
    <n v="31345322.399999999"/>
    <n v="3.7345983700000001"/>
    <n v="123618989.48999999"/>
    <n v="132456249.91"/>
    <n v="596150.00000000012"/>
    <n v="9219855.2300000004"/>
    <n v="23.664660909999998"/>
    <n v="0.45007313999999998"/>
    <n v="6.9606796500000003"/>
    <n v="0.88378003999999999"/>
    <s v="ok"/>
    <s v="ok"/>
    <n v="26356083.120000001"/>
    <n v="3.7345983700000001"/>
    <n v="34861"/>
    <n v="2.2000000000000002"/>
    <s v="PA"/>
    <n v="-78038.69"/>
    <s v="RV"/>
    <s v="ACE"/>
    <n v="425059.77"/>
    <n v="425870.15"/>
    <n v="1200840"/>
    <n v="1135760.899999999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94695960999999995"/>
    <m/>
    <n v="0"/>
    <n v="-219173.26"/>
    <m/>
    <m/>
    <m/>
    <n v="1355558.46"/>
    <n v="0"/>
    <n v="2520.3126550000002"/>
    <n v="52555.483399999997"/>
    <n v="-296353.43"/>
    <n v="92570020.519999996"/>
    <n v="26440"/>
    <n v="394770.09"/>
    <n v="0.29803809999999997"/>
    <m/>
    <n v="0"/>
    <n v="0"/>
    <n v="-296353.43"/>
    <n v="0"/>
    <n v="0"/>
    <n v="16777215"/>
    <n v="0"/>
    <n v="0"/>
    <n v="0"/>
    <n v="0"/>
    <n v="0"/>
    <n v="1227280"/>
    <n v="1170621.8999999999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00.20999999999998"/>
    <n v="1.0572999999999999"/>
    <n v="0"/>
    <n v="0"/>
    <n v="0"/>
    <n v="0"/>
    <n v="0"/>
    <n v="0"/>
    <n v="0"/>
    <n v="0"/>
    <n v="0"/>
    <n v="0"/>
    <n v="0"/>
    <n v="0"/>
  </r>
  <r>
    <n v="16975420"/>
    <n v="128"/>
    <n v="1467"/>
    <n v="0"/>
    <n v="0"/>
    <n v="0"/>
    <n v="0"/>
    <n v="0"/>
    <n v="15000"/>
    <n v="15000"/>
    <n v="5250"/>
    <n v="5250"/>
    <n v="5250"/>
    <n v="3852.25"/>
    <n v="369901.64"/>
    <n v="369901.64"/>
    <n v="369901.64"/>
    <n v="369901.6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5"/>
    <n v="4"/>
    <s v="EUR"/>
    <s v="S"/>
    <n v="25.64"/>
    <n v="26.060000000000002"/>
    <n v="390900.00000000006"/>
    <n v="390900.00000000006"/>
    <s v="S"/>
    <n v="4"/>
    <s v="EUR"/>
    <n v="132534288.59999999"/>
    <s v="S"/>
    <n v="1"/>
    <n v="1"/>
    <s v="Consumo Ciclico"/>
    <s v="Comp. de automóviles"/>
    <n v="0"/>
    <m/>
    <n v="8205251.6799999997"/>
    <n v="1"/>
    <m/>
    <s v="03/10/2023 23:59:59"/>
    <n v="1"/>
    <n v="1"/>
    <s v="B"/>
    <n v="0"/>
    <n v="31345322.399999999"/>
    <n v="1.24707602"/>
    <n v="123618989.48999999"/>
    <n v="132456249.91"/>
    <n v="596150.00000000012"/>
    <n v="9219855.2300000004"/>
    <n v="23.664660909999998"/>
    <n v="0.45007313999999998"/>
    <n v="6.9606796500000003"/>
    <n v="0.29511630999999999"/>
    <s v="ok"/>
    <s v="ok"/>
    <n v="26356083.120000001"/>
    <n v="1.24707602"/>
    <n v="6300"/>
    <n v="1.64"/>
    <s v="PA"/>
    <n v="-78038.69"/>
    <s v="RV"/>
    <s v="ACNF"/>
    <n v="14698.36"/>
    <n v="14698.36"/>
    <n v="384600"/>
    <n v="3846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621355000000001"/>
    <m/>
    <n v="0"/>
    <n v="-219173.26"/>
    <m/>
    <m/>
    <m/>
    <n v="1355558.46"/>
    <n v="0"/>
    <n v="2520.3126550000002"/>
    <n v="52555.483399999997"/>
    <n v="-296353.43"/>
    <n v="92570020.519999996"/>
    <n v="6300"/>
    <n v="394770.09"/>
    <n v="0.29803809999999997"/>
    <m/>
    <n v="0"/>
    <n v="0"/>
    <n v="-296353.43"/>
    <n v="0"/>
    <n v="0"/>
    <n v="16777215"/>
    <n v="0"/>
    <n v="0"/>
    <n v="0"/>
    <n v="0"/>
    <n v="0"/>
    <n v="390900.00000000006"/>
    <n v="390900.0000000000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5.64"/>
    <n v="1"/>
    <n v="0"/>
    <n v="0"/>
    <n v="0"/>
    <n v="0"/>
    <n v="0"/>
    <n v="0"/>
    <n v="0"/>
    <n v="0"/>
    <n v="0"/>
    <n v="0"/>
    <n v="0"/>
    <n v="0"/>
  </r>
  <r>
    <n v="16975586"/>
    <n v="128"/>
    <n v="10676"/>
    <n v="0"/>
    <n v="0"/>
    <n v="0"/>
    <n v="0"/>
    <n v="0"/>
    <n v="2000"/>
    <n v="2000"/>
    <n v="2"/>
    <n v="2"/>
    <n v="2"/>
    <n v="1.84"/>
    <n v="212320"/>
    <n v="195416.47"/>
    <n v="212320"/>
    <n v="195416.47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6"/>
    <n v="5"/>
    <s v="USD"/>
    <s v="U"/>
    <n v="99.08"/>
    <n v="97.8"/>
    <n v="195600"/>
    <n v="186570.01"/>
    <s v="S"/>
    <n v="4"/>
    <s v="EUR"/>
    <n v="132534288.59999999"/>
    <s v="S"/>
    <n v="1"/>
    <n v="1"/>
    <s v="Consumo Ciclico"/>
    <s v="Comp. de automóviles"/>
    <n v="0"/>
    <m/>
    <n v="8205251.6799999997"/>
    <n v="1.0484"/>
    <m/>
    <s v="03/10/2023 23:59:59"/>
    <n v="1"/>
    <n v="1"/>
    <s v="B"/>
    <n v="0"/>
    <n v="31345322.399999999"/>
    <n v="0.59520846000000005"/>
    <n v="123618989.48999999"/>
    <n v="132456249.91"/>
    <n v="596150.00000000012"/>
    <n v="9219855.2300000004"/>
    <n v="23.664660909999998"/>
    <n v="0.45007313999999998"/>
    <n v="6.9606796500000003"/>
    <n v="0.14085406"/>
    <s v="ok"/>
    <s v="ok"/>
    <n v="26356083.120000001"/>
    <n v="0.59520846000000005"/>
    <n v="-850.78"/>
    <n v="-1.29"/>
    <s v="PA"/>
    <n v="-78038.69"/>
    <s v="RV"/>
    <s v="ACE"/>
    <n v="-14160"/>
    <n v="-7995.68"/>
    <n v="198160"/>
    <n v="187420.7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15092342"/>
    <m/>
    <n v="0"/>
    <n v="-219173.26"/>
    <m/>
    <m/>
    <m/>
    <n v="1355558.46"/>
    <n v="0"/>
    <n v="2520.3126550000002"/>
    <n v="52555.483399999997"/>
    <n v="-296353.43"/>
    <n v="92570020.519999996"/>
    <n v="-2560"/>
    <n v="394770.09"/>
    <n v="0.29803809999999997"/>
    <m/>
    <n v="0"/>
    <n v="0"/>
    <n v="-296353.43"/>
    <n v="0"/>
    <n v="0"/>
    <n v="16777215"/>
    <n v="0"/>
    <n v="0"/>
    <n v="0"/>
    <n v="0"/>
    <n v="0"/>
    <n v="195600"/>
    <n v="186570.0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99.08"/>
    <n v="1.0572999999999999"/>
    <n v="0"/>
    <n v="0"/>
    <n v="0"/>
    <n v="0"/>
    <n v="0"/>
    <n v="0"/>
    <n v="0"/>
    <n v="0"/>
    <n v="0"/>
    <n v="0"/>
    <n v="0"/>
    <n v="0"/>
  </r>
  <r>
    <n v="16975384"/>
    <n v="128"/>
    <n v="6786"/>
    <n v="0"/>
    <n v="0"/>
    <n v="0"/>
    <n v="0"/>
    <n v="0"/>
    <n v="6500"/>
    <n v="6500"/>
    <n v="128761.88"/>
    <n v="128761.88"/>
    <n v="128761.88"/>
    <n v="149486.72"/>
    <n v="349501.11"/>
    <n v="405754.99"/>
    <n v="349501.11"/>
    <n v="405754.9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7"/>
    <n v="11"/>
    <s v="GBP"/>
    <s v="E"/>
    <n v="6074"/>
    <n v="6156"/>
    <n v="400140"/>
    <n v="462146.15"/>
    <s v="S"/>
    <n v="4"/>
    <s v="EUR"/>
    <n v="132534288.59999999"/>
    <s v="S"/>
    <n v="1"/>
    <n v="1"/>
    <s v="Consumo Ciclico"/>
    <s v="Hoteles"/>
    <n v="0"/>
    <m/>
    <n v="8205251.6799999997"/>
    <n v="0.86582999999999999"/>
    <m/>
    <s v="03/10/2023 23:59:59"/>
    <n v="1"/>
    <n v="1"/>
    <s v="B"/>
    <n v="0"/>
    <n v="31345322.399999999"/>
    <n v="1.4743703800000001"/>
    <n v="123618989.48999999"/>
    <n v="132456249.91"/>
    <n v="596150.00000000012"/>
    <n v="9219855.2300000004"/>
    <n v="23.664660909999998"/>
    <n v="0.45007313999999998"/>
    <n v="6.9606796500000003"/>
    <n v="0.34890474999999999"/>
    <s v="ok"/>
    <s v="ok"/>
    <n v="26356083.120000001"/>
    <n v="1.4743703800000001"/>
    <n v="6534.82"/>
    <n v="1.35"/>
    <s v="PA"/>
    <n v="-78038.69"/>
    <s v="RV"/>
    <s v="ACE"/>
    <n v="45308.89"/>
    <n v="49856.34"/>
    <n v="394810"/>
    <n v="455611.3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7384721999999998"/>
    <m/>
    <n v="0"/>
    <n v="-219173.26"/>
    <m/>
    <m/>
    <m/>
    <n v="1355558.46"/>
    <n v="0"/>
    <n v="2520.3126550000002"/>
    <n v="52555.483399999997"/>
    <n v="-296353.43"/>
    <n v="92570020.519999996"/>
    <n v="5330"/>
    <n v="394770.09"/>
    <n v="0.29803809999999997"/>
    <m/>
    <n v="0"/>
    <n v="0"/>
    <n v="-296353.43"/>
    <n v="0"/>
    <n v="0"/>
    <n v="16777215"/>
    <n v="0"/>
    <n v="0"/>
    <n v="0"/>
    <n v="0"/>
    <n v="0"/>
    <n v="400140"/>
    <n v="462146.15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6074"/>
    <n v="0.86770000000000003"/>
    <n v="0"/>
    <n v="0"/>
    <n v="0"/>
    <n v="0"/>
    <n v="0"/>
    <n v="0"/>
    <n v="0"/>
    <n v="0"/>
    <n v="0"/>
    <n v="0"/>
    <n v="0"/>
    <n v="0"/>
  </r>
  <r>
    <n v="16975340"/>
    <n v="128"/>
    <n v="10675"/>
    <n v="0"/>
    <n v="0"/>
    <n v="0"/>
    <n v="0"/>
    <n v="0"/>
    <n v="3000"/>
    <n v="3000"/>
    <n v="30"/>
    <n v="30"/>
    <n v="30"/>
    <n v="27.61"/>
    <n v="405720"/>
    <n v="373419.24"/>
    <n v="405720"/>
    <n v="373419.2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8"/>
    <n v="5"/>
    <s v="USD"/>
    <s v="U"/>
    <n v="108.58"/>
    <n v="106.3"/>
    <n v="318900"/>
    <n v="304177.78999999998"/>
    <s v="S"/>
    <n v="4"/>
    <s v="EUR"/>
    <n v="132534288.59999999"/>
    <s v="S"/>
    <n v="1"/>
    <n v="1"/>
    <s v="Consumo Ciclico"/>
    <s v="Venta al por menor"/>
    <n v="0"/>
    <m/>
    <n v="8205251.6799999997"/>
    <n v="1.0484"/>
    <m/>
    <s v="03/10/2023 23:59:59"/>
    <n v="1"/>
    <n v="1"/>
    <s v="B"/>
    <n v="0"/>
    <n v="31345322.399999999"/>
    <n v="0.97040886999999998"/>
    <n v="123618989.48999999"/>
    <n v="132456249.91"/>
    <n v="596150.00000000012"/>
    <n v="9219855.2300000004"/>
    <n v="23.664660909999998"/>
    <n v="0.45007313999999998"/>
    <n v="6.9606796500000003"/>
    <n v="0.22964397"/>
    <s v="ok"/>
    <s v="ok"/>
    <n v="26356083.120000001"/>
    <n v="0.97040886999999998"/>
    <n v="-3908.85"/>
    <n v="-2.1"/>
    <s v="PA"/>
    <n v="-78038.69"/>
    <s v="RV"/>
    <s v="ACE"/>
    <n v="-79980"/>
    <n v="-65332.6"/>
    <n v="325740"/>
    <n v="308086.64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4606073000000001"/>
    <m/>
    <n v="0"/>
    <n v="-219173.26"/>
    <m/>
    <m/>
    <m/>
    <n v="1355558.46"/>
    <n v="0"/>
    <n v="2520.3126550000002"/>
    <n v="52555.483399999997"/>
    <n v="-296353.43"/>
    <n v="92570020.519999996"/>
    <n v="-6840"/>
    <n v="394770.09"/>
    <n v="0.29803809999999997"/>
    <m/>
    <n v="0"/>
    <n v="0"/>
    <n v="-296353.43"/>
    <n v="0"/>
    <n v="0"/>
    <n v="16777215"/>
    <n v="0"/>
    <n v="0"/>
    <n v="0"/>
    <n v="0"/>
    <n v="0"/>
    <n v="318900"/>
    <n v="304177.7899999999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08.58"/>
    <n v="1.0572999999999999"/>
    <n v="0"/>
    <n v="0"/>
    <n v="0"/>
    <n v="0"/>
    <n v="0"/>
    <n v="0"/>
    <n v="0"/>
    <n v="0"/>
    <n v="0"/>
    <n v="0"/>
    <n v="0"/>
    <n v="0"/>
  </r>
  <r>
    <n v="16975422"/>
    <n v="128"/>
    <n v="10690"/>
    <n v="0"/>
    <n v="0"/>
    <n v="0"/>
    <n v="0"/>
    <n v="0"/>
    <n v="16000"/>
    <n v="16000"/>
    <n v="16000"/>
    <n v="16000"/>
    <n v="16000"/>
    <n v="9774.34"/>
    <n v="709920"/>
    <n v="433687.24"/>
    <n v="709920"/>
    <n v="433687.2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19"/>
    <n v="13"/>
    <s v="AUD"/>
    <s v="R"/>
    <n v="45.42"/>
    <n v="45.15"/>
    <n v="722400"/>
    <n v="437502.65"/>
    <s v="S"/>
    <n v="4"/>
    <s v="EUR"/>
    <n v="132534288.59999999"/>
    <s v="S"/>
    <n v="1"/>
    <n v="1"/>
    <s v="Consumo Ciclico"/>
    <s v="Venta al por menor"/>
    <n v="0"/>
    <m/>
    <n v="8205251.6799999997"/>
    <n v="1.6511899999999999"/>
    <m/>
    <s v="03/10/2023 23:59:59"/>
    <n v="1"/>
    <n v="1"/>
    <s v="B"/>
    <n v="0"/>
    <n v="31345322.399999999"/>
    <n v="1.395751"/>
    <n v="123618989.48999999"/>
    <n v="132456249.91"/>
    <n v="596150.00000000012"/>
    <n v="9219855.2300000004"/>
    <n v="23.664660909999998"/>
    <n v="0.45007313999999998"/>
    <n v="6.9606796500000003"/>
    <n v="0.33029974000000001"/>
    <s v="ok"/>
    <s v="ok"/>
    <n v="26356083.120000001"/>
    <n v="1.395751"/>
    <n v="-4794.04"/>
    <n v="-0.59"/>
    <s v="PA"/>
    <n v="-78038.69"/>
    <s v="RV"/>
    <s v="ACE"/>
    <n v="16800"/>
    <n v="8609.4500000000007"/>
    <n v="726720"/>
    <n v="442296.6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5391217000000003"/>
    <m/>
    <n v="0"/>
    <n v="-219173.26"/>
    <m/>
    <m/>
    <m/>
    <n v="1355558.46"/>
    <n v="0"/>
    <n v="2520.3126550000002"/>
    <n v="52555.483399999997"/>
    <n v="-296353.43"/>
    <n v="92570020.519999996"/>
    <n v="-4320"/>
    <n v="394770.09"/>
    <n v="0.29803809999999997"/>
    <m/>
    <n v="0"/>
    <n v="0"/>
    <n v="-296353.43"/>
    <n v="0"/>
    <n v="0"/>
    <n v="16777215"/>
    <n v="0"/>
    <n v="0"/>
    <n v="0"/>
    <n v="0"/>
    <n v="0"/>
    <n v="722400"/>
    <n v="437502.65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45.42"/>
    <n v="1.6381300000000001"/>
    <n v="0"/>
    <n v="0"/>
    <n v="0"/>
    <n v="0"/>
    <n v="0"/>
    <n v="0"/>
    <n v="0"/>
    <n v="0"/>
    <n v="0"/>
    <n v="0"/>
    <n v="0"/>
    <n v="0"/>
  </r>
  <r>
    <n v="16975467"/>
    <n v="128"/>
    <n v="10691"/>
    <n v="0"/>
    <n v="0"/>
    <n v="0"/>
    <n v="0"/>
    <n v="0"/>
    <n v="250000"/>
    <n v="250000"/>
    <n v="62500"/>
    <n v="62500"/>
    <n v="62500"/>
    <n v="72559.67"/>
    <n v="362561"/>
    <n v="420916.92"/>
    <n v="362561"/>
    <n v="420916.9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0"/>
    <n v="11"/>
    <s v="GBP"/>
    <s v="E"/>
    <n v="149.69999999999999"/>
    <n v="149.1"/>
    <n v="372750"/>
    <n v="430511.76"/>
    <s v="S"/>
    <n v="4"/>
    <s v="EUR"/>
    <n v="132534288.59999999"/>
    <s v="S"/>
    <n v="1"/>
    <n v="1"/>
    <s v="Consumo Ciclico"/>
    <s v="Venta al por menor"/>
    <n v="0"/>
    <m/>
    <n v="8205251.6799999997"/>
    <n v="0.86582999999999999"/>
    <m/>
    <s v="03/10/2023 23:59:59"/>
    <n v="1"/>
    <n v="1"/>
    <s v="B"/>
    <n v="0"/>
    <n v="31345322.399999999"/>
    <n v="1.37344818"/>
    <n v="123618989.48999999"/>
    <n v="132456249.91"/>
    <n v="596150.00000000012"/>
    <n v="9219855.2300000004"/>
    <n v="23.664660909999998"/>
    <n v="0.45007313999999998"/>
    <n v="6.9606796500000003"/>
    <n v="0.32502185"/>
    <s v="ok"/>
    <s v="ok"/>
    <n v="26356083.120000001"/>
    <n v="1.37344818"/>
    <n v="-1373.3"/>
    <n v="-0.4"/>
    <s v="PA"/>
    <n v="-78038.69"/>
    <s v="RV"/>
    <s v="ACE"/>
    <n v="11689"/>
    <n v="10968.14"/>
    <n v="374250"/>
    <n v="431885.0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4825697999999999"/>
    <m/>
    <n v="0"/>
    <n v="-219173.26"/>
    <m/>
    <m/>
    <m/>
    <n v="1355558.46"/>
    <n v="0"/>
    <n v="2520.3126550000002"/>
    <n v="52555.483399999997"/>
    <n v="-296353.43"/>
    <n v="92570020.519999996"/>
    <n v="-1500"/>
    <n v="394770.09"/>
    <n v="0.29803809999999997"/>
    <m/>
    <n v="0"/>
    <n v="0"/>
    <n v="-296353.43"/>
    <n v="0"/>
    <n v="0"/>
    <n v="16777215"/>
    <n v="0"/>
    <n v="0"/>
    <n v="0"/>
    <n v="0"/>
    <n v="0"/>
    <n v="372750"/>
    <n v="430511.7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49.69999999999999"/>
    <n v="0.86770000000000003"/>
    <n v="0"/>
    <n v="0"/>
    <n v="0"/>
    <n v="0"/>
    <n v="0"/>
    <n v="0"/>
    <n v="0"/>
    <n v="0"/>
    <n v="0"/>
    <n v="0"/>
    <n v="0"/>
    <n v="0"/>
  </r>
  <r>
    <n v="16975563"/>
    <n v="128"/>
    <n v="2164"/>
    <n v="0"/>
    <n v="0"/>
    <n v="0"/>
    <n v="0"/>
    <n v="0"/>
    <n v="1200"/>
    <n v="1200"/>
    <n v="4800"/>
    <n v="4800"/>
    <n v="4800"/>
    <n v="4264.29"/>
    <n v="620345.36"/>
    <n v="620345.36"/>
    <n v="620345.36"/>
    <n v="620345.3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1"/>
    <n v="4"/>
    <s v="EUR"/>
    <s v="E"/>
    <n v="431.9"/>
    <n v="429.3"/>
    <n v="515160"/>
    <n v="515160"/>
    <s v="S"/>
    <n v="4"/>
    <s v="EUR"/>
    <n v="132534288.59999999"/>
    <s v="S"/>
    <n v="1"/>
    <n v="1"/>
    <s v="Consumo Ciclico"/>
    <s v="Venta al por menor"/>
    <n v="0"/>
    <m/>
    <n v="8205251.6799999997"/>
    <n v="1"/>
    <m/>
    <s v="03/10/2023 23:59:59"/>
    <n v="1"/>
    <n v="1"/>
    <s v="B"/>
    <n v="0"/>
    <n v="31345322.399999999"/>
    <n v="1.6434988100000001"/>
    <n v="123618989.48999999"/>
    <n v="132456249.91"/>
    <n v="596150.00000000012"/>
    <n v="9219855.2300000004"/>
    <n v="23.664660909999998"/>
    <n v="0.45007313999999998"/>
    <n v="6.9606796500000003"/>
    <n v="0.38892842"/>
    <s v="ok"/>
    <s v="ok"/>
    <n v="26356083.120000001"/>
    <n v="1.6434988100000001"/>
    <n v="-3120"/>
    <n v="-0.6"/>
    <s v="PA"/>
    <n v="-78038.69"/>
    <s v="RV"/>
    <s v="ACE"/>
    <n v="-102065.36"/>
    <n v="-102065.36"/>
    <n v="518280"/>
    <n v="51828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41673209"/>
    <m/>
    <n v="0"/>
    <n v="-219173.26"/>
    <m/>
    <m/>
    <m/>
    <n v="1355558.46"/>
    <n v="0"/>
    <n v="2520.3126550000002"/>
    <n v="52555.483399999997"/>
    <n v="-296353.43"/>
    <n v="92570020.519999996"/>
    <n v="-3120"/>
    <n v="394770.09"/>
    <n v="0.29803809999999997"/>
    <m/>
    <n v="0"/>
    <n v="0"/>
    <n v="-296353.43"/>
    <n v="0"/>
    <n v="0"/>
    <n v="16777215"/>
    <n v="0"/>
    <n v="0"/>
    <n v="0"/>
    <n v="0"/>
    <n v="0"/>
    <n v="515160"/>
    <n v="51516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431.9"/>
    <n v="1"/>
    <n v="0"/>
    <n v="0"/>
    <n v="0"/>
    <n v="0"/>
    <n v="0"/>
    <n v="0"/>
    <n v="0"/>
    <n v="0"/>
    <n v="0"/>
    <n v="0"/>
    <n v="0"/>
    <n v="0"/>
  </r>
  <r>
    <n v="16975567"/>
    <n v="128"/>
    <n v="6105"/>
    <n v="0"/>
    <n v="0"/>
    <n v="0"/>
    <n v="0"/>
    <n v="0"/>
    <n v="2000"/>
    <n v="2000"/>
    <n v="1000"/>
    <n v="1000"/>
    <n v="1000"/>
    <n v="920.39"/>
    <n v="446460"/>
    <n v="410915.78"/>
    <n v="446460"/>
    <n v="410915.7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2"/>
    <n v="5"/>
    <s v="USD"/>
    <s v="U"/>
    <n v="207.84"/>
    <n v="205.74"/>
    <n v="411480"/>
    <n v="392483.78"/>
    <s v="S"/>
    <n v="4"/>
    <s v="EUR"/>
    <n v="132534288.59999999"/>
    <s v="S"/>
    <n v="1"/>
    <n v="1"/>
    <s v="Consumo Ciclico"/>
    <s v="Venta al por menor"/>
    <n v="0"/>
    <m/>
    <n v="8205251.6799999997"/>
    <n v="1.0484"/>
    <m/>
    <s v="03/10/2023 23:59:59"/>
    <n v="1"/>
    <n v="1"/>
    <s v="B"/>
    <n v="0"/>
    <n v="31345322.399999999"/>
    <n v="1.25212871"/>
    <n v="123618989.48999999"/>
    <n v="132456249.91"/>
    <n v="596150.00000000012"/>
    <n v="9219855.2300000004"/>
    <n v="23.664660909999998"/>
    <n v="0.45007313999999998"/>
    <n v="6.9606796500000003"/>
    <n v="0.29631201000000001"/>
    <s v="ok"/>
    <s v="ok"/>
    <n v="26356083.120000001"/>
    <n v="1.25212871"/>
    <n v="-668.59"/>
    <n v="-1.01"/>
    <s v="PA"/>
    <n v="-78038.69"/>
    <s v="RV"/>
    <s v="ACE"/>
    <n v="-30780"/>
    <n v="-17763.41"/>
    <n v="415680"/>
    <n v="393152.3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749473"/>
    <m/>
    <n v="0"/>
    <n v="-219173.26"/>
    <m/>
    <m/>
    <m/>
    <n v="1355558.46"/>
    <n v="0"/>
    <n v="2520.3126550000002"/>
    <n v="52555.483399999997"/>
    <n v="-296353.43"/>
    <n v="92570020.519999996"/>
    <n v="-4200"/>
    <n v="394770.09"/>
    <n v="0.29803809999999997"/>
    <m/>
    <n v="0"/>
    <n v="0"/>
    <n v="-296353.43"/>
    <n v="0"/>
    <n v="0"/>
    <n v="16777215"/>
    <n v="0"/>
    <n v="0"/>
    <n v="0"/>
    <n v="0"/>
    <n v="0"/>
    <n v="411480"/>
    <n v="392483.7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07.84"/>
    <n v="1.0572999999999999"/>
    <n v="0"/>
    <n v="0"/>
    <n v="0"/>
    <n v="0"/>
    <n v="0"/>
    <n v="0"/>
    <n v="0"/>
    <n v="0"/>
    <n v="0"/>
    <n v="0"/>
    <n v="0"/>
    <n v="0"/>
  </r>
  <r>
    <n v="16975485"/>
    <n v="128"/>
    <n v="1192"/>
    <n v="0"/>
    <n v="0"/>
    <n v="0"/>
    <n v="0"/>
    <n v="0"/>
    <n v="500"/>
    <n v="500"/>
    <n v="150"/>
    <n v="150"/>
    <n v="150"/>
    <n v="150"/>
    <n v="325816.95"/>
    <n v="325816.95"/>
    <n v="325816.95"/>
    <n v="325816.9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3"/>
    <n v="4"/>
    <s v="EUR"/>
    <s v="E"/>
    <n v="716.4"/>
    <n v="714.9"/>
    <n v="357450"/>
    <n v="357450"/>
    <s v="S"/>
    <n v="4"/>
    <s v="EUR"/>
    <n v="132534288.59999999"/>
    <s v="S"/>
    <n v="1"/>
    <n v="1"/>
    <s v="Consumo Ciclico"/>
    <s v=""/>
    <n v="0"/>
    <n v="999999999"/>
    <n v="8205251.6799999997"/>
    <n v="1"/>
    <m/>
    <s v="03/10/2023 23:59:59"/>
    <n v="1"/>
    <n v="1"/>
    <s v="B"/>
    <n v="0"/>
    <n v="31345322.399999999"/>
    <n v="1.14036154"/>
    <n v="123618989.48999999"/>
    <n v="132456249.91"/>
    <n v="596150.00000000012"/>
    <n v="9219855.2300000004"/>
    <n v="23.664660909999998"/>
    <n v="0.45007313999999998"/>
    <n v="6.9606796500000003"/>
    <n v="0.26986269000000002"/>
    <s v="ok"/>
    <s v="ok"/>
    <n v="26356083.120000001"/>
    <n v="1.14036154"/>
    <n v="-750"/>
    <n v="-0.21"/>
    <s v="PA"/>
    <n v="-78038.69"/>
    <s v="RV"/>
    <s v="ACE"/>
    <n v="32383.05"/>
    <n v="32383.05"/>
    <n v="358200"/>
    <n v="3582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8915459999999998"/>
    <m/>
    <n v="0"/>
    <n v="-219173.26"/>
    <m/>
    <m/>
    <m/>
    <n v="1355558.46"/>
    <n v="0"/>
    <n v="2520.3126550000002"/>
    <n v="52555.483399999997"/>
    <n v="-296353.43"/>
    <n v="92570020.519999996"/>
    <n v="-750"/>
    <n v="394770.09"/>
    <n v="0.29803809999999997"/>
    <m/>
    <n v="0"/>
    <n v="0"/>
    <n v="-296353.43"/>
    <n v="0"/>
    <n v="0"/>
    <n v="16777215"/>
    <n v="0"/>
    <n v="0"/>
    <n v="0"/>
    <n v="0"/>
    <n v="0"/>
    <n v="357450"/>
    <n v="35745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716.4"/>
    <n v="1"/>
    <n v="0"/>
    <n v="0"/>
    <n v="0"/>
    <n v="0"/>
    <n v="0"/>
    <n v="0"/>
    <n v="0"/>
    <n v="0"/>
    <n v="0"/>
    <n v="0"/>
    <n v="0"/>
    <n v="0"/>
  </r>
  <r>
    <n v="16975461"/>
    <n v="128"/>
    <n v="2245"/>
    <n v="0"/>
    <n v="0"/>
    <n v="0"/>
    <n v="0"/>
    <n v="0"/>
    <n v="25000"/>
    <n v="25000"/>
    <n v="150"/>
    <n v="150"/>
    <n v="150"/>
    <n v="150"/>
    <n v="430709.08"/>
    <n v="430709.08"/>
    <n v="430709.08"/>
    <n v="430709.0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4"/>
    <n v="4"/>
    <s v="EUR"/>
    <s v="E"/>
    <n v="15.914999999999999"/>
    <n v="15.790000000000001"/>
    <n v="394750"/>
    <n v="394750"/>
    <s v="S"/>
    <n v="4"/>
    <s v="EUR"/>
    <n v="132534288.59999999"/>
    <s v="S"/>
    <n v="1"/>
    <n v="1"/>
    <s v="Consumo Ciclico"/>
    <s v=""/>
    <n v="0"/>
    <n v="999999999"/>
    <n v="8205251.6799999997"/>
    <n v="1"/>
    <m/>
    <s v="03/10/2023 23:59:59"/>
    <n v="1"/>
    <n v="1"/>
    <s v="B"/>
    <n v="0"/>
    <n v="31345322.399999999"/>
    <n v="1.2593585599999999"/>
    <n v="123618989.48999999"/>
    <n v="132456249.91"/>
    <n v="596150.00000000012"/>
    <n v="9219855.2300000004"/>
    <n v="23.664660909999998"/>
    <n v="0.45007313999999998"/>
    <n v="6.9606796500000003"/>
    <n v="0.29802293000000002"/>
    <s v="ok"/>
    <s v="ok"/>
    <n v="26356083.120000001"/>
    <n v="1.2593585599999999"/>
    <n v="-3125"/>
    <n v="-0.82"/>
    <s v="PA"/>
    <n v="-78038.69"/>
    <s v="RV"/>
    <s v="ACE"/>
    <n v="-32834.080000000002"/>
    <n v="-32834.080000000002"/>
    <n v="397875"/>
    <n v="397875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932796000000002"/>
    <m/>
    <n v="0"/>
    <n v="-219173.26"/>
    <m/>
    <m/>
    <m/>
    <n v="1355558.46"/>
    <n v="0"/>
    <n v="2520.3126550000002"/>
    <n v="52555.483399999997"/>
    <n v="-296353.43"/>
    <n v="92570020.519999996"/>
    <n v="-3125"/>
    <n v="394770.09"/>
    <n v="0.29803809999999997"/>
    <m/>
    <n v="0"/>
    <n v="0"/>
    <n v="-296353.43"/>
    <n v="0"/>
    <n v="0"/>
    <n v="16777215"/>
    <n v="0"/>
    <n v="0"/>
    <n v="0"/>
    <n v="0"/>
    <n v="0"/>
    <n v="394750"/>
    <n v="39475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5.914999999999999"/>
    <n v="1"/>
    <n v="0"/>
    <n v="0"/>
    <n v="0"/>
    <n v="0"/>
    <n v="0"/>
    <n v="0"/>
    <n v="0"/>
    <n v="0"/>
    <n v="0"/>
    <n v="0"/>
    <n v="0"/>
    <n v="0"/>
  </r>
  <r>
    <n v="16975369"/>
    <n v="128"/>
    <n v="7825"/>
    <n v="0"/>
    <n v="0"/>
    <n v="0"/>
    <n v="0"/>
    <n v="0"/>
    <n v="5500"/>
    <n v="5500"/>
    <n v="1375"/>
    <n v="1375"/>
    <n v="1375"/>
    <n v="117.16"/>
    <n v="2380657.1"/>
    <n v="202845.63"/>
    <n v="2380657.1"/>
    <n v="202845.63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5"/>
    <n v="22"/>
    <s v="NOK"/>
    <s v="E"/>
    <n v="543.4"/>
    <n v="547.6"/>
    <n v="3011800"/>
    <n v="265665.8"/>
    <s v="S"/>
    <n v="4"/>
    <s v="EUR"/>
    <n v="132534288.59999999"/>
    <s v="S"/>
    <n v="1"/>
    <n v="1"/>
    <s v="Consumo No Ciclico"/>
    <s v="Alimentación"/>
    <n v="0"/>
    <m/>
    <n v="8205251.6799999997"/>
    <n v="11.3368"/>
    <m/>
    <s v="03/10/2023 23:59:59"/>
    <n v="1"/>
    <n v="1"/>
    <s v="B"/>
    <n v="0"/>
    <n v="31345322.399999999"/>
    <n v="0.84754527999999996"/>
    <n v="123618989.48999999"/>
    <n v="132456249.91"/>
    <n v="596150.00000000012"/>
    <n v="9219855.2300000004"/>
    <n v="23.664660909999998"/>
    <n v="0.45007313999999998"/>
    <n v="6.9606796500000003"/>
    <n v="0.20056872000000001"/>
    <s v="ok"/>
    <s v="ok"/>
    <n v="26356083.120000001"/>
    <n v="0.84754527999999996"/>
    <n v="1031.53"/>
    <n v="0.77"/>
    <s v="PA"/>
    <n v="-78038.69"/>
    <s v="RV"/>
    <s v="ACE"/>
    <n v="608042.9"/>
    <n v="61788.639999999999"/>
    <n v="2988700"/>
    <n v="264634.2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1490695000000001"/>
    <m/>
    <n v="0"/>
    <n v="-219173.26"/>
    <m/>
    <m/>
    <m/>
    <n v="1355558.46"/>
    <n v="0"/>
    <n v="2520.3126550000002"/>
    <n v="52555.483399999997"/>
    <n v="-296353.43"/>
    <n v="92570020.519999996"/>
    <n v="23100"/>
    <n v="394770.09"/>
    <n v="0.29803809999999997"/>
    <m/>
    <n v="0"/>
    <n v="0"/>
    <n v="-296353.43"/>
    <n v="0"/>
    <n v="0"/>
    <n v="16777215"/>
    <n v="0"/>
    <n v="0"/>
    <n v="0"/>
    <n v="0"/>
    <n v="0"/>
    <n v="3011800"/>
    <n v="265665.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43.4"/>
    <n v="11.307700000000001"/>
    <n v="0"/>
    <n v="0"/>
    <n v="0"/>
    <n v="0"/>
    <n v="0"/>
    <n v="0"/>
    <n v="0"/>
    <n v="0"/>
    <n v="0"/>
    <n v="0"/>
    <n v="0"/>
    <n v="0"/>
  </r>
  <r>
    <n v="16975462"/>
    <n v="128"/>
    <n v="10693"/>
    <n v="0"/>
    <n v="0"/>
    <n v="0"/>
    <n v="0"/>
    <n v="0"/>
    <n v="26000"/>
    <n v="26000"/>
    <n v="26000"/>
    <n v="26000"/>
    <n v="26000"/>
    <n v="18058.82"/>
    <n v="596700"/>
    <n v="414449.83"/>
    <n v="596700"/>
    <n v="414449.83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6"/>
    <n v="18"/>
    <s v="CAD"/>
    <s v="R"/>
    <n v="18.68"/>
    <n v="17.96"/>
    <n v="466960"/>
    <n v="325830"/>
    <s v="S"/>
    <n v="4"/>
    <s v="EUR"/>
    <n v="132534288.59999999"/>
    <s v="S"/>
    <n v="1"/>
    <n v="1"/>
    <s v="Consumo No Ciclico"/>
    <s v="Serv comerciales"/>
    <n v="0"/>
    <m/>
    <n v="8205251.6799999997"/>
    <n v="1.4331399999999999"/>
    <m/>
    <s v="03/10/2023 23:59:59"/>
    <n v="1"/>
    <n v="1"/>
    <s v="B"/>
    <n v="0"/>
    <n v="31345322.399999999"/>
    <n v="1.0394852400000001"/>
    <n v="123618989.48999999"/>
    <n v="132456249.91"/>
    <n v="596150.00000000012"/>
    <n v="9219855.2300000004"/>
    <n v="23.664660909999998"/>
    <n v="0.45007313999999998"/>
    <n v="6.9606796500000003"/>
    <n v="0.24599066"/>
    <s v="ok"/>
    <s v="ok"/>
    <n v="26356083.120000001"/>
    <n v="1.0394852400000001"/>
    <n v="-12531"/>
    <n v="-3.85"/>
    <s v="PA"/>
    <n v="-78038.69"/>
    <s v="RV"/>
    <s v="ACE"/>
    <n v="-111020"/>
    <n v="-76088.83"/>
    <n v="485680"/>
    <n v="338361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6357601000000003"/>
    <m/>
    <n v="0"/>
    <n v="-219173.26"/>
    <m/>
    <m/>
    <m/>
    <n v="1355558.46"/>
    <n v="0"/>
    <n v="2520.3126550000002"/>
    <n v="52555.483399999997"/>
    <n v="-296353.43"/>
    <n v="92570020.519999996"/>
    <n v="-18720"/>
    <n v="394770.09"/>
    <n v="0.29803809999999997"/>
    <m/>
    <n v="0"/>
    <n v="0"/>
    <n v="-296353.43"/>
    <n v="0"/>
    <n v="0"/>
    <n v="16777215"/>
    <n v="0"/>
    <n v="0"/>
    <n v="0"/>
    <n v="0"/>
    <n v="0"/>
    <n v="466960"/>
    <n v="32583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8.68"/>
    <n v="1.4359200000000001"/>
    <n v="0"/>
    <n v="0"/>
    <n v="0"/>
    <n v="0"/>
    <n v="0"/>
    <n v="0"/>
    <n v="0"/>
    <n v="0"/>
    <n v="0"/>
    <n v="0"/>
    <n v="0"/>
    <n v="0"/>
  </r>
  <r>
    <n v="16975386"/>
    <n v="128"/>
    <n v="4201"/>
    <n v="0"/>
    <n v="0"/>
    <n v="0"/>
    <n v="0"/>
    <n v="0"/>
    <n v="7000"/>
    <n v="7000"/>
    <n v="0.7"/>
    <n v="0.7"/>
    <n v="0.7"/>
    <n v="1.36"/>
    <n v="585103.16"/>
    <n v="542565.27"/>
    <n v="585103.16"/>
    <n v="542565.27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7"/>
    <n v="5"/>
    <s v="USD"/>
    <s v="U"/>
    <n v="58.46"/>
    <n v="58.56"/>
    <n v="409920"/>
    <n v="390995.8"/>
    <s v="S"/>
    <n v="4"/>
    <s v="EUR"/>
    <n v="132534288.59999999"/>
    <s v="S"/>
    <n v="1"/>
    <n v="1"/>
    <s v="Consumo No Ciclico"/>
    <s v="Serv comerciales"/>
    <n v="0"/>
    <m/>
    <n v="8205251.6799999997"/>
    <n v="1.0484"/>
    <m/>
    <s v="03/10/2023 23:59:59"/>
    <n v="1"/>
    <n v="1"/>
    <s v="B"/>
    <n v="0"/>
    <n v="31345322.399999999"/>
    <n v="1.2473816499999999"/>
    <n v="123618989.48999999"/>
    <n v="132456249.91"/>
    <n v="596150.00000000012"/>
    <n v="9219855.2300000004"/>
    <n v="23.664660909999998"/>
    <n v="0.45007313999999998"/>
    <n v="6.9606796500000003"/>
    <n v="0.29518864"/>
    <s v="ok"/>
    <s v="ok"/>
    <n v="26356083.120000001"/>
    <n v="1.2473816499999999"/>
    <n v="3953.33"/>
    <n v="0.17"/>
    <s v="PA"/>
    <n v="-78038.69"/>
    <s v="RV"/>
    <s v="ACE"/>
    <n v="-175883.16"/>
    <n v="-155522.79999999999"/>
    <n v="409220"/>
    <n v="387042.4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629105000000002"/>
    <m/>
    <n v="0"/>
    <n v="-219173.26"/>
    <m/>
    <m/>
    <m/>
    <n v="1355558.46"/>
    <n v="0"/>
    <n v="2520.3126550000002"/>
    <n v="52555.483399999997"/>
    <n v="-296353.43"/>
    <n v="92570020.519999996"/>
    <n v="700"/>
    <n v="394770.09"/>
    <n v="0.29803809999999997"/>
    <m/>
    <n v="0"/>
    <n v="0"/>
    <n v="-296353.43"/>
    <n v="0"/>
    <n v="0"/>
    <n v="16777215"/>
    <n v="0"/>
    <n v="0"/>
    <n v="0"/>
    <n v="0"/>
    <n v="0"/>
    <n v="409920"/>
    <n v="390995.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8.46"/>
    <n v="1.0572999999999999"/>
    <n v="0"/>
    <n v="0"/>
    <n v="0"/>
    <n v="0"/>
    <n v="0"/>
    <n v="0"/>
    <n v="0"/>
    <n v="0"/>
    <n v="0"/>
    <n v="0"/>
    <n v="0"/>
    <n v="0"/>
  </r>
  <r>
    <n v="16975546"/>
    <n v="128"/>
    <n v="3915"/>
    <n v="0"/>
    <n v="0"/>
    <n v="0"/>
    <n v="0"/>
    <n v="0"/>
    <n v="1000"/>
    <n v="1000"/>
    <n v="10"/>
    <n v="10"/>
    <n v="10"/>
    <n v="9.1999999999999993"/>
    <n v="437080"/>
    <n v="402282.56"/>
    <n v="437080"/>
    <n v="402282.5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8"/>
    <n v="5"/>
    <s v="USD"/>
    <s v="U"/>
    <n v="435.42"/>
    <n v="440.19"/>
    <n v="440190"/>
    <n v="419868.37"/>
    <s v="S"/>
    <n v="4"/>
    <s v="EUR"/>
    <n v="132534288.59999999"/>
    <s v="S"/>
    <n v="1"/>
    <n v="1"/>
    <s v="Consumo No Ciclico"/>
    <s v="Servicios de Salud"/>
    <n v="0"/>
    <m/>
    <n v="8205251.6799999997"/>
    <n v="1.0484"/>
    <m/>
    <s v="03/10/2023 23:59:59"/>
    <n v="1"/>
    <n v="1"/>
    <s v="B"/>
    <n v="0"/>
    <n v="31345322.399999999"/>
    <n v="1.3394929099999999"/>
    <n v="123618989.48999999"/>
    <n v="132456249.91"/>
    <n v="596150.00000000012"/>
    <n v="9219855.2300000004"/>
    <n v="23.664660909999998"/>
    <n v="0.45007313999999998"/>
    <n v="6.9606796500000003"/>
    <n v="0.31698644999999998"/>
    <s v="ok"/>
    <s v="ok"/>
    <n v="26356083.120000001"/>
    <n v="1.3394929099999999"/>
    <n v="8045.8"/>
    <n v="1.1000000000000001"/>
    <s v="PA"/>
    <n v="-78038.69"/>
    <s v="RV"/>
    <s v="ACE"/>
    <n v="-1660"/>
    <n v="9540.01"/>
    <n v="435420"/>
    <n v="411822.5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3964715000000001"/>
    <m/>
    <n v="0"/>
    <n v="-219173.26"/>
    <m/>
    <m/>
    <m/>
    <n v="1355558.46"/>
    <n v="0"/>
    <n v="2520.3126550000002"/>
    <n v="52555.483399999997"/>
    <n v="-296353.43"/>
    <n v="92570020.519999996"/>
    <n v="4770"/>
    <n v="394770.09"/>
    <n v="0.29803809999999997"/>
    <m/>
    <n v="0"/>
    <n v="0"/>
    <n v="-296353.43"/>
    <n v="0"/>
    <n v="0"/>
    <n v="16777215"/>
    <n v="0"/>
    <n v="0"/>
    <n v="0"/>
    <n v="0"/>
    <n v="0"/>
    <n v="440190"/>
    <n v="419868.3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435.42"/>
    <n v="1.0572999999999999"/>
    <n v="0"/>
    <n v="0"/>
    <n v="0"/>
    <n v="0"/>
    <n v="0"/>
    <n v="0"/>
    <n v="0"/>
    <n v="0"/>
    <n v="0"/>
    <n v="0"/>
    <n v="0"/>
    <n v="0"/>
  </r>
  <r>
    <n v="16975566"/>
    <n v="128"/>
    <n v="10677"/>
    <n v="0"/>
    <n v="0"/>
    <n v="0"/>
    <n v="0"/>
    <n v="0"/>
    <n v="1500"/>
    <n v="1500"/>
    <n v="15"/>
    <n v="15"/>
    <n v="15"/>
    <n v="13.81"/>
    <n v="448500"/>
    <n v="412793.38"/>
    <n v="448500"/>
    <n v="412793.3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29"/>
    <n v="5"/>
    <s v="USD"/>
    <s v="U"/>
    <n v="245.98"/>
    <n v="247.21"/>
    <n v="370815"/>
    <n v="353696.11"/>
    <s v="S"/>
    <n v="4"/>
    <s v="EUR"/>
    <n v="132534288.59999999"/>
    <s v="S"/>
    <n v="1"/>
    <n v="1"/>
    <s v="Consumo No Ciclico"/>
    <s v="Servicios de Salud"/>
    <n v="0"/>
    <m/>
    <n v="8205251.6799999997"/>
    <n v="1.0484"/>
    <m/>
    <s v="03/10/2023 23:59:59"/>
    <n v="1"/>
    <n v="1"/>
    <s v="B"/>
    <n v="0"/>
    <n v="31345322.399999999"/>
    <n v="1.12838562"/>
    <n v="123618989.48999999"/>
    <n v="132456249.91"/>
    <n v="596150.00000000012"/>
    <n v="9219855.2300000004"/>
    <n v="23.664660909999998"/>
    <n v="0.45007313999999998"/>
    <n v="6.9606796500000003"/>
    <n v="0.26702862999999999"/>
    <s v="ok"/>
    <s v="ok"/>
    <n v="26356083.120000001"/>
    <n v="1.12838562"/>
    <n v="4722.3100000000004"/>
    <n v="0.5"/>
    <s v="PA"/>
    <n v="-78038.69"/>
    <s v="RV"/>
    <s v="ACE"/>
    <n v="-79530"/>
    <n v="-63819.58"/>
    <n v="368970"/>
    <n v="348973.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8611794000000002"/>
    <m/>
    <n v="0"/>
    <n v="-219173.26"/>
    <m/>
    <m/>
    <m/>
    <n v="1355558.46"/>
    <n v="0"/>
    <n v="2520.3126550000002"/>
    <n v="52555.483399999997"/>
    <n v="-296353.43"/>
    <n v="92570020.519999996"/>
    <n v="1845"/>
    <n v="394770.09"/>
    <n v="0.29803809999999997"/>
    <m/>
    <n v="0"/>
    <n v="0"/>
    <n v="-296353.43"/>
    <n v="0"/>
    <n v="0"/>
    <n v="16777215"/>
    <n v="0"/>
    <n v="0"/>
    <n v="0"/>
    <n v="0"/>
    <n v="0"/>
    <n v="370815"/>
    <n v="353696.1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45.98"/>
    <n v="1.0572999999999999"/>
    <n v="0"/>
    <n v="0"/>
    <n v="0"/>
    <n v="0"/>
    <n v="0"/>
    <n v="0"/>
    <n v="0"/>
    <n v="0"/>
    <n v="0"/>
    <n v="0"/>
    <n v="0"/>
    <n v="0"/>
  </r>
  <r>
    <n v="16975588"/>
    <n v="128"/>
    <n v="10678"/>
    <n v="0"/>
    <n v="0"/>
    <n v="0"/>
    <n v="0"/>
    <n v="0"/>
    <n v="2000"/>
    <n v="2000"/>
    <n v="120"/>
    <n v="120"/>
    <n v="120"/>
    <n v="110.45"/>
    <n v="481140"/>
    <n v="442834.8"/>
    <n v="481140"/>
    <n v="442834.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0"/>
    <n v="5"/>
    <s v="USD"/>
    <s v="E"/>
    <n v="246.25"/>
    <n v="243.14000000000001"/>
    <n v="486280.00000000006"/>
    <n v="463830.6"/>
    <s v="S"/>
    <n v="4"/>
    <s v="EUR"/>
    <n v="132534288.59999999"/>
    <s v="S"/>
    <n v="1"/>
    <n v="1"/>
    <s v="Consumo No Ciclico"/>
    <s v="Servicios de Salud"/>
    <n v="0"/>
    <m/>
    <n v="8205251.6799999997"/>
    <n v="1.0484"/>
    <m/>
    <s v="03/10/2023 23:59:59"/>
    <n v="1"/>
    <n v="1"/>
    <s v="B"/>
    <n v="0"/>
    <n v="31345322.399999999"/>
    <n v="1.4797442300000001"/>
    <n v="123618989.48999999"/>
    <n v="132456249.91"/>
    <n v="596150.00000000012"/>
    <n v="9219855.2300000004"/>
    <n v="23.664660909999998"/>
    <n v="0.45007313999999998"/>
    <n v="6.9606796500000003"/>
    <n v="0.35017644999999997"/>
    <s v="ok"/>
    <s v="ok"/>
    <n v="26356083.120000001"/>
    <n v="1.4797442300000001"/>
    <n v="-1978.54"/>
    <n v="-1.26"/>
    <s v="PA"/>
    <n v="-78038.69"/>
    <s v="RV"/>
    <s v="ACE"/>
    <n v="11360"/>
    <n v="22974.34"/>
    <n v="492500"/>
    <n v="465809.14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7520983000000002"/>
    <m/>
    <n v="0"/>
    <n v="-219173.26"/>
    <m/>
    <m/>
    <m/>
    <n v="1355558.46"/>
    <n v="0"/>
    <n v="2520.3126550000002"/>
    <n v="52555.483399999997"/>
    <n v="-296353.43"/>
    <n v="92570020.519999996"/>
    <n v="-6220"/>
    <n v="394770.09"/>
    <n v="0.29803809999999997"/>
    <m/>
    <n v="0"/>
    <n v="0"/>
    <n v="-296353.43"/>
    <n v="0"/>
    <n v="0"/>
    <n v="16777215"/>
    <n v="0"/>
    <n v="0"/>
    <n v="0"/>
    <n v="0"/>
    <n v="0"/>
    <n v="486280.00000000006"/>
    <n v="463830.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46.25"/>
    <n v="1.0572999999999999"/>
    <n v="0"/>
    <n v="0"/>
    <n v="0"/>
    <n v="0"/>
    <n v="0"/>
    <n v="0"/>
    <n v="0"/>
    <n v="0"/>
    <n v="0"/>
    <n v="0"/>
    <n v="0"/>
    <n v="0"/>
  </r>
  <r>
    <n v="16975565"/>
    <n v="128"/>
    <n v="10679"/>
    <n v="0"/>
    <n v="0"/>
    <n v="0"/>
    <n v="0"/>
    <n v="0"/>
    <n v="1500"/>
    <n v="1500"/>
    <n v="1.5"/>
    <n v="1.5"/>
    <n v="1.5"/>
    <n v="1.38"/>
    <n v="434475"/>
    <n v="399884.95"/>
    <n v="434475"/>
    <n v="399884.9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1"/>
    <n v="5"/>
    <s v="USD"/>
    <s v="U"/>
    <n v="327.89"/>
    <n v="332.46"/>
    <n v="498689.99999999994"/>
    <n v="475667.68"/>
    <s v="S"/>
    <n v="4"/>
    <s v="EUR"/>
    <n v="132534288.59999999"/>
    <s v="S"/>
    <n v="1"/>
    <n v="1"/>
    <s v="Consumo No Ciclico"/>
    <s v="Servicios de Salud"/>
    <n v="0"/>
    <m/>
    <n v="8205251.6799999997"/>
    <n v="1.0484"/>
    <m/>
    <s v="03/10/2023 23:59:59"/>
    <n v="1"/>
    <n v="1"/>
    <s v="B"/>
    <n v="0"/>
    <n v="31345322.399999999"/>
    <n v="1.5175076999999999"/>
    <n v="123618989.48999999"/>
    <n v="132456249.91"/>
    <n v="596150.00000000012"/>
    <n v="9219855.2300000004"/>
    <n v="23.664660909999998"/>
    <n v="0.45007313999999998"/>
    <n v="6.9606796500000003"/>
    <n v="0.35911304999999999"/>
    <s v="ok"/>
    <s v="ok"/>
    <n v="26356083.120000001"/>
    <n v="1.5175076999999999"/>
    <n v="10487.5"/>
    <n v="1.39"/>
    <s v="PA"/>
    <n v="-78038.69"/>
    <s v="RV"/>
    <s v="ACE"/>
    <n v="57360"/>
    <n v="65295.23"/>
    <n v="491835"/>
    <n v="465180.1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8478528000000001"/>
    <m/>
    <n v="0"/>
    <n v="-219173.26"/>
    <m/>
    <m/>
    <m/>
    <n v="1355558.46"/>
    <n v="0"/>
    <n v="2520.3126550000002"/>
    <n v="52555.483399999997"/>
    <n v="-296353.43"/>
    <n v="92570020.519999996"/>
    <n v="6855"/>
    <n v="394770.09"/>
    <n v="0.29803809999999997"/>
    <m/>
    <n v="0"/>
    <n v="0"/>
    <n v="-296353.43"/>
    <n v="0"/>
    <n v="0"/>
    <n v="16777215"/>
    <n v="0"/>
    <n v="0"/>
    <n v="0"/>
    <n v="0"/>
    <n v="0"/>
    <n v="498689.99999999994"/>
    <n v="475667.6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27.89"/>
    <n v="1.0572999999999999"/>
    <n v="0"/>
    <n v="0"/>
    <n v="0"/>
    <n v="0"/>
    <n v="0"/>
    <n v="0"/>
    <n v="0"/>
    <n v="0"/>
    <n v="0"/>
    <n v="0"/>
    <n v="0"/>
    <n v="0"/>
  </r>
  <r>
    <n v="16975343"/>
    <n v="128"/>
    <n v="3988"/>
    <n v="0"/>
    <n v="0"/>
    <n v="0"/>
    <n v="0"/>
    <n v="0"/>
    <n v="3500"/>
    <n v="3500"/>
    <n v="35"/>
    <n v="35"/>
    <n v="35"/>
    <n v="32.21"/>
    <n v="463575"/>
    <n v="426668.2"/>
    <n v="463575"/>
    <n v="426668.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2"/>
    <n v="5"/>
    <s v="USD"/>
    <s v="U"/>
    <n v="149.06"/>
    <n v="148.25"/>
    <n v="518875"/>
    <n v="494920.83"/>
    <s v="S"/>
    <n v="4"/>
    <s v="EUR"/>
    <n v="132534288.59999999"/>
    <s v="S"/>
    <n v="1"/>
    <n v="1"/>
    <s v="Consumo No Ciclico"/>
    <s v=""/>
    <n v="0"/>
    <n v="999999999"/>
    <n v="8205251.6799999997"/>
    <n v="1.0484"/>
    <m/>
    <s v="03/10/2023 23:59:59"/>
    <n v="1"/>
    <n v="1"/>
    <s v="B"/>
    <n v="0"/>
    <n v="31345322.399999999"/>
    <n v="1.5789304200000001"/>
    <n v="123618989.48999999"/>
    <n v="132456249.91"/>
    <n v="596150.00000000012"/>
    <n v="9219855.2300000004"/>
    <n v="23.664660909999998"/>
    <n v="0.45007313999999998"/>
    <n v="6.9606796500000003"/>
    <n v="0.37364852999999998"/>
    <s v="ok"/>
    <s v="ok"/>
    <n v="26356083.120000001"/>
    <n v="1.5789304200000001"/>
    <n v="1484.72"/>
    <n v="-0.54"/>
    <s v="PA"/>
    <n v="-78038.69"/>
    <s v="RV"/>
    <s v="ACE"/>
    <n v="58135"/>
    <n v="66767.91"/>
    <n v="521710"/>
    <n v="493436.11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40035987000000001"/>
    <m/>
    <n v="0"/>
    <n v="-219173.26"/>
    <m/>
    <m/>
    <m/>
    <n v="1355558.46"/>
    <n v="0"/>
    <n v="2520.3126550000002"/>
    <n v="52555.483399999997"/>
    <n v="-296353.43"/>
    <n v="92570020.519999996"/>
    <n v="-2835"/>
    <n v="394770.09"/>
    <n v="0.29803809999999997"/>
    <m/>
    <n v="0"/>
    <n v="0"/>
    <n v="-296353.43"/>
    <n v="0"/>
    <n v="0"/>
    <n v="16777215"/>
    <n v="0"/>
    <n v="0"/>
    <n v="0"/>
    <n v="0"/>
    <n v="0"/>
    <n v="518875"/>
    <n v="494920.83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49.06"/>
    <n v="1.0572999999999999"/>
    <n v="0"/>
    <n v="0"/>
    <n v="0"/>
    <n v="0"/>
    <n v="0"/>
    <n v="0"/>
    <n v="0"/>
    <n v="0"/>
    <n v="0"/>
    <n v="0"/>
    <n v="0"/>
    <n v="0"/>
  </r>
  <r>
    <n v="16975336"/>
    <n v="128"/>
    <n v="1295"/>
    <n v="0"/>
    <n v="0"/>
    <n v="0"/>
    <n v="0"/>
    <n v="0"/>
    <n v="2700"/>
    <n v="2700"/>
    <n v="2700"/>
    <n v="2700"/>
    <n v="2700"/>
    <n v="2621.86"/>
    <n v="899147.87"/>
    <n v="872736.8"/>
    <n v="899147.87"/>
    <n v="872736.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3"/>
    <n v="20"/>
    <s v="CHF"/>
    <s v="E"/>
    <n v="250.45"/>
    <n v="248.05"/>
    <n v="669735"/>
    <n v="694666.58"/>
    <s v="S"/>
    <n v="4"/>
    <s v="EUR"/>
    <n v="132534288.59999999"/>
    <s v="S"/>
    <n v="1"/>
    <n v="1"/>
    <s v="Consumo No Ciclico"/>
    <s v=""/>
    <n v="0"/>
    <n v="999999999"/>
    <n v="8205251.6799999997"/>
    <n v="0.96410999999999991"/>
    <m/>
    <s v="03/10/2023 23:59:59"/>
    <n v="1"/>
    <n v="1"/>
    <s v="B"/>
    <n v="0"/>
    <n v="31345322.399999999"/>
    <n v="2.2161730300000002"/>
    <n v="123618989.48999999"/>
    <n v="132456249.91"/>
    <n v="596150.00000000012"/>
    <n v="9219855.2300000004"/>
    <n v="23.664660909999998"/>
    <n v="0.45007313999999998"/>
    <n v="6.9606796500000003"/>
    <n v="0.52444983000000001"/>
    <s v="ok"/>
    <s v="ok"/>
    <n v="26356083.120000001"/>
    <n v="2.2161730300000002"/>
    <n v="-4213.09"/>
    <n v="-0.96"/>
    <s v="PA"/>
    <n v="-78038.69"/>
    <s v="RV"/>
    <s v="ACE"/>
    <n v="-222932.87"/>
    <n v="-173857.13"/>
    <n v="676215"/>
    <n v="698879.6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56194164000000002"/>
    <m/>
    <n v="0"/>
    <n v="-219173.26"/>
    <m/>
    <m/>
    <m/>
    <n v="1355558.46"/>
    <n v="0"/>
    <n v="2520.3126550000002"/>
    <n v="52555.483399999997"/>
    <n v="-296353.43"/>
    <n v="92570020.519999996"/>
    <n v="-6480"/>
    <n v="394770.09"/>
    <n v="0.29803809999999997"/>
    <m/>
    <n v="0"/>
    <n v="0"/>
    <n v="-296353.43"/>
    <n v="0"/>
    <n v="0"/>
    <n v="16777215"/>
    <n v="0"/>
    <n v="0"/>
    <n v="0"/>
    <n v="0"/>
    <n v="0"/>
    <n v="669735"/>
    <n v="694666.5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50.45"/>
    <n v="0.96733999999999998"/>
    <n v="0"/>
    <n v="0"/>
    <n v="0"/>
    <n v="0"/>
    <n v="0"/>
    <n v="0"/>
    <n v="0"/>
    <n v="0"/>
    <n v="0"/>
    <n v="0"/>
    <n v="0"/>
    <n v="0"/>
  </r>
  <r>
    <n v="16975363"/>
    <n v="128"/>
    <n v="10689"/>
    <n v="0"/>
    <n v="0"/>
    <n v="0"/>
    <n v="0"/>
    <n v="0"/>
    <n v="4500"/>
    <n v="4500"/>
    <n v="45"/>
    <n v="45"/>
    <n v="45"/>
    <n v="45"/>
    <n v="415987.15"/>
    <n v="415987.15"/>
    <n v="415987.15"/>
    <n v="415987.1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4"/>
    <n v="4"/>
    <s v="EUR"/>
    <s v="E"/>
    <n v="116.5"/>
    <n v="116"/>
    <n v="522000"/>
    <n v="522000"/>
    <s v="S"/>
    <n v="4"/>
    <s v="EUR"/>
    <n v="132534288.59999999"/>
    <s v="S"/>
    <n v="1"/>
    <n v="1"/>
    <s v="Energia"/>
    <s v="Pipelines"/>
    <n v="0"/>
    <m/>
    <n v="8205251.6799999997"/>
    <n v="1"/>
    <m/>
    <s v="03/10/2023 23:59:59"/>
    <n v="1"/>
    <n v="1"/>
    <s v="B"/>
    <n v="0"/>
    <n v="31345322.399999999"/>
    <n v="1.6653202499999999"/>
    <n v="123618989.48999999"/>
    <n v="132456249.91"/>
    <n v="596150.00000000012"/>
    <n v="9219855.2300000004"/>
    <n v="23.664660909999998"/>
    <n v="0.45007313999999998"/>
    <n v="6.9606796500000003"/>
    <n v="0.39409239000000001"/>
    <s v="ok"/>
    <s v="ok"/>
    <n v="26356083.120000001"/>
    <n v="1.6653202499999999"/>
    <n v="-2250"/>
    <n v="-0.43"/>
    <s v="PA"/>
    <n v="-78038.69"/>
    <s v="RV"/>
    <s v="ACE"/>
    <n v="108262.85"/>
    <n v="108262.85"/>
    <n v="524250"/>
    <n v="52425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42226522"/>
    <m/>
    <n v="0"/>
    <n v="-219173.26"/>
    <m/>
    <m/>
    <m/>
    <n v="1355558.46"/>
    <n v="0"/>
    <n v="2520.3126550000002"/>
    <n v="52555.483399999997"/>
    <n v="-296353.43"/>
    <n v="92570020.519999996"/>
    <n v="-2250"/>
    <n v="394770.09"/>
    <n v="0.29803809999999997"/>
    <m/>
    <n v="0"/>
    <n v="0"/>
    <n v="-296353.43"/>
    <n v="0"/>
    <n v="0"/>
    <n v="16777215"/>
    <n v="0"/>
    <n v="0"/>
    <n v="0"/>
    <n v="0"/>
    <n v="0"/>
    <n v="522000"/>
    <n v="52200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16.5"/>
    <n v="1"/>
    <n v="0"/>
    <n v="0"/>
    <n v="0"/>
    <n v="0"/>
    <n v="0"/>
    <n v="0"/>
    <n v="0"/>
    <n v="0"/>
    <n v="0"/>
    <n v="0"/>
    <n v="0"/>
    <n v="0"/>
  </r>
  <r>
    <n v="16975393"/>
    <n v="128"/>
    <n v="10683"/>
    <n v="0"/>
    <n v="0"/>
    <n v="0"/>
    <n v="0"/>
    <n v="0"/>
    <n v="10000"/>
    <n v="10000"/>
    <n v="10000"/>
    <n v="10000"/>
    <n v="10000"/>
    <n v="6108.96"/>
    <n v="630000"/>
    <n v="384864.45"/>
    <n v="630000"/>
    <n v="384864.4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5"/>
    <n v="13"/>
    <s v="AUD"/>
    <s v="R"/>
    <n v="57.12"/>
    <n v="56.980000000000004"/>
    <n v="569800"/>
    <n v="345084.45"/>
    <s v="S"/>
    <n v="4"/>
    <s v="EUR"/>
    <n v="132534288.59999999"/>
    <s v="S"/>
    <n v="1"/>
    <n v="1"/>
    <s v="Financiero"/>
    <s v="Fin.Diversificado"/>
    <n v="0"/>
    <m/>
    <n v="8205251.6799999997"/>
    <n v="1.6511899999999999"/>
    <m/>
    <s v="03/10/2023 23:59:59"/>
    <n v="1"/>
    <n v="1"/>
    <s v="B"/>
    <n v="0"/>
    <n v="31345322.399999999"/>
    <n v="1.1009121100000001"/>
    <n v="123618989.48999999"/>
    <n v="132456249.91"/>
    <n v="596150.00000000012"/>
    <n v="9219855.2300000004"/>
    <n v="23.664660909999998"/>
    <n v="0.45007313999999998"/>
    <n v="6.9606796500000003"/>
    <n v="0.26052712"/>
    <s v="ok"/>
    <s v="ok"/>
    <n v="26356083.120000001"/>
    <n v="1.1009121100000001"/>
    <n v="-2559.58"/>
    <n v="-0.25"/>
    <s v="PA"/>
    <n v="-78038.69"/>
    <s v="RV"/>
    <s v="ACE"/>
    <n v="-58800"/>
    <n v="-37220.42"/>
    <n v="571200"/>
    <n v="347644.0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7915164999999997"/>
    <m/>
    <n v="0"/>
    <n v="-219173.26"/>
    <m/>
    <m/>
    <m/>
    <n v="1355558.46"/>
    <n v="0"/>
    <n v="2520.3126550000002"/>
    <n v="52555.483399999997"/>
    <n v="-296353.43"/>
    <n v="92570020.519999996"/>
    <n v="-1400"/>
    <n v="394770.09"/>
    <n v="0.29803809999999997"/>
    <m/>
    <n v="0"/>
    <n v="0"/>
    <n v="-296353.43"/>
    <n v="0"/>
    <n v="0"/>
    <n v="16777215"/>
    <n v="0"/>
    <n v="0"/>
    <n v="0"/>
    <n v="0"/>
    <n v="0"/>
    <n v="569800"/>
    <n v="345084.45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7.12"/>
    <n v="1.6381300000000001"/>
    <n v="0"/>
    <n v="0"/>
    <n v="0"/>
    <n v="0"/>
    <n v="0"/>
    <n v="0"/>
    <n v="0"/>
    <n v="0"/>
    <n v="0"/>
    <n v="0"/>
    <n v="0"/>
    <n v="0"/>
  </r>
  <r>
    <n v="16975592"/>
    <n v="128"/>
    <n v="3528"/>
    <n v="0"/>
    <n v="0"/>
    <n v="0"/>
    <n v="0"/>
    <n v="0"/>
    <n v="2500"/>
    <n v="2500"/>
    <n v="500"/>
    <n v="500"/>
    <n v="500"/>
    <n v="460.19"/>
    <n v="426450"/>
    <n v="392498.85"/>
    <n v="426450"/>
    <n v="392498.8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6"/>
    <n v="5"/>
    <s v="USD"/>
    <s v="U"/>
    <n v="149.19"/>
    <n v="149.47999999999999"/>
    <n v="373700"/>
    <n v="356447.92"/>
    <s v="S"/>
    <n v="4"/>
    <s v="EUR"/>
    <n v="132534288.59999999"/>
    <s v="S"/>
    <n v="1"/>
    <n v="1"/>
    <s v="Financiero"/>
    <s v="Fin.Diversificado"/>
    <n v="0"/>
    <m/>
    <n v="8205251.6799999997"/>
    <n v="1.0484"/>
    <m/>
    <s v="03/10/2023 23:59:59"/>
    <n v="1"/>
    <n v="1"/>
    <s v="B"/>
    <n v="0"/>
    <n v="31345322.399999999"/>
    <n v="1.13716463"/>
    <n v="123618989.48999999"/>
    <n v="132456249.91"/>
    <n v="596150.00000000012"/>
    <n v="9219855.2300000004"/>
    <n v="23.664660909999998"/>
    <n v="0.45007313999999998"/>
    <n v="6.9606796500000003"/>
    <n v="0.26910614999999999"/>
    <s v="ok"/>
    <s v="ok"/>
    <n v="26356083.120000001"/>
    <n v="1.13716463"/>
    <n v="3686.17"/>
    <n v="0.19"/>
    <s v="PA"/>
    <n v="-78038.69"/>
    <s v="RV"/>
    <s v="ACE"/>
    <n v="-53475"/>
    <n v="-39737.1"/>
    <n v="372975"/>
    <n v="352761.75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8834398"/>
    <m/>
    <n v="0"/>
    <n v="-219173.26"/>
    <m/>
    <m/>
    <m/>
    <n v="1355558.46"/>
    <n v="0"/>
    <n v="2520.3126550000002"/>
    <n v="52555.483399999997"/>
    <n v="-296353.43"/>
    <n v="92570020.519999996"/>
    <n v="725"/>
    <n v="394770.09"/>
    <n v="0.29803809999999997"/>
    <m/>
    <n v="0"/>
    <n v="0"/>
    <n v="-296353.43"/>
    <n v="0"/>
    <n v="0"/>
    <n v="16777215"/>
    <n v="0"/>
    <n v="0"/>
    <n v="0"/>
    <n v="0"/>
    <n v="0"/>
    <n v="373700"/>
    <n v="356447.9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49.19"/>
    <n v="1.0572999999999999"/>
    <n v="0"/>
    <n v="0"/>
    <n v="0"/>
    <n v="0"/>
    <n v="0"/>
    <n v="0"/>
    <n v="0"/>
    <n v="0"/>
    <n v="0"/>
    <n v="0"/>
    <n v="0"/>
    <n v="0"/>
  </r>
  <r>
    <n v="16975464"/>
    <n v="128"/>
    <n v="10684"/>
    <n v="0"/>
    <n v="0"/>
    <n v="0"/>
    <n v="0"/>
    <n v="0"/>
    <n v="35000"/>
    <n v="35000"/>
    <n v="35000"/>
    <n v="35000"/>
    <n v="35000"/>
    <n v="40633.42"/>
    <n v="327424.06"/>
    <n v="380124.52"/>
    <n v="327424.06"/>
    <n v="380124.5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7"/>
    <n v="11"/>
    <s v="GBP"/>
    <s v="U"/>
    <n v="1131"/>
    <n v="1131"/>
    <n v="395850"/>
    <n v="457191.37"/>
    <s v="S"/>
    <n v="4"/>
    <s v="EUR"/>
    <n v="132534288.59999999"/>
    <s v="S"/>
    <n v="1"/>
    <n v="1"/>
    <s v="Financiero"/>
    <s v="Fin.Diversificado"/>
    <n v="0"/>
    <m/>
    <n v="8205251.6799999997"/>
    <n v="0.86582999999999999"/>
    <m/>
    <s v="03/10/2023 23:59:59"/>
    <n v="1"/>
    <n v="1"/>
    <s v="B"/>
    <n v="0"/>
    <n v="31345322.399999999"/>
    <n v="1.4585633"/>
    <n v="123618989.48999999"/>
    <n v="132456249.91"/>
    <n v="596150.00000000012"/>
    <n v="9219855.2300000004"/>
    <n v="23.664660909999998"/>
    <n v="0.45007313999999998"/>
    <n v="6.9606796500000003"/>
    <n v="0.34516405999999999"/>
    <s v="ok"/>
    <s v="ok"/>
    <n v="26356083.120000001"/>
    <n v="1.4585633"/>
    <n v="379.88"/>
    <n v="0"/>
    <s v="PA"/>
    <n v="-78038.69"/>
    <s v="RV"/>
    <s v="ACE"/>
    <n v="68425.94"/>
    <n v="76686.97"/>
    <n v="395850"/>
    <n v="456811.4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6983911000000003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395850"/>
    <n v="457191.3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131"/>
    <n v="0.86770000000000003"/>
    <n v="0"/>
    <n v="0"/>
    <n v="0"/>
    <n v="0"/>
    <n v="0"/>
    <n v="0"/>
    <n v="0"/>
    <n v="0"/>
    <n v="0"/>
    <n v="0"/>
    <n v="0"/>
    <n v="0"/>
  </r>
  <r>
    <n v="16975547"/>
    <n v="128"/>
    <n v="10673"/>
    <n v="0"/>
    <n v="0"/>
    <n v="0"/>
    <n v="0"/>
    <n v="0"/>
    <n v="1000"/>
    <n v="1000"/>
    <n v="10"/>
    <n v="10"/>
    <n v="10"/>
    <n v="9.1999999999999993"/>
    <n v="510820"/>
    <n v="470151.87"/>
    <n v="510820"/>
    <n v="470151.87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8"/>
    <n v="5"/>
    <s v="USD"/>
    <s v="U"/>
    <n v="460.12"/>
    <n v="456.79"/>
    <n v="456790"/>
    <n v="435702.02"/>
    <s v="S"/>
    <n v="4"/>
    <s v="EUR"/>
    <n v="132534288.59999999"/>
    <s v="S"/>
    <n v="1"/>
    <n v="1"/>
    <s v="Financiero"/>
    <s v="Fin.Diversificado"/>
    <n v="0"/>
    <m/>
    <n v="8205251.6799999997"/>
    <n v="1.0484"/>
    <m/>
    <s v="03/10/2023 23:59:59"/>
    <n v="1"/>
    <n v="1"/>
    <s v="B"/>
    <n v="0"/>
    <n v="31345322.399999999"/>
    <n v="1.3900064999999999"/>
    <n v="123618989.48999999"/>
    <n v="132456249.91"/>
    <n v="596150.00000000012"/>
    <n v="9219855.2300000004"/>
    <n v="23.664660909999998"/>
    <n v="0.45007313999999998"/>
    <n v="6.9606796500000003"/>
    <n v="0.32894033"/>
    <s v="ok"/>
    <s v="ok"/>
    <n v="26356083.120000001"/>
    <n v="1.3900064999999999"/>
    <n v="518.05999999999995"/>
    <n v="-0.72"/>
    <s v="PA"/>
    <n v="-78038.69"/>
    <s v="RV"/>
    <s v="ACE"/>
    <n v="-50700"/>
    <n v="-34967.910000000003"/>
    <n v="460120"/>
    <n v="435183.9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5245557"/>
    <m/>
    <n v="0"/>
    <n v="-219173.26"/>
    <m/>
    <m/>
    <m/>
    <n v="1355558.46"/>
    <n v="0"/>
    <n v="2520.3126550000002"/>
    <n v="52555.483399999997"/>
    <n v="-296353.43"/>
    <n v="92570020.519999996"/>
    <n v="-3330"/>
    <n v="394770.09"/>
    <n v="0.29803809999999997"/>
    <m/>
    <n v="0"/>
    <n v="0"/>
    <n v="-296353.43"/>
    <n v="0"/>
    <n v="0"/>
    <n v="16777215"/>
    <n v="0"/>
    <n v="0"/>
    <n v="0"/>
    <n v="0"/>
    <n v="0"/>
    <n v="456790"/>
    <n v="435702.0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460.12"/>
    <n v="1.0572999999999999"/>
    <n v="0"/>
    <n v="0"/>
    <n v="0"/>
    <n v="0"/>
    <n v="0"/>
    <n v="0"/>
    <n v="0"/>
    <n v="0"/>
    <n v="0"/>
    <n v="0"/>
    <n v="0"/>
    <n v="0"/>
  </r>
  <r>
    <n v="16975587"/>
    <n v="128"/>
    <n v="10681"/>
    <n v="0"/>
    <n v="0"/>
    <n v="0"/>
    <n v="0"/>
    <n v="0"/>
    <n v="2000"/>
    <n v="2000"/>
    <n v="0.61"/>
    <n v="0.61"/>
    <n v="0.61"/>
    <n v="0.56000000000000005"/>
    <n v="466100"/>
    <n v="428992.18"/>
    <n v="466100"/>
    <n v="428992.1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39"/>
    <n v="5"/>
    <s v="USD"/>
    <s v="E"/>
    <n v="208.96"/>
    <n v="208.14000000000001"/>
    <n v="416280.00000000006"/>
    <n v="397062.19"/>
    <s v="S"/>
    <n v="4"/>
    <s v="EUR"/>
    <n v="132534288.59999999"/>
    <s v="S"/>
    <n v="1"/>
    <n v="1"/>
    <s v="Financiero"/>
    <s v="Seguros"/>
    <n v="0"/>
    <m/>
    <n v="8205251.6799999997"/>
    <n v="1.0484"/>
    <m/>
    <s v="03/10/2023 23:59:59"/>
    <n v="1"/>
    <n v="1"/>
    <s v="B"/>
    <n v="0"/>
    <n v="31345322.399999999"/>
    <n v="1.26673506"/>
    <n v="123618989.48999999"/>
    <n v="132456249.91"/>
    <n v="596150.00000000012"/>
    <n v="9219855.2300000004"/>
    <n v="23.664660909999998"/>
    <n v="0.45007313999999998"/>
    <n v="6.9606796500000003"/>
    <n v="0.29976856000000002"/>
    <s v="ok"/>
    <s v="ok"/>
    <n v="26356083.120000001"/>
    <n v="1.26673506"/>
    <n v="1791.22"/>
    <n v="-0.39"/>
    <s v="PA"/>
    <n v="-78038.69"/>
    <s v="RV"/>
    <s v="ACE"/>
    <n v="-48180"/>
    <n v="-33721.21"/>
    <n v="417920"/>
    <n v="395270.9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2119838000000001"/>
    <m/>
    <n v="0"/>
    <n v="-219173.26"/>
    <m/>
    <m/>
    <m/>
    <n v="1355558.46"/>
    <n v="0"/>
    <n v="2520.3126550000002"/>
    <n v="52555.483399999997"/>
    <n v="-296353.43"/>
    <n v="92570020.519999996"/>
    <n v="-1640"/>
    <n v="394770.09"/>
    <n v="0.29803809999999997"/>
    <m/>
    <n v="0"/>
    <n v="0"/>
    <n v="-296353.43"/>
    <n v="0"/>
    <n v="0"/>
    <n v="16777215"/>
    <n v="0"/>
    <n v="0"/>
    <n v="0"/>
    <n v="0"/>
    <n v="0"/>
    <n v="416280.00000000006"/>
    <n v="397062.19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08.96"/>
    <n v="1.0572999999999999"/>
    <n v="0"/>
    <n v="0"/>
    <n v="0"/>
    <n v="0"/>
    <n v="0"/>
    <n v="0"/>
    <n v="0"/>
    <n v="0"/>
    <n v="0"/>
    <n v="0"/>
    <n v="0"/>
    <n v="0"/>
  </r>
  <r>
    <n v="16975346"/>
    <n v="128"/>
    <n v="2653"/>
    <n v="0"/>
    <n v="0"/>
    <n v="0"/>
    <n v="0"/>
    <n v="0"/>
    <n v="4000"/>
    <n v="4000"/>
    <n v="13.8"/>
    <n v="13.8"/>
    <n v="13.8"/>
    <n v="12.08"/>
    <n v="1164850.3700000001"/>
    <n v="1074780.82"/>
    <n v="1164850.3700000001"/>
    <n v="1074780.8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0"/>
    <n v="5"/>
    <s v="USD"/>
    <s v="U"/>
    <n v="350.3"/>
    <n v="348.08"/>
    <n v="1392320"/>
    <n v="1328042.73"/>
    <s v="S"/>
    <n v="4"/>
    <s v="EUR"/>
    <n v="132534288.59999999"/>
    <s v="S"/>
    <n v="1"/>
    <n v="1"/>
    <s v="Financiero"/>
    <s v=""/>
    <n v="0"/>
    <n v="999999999"/>
    <n v="8205251.6799999997"/>
    <n v="1.0484"/>
    <m/>
    <s v="03/10/2023 23:59:59"/>
    <n v="1"/>
    <n v="1"/>
    <s v="B"/>
    <n v="0"/>
    <n v="31345322.399999999"/>
    <n v="4.2368131099999999"/>
    <n v="123618989.48999999"/>
    <n v="132456249.91"/>
    <n v="596150.00000000012"/>
    <n v="9219855.2300000004"/>
    <n v="23.664660909999998"/>
    <n v="0.45007313999999998"/>
    <n v="6.9606796500000003"/>
    <n v="1.00262746"/>
    <s v="ok"/>
    <s v="ok"/>
    <n v="26356083.120000001"/>
    <n v="4.2368131099999999"/>
    <n v="2780.27"/>
    <n v="-0.63"/>
    <s v="PA"/>
    <n v="-78038.69"/>
    <s v="RV"/>
    <s v="ACE"/>
    <n v="236349.63"/>
    <n v="250481.64"/>
    <n v="1401200"/>
    <n v="1325262.4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1.07430318"/>
    <m/>
    <n v="0"/>
    <n v="-219173.26"/>
    <m/>
    <m/>
    <m/>
    <n v="1355558.46"/>
    <n v="0"/>
    <n v="2520.3126550000002"/>
    <n v="52555.483399999997"/>
    <n v="-296353.43"/>
    <n v="92570020.519999996"/>
    <n v="-8880"/>
    <n v="394770.09"/>
    <n v="0.29803809999999997"/>
    <m/>
    <n v="0"/>
    <n v="0"/>
    <n v="-296353.43"/>
    <n v="0"/>
    <n v="0"/>
    <n v="16777215"/>
    <n v="0"/>
    <n v="0"/>
    <n v="0"/>
    <n v="0"/>
    <n v="0"/>
    <n v="1392320"/>
    <n v="1328042.73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50.3"/>
    <n v="1.0572999999999999"/>
    <n v="0"/>
    <n v="0"/>
    <n v="0"/>
    <n v="0"/>
    <n v="0"/>
    <n v="0"/>
    <n v="0"/>
    <n v="0"/>
    <n v="0"/>
    <n v="0"/>
    <n v="0"/>
    <n v="0"/>
  </r>
  <r>
    <n v="16975372"/>
    <n v="128"/>
    <n v="4393"/>
    <n v="0"/>
    <n v="0"/>
    <n v="0"/>
    <n v="0"/>
    <n v="0"/>
    <n v="6500"/>
    <n v="6500"/>
    <n v="10400"/>
    <n v="10400"/>
    <n v="10400"/>
    <n v="10400"/>
    <n v="407131.3"/>
    <n v="407131.3"/>
    <n v="407131.3"/>
    <n v="407131.3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1"/>
    <n v="4"/>
    <s v="EUR"/>
    <s v="E"/>
    <n v="66"/>
    <n v="64.650000000000006"/>
    <n v="420225.00000000006"/>
    <n v="420225.00000000006"/>
    <s v="S"/>
    <n v="4"/>
    <s v="EUR"/>
    <n v="132534288.59999999"/>
    <s v="S"/>
    <n v="1"/>
    <n v="1"/>
    <s v="Financiero"/>
    <s v=""/>
    <n v="0"/>
    <n v="999999999"/>
    <n v="8205251.6799999997"/>
    <n v="1"/>
    <m/>
    <s v="03/10/2023 23:59:59"/>
    <n v="1"/>
    <n v="1"/>
    <s v="B"/>
    <n v="0"/>
    <n v="31345322.399999999"/>
    <n v="1.34063065"/>
    <n v="123618989.48999999"/>
    <n v="132456249.91"/>
    <n v="596150.00000000012"/>
    <n v="9219855.2300000004"/>
    <n v="23.664660909999998"/>
    <n v="0.45007313999999998"/>
    <n v="6.9606796500000003"/>
    <n v="0.31725569999999997"/>
    <s v="ok"/>
    <s v="ok"/>
    <n v="26356083.120000001"/>
    <n v="1.34063065"/>
    <n v="-8775"/>
    <n v="-2.0499999999999998"/>
    <s v="PA"/>
    <n v="-78038.69"/>
    <s v="RV"/>
    <s v="ACE"/>
    <n v="21868.7"/>
    <n v="21868.7"/>
    <n v="429000"/>
    <n v="4290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3993563999999998"/>
    <m/>
    <n v="0"/>
    <n v="-219173.26"/>
    <m/>
    <m/>
    <m/>
    <n v="1355558.46"/>
    <n v="0"/>
    <n v="2520.3126550000002"/>
    <n v="52555.483399999997"/>
    <n v="-296353.43"/>
    <n v="92570020.519999996"/>
    <n v="-8775"/>
    <n v="394770.09"/>
    <n v="0.29803809999999997"/>
    <m/>
    <n v="0"/>
    <n v="0"/>
    <n v="-296353.43"/>
    <n v="0"/>
    <n v="0"/>
    <n v="16777215"/>
    <n v="0"/>
    <n v="0"/>
    <n v="0"/>
    <n v="0"/>
    <n v="0"/>
    <n v="420225.00000000006"/>
    <n v="420225.0000000000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66"/>
    <n v="1"/>
    <n v="0"/>
    <n v="0"/>
    <n v="0"/>
    <n v="0"/>
    <n v="0"/>
    <n v="0"/>
    <n v="0"/>
    <n v="0"/>
    <n v="0"/>
    <n v="0"/>
    <n v="0"/>
    <n v="0"/>
  </r>
  <r>
    <n v="16975337"/>
    <n v="128"/>
    <n v="1366"/>
    <n v="0"/>
    <n v="0"/>
    <n v="0"/>
    <n v="0"/>
    <n v="0"/>
    <n v="3000"/>
    <n v="3000"/>
    <n v="3000"/>
    <n v="3000"/>
    <n v="3000"/>
    <n v="3000"/>
    <n v="293705.01"/>
    <n v="293705.01"/>
    <n v="293705.01"/>
    <n v="293705.01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2"/>
    <n v="4"/>
    <s v="EUR"/>
    <s v="E"/>
    <n v="126.98"/>
    <n v="125.56"/>
    <n v="376680"/>
    <n v="376680"/>
    <s v="S"/>
    <n v="4"/>
    <s v="EUR"/>
    <n v="132534288.59999999"/>
    <s v="S"/>
    <n v="1"/>
    <n v="1"/>
    <s v="Industrial"/>
    <s v="Aeroespacial y defen"/>
    <n v="0"/>
    <m/>
    <n v="8205251.6799999997"/>
    <n v="1"/>
    <m/>
    <s v="03/10/2023 23:59:59"/>
    <n v="1"/>
    <n v="1"/>
    <s v="B"/>
    <n v="0"/>
    <n v="31345322.399999999"/>
    <n v="1.2017104000000001"/>
    <n v="123618989.48999999"/>
    <n v="132456249.91"/>
    <n v="596150.00000000012"/>
    <n v="9219855.2300000004"/>
    <n v="23.664660909999998"/>
    <n v="0.45007313999999998"/>
    <n v="6.9606796500000003"/>
    <n v="0.28438068999999999"/>
    <s v="ok"/>
    <s v="ok"/>
    <n v="26356083.120000001"/>
    <n v="1.2017104000000001"/>
    <n v="-4260"/>
    <n v="-1.1200000000000001"/>
    <s v="PA"/>
    <n v="-78038.69"/>
    <s v="RV"/>
    <s v="ACE"/>
    <n v="87234.99"/>
    <n v="87234.99"/>
    <n v="380940"/>
    <n v="38094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0471047000000001"/>
    <m/>
    <n v="0"/>
    <n v="-219173.26"/>
    <m/>
    <m/>
    <m/>
    <n v="1355558.46"/>
    <n v="0"/>
    <n v="2520.3126550000002"/>
    <n v="52555.483399999997"/>
    <n v="-296353.43"/>
    <n v="92570020.519999996"/>
    <n v="-4260"/>
    <n v="394770.09"/>
    <n v="0.29803809999999997"/>
    <m/>
    <n v="0"/>
    <n v="0"/>
    <n v="-296353.43"/>
    <n v="0"/>
    <n v="0"/>
    <n v="16777215"/>
    <n v="0"/>
    <n v="0"/>
    <n v="0"/>
    <n v="0"/>
    <n v="0"/>
    <n v="376680"/>
    <n v="37668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26.98"/>
    <n v="1"/>
    <n v="0"/>
    <n v="0"/>
    <n v="0"/>
    <n v="0"/>
    <n v="0"/>
    <n v="0"/>
    <n v="0"/>
    <n v="0"/>
    <n v="0"/>
    <n v="0"/>
    <n v="0"/>
    <n v="0"/>
  </r>
  <r>
    <n v="16975568"/>
    <n v="128"/>
    <n v="7758"/>
    <n v="0"/>
    <n v="0"/>
    <n v="0"/>
    <n v="0"/>
    <n v="0"/>
    <n v="2000"/>
    <n v="2000"/>
    <n v="10000"/>
    <n v="10000"/>
    <n v="10000"/>
    <n v="9213.6"/>
    <n v="354797.19"/>
    <n v="325621.51"/>
    <n v="354797.19"/>
    <n v="325621.51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3"/>
    <n v="5"/>
    <s v="USD"/>
    <s v="U"/>
    <n v="191.68"/>
    <n v="187.83"/>
    <n v="375660"/>
    <n v="358317.44"/>
    <s v="S"/>
    <n v="4"/>
    <s v="EUR"/>
    <n v="132534288.59999999"/>
    <s v="S"/>
    <n v="1"/>
    <n v="1"/>
    <s v="Industrial"/>
    <s v="Aeroespacial y defen"/>
    <n v="0"/>
    <m/>
    <n v="8205251.6799999997"/>
    <n v="1.0484"/>
    <m/>
    <s v="03/10/2023 23:59:59"/>
    <n v="1"/>
    <n v="1"/>
    <s v="B"/>
    <n v="0"/>
    <n v="31345322.399999999"/>
    <n v="1.1431289"/>
    <n v="123618989.48999999"/>
    <n v="132456249.91"/>
    <n v="596150.00000000012"/>
    <n v="9219855.2300000004"/>
    <n v="23.664660909999998"/>
    <n v="0.45007313999999998"/>
    <n v="6.9606796500000003"/>
    <n v="0.27051757999999998"/>
    <s v="ok"/>
    <s v="ok"/>
    <n v="26356083.120000001"/>
    <n v="1.1431289"/>
    <n v="-4266.5"/>
    <n v="-2.0099999999999998"/>
    <s v="PA"/>
    <n v="-78038.69"/>
    <s v="RV"/>
    <s v="ACE"/>
    <n v="28562.81"/>
    <n v="36962.43"/>
    <n v="383360"/>
    <n v="362583.94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8985631000000001"/>
    <m/>
    <n v="0"/>
    <n v="-219173.26"/>
    <m/>
    <m/>
    <m/>
    <n v="1355558.46"/>
    <n v="0"/>
    <n v="2520.3126550000002"/>
    <n v="52555.483399999997"/>
    <n v="-296353.43"/>
    <n v="92570020.519999996"/>
    <n v="-7700"/>
    <n v="394770.09"/>
    <n v="0.29803809999999997"/>
    <m/>
    <n v="0"/>
    <n v="0"/>
    <n v="-296353.43"/>
    <n v="0"/>
    <n v="0"/>
    <n v="16777215"/>
    <n v="0"/>
    <n v="0"/>
    <n v="0"/>
    <n v="0"/>
    <n v="0"/>
    <n v="375660"/>
    <n v="358317.44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91.68"/>
    <n v="1.0572999999999999"/>
    <n v="0"/>
    <n v="0"/>
    <n v="0"/>
    <n v="0"/>
    <n v="0"/>
    <n v="0"/>
    <n v="0"/>
    <n v="0"/>
    <n v="0"/>
    <n v="0"/>
    <n v="0"/>
    <n v="0"/>
  </r>
  <r>
    <n v="16975414"/>
    <n v="128"/>
    <n v="9592"/>
    <n v="0"/>
    <n v="0"/>
    <n v="0"/>
    <n v="0"/>
    <n v="0"/>
    <n v="12000"/>
    <n v="12000"/>
    <n v="12000"/>
    <n v="12000"/>
    <n v="12000"/>
    <n v="12000"/>
    <n v="408463.61"/>
    <n v="408463.61"/>
    <n v="408463.61"/>
    <n v="408463.61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4"/>
    <n v="4"/>
    <s v="EUR"/>
    <s v="E"/>
    <n v="37.28"/>
    <n v="36.26"/>
    <n v="435120"/>
    <n v="435120"/>
    <s v="S"/>
    <n v="4"/>
    <s v="EUR"/>
    <n v="132534288.59999999"/>
    <s v="S"/>
    <n v="1"/>
    <n v="1"/>
    <s v="Industrial"/>
    <s v="Envases y embalajes"/>
    <n v="0"/>
    <m/>
    <n v="8205251.6799999997"/>
    <n v="1"/>
    <m/>
    <s v="03/10/2023 23:59:59"/>
    <n v="1"/>
    <n v="1"/>
    <s v="B"/>
    <n v="0"/>
    <n v="31345322.399999999"/>
    <n v="1.3881497"/>
    <n v="123618989.48999999"/>
    <n v="132456249.91"/>
    <n v="596150.00000000012"/>
    <n v="9219855.2300000004"/>
    <n v="23.664660909999998"/>
    <n v="0.45007313999999998"/>
    <n v="6.9606796500000003"/>
    <n v="0.32850091999999997"/>
    <s v="ok"/>
    <s v="ok"/>
    <n v="26356083.120000001"/>
    <n v="1.3881497"/>
    <n v="-12240"/>
    <n v="-2.74"/>
    <s v="PA"/>
    <n v="-78038.69"/>
    <s v="RV"/>
    <s v="ACE"/>
    <n v="38896.39"/>
    <n v="38896.39"/>
    <n v="447360"/>
    <n v="44736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5198476000000001"/>
    <m/>
    <n v="0"/>
    <n v="-219173.26"/>
    <m/>
    <m/>
    <m/>
    <n v="1355558.46"/>
    <n v="0"/>
    <n v="2520.3126550000002"/>
    <n v="52555.483399999997"/>
    <n v="-296353.43"/>
    <n v="92570020.519999996"/>
    <n v="-12240"/>
    <n v="394770.09"/>
    <n v="0.29803809999999997"/>
    <m/>
    <n v="0"/>
    <n v="0"/>
    <n v="-296353.43"/>
    <n v="0"/>
    <n v="0"/>
    <n v="16777215"/>
    <n v="0"/>
    <n v="0"/>
    <n v="0"/>
    <n v="0"/>
    <n v="0"/>
    <n v="435120"/>
    <n v="43512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7.28"/>
    <n v="1"/>
    <n v="0"/>
    <n v="0"/>
    <n v="0"/>
    <n v="0"/>
    <n v="0"/>
    <n v="0"/>
    <n v="0"/>
    <n v="0"/>
    <n v="0"/>
    <n v="0"/>
    <n v="0"/>
    <n v="0"/>
  </r>
  <r>
    <n v="16975585"/>
    <n v="128"/>
    <n v="10674"/>
    <n v="0"/>
    <n v="0"/>
    <n v="0"/>
    <n v="0"/>
    <n v="0"/>
    <n v="2000"/>
    <n v="2000"/>
    <n v="2000"/>
    <n v="2000"/>
    <n v="2000"/>
    <n v="1840.77"/>
    <n v="497280"/>
    <n v="457689.83"/>
    <n v="497280"/>
    <n v="457689.83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5"/>
    <n v="5"/>
    <s v="USD"/>
    <s v="U"/>
    <n v="259.26"/>
    <n v="251.73000000000002"/>
    <n v="503460.00000000006"/>
    <n v="480217.47"/>
    <s v="S"/>
    <n v="4"/>
    <s v="EUR"/>
    <n v="132534288.59999999"/>
    <s v="S"/>
    <n v="1"/>
    <n v="1"/>
    <s v="Industrial"/>
    <s v="Manufacturas Diver"/>
    <n v="0"/>
    <m/>
    <n v="8205251.6799999997"/>
    <n v="1.0484"/>
    <m/>
    <s v="03/10/2023 23:59:59"/>
    <n v="1"/>
    <n v="1"/>
    <s v="B"/>
    <n v="0"/>
    <n v="31345322.399999999"/>
    <n v="1.5320227500000001"/>
    <n v="123618989.48999999"/>
    <n v="132456249.91"/>
    <n v="596150.00000000012"/>
    <n v="9219855.2300000004"/>
    <n v="23.664660909999998"/>
    <n v="0.45007313999999998"/>
    <n v="6.9606796500000003"/>
    <n v="0.36254798999999999"/>
    <s v="ok"/>
    <s v="ok"/>
    <n v="26356083.120000001"/>
    <n v="1.5320227500000001"/>
    <n v="-10201.52"/>
    <n v="-2.9"/>
    <s v="PA"/>
    <n v="-78038.69"/>
    <s v="RV"/>
    <s v="ACE"/>
    <n v="21240"/>
    <n v="32729.16"/>
    <n v="518520"/>
    <n v="490418.99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8846577999999998"/>
    <m/>
    <n v="0"/>
    <n v="-219173.26"/>
    <m/>
    <m/>
    <m/>
    <n v="1355558.46"/>
    <n v="0"/>
    <n v="2520.3126550000002"/>
    <n v="52555.483399999997"/>
    <n v="-296353.43"/>
    <n v="92570020.519999996"/>
    <n v="-15060"/>
    <n v="394770.09"/>
    <n v="0.29803809999999997"/>
    <m/>
    <n v="0"/>
    <n v="0"/>
    <n v="-296353.43"/>
    <n v="0"/>
    <n v="0"/>
    <n v="16777215"/>
    <n v="0"/>
    <n v="0"/>
    <n v="0"/>
    <n v="0"/>
    <n v="0"/>
    <n v="503460.00000000006"/>
    <n v="480217.4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59.26"/>
    <n v="1.0572999999999999"/>
    <n v="0"/>
    <n v="0"/>
    <n v="0"/>
    <n v="0"/>
    <n v="0"/>
    <n v="0"/>
    <n v="0"/>
    <n v="0"/>
    <n v="0"/>
    <n v="0"/>
    <n v="0"/>
    <n v="0"/>
  </r>
  <r>
    <n v="16975564"/>
    <n v="128"/>
    <n v="4098"/>
    <n v="0"/>
    <n v="0"/>
    <n v="0"/>
    <n v="0"/>
    <n v="0"/>
    <n v="1200"/>
    <n v="1200"/>
    <n v="600"/>
    <n v="600"/>
    <n v="600"/>
    <n v="552.23"/>
    <n v="457080"/>
    <n v="420690.29"/>
    <n v="457080"/>
    <n v="420690.2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6"/>
    <n v="5"/>
    <s v="USD"/>
    <s v="U"/>
    <n v="389.52"/>
    <n v="385.24"/>
    <n v="462288"/>
    <n v="440946.2"/>
    <s v="S"/>
    <n v="4"/>
    <s v="EUR"/>
    <n v="132534288.59999999"/>
    <s v="S"/>
    <n v="1"/>
    <n v="1"/>
    <s v="Industrial"/>
    <s v="Manufacturas Diver"/>
    <n v="0"/>
    <m/>
    <n v="8205251.6799999997"/>
    <n v="1.0484"/>
    <m/>
    <s v="03/10/2023 23:59:59"/>
    <n v="1"/>
    <n v="1"/>
    <s v="B"/>
    <n v="0"/>
    <n v="31345322.399999999"/>
    <n v="1.4067368499999999"/>
    <n v="123618989.48999999"/>
    <n v="132456249.91"/>
    <n v="596150.00000000012"/>
    <n v="9219855.2300000004"/>
    <n v="23.664660909999998"/>
    <n v="0.45007313999999998"/>
    <n v="6.9606796500000003"/>
    <n v="0.33289950000000001"/>
    <s v="ok"/>
    <s v="ok"/>
    <n v="26356083.120000001"/>
    <n v="1.4067368499999999"/>
    <n v="-1145.92"/>
    <n v="-1.1000000000000001"/>
    <s v="PA"/>
    <n v="-78038.69"/>
    <s v="RV"/>
    <s v="ACE"/>
    <n v="10344"/>
    <n v="21401.83"/>
    <n v="467424"/>
    <n v="442092.12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5669779000000001"/>
    <m/>
    <n v="0"/>
    <n v="-219173.26"/>
    <m/>
    <m/>
    <m/>
    <n v="1355558.46"/>
    <n v="0"/>
    <n v="2520.3126550000002"/>
    <n v="52555.483399999997"/>
    <n v="-296353.43"/>
    <n v="92570020.519999996"/>
    <n v="-5136"/>
    <n v="394770.09"/>
    <n v="0.29803809999999997"/>
    <m/>
    <n v="0"/>
    <n v="0"/>
    <n v="-296353.43"/>
    <n v="0"/>
    <n v="0"/>
    <n v="16777215"/>
    <n v="0"/>
    <n v="0"/>
    <n v="0"/>
    <n v="0"/>
    <n v="0"/>
    <n v="462288"/>
    <n v="440946.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89.52"/>
    <n v="1.0572999999999999"/>
    <n v="0"/>
    <n v="0"/>
    <n v="0"/>
    <n v="0"/>
    <n v="0"/>
    <n v="0"/>
    <n v="0"/>
    <n v="0"/>
    <n v="0"/>
    <n v="0"/>
    <n v="0"/>
    <n v="0"/>
  </r>
  <r>
    <n v="16975561"/>
    <n v="128"/>
    <n v="8311"/>
    <n v="0"/>
    <n v="0"/>
    <n v="0"/>
    <n v="0"/>
    <n v="0"/>
    <n v="1100"/>
    <n v="1100"/>
    <n v="1100"/>
    <n v="1100"/>
    <n v="1100"/>
    <n v="1012.43"/>
    <n v="441859"/>
    <n v="406681.09"/>
    <n v="441859"/>
    <n v="406681.0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7"/>
    <n v="5"/>
    <s v="USD"/>
    <s v="U"/>
    <n v="377.38"/>
    <n v="373.84000000000003"/>
    <n v="411224.00000000006"/>
    <n v="392239.6"/>
    <s v="S"/>
    <n v="4"/>
    <s v="EUR"/>
    <n v="132534288.59999999"/>
    <s v="S"/>
    <n v="1"/>
    <n v="1"/>
    <s v="Industrial"/>
    <s v="Prod Construccion"/>
    <n v="0"/>
    <m/>
    <n v="8205251.6799999997"/>
    <n v="1.0484"/>
    <m/>
    <s v="03/10/2023 23:59:59"/>
    <n v="1"/>
    <n v="1"/>
    <s v="B"/>
    <n v="0"/>
    <n v="31345322.399999999"/>
    <n v="1.2513497099999999"/>
    <n v="123618989.48999999"/>
    <n v="132456249.91"/>
    <n v="596150.00000000012"/>
    <n v="9219855.2300000004"/>
    <n v="23.664660909999998"/>
    <n v="0.45007313999999998"/>
    <n v="6.9606796500000003"/>
    <n v="0.29612766000000001"/>
    <s v="ok"/>
    <s v="ok"/>
    <n v="26356083.120000001"/>
    <n v="1.2513497099999999"/>
    <n v="-381.23"/>
    <n v="-0.94"/>
    <s v="PA"/>
    <n v="-78038.69"/>
    <s v="RV"/>
    <s v="ACE"/>
    <n v="-26741"/>
    <n v="-14060.26"/>
    <n v="415118"/>
    <n v="392620.8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729721"/>
    <m/>
    <n v="0"/>
    <n v="-219173.26"/>
    <m/>
    <m/>
    <m/>
    <n v="1355558.46"/>
    <n v="0"/>
    <n v="2520.3126550000002"/>
    <n v="52555.483399999997"/>
    <n v="-296353.43"/>
    <n v="92570020.519999996"/>
    <n v="-3894"/>
    <n v="394770.09"/>
    <n v="0.29803809999999997"/>
    <m/>
    <n v="0"/>
    <n v="0"/>
    <n v="-296353.43"/>
    <n v="0"/>
    <n v="0"/>
    <n v="16777215"/>
    <n v="0"/>
    <n v="0"/>
    <n v="0"/>
    <n v="0"/>
    <n v="0"/>
    <n v="411224.00000000006"/>
    <n v="392239.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77.38"/>
    <n v="1.0572999999999999"/>
    <n v="0"/>
    <n v="0"/>
    <n v="0"/>
    <n v="0"/>
    <n v="0"/>
    <n v="0"/>
    <n v="0"/>
    <n v="0"/>
    <n v="0"/>
    <n v="0"/>
    <n v="0"/>
    <n v="0"/>
  </r>
  <r>
    <n v="16975370"/>
    <n v="128"/>
    <n v="10685"/>
    <n v="0"/>
    <n v="0"/>
    <n v="0"/>
    <n v="0"/>
    <n v="0"/>
    <n v="6000"/>
    <n v="6000"/>
    <n v="150000"/>
    <n v="150000"/>
    <n v="150000"/>
    <n v="174143.22"/>
    <n v="175484.15"/>
    <n v="203729.16"/>
    <n v="175484.15"/>
    <n v="203729.1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8"/>
    <n v="11"/>
    <s v="GBP"/>
    <s v="E"/>
    <n v="2735"/>
    <n v="2735"/>
    <n v="164100"/>
    <n v="189529.12"/>
    <s v="S"/>
    <n v="4"/>
    <s v="EUR"/>
    <n v="132534288.59999999"/>
    <s v="S"/>
    <n v="1"/>
    <n v="1"/>
    <s v="Industrial"/>
    <s v="Transporte"/>
    <n v="0"/>
    <m/>
    <n v="8205251.6799999997"/>
    <n v="0.86582999999999999"/>
    <m/>
    <s v="03/10/2023 23:59:59"/>
    <n v="1"/>
    <n v="1"/>
    <s v="B"/>
    <n v="0"/>
    <n v="31345322.399999999"/>
    <n v="0.60464881000000004"/>
    <n v="123618989.48999999"/>
    <n v="132456249.91"/>
    <n v="596150.00000000012"/>
    <n v="9219855.2300000004"/>
    <n v="23.664660909999998"/>
    <n v="0.45007313999999998"/>
    <n v="6.9606796500000003"/>
    <n v="0.14308809"/>
    <s v="ok"/>
    <s v="ok"/>
    <n v="26356083.120000001"/>
    <n v="0.60464881000000004"/>
    <n v="157.47"/>
    <n v="0"/>
    <s v="PA"/>
    <n v="-78038.69"/>
    <s v="RV"/>
    <s v="ACE"/>
    <n v="-11384.15"/>
    <n v="-14357.51"/>
    <n v="164100"/>
    <n v="189371.65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15331716000000001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164100"/>
    <n v="189529.1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735"/>
    <n v="0.86770000000000003"/>
    <n v="0"/>
    <n v="0"/>
    <n v="0"/>
    <n v="0"/>
    <n v="0"/>
    <n v="0"/>
    <n v="0"/>
    <n v="0"/>
    <n v="0"/>
    <n v="0"/>
    <n v="0"/>
    <n v="0"/>
  </r>
  <r>
    <n v="16975591"/>
    <n v="128"/>
    <n v="3592"/>
    <n v="0"/>
    <n v="0"/>
    <n v="0"/>
    <n v="0"/>
    <n v="0"/>
    <n v="2500"/>
    <n v="2500"/>
    <n v="2550"/>
    <n v="2550"/>
    <n v="2550"/>
    <n v="2550"/>
    <n v="213308.4"/>
    <n v="213308.4"/>
    <n v="213308.4"/>
    <n v="213308.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49"/>
    <n v="4"/>
    <s v="EUR"/>
    <s v="S"/>
    <n v="82.2"/>
    <n v="82.100000000000009"/>
    <n v="205250.00000000003"/>
    <n v="205250.00000000003"/>
    <s v="S"/>
    <n v="4"/>
    <s v="EUR"/>
    <n v="132534288.59999999"/>
    <s v="S"/>
    <n v="1"/>
    <n v="1"/>
    <s v="Industrial"/>
    <s v=""/>
    <n v="0"/>
    <n v="999999999"/>
    <n v="8205251.6799999997"/>
    <n v="1"/>
    <m/>
    <s v="03/10/2023 23:59:59"/>
    <n v="1"/>
    <n v="1"/>
    <s v="B"/>
    <n v="0"/>
    <n v="31345322.399999999"/>
    <n v="0.65480263999999999"/>
    <n v="123618989.48999999"/>
    <n v="132456249.91"/>
    <n v="596150.00000000012"/>
    <n v="9219855.2300000004"/>
    <n v="23.664660909999998"/>
    <n v="0.45007313999999998"/>
    <n v="6.9606796500000003"/>
    <n v="0.15495682999999999"/>
    <s v="ok"/>
    <s v="ok"/>
    <n v="26356083.120000001"/>
    <n v="0.65480263999999999"/>
    <n v="-250"/>
    <n v="-0.12"/>
    <s v="PA"/>
    <n v="-78038.69"/>
    <s v="RV"/>
    <s v="ACNF"/>
    <n v="-7808.4"/>
    <n v="-7808.4"/>
    <n v="205500"/>
    <n v="2055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16603435999999999"/>
    <m/>
    <n v="0"/>
    <n v="-219173.26"/>
    <m/>
    <m/>
    <m/>
    <n v="1355558.46"/>
    <n v="0"/>
    <n v="2520.3126550000002"/>
    <n v="52555.483399999997"/>
    <n v="-296353.43"/>
    <n v="92570020.519999996"/>
    <n v="-250"/>
    <n v="394770.09"/>
    <n v="0.29803809999999997"/>
    <m/>
    <n v="0"/>
    <n v="0"/>
    <n v="-296353.43"/>
    <n v="0"/>
    <n v="0"/>
    <n v="16777215"/>
    <n v="0"/>
    <n v="0"/>
    <n v="0"/>
    <n v="0"/>
    <n v="0"/>
    <n v="205250.00000000003"/>
    <n v="205250.00000000003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82.2"/>
    <n v="1"/>
    <n v="0"/>
    <n v="0"/>
    <n v="0"/>
    <n v="0"/>
    <n v="0"/>
    <n v="0"/>
    <n v="0"/>
    <n v="0"/>
    <n v="0"/>
    <n v="0"/>
    <n v="0"/>
    <n v="0"/>
  </r>
  <r>
    <n v="16975388"/>
    <n v="128"/>
    <n v="1486"/>
    <n v="0"/>
    <n v="0"/>
    <n v="0"/>
    <n v="0"/>
    <n v="0"/>
    <n v="7000"/>
    <n v="7000"/>
    <n v="70000"/>
    <n v="70000"/>
    <n v="70000"/>
    <n v="81266.83"/>
    <n v="349280.03"/>
    <n v="405498.32"/>
    <n v="349280.03"/>
    <n v="405498.3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0"/>
    <n v="11"/>
    <s v="GBP"/>
    <s v="E"/>
    <n v="5174"/>
    <n v="5120"/>
    <n v="358400"/>
    <n v="413938.07"/>
    <s v="S"/>
    <n v="4"/>
    <s v="EUR"/>
    <n v="132534288.59999999"/>
    <s v="S"/>
    <n v="1"/>
    <n v="1"/>
    <s v="Recursos Basicos"/>
    <s v="Mineria"/>
    <n v="0"/>
    <m/>
    <n v="8205251.6799999997"/>
    <n v="0.86582999999999999"/>
    <m/>
    <s v="03/10/2023 23:59:59"/>
    <n v="1"/>
    <n v="1"/>
    <s v="B"/>
    <n v="0"/>
    <n v="31345322.399999999"/>
    <n v="1.32057366"/>
    <n v="123618989.48999999"/>
    <n v="132456249.91"/>
    <n v="596150.00000000012"/>
    <n v="9219855.2300000004"/>
    <n v="23.664660909999998"/>
    <n v="0.45007313999999998"/>
    <n v="6.9606796500000003"/>
    <n v="0.31250928"/>
    <s v="ok"/>
    <s v="ok"/>
    <n v="26356083.120000001"/>
    <n v="1.32057366"/>
    <n v="-4018.19"/>
    <n v="-1.04"/>
    <s v="PA"/>
    <n v="-78038.69"/>
    <s v="RV"/>
    <s v="ACE"/>
    <n v="12899.97"/>
    <n v="12457.94"/>
    <n v="362180"/>
    <n v="417956.2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3484990999999997"/>
    <m/>
    <n v="0"/>
    <n v="-219173.26"/>
    <m/>
    <m/>
    <m/>
    <n v="1355558.46"/>
    <n v="0"/>
    <n v="2520.3126550000002"/>
    <n v="52555.483399999997"/>
    <n v="-296353.43"/>
    <n v="92570020.519999996"/>
    <n v="-3780"/>
    <n v="394770.09"/>
    <n v="0.29803809999999997"/>
    <m/>
    <n v="0"/>
    <n v="0"/>
    <n v="-296353.43"/>
    <n v="0"/>
    <n v="0"/>
    <n v="16777215"/>
    <n v="0"/>
    <n v="0"/>
    <n v="0"/>
    <n v="0"/>
    <n v="0"/>
    <n v="358400"/>
    <n v="413938.0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174"/>
    <n v="0.86770000000000003"/>
    <n v="0"/>
    <n v="0"/>
    <n v="0"/>
    <n v="0"/>
    <n v="0"/>
    <n v="0"/>
    <n v="0"/>
    <n v="0"/>
    <n v="0"/>
    <n v="0"/>
    <n v="0"/>
    <n v="0"/>
  </r>
  <r>
    <n v="16975466"/>
    <n v="128"/>
    <n v="3816"/>
    <n v="0"/>
    <n v="0"/>
    <n v="0"/>
    <n v="0"/>
    <n v="0"/>
    <n v="43000"/>
    <n v="43000"/>
    <n v="43000"/>
    <n v="43000"/>
    <n v="43000"/>
    <n v="43000"/>
    <n v="419258"/>
    <n v="419258"/>
    <n v="419258"/>
    <n v="41925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1"/>
    <n v="4"/>
    <s v="EUR"/>
    <s v="E"/>
    <n v="9.73"/>
    <n v="9.7900000000000009"/>
    <n v="420970.00000000006"/>
    <n v="420970.00000000006"/>
    <s v="S"/>
    <n v="4"/>
    <s v="EUR"/>
    <n v="132534288.59999999"/>
    <s v="S"/>
    <n v="1"/>
    <n v="1"/>
    <s v="Recursos Basicos"/>
    <s v="Papel y serv fores"/>
    <n v="0"/>
    <m/>
    <n v="8205251.6799999997"/>
    <n v="1"/>
    <m/>
    <s v="03/10/2023 23:59:59"/>
    <n v="1"/>
    <n v="1"/>
    <s v="B"/>
    <n v="0"/>
    <n v="31345322.399999999"/>
    <n v="1.3430074000000001"/>
    <n v="123618989.48999999"/>
    <n v="132456249.91"/>
    <n v="596150.00000000012"/>
    <n v="9219855.2300000004"/>
    <n v="23.664660909999998"/>
    <n v="0.45007313999999998"/>
    <n v="6.9606796500000003"/>
    <n v="0.31781815000000002"/>
    <s v="ok"/>
    <s v="ok"/>
    <n v="26356083.120000001"/>
    <n v="1.3430074000000001"/>
    <n v="2580"/>
    <n v="0.62"/>
    <s v="PA"/>
    <n v="-78038.69"/>
    <s v="RV"/>
    <s v="ACE"/>
    <n v="-868"/>
    <n v="-868"/>
    <n v="418390"/>
    <n v="41839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4053830000000002"/>
    <m/>
    <n v="0"/>
    <n v="-219173.26"/>
    <m/>
    <m/>
    <m/>
    <n v="1355558.46"/>
    <n v="0"/>
    <n v="2520.3126550000002"/>
    <n v="52555.483399999997"/>
    <n v="-296353.43"/>
    <n v="92570020.519999996"/>
    <n v="2580"/>
    <n v="394770.09"/>
    <n v="0.29803809999999997"/>
    <m/>
    <n v="0"/>
    <n v="0"/>
    <n v="-296353.43"/>
    <n v="0"/>
    <n v="0"/>
    <n v="16777215"/>
    <n v="0"/>
    <n v="0"/>
    <n v="0"/>
    <n v="0"/>
    <n v="0"/>
    <n v="420970.00000000006"/>
    <n v="420970.0000000000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9.73"/>
    <n v="1"/>
    <n v="0"/>
    <n v="0"/>
    <n v="0"/>
    <n v="0"/>
    <n v="0"/>
    <n v="0"/>
    <n v="0"/>
    <n v="0"/>
    <n v="0"/>
    <n v="0"/>
    <n v="0"/>
    <n v="0"/>
  </r>
  <r>
    <n v="16975593"/>
    <n v="128"/>
    <n v="3099"/>
    <n v="0"/>
    <n v="0"/>
    <n v="0"/>
    <n v="0"/>
    <n v="0"/>
    <n v="2500"/>
    <n v="2500"/>
    <n v="52182"/>
    <n v="52182"/>
    <n v="52182"/>
    <n v="21706.33"/>
    <n v="327204.71000000002"/>
    <n v="327204.71000000002"/>
    <n v="327204.71000000002"/>
    <n v="327204.7100000000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2"/>
    <n v="4"/>
    <s v="EUR"/>
    <s v="E"/>
    <n v="159.84"/>
    <n v="157.28"/>
    <n v="393200"/>
    <n v="393200"/>
    <s v="S"/>
    <n v="4"/>
    <s v="EUR"/>
    <n v="132534288.59999999"/>
    <s v="S"/>
    <n v="1"/>
    <n v="1"/>
    <s v="Recursos Basicos"/>
    <s v="Quimica"/>
    <n v="0"/>
    <m/>
    <n v="8205251.6799999997"/>
    <n v="1"/>
    <m/>
    <s v="03/10/2023 23:59:59"/>
    <n v="1"/>
    <n v="1"/>
    <s v="B"/>
    <n v="0"/>
    <n v="31345322.399999999"/>
    <n v="1.2544136400000001"/>
    <n v="123618989.48999999"/>
    <n v="132456249.91"/>
    <n v="596150.00000000012"/>
    <n v="9219855.2300000004"/>
    <n v="23.664660909999998"/>
    <n v="0.45007313999999998"/>
    <n v="6.9606796500000003"/>
    <n v="0.29685273000000001"/>
    <s v="ok"/>
    <s v="ok"/>
    <n v="26356083.120000001"/>
    <n v="1.2544136400000001"/>
    <n v="-6400"/>
    <n v="-1.6"/>
    <s v="PA"/>
    <n v="-78038.69"/>
    <s v="RV"/>
    <s v="ACE"/>
    <n v="72395.289999999994"/>
    <n v="72395.289999999994"/>
    <n v="399600"/>
    <n v="3996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1807411000000002"/>
    <m/>
    <n v="0"/>
    <n v="-219173.26"/>
    <m/>
    <m/>
    <m/>
    <n v="1355558.46"/>
    <n v="0"/>
    <n v="2520.3126550000002"/>
    <n v="52555.483399999997"/>
    <n v="-296353.43"/>
    <n v="92570020.519999996"/>
    <n v="-6400"/>
    <n v="394770.09"/>
    <n v="0.29803809999999997"/>
    <m/>
    <n v="0"/>
    <n v="0"/>
    <n v="-296353.43"/>
    <n v="0"/>
    <n v="0"/>
    <n v="16777215"/>
    <n v="0"/>
    <n v="0"/>
    <n v="0"/>
    <n v="0"/>
    <n v="0"/>
    <n v="393200"/>
    <n v="39320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59.84"/>
    <n v="1"/>
    <n v="0"/>
    <n v="0"/>
    <n v="0"/>
    <n v="0"/>
    <n v="0"/>
    <n v="0"/>
    <n v="0"/>
    <n v="0"/>
    <n v="0"/>
    <n v="0"/>
    <n v="0"/>
    <n v="0"/>
  </r>
  <r>
    <n v="16975371"/>
    <n v="128"/>
    <n v="9059"/>
    <n v="0"/>
    <n v="0"/>
    <n v="0"/>
    <n v="0"/>
    <n v="0"/>
    <n v="6500"/>
    <n v="6500"/>
    <n v="65"/>
    <n v="65"/>
    <n v="65"/>
    <n v="59.83"/>
    <n v="445965"/>
    <n v="410460.19"/>
    <n v="445965"/>
    <n v="410460.1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3"/>
    <n v="5"/>
    <s v="USD"/>
    <s v="U"/>
    <n v="85.74"/>
    <n v="83.710000000000008"/>
    <n v="544115"/>
    <n v="518995.61"/>
    <s v="S"/>
    <n v="4"/>
    <s v="EUR"/>
    <n v="132534288.59999999"/>
    <s v="S"/>
    <n v="1"/>
    <n v="1"/>
    <s v="Recursos Basicos"/>
    <s v="Quimica"/>
    <n v="0"/>
    <m/>
    <n v="8205251.6799999997"/>
    <n v="1.0484"/>
    <m/>
    <s v="03/10/2023 23:59:59"/>
    <n v="1"/>
    <n v="1"/>
    <s v="B"/>
    <n v="0"/>
    <n v="31345322.399999999"/>
    <n v="1.65573543"/>
    <n v="123618989.48999999"/>
    <n v="132456249.91"/>
    <n v="596150.00000000012"/>
    <n v="9219855.2300000004"/>
    <n v="23.664660909999998"/>
    <n v="0.45007313999999998"/>
    <n v="6.9606796500000003"/>
    <n v="0.39182418000000002"/>
    <s v="ok"/>
    <s v="ok"/>
    <n v="26356083.120000001"/>
    <n v="1.65573543"/>
    <n v="-8111.17"/>
    <n v="-2.37"/>
    <s v="PA"/>
    <n v="-78038.69"/>
    <s v="RV"/>
    <s v="ACE"/>
    <n v="111345"/>
    <n v="116646.59"/>
    <n v="557310"/>
    <n v="527106.7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41983485999999998"/>
    <m/>
    <n v="0"/>
    <n v="-219173.26"/>
    <m/>
    <m/>
    <m/>
    <n v="1355558.46"/>
    <n v="0"/>
    <n v="2520.3126550000002"/>
    <n v="52555.483399999997"/>
    <n v="-296353.43"/>
    <n v="92570020.519999996"/>
    <n v="-13195"/>
    <n v="394770.09"/>
    <n v="0.29803809999999997"/>
    <m/>
    <n v="0"/>
    <n v="0"/>
    <n v="-296353.43"/>
    <n v="0"/>
    <n v="0"/>
    <n v="16777215"/>
    <n v="0"/>
    <n v="0"/>
    <n v="0"/>
    <n v="0"/>
    <n v="0"/>
    <n v="544115"/>
    <n v="518995.6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85.74"/>
    <n v="1.0572999999999999"/>
    <n v="0"/>
    <n v="0"/>
    <n v="0"/>
    <n v="0"/>
    <n v="0"/>
    <n v="0"/>
    <n v="0"/>
    <n v="0"/>
    <n v="0"/>
    <n v="0"/>
    <n v="0"/>
    <n v="0"/>
  </r>
  <r>
    <n v="16975419"/>
    <n v="128"/>
    <n v="10687"/>
    <n v="0"/>
    <n v="0"/>
    <n v="0"/>
    <n v="0"/>
    <n v="0"/>
    <n v="14000"/>
    <n v="14000"/>
    <n v="14000"/>
    <n v="14000"/>
    <n v="14000"/>
    <n v="14000"/>
    <n v="408395.05"/>
    <n v="408395.05"/>
    <n v="408395.05"/>
    <n v="408395.05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4"/>
    <n v="4"/>
    <s v="EUR"/>
    <s v="E"/>
    <n v="30.35"/>
    <n v="30.150000000000002"/>
    <n v="422100.00000000006"/>
    <n v="422100.00000000006"/>
    <s v="S"/>
    <n v="4"/>
    <s v="EUR"/>
    <n v="132534288.59999999"/>
    <s v="S"/>
    <n v="1"/>
    <n v="1"/>
    <s v="Recursos Basicos"/>
    <s v="Quimica"/>
    <n v="0"/>
    <m/>
    <n v="8205251.6799999997"/>
    <n v="1"/>
    <m/>
    <s v="03/10/2023 23:59:59"/>
    <n v="1"/>
    <n v="1"/>
    <s v="B"/>
    <n v="0"/>
    <n v="31345322.399999999"/>
    <n v="1.3466124100000001"/>
    <n v="123618989.48999999"/>
    <n v="132456249.91"/>
    <n v="596150.00000000012"/>
    <n v="9219855.2300000004"/>
    <n v="23.664660909999998"/>
    <n v="0.45007313999999998"/>
    <n v="6.9606796500000003"/>
    <n v="0.31867126000000001"/>
    <s v="ok"/>
    <s v="ok"/>
    <n v="26356083.120000001"/>
    <n v="1.3466124100000001"/>
    <n v="-2800"/>
    <n v="-0.66"/>
    <s v="PA"/>
    <n v="-78038.69"/>
    <s v="RV"/>
    <s v="ACE"/>
    <n v="16504.95"/>
    <n v="16504.95"/>
    <n v="424900"/>
    <n v="4249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4145238999999999"/>
    <m/>
    <n v="0"/>
    <n v="-219173.26"/>
    <m/>
    <m/>
    <m/>
    <n v="1355558.46"/>
    <n v="0"/>
    <n v="2520.3126550000002"/>
    <n v="52555.483399999997"/>
    <n v="-296353.43"/>
    <n v="92570020.519999996"/>
    <n v="-2800"/>
    <n v="394770.09"/>
    <n v="0.29803809999999997"/>
    <m/>
    <n v="0"/>
    <n v="0"/>
    <n v="-296353.43"/>
    <n v="0"/>
    <n v="0"/>
    <n v="16777215"/>
    <n v="0"/>
    <n v="0"/>
    <n v="0"/>
    <n v="0"/>
    <n v="0"/>
    <n v="422100.00000000006"/>
    <n v="422100.0000000000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0.35"/>
    <n v="1"/>
    <n v="0"/>
    <n v="0"/>
    <n v="0"/>
    <n v="0"/>
    <n v="0"/>
    <n v="0"/>
    <n v="0"/>
    <n v="0"/>
    <n v="0"/>
    <n v="0"/>
    <n v="0"/>
    <n v="0"/>
  </r>
  <r>
    <n v="16975341"/>
    <n v="128"/>
    <n v="7793"/>
    <n v="0"/>
    <n v="0"/>
    <n v="0"/>
    <n v="0"/>
    <n v="0"/>
    <n v="3500"/>
    <n v="3500"/>
    <n v="3500"/>
    <n v="3500"/>
    <n v="3500"/>
    <n v="3220.03"/>
    <n v="421165.81"/>
    <n v="388502.98"/>
    <n v="421165.81"/>
    <n v="388502.9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5"/>
    <n v="5"/>
    <s v="USD"/>
    <s v="A"/>
    <n v="133.28"/>
    <n v="133.47999999999999"/>
    <n v="467179.99999999994"/>
    <n v="445612.36"/>
    <s v="S"/>
    <n v="4"/>
    <s v="EUR"/>
    <n v="132534288.59999999"/>
    <s v="S"/>
    <n v="1"/>
    <n v="1"/>
    <s v="Tecnologia"/>
    <s v="Ordenadores"/>
    <n v="0"/>
    <m/>
    <n v="8205251.6799999997"/>
    <n v="1.0484"/>
    <m/>
    <s v="03/10/2023 23:59:59"/>
    <n v="1"/>
    <n v="1"/>
    <s v="B"/>
    <n v="0"/>
    <n v="31345322.399999999"/>
    <n v="1.4216231500000001"/>
    <n v="123618989.48999999"/>
    <n v="132456249.91"/>
    <n v="596150.00000000012"/>
    <n v="9219855.2300000004"/>
    <n v="23.664660909999998"/>
    <n v="0.45007313999999998"/>
    <n v="6.9606796500000003"/>
    <n v="0.33642230000000001"/>
    <s v="ok"/>
    <s v="ok"/>
    <n v="26356083.120000001"/>
    <n v="1.4216231500000001"/>
    <n v="4413.08"/>
    <n v="0.15"/>
    <s v="PA"/>
    <n v="-78038.69"/>
    <s v="RV"/>
    <s v="ACE"/>
    <n v="45314.19"/>
    <n v="52696.3"/>
    <n v="466480"/>
    <n v="441199.2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6047242000000002"/>
    <m/>
    <n v="0"/>
    <n v="-219173.26"/>
    <m/>
    <m/>
    <m/>
    <n v="1355558.46"/>
    <n v="0"/>
    <n v="2520.3126550000002"/>
    <n v="52555.483399999997"/>
    <n v="-296353.43"/>
    <n v="92570020.519999996"/>
    <n v="700"/>
    <n v="394770.09"/>
    <n v="0.29803809999999997"/>
    <m/>
    <n v="0"/>
    <n v="0"/>
    <n v="-296353.43"/>
    <n v="0"/>
    <n v="0"/>
    <n v="16777215"/>
    <n v="0"/>
    <n v="0"/>
    <n v="0"/>
    <n v="0"/>
    <n v="0"/>
    <n v="467179.99999999994"/>
    <n v="445612.3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33.28"/>
    <n v="1.0572999999999999"/>
    <n v="0"/>
    <n v="0"/>
    <n v="0"/>
    <n v="0"/>
    <n v="0"/>
    <n v="0"/>
    <n v="0"/>
    <n v="0"/>
    <n v="0"/>
    <n v="0"/>
    <n v="0"/>
    <n v="0"/>
  </r>
  <r>
    <n v="16975584"/>
    <n v="128"/>
    <n v="9830"/>
    <n v="0"/>
    <n v="0"/>
    <n v="0"/>
    <n v="0"/>
    <n v="0"/>
    <n v="2000"/>
    <n v="2000"/>
    <n v="2"/>
    <n v="2"/>
    <n v="2"/>
    <n v="1.84"/>
    <n v="455980"/>
    <n v="419677.86"/>
    <n v="455980"/>
    <n v="419677.8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6"/>
    <n v="5"/>
    <s v="USD"/>
    <s v="U"/>
    <n v="255.69"/>
    <n v="251.84"/>
    <n v="503680"/>
    <n v="480427.32"/>
    <s v="S"/>
    <n v="4"/>
    <s v="EUR"/>
    <n v="132534288.59999999"/>
    <s v="S"/>
    <n v="1"/>
    <n v="1"/>
    <s v="Tecnologia"/>
    <s v="Ordenadores"/>
    <n v="0"/>
    <m/>
    <n v="8205251.6799999997"/>
    <n v="1.0484"/>
    <m/>
    <s v="03/10/2023 23:59:59"/>
    <n v="1"/>
    <n v="1"/>
    <s v="B"/>
    <n v="0"/>
    <n v="31345322.399999999"/>
    <n v="1.5326922300000001"/>
    <n v="123618989.48999999"/>
    <n v="132456249.91"/>
    <n v="596150.00000000012"/>
    <n v="9219855.2300000004"/>
    <n v="23.664660909999998"/>
    <n v="0.45007313999999998"/>
    <n v="6.9606796500000003"/>
    <n v="0.36270641999999997"/>
    <s v="ok"/>
    <s v="ok"/>
    <n v="26356083.120000001"/>
    <n v="1.5326922300000001"/>
    <n v="-3238.62"/>
    <n v="-1.51"/>
    <s v="PA"/>
    <n v="-78038.69"/>
    <s v="RV"/>
    <s v="ACE"/>
    <n v="55400"/>
    <n v="63988.08"/>
    <n v="511380"/>
    <n v="483665.94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8863553000000001"/>
    <m/>
    <n v="0"/>
    <n v="-219173.26"/>
    <m/>
    <m/>
    <m/>
    <n v="1355558.46"/>
    <n v="0"/>
    <n v="2520.3126550000002"/>
    <n v="52555.483399999997"/>
    <n v="-296353.43"/>
    <n v="92570020.519999996"/>
    <n v="-7700"/>
    <n v="394770.09"/>
    <n v="0.29803809999999997"/>
    <m/>
    <n v="0"/>
    <n v="0"/>
    <n v="-296353.43"/>
    <n v="0"/>
    <n v="0"/>
    <n v="16777215"/>
    <n v="0"/>
    <n v="0"/>
    <n v="0"/>
    <n v="0"/>
    <n v="0"/>
    <n v="503680"/>
    <n v="480427.32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55.69"/>
    <n v="1.0572999999999999"/>
    <n v="0"/>
    <n v="0"/>
    <n v="0"/>
    <n v="0"/>
    <n v="0"/>
    <n v="0"/>
    <n v="0"/>
    <n v="0"/>
    <n v="0"/>
    <n v="0"/>
    <n v="0"/>
    <n v="0"/>
  </r>
  <r>
    <n v="16975415"/>
    <n v="128"/>
    <n v="7798"/>
    <n v="0"/>
    <n v="0"/>
    <n v="0"/>
    <n v="0"/>
    <n v="0"/>
    <n v="13000"/>
    <n v="13000"/>
    <n v="13000"/>
    <n v="13000"/>
    <n v="13000"/>
    <n v="13000"/>
    <n v="386946.32"/>
    <n v="386946.32"/>
    <n v="386946.32"/>
    <n v="386946.3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7"/>
    <n v="4"/>
    <s v="EUR"/>
    <s v="E"/>
    <n v="24"/>
    <n v="23.2"/>
    <n v="301600"/>
    <n v="301600"/>
    <s v="S"/>
    <n v="4"/>
    <s v="EUR"/>
    <n v="132534288.59999999"/>
    <s v="S"/>
    <n v="1"/>
    <n v="1"/>
    <s v="Tecnologia"/>
    <s v="Ordenadores"/>
    <n v="0"/>
    <m/>
    <n v="8205251.6799999997"/>
    <n v="1"/>
    <m/>
    <s v="03/10/2023 23:59:59"/>
    <n v="1"/>
    <n v="1"/>
    <s v="B"/>
    <n v="0"/>
    <n v="31345322.399999999"/>
    <n v="0.96218503"/>
    <n v="123618989.48999999"/>
    <n v="132456249.91"/>
    <n v="596150.00000000012"/>
    <n v="9219855.2300000004"/>
    <n v="23.664660909999998"/>
    <n v="0.45007313999999998"/>
    <n v="6.9606796500000003"/>
    <n v="0.22769782"/>
    <s v="ok"/>
    <s v="ok"/>
    <n v="26356083.120000001"/>
    <n v="0.96218503"/>
    <n v="-10400"/>
    <n v="-3.33"/>
    <s v="PA"/>
    <n v="-78038.69"/>
    <s v="RV"/>
    <s v="ACE"/>
    <n v="-74946.320000000007"/>
    <n v="-74946.320000000007"/>
    <n v="312000"/>
    <n v="312000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4397546000000001"/>
    <m/>
    <n v="0"/>
    <n v="-219173.26"/>
    <m/>
    <m/>
    <m/>
    <n v="1355558.46"/>
    <n v="0"/>
    <n v="2520.3126550000002"/>
    <n v="52555.483399999997"/>
    <n v="-296353.43"/>
    <n v="92570020.519999996"/>
    <n v="-10400"/>
    <n v="394770.09"/>
    <n v="0.29803809999999997"/>
    <m/>
    <n v="0"/>
    <n v="0"/>
    <n v="-296353.43"/>
    <n v="0"/>
    <n v="0"/>
    <n v="16777215"/>
    <n v="0"/>
    <n v="0"/>
    <n v="0"/>
    <n v="0"/>
    <n v="0"/>
    <n v="301600"/>
    <n v="30160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4"/>
    <n v="1"/>
    <n v="0"/>
    <n v="0"/>
    <n v="0"/>
    <n v="0"/>
    <n v="0"/>
    <n v="0"/>
    <n v="0"/>
    <n v="0"/>
    <n v="0"/>
    <n v="0"/>
    <n v="0"/>
    <n v="0"/>
  </r>
  <r>
    <n v="16975459"/>
    <n v="128"/>
    <n v="10692"/>
    <n v="0"/>
    <n v="0"/>
    <n v="0"/>
    <n v="0"/>
    <n v="0"/>
    <n v="20000"/>
    <n v="20000"/>
    <n v="200"/>
    <n v="200"/>
    <n v="200"/>
    <n v="232.19"/>
    <n v="354364.15999999997"/>
    <n v="411400.76"/>
    <n v="354364.15999999997"/>
    <n v="411400.7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8"/>
    <n v="11"/>
    <s v="GBP"/>
    <s v="E"/>
    <n v="1547"/>
    <n v="1504"/>
    <n v="300800"/>
    <n v="347412.31"/>
    <s v="S"/>
    <n v="4"/>
    <s v="EUR"/>
    <n v="132534288.59999999"/>
    <s v="S"/>
    <n v="1"/>
    <n v="1"/>
    <s v="Tecnologia"/>
    <s v="Ordenadores"/>
    <n v="0"/>
    <m/>
    <n v="8205251.6799999997"/>
    <n v="0.86582999999999999"/>
    <m/>
    <s v="03/10/2023 23:59:59"/>
    <n v="1"/>
    <n v="1"/>
    <s v="B"/>
    <n v="0"/>
    <n v="31345322.399999999"/>
    <n v="1.1083386099999999"/>
    <n v="123618989.48999999"/>
    <n v="132456249.91"/>
    <n v="596150.00000000012"/>
    <n v="9219855.2300000004"/>
    <n v="23.664660909999998"/>
    <n v="0.45007313999999998"/>
    <n v="6.9606796500000003"/>
    <n v="0.26228456999999999"/>
    <s v="ok"/>
    <s v="ok"/>
    <n v="26356083.120000001"/>
    <n v="1.1083386099999999"/>
    <n v="-9635.75"/>
    <n v="-2.78"/>
    <s v="PA"/>
    <n v="-78038.69"/>
    <s v="RV"/>
    <s v="ACE"/>
    <n v="-44964.160000000003"/>
    <n v="-54352.7"/>
    <n v="309400"/>
    <n v="357048.0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28103474000000001"/>
    <m/>
    <n v="0"/>
    <n v="-219173.26"/>
    <m/>
    <m/>
    <m/>
    <n v="1355558.46"/>
    <n v="0"/>
    <n v="2520.3126550000002"/>
    <n v="52555.483399999997"/>
    <n v="-296353.43"/>
    <n v="92570020.519999996"/>
    <n v="-8600"/>
    <n v="394770.09"/>
    <n v="0.29803809999999997"/>
    <m/>
    <n v="0"/>
    <n v="0"/>
    <n v="-296353.43"/>
    <n v="0"/>
    <n v="0"/>
    <n v="16777215"/>
    <n v="0"/>
    <n v="0"/>
    <n v="0"/>
    <n v="0"/>
    <n v="0"/>
    <n v="300800"/>
    <n v="347412.3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547"/>
    <n v="0.86770000000000003"/>
    <n v="0"/>
    <n v="0"/>
    <n v="0"/>
    <n v="0"/>
    <n v="0"/>
    <n v="0"/>
    <n v="0"/>
    <n v="0"/>
    <n v="0"/>
    <n v="0"/>
    <n v="0"/>
    <n v="0"/>
  </r>
  <r>
    <n v="16975387"/>
    <n v="128"/>
    <n v="4119"/>
    <n v="0"/>
    <n v="0"/>
    <n v="0"/>
    <n v="0"/>
    <n v="0"/>
    <n v="7000"/>
    <n v="7000"/>
    <n v="700"/>
    <n v="700"/>
    <n v="700"/>
    <n v="696.77"/>
    <n v="363318.12"/>
    <n v="361292.46"/>
    <n v="363318.12"/>
    <n v="361292.46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59"/>
    <n v="5"/>
    <s v="USD"/>
    <s v="U"/>
    <n v="68.03"/>
    <n v="67.960000000000008"/>
    <n v="475720.00000000006"/>
    <n v="453758.11"/>
    <s v="S"/>
    <n v="4"/>
    <s v="EUR"/>
    <n v="132534288.59999999"/>
    <s v="S"/>
    <n v="1"/>
    <n v="1"/>
    <s v="Tecnologia"/>
    <s v="Semiconductores"/>
    <n v="0"/>
    <m/>
    <n v="8205251.6799999997"/>
    <n v="1.0484"/>
    <m/>
    <s v="03/10/2023 23:59:59"/>
    <n v="1"/>
    <n v="1"/>
    <s v="B"/>
    <n v="0"/>
    <n v="31345322.399999999"/>
    <n v="1.4476102799999999"/>
    <n v="123618989.48999999"/>
    <n v="132456249.91"/>
    <n v="596150.00000000012"/>
    <n v="9219855.2300000004"/>
    <n v="23.664660909999998"/>
    <n v="0.45007313999999998"/>
    <n v="6.9606796500000003"/>
    <n v="0.34257206000000001"/>
    <s v="ok"/>
    <s v="ok"/>
    <n v="26356083.120000001"/>
    <n v="1.4476102799999999"/>
    <n v="3356.14"/>
    <n v="-0.1"/>
    <s v="PA"/>
    <n v="-78038.69"/>
    <s v="RV"/>
    <s v="ACE"/>
    <n v="112891.88"/>
    <n v="89109.51"/>
    <n v="476210"/>
    <n v="450401.9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6706181999999998"/>
    <m/>
    <n v="0"/>
    <n v="-219173.26"/>
    <m/>
    <m/>
    <m/>
    <n v="1355558.46"/>
    <n v="0"/>
    <n v="2520.3126550000002"/>
    <n v="52555.483399999997"/>
    <n v="-296353.43"/>
    <n v="92570020.519999996"/>
    <n v="-490"/>
    <n v="394770.09"/>
    <n v="0.29803809999999997"/>
    <m/>
    <n v="0"/>
    <n v="0"/>
    <n v="-296353.43"/>
    <n v="0"/>
    <n v="0"/>
    <n v="16777215"/>
    <n v="0"/>
    <n v="0"/>
    <n v="0"/>
    <n v="0"/>
    <n v="0"/>
    <n v="475720.00000000006"/>
    <n v="453758.1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68.03"/>
    <n v="1.0572999999999999"/>
    <n v="0"/>
    <n v="0"/>
    <n v="0"/>
    <n v="0"/>
    <n v="0"/>
    <n v="0"/>
    <n v="0"/>
    <n v="0"/>
    <n v="0"/>
    <n v="0"/>
    <n v="0"/>
    <n v="0"/>
  </r>
  <r>
    <n v="16975589"/>
    <n v="128"/>
    <n v="8590"/>
    <n v="0"/>
    <n v="0"/>
    <n v="0"/>
    <n v="0"/>
    <n v="0"/>
    <n v="2300"/>
    <n v="2300"/>
    <n v="2.2999999999999998"/>
    <n v="2.2999999999999998"/>
    <n v="2.2999999999999998"/>
    <n v="2.12"/>
    <n v="454342"/>
    <n v="418170.28"/>
    <n v="454342"/>
    <n v="418170.28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0"/>
    <n v="5"/>
    <s v="USD"/>
    <s v="E"/>
    <n v="199.92"/>
    <n v="200.19"/>
    <n v="460437"/>
    <n v="439180.66"/>
    <s v="S"/>
    <n v="4"/>
    <s v="EUR"/>
    <n v="132534288.59999999"/>
    <s v="S"/>
    <n v="1"/>
    <n v="1"/>
    <s v="Tecnologia"/>
    <s v="Semiconductores"/>
    <n v="0"/>
    <m/>
    <n v="8205251.6799999997"/>
    <n v="1.0484"/>
    <m/>
    <s v="03/10/2023 23:59:59"/>
    <n v="1"/>
    <n v="1"/>
    <s v="B"/>
    <n v="0"/>
    <n v="31345322.399999999"/>
    <n v="1.4011043000000001"/>
    <n v="123618989.48999999"/>
    <n v="132456249.91"/>
    <n v="596150.00000000012"/>
    <n v="9219855.2300000004"/>
    <n v="23.664660909999998"/>
    <n v="0.45007313999999998"/>
    <n v="6.9606796500000003"/>
    <n v="0.33156658"/>
    <s v="ok"/>
    <s v="ok"/>
    <n v="26356083.120000001"/>
    <n v="1.4011043000000001"/>
    <n v="4284.2299999999996"/>
    <n v="0.14000000000000001"/>
    <s v="PA"/>
    <n v="-78038.69"/>
    <s v="RV"/>
    <s v="ACE"/>
    <n v="5474"/>
    <n v="16726.150000000001"/>
    <n v="459816"/>
    <n v="434896.4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5526957999999997"/>
    <m/>
    <n v="0"/>
    <n v="-219173.26"/>
    <m/>
    <m/>
    <m/>
    <n v="1355558.46"/>
    <n v="0"/>
    <n v="2520.3126550000002"/>
    <n v="52555.483399999997"/>
    <n v="-296353.43"/>
    <n v="92570020.519999996"/>
    <n v="621"/>
    <n v="394770.09"/>
    <n v="0.29803809999999997"/>
    <m/>
    <n v="0"/>
    <n v="0"/>
    <n v="-296353.43"/>
    <n v="0"/>
    <n v="0"/>
    <n v="16777215"/>
    <n v="0"/>
    <n v="0"/>
    <n v="0"/>
    <n v="0"/>
    <n v="0"/>
    <n v="460437"/>
    <n v="439180.6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99.92"/>
    <n v="1.0572999999999999"/>
    <n v="0"/>
    <n v="0"/>
    <n v="0"/>
    <n v="0"/>
    <n v="0"/>
    <n v="0"/>
    <n v="0"/>
    <n v="0"/>
    <n v="0"/>
    <n v="0"/>
    <n v="0"/>
    <n v="0"/>
  </r>
  <r>
    <n v="16975362"/>
    <n v="128"/>
    <n v="6585"/>
    <n v="0"/>
    <n v="0"/>
    <n v="0"/>
    <n v="0"/>
    <n v="0"/>
    <n v="4500"/>
    <n v="4500"/>
    <n v="4500"/>
    <n v="4500"/>
    <n v="4500"/>
    <n v="4045.31"/>
    <n v="438041.7"/>
    <n v="393780.74"/>
    <n v="438041.7"/>
    <n v="393780.7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1"/>
    <n v="5"/>
    <s v="USD"/>
    <s v="R"/>
    <n v="86.9"/>
    <n v="87.65"/>
    <n v="394425"/>
    <n v="376216.14"/>
    <s v="S"/>
    <n v="4"/>
    <s v="EUR"/>
    <n v="132534288.59999999"/>
    <s v="S"/>
    <n v="1"/>
    <n v="1"/>
    <s v="Tecnologia"/>
    <s v="Semiconductores"/>
    <n v="0"/>
    <m/>
    <n v="8205251.6799999997"/>
    <n v="1.0484"/>
    <m/>
    <s v="03/10/2023 23:59:59"/>
    <n v="1"/>
    <n v="1"/>
    <s v="B"/>
    <n v="0"/>
    <n v="31345322.399999999"/>
    <n v="1.2002305600000001"/>
    <n v="123618989.48999999"/>
    <n v="132456249.91"/>
    <n v="596150.00000000012"/>
    <n v="9219855.2300000004"/>
    <n v="23.664660909999998"/>
    <n v="0.45007313999999998"/>
    <n v="6.9606796500000003"/>
    <n v="0.28403049000000002"/>
    <s v="ok"/>
    <s v="ok"/>
    <n v="26356083.120000001"/>
    <n v="1.2002305600000001"/>
    <n v="6358.96"/>
    <n v="0.86"/>
    <s v="PA"/>
    <n v="-78038.69"/>
    <s v="RV"/>
    <s v="ACE"/>
    <n v="-46991.7"/>
    <n v="-23923.56"/>
    <n v="391050"/>
    <n v="369857.18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0433523000000001"/>
    <m/>
    <n v="0"/>
    <n v="-219173.26"/>
    <m/>
    <m/>
    <m/>
    <n v="1355558.46"/>
    <n v="0"/>
    <n v="2520.3126550000002"/>
    <n v="52555.483399999997"/>
    <n v="-296353.43"/>
    <n v="92570020.519999996"/>
    <n v="3375"/>
    <n v="394770.09"/>
    <n v="0.29803809999999997"/>
    <m/>
    <n v="0"/>
    <n v="0"/>
    <n v="-296353.43"/>
    <n v="0"/>
    <n v="0"/>
    <n v="16777215"/>
    <n v="0"/>
    <n v="0"/>
    <n v="0"/>
    <n v="0"/>
    <n v="0"/>
    <n v="394425"/>
    <n v="376216.14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86.9"/>
    <n v="1.0572999999999999"/>
    <n v="0"/>
    <n v="0"/>
    <n v="0"/>
    <n v="0"/>
    <n v="0"/>
    <n v="0"/>
    <n v="0"/>
    <n v="0"/>
    <n v="0"/>
    <n v="0"/>
    <n v="0"/>
    <n v="0"/>
  </r>
  <r>
    <n v="16975538"/>
    <n v="128"/>
    <n v="4195"/>
    <n v="0"/>
    <n v="0"/>
    <n v="0"/>
    <n v="0"/>
    <n v="0"/>
    <n v="900"/>
    <n v="900"/>
    <n v="0.09"/>
    <n v="0.09"/>
    <n v="0.09"/>
    <n v="0.08"/>
    <n v="332594.74"/>
    <n v="308030.32"/>
    <n v="332594.74"/>
    <n v="308030.32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2"/>
    <n v="5"/>
    <s v="USD"/>
    <s v="U"/>
    <n v="509.9"/>
    <n v="521.13"/>
    <n v="469017"/>
    <n v="447364.56"/>
    <s v="S"/>
    <n v="4"/>
    <s v="EUR"/>
    <n v="132534288.59999999"/>
    <s v="S"/>
    <n v="1"/>
    <n v="1"/>
    <s v="Tecnologia"/>
    <s v="Software"/>
    <n v="0"/>
    <m/>
    <n v="8205251.6799999997"/>
    <n v="1.0484"/>
    <m/>
    <s v="03/10/2023 23:59:59"/>
    <n v="1"/>
    <n v="1"/>
    <s v="B"/>
    <n v="0"/>
    <n v="31345322.399999999"/>
    <n v="1.4272131400000001"/>
    <n v="123618989.48999999"/>
    <n v="132456249.91"/>
    <n v="596150.00000000012"/>
    <n v="9219855.2300000004"/>
    <n v="23.664660909999998"/>
    <n v="0.45007313999999998"/>
    <n v="6.9606796500000003"/>
    <n v="0.33774514999999999"/>
    <s v="ok"/>
    <s v="ok"/>
    <n v="26356083.120000001"/>
    <n v="1.4272131400000001"/>
    <n v="13325.03"/>
    <n v="2.2000000000000002"/>
    <s v="PA"/>
    <n v="-78038.69"/>
    <s v="RV"/>
    <s v="ACE"/>
    <n v="126315.26"/>
    <n v="126009.21"/>
    <n v="458910"/>
    <n v="434039.53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6188984000000002"/>
    <m/>
    <n v="0"/>
    <n v="-219173.26"/>
    <m/>
    <m/>
    <m/>
    <n v="1355558.46"/>
    <n v="0"/>
    <n v="2520.3126550000002"/>
    <n v="52555.483399999997"/>
    <n v="-296353.43"/>
    <n v="92570020.519999996"/>
    <n v="10107"/>
    <n v="394770.09"/>
    <n v="0.29803809999999997"/>
    <m/>
    <n v="0"/>
    <n v="0"/>
    <n v="-296353.43"/>
    <n v="0"/>
    <n v="0"/>
    <n v="16777215"/>
    <n v="0"/>
    <n v="0"/>
    <n v="0"/>
    <n v="0"/>
    <n v="0"/>
    <n v="469017"/>
    <n v="447364.5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09.9"/>
    <n v="1.0572999999999999"/>
    <n v="0"/>
    <n v="0"/>
    <n v="0"/>
    <n v="0"/>
    <n v="0"/>
    <n v="0"/>
    <n v="0"/>
    <n v="0"/>
    <n v="0"/>
    <n v="0"/>
    <n v="0"/>
    <n v="0"/>
  </r>
  <r>
    <n v="16975379"/>
    <n v="128"/>
    <n v="9586"/>
    <n v="0"/>
    <n v="0"/>
    <n v="0"/>
    <n v="0"/>
    <n v="0"/>
    <n v="220"/>
    <n v="220"/>
    <n v="190.3"/>
    <n v="190.3"/>
    <n v="190.3"/>
    <n v="146.06"/>
    <n v="457843.93"/>
    <n v="321302.71999999997"/>
    <n v="457843.93"/>
    <n v="321302.71999999997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3"/>
    <n v="18"/>
    <s v="CAD"/>
    <s v="R"/>
    <n v="2804.07"/>
    <n v="2787.26"/>
    <n v="613197.19999999995"/>
    <n v="427869.71"/>
    <s v="S"/>
    <n v="4"/>
    <s v="EUR"/>
    <n v="132534288.59999999"/>
    <s v="S"/>
    <n v="1"/>
    <n v="1"/>
    <s v="Tecnologia"/>
    <s v="Software"/>
    <n v="0"/>
    <m/>
    <n v="8205251.6799999997"/>
    <n v="1.4331399999999999"/>
    <m/>
    <s v="03/10/2023 23:59:59"/>
    <n v="1"/>
    <n v="1"/>
    <s v="B"/>
    <n v="0"/>
    <n v="31345322.399999999"/>
    <n v="1.36501933"/>
    <n v="123618989.48999999"/>
    <n v="132456249.91"/>
    <n v="596150.00000000012"/>
    <n v="9219855.2300000004"/>
    <n v="23.664660909999998"/>
    <n v="0.45007313999999998"/>
    <n v="6.9606796500000003"/>
    <n v="0.32302720000000001"/>
    <s v="ok"/>
    <s v="ok"/>
    <n v="26356083.120000001"/>
    <n v="1.36501933"/>
    <n v="-1905.75"/>
    <n v="-0.6"/>
    <s v="PA"/>
    <n v="-78038.69"/>
    <s v="RV"/>
    <s v="ACE"/>
    <n v="159051.47"/>
    <n v="108472.74"/>
    <n v="616895.4"/>
    <n v="429775.4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4611973000000001"/>
    <m/>
    <n v="0"/>
    <n v="-219173.26"/>
    <m/>
    <m/>
    <m/>
    <n v="1355558.46"/>
    <n v="0"/>
    <n v="2520.3126550000002"/>
    <n v="52555.483399999997"/>
    <n v="-296353.43"/>
    <n v="92570020.519999996"/>
    <n v="-3698.2"/>
    <n v="394770.09"/>
    <n v="0.29803809999999997"/>
    <m/>
    <n v="0"/>
    <n v="0"/>
    <n v="-296353.43"/>
    <n v="0"/>
    <n v="0"/>
    <n v="16777215"/>
    <n v="0"/>
    <n v="0"/>
    <n v="0"/>
    <n v="0"/>
    <n v="0"/>
    <n v="613197.19999999995"/>
    <n v="427869.7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2804.07"/>
    <n v="1.4359200000000001"/>
    <n v="0"/>
    <n v="0"/>
    <n v="0"/>
    <n v="0"/>
    <n v="0"/>
    <n v="0"/>
    <n v="0"/>
    <n v="0"/>
    <n v="0"/>
    <n v="0"/>
    <n v="0"/>
    <n v="0"/>
  </r>
  <r>
    <n v="16975380"/>
    <n v="128"/>
    <n v="10744"/>
    <n v="0"/>
    <n v="0"/>
    <n v="0"/>
    <n v="0"/>
    <n v="0"/>
    <n v="220"/>
    <n v="220"/>
    <n v="220"/>
    <n v="220"/>
    <n v="220"/>
    <n v="154.38999999999999"/>
    <n v="165"/>
    <n v="115.79"/>
    <n v="165"/>
    <n v="115.79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4"/>
    <n v="18"/>
    <s v="CAD"/>
    <s v="R"/>
    <n v="5.0000000000000001E-3"/>
    <n v="5.0000000000000001E-3"/>
    <n v="1.1000000000000001"/>
    <n v="0.77"/>
    <s v="S"/>
    <n v="4"/>
    <s v="EUR"/>
    <n v="132534288.59999999"/>
    <s v="S"/>
    <n v="1"/>
    <n v="1"/>
    <s v="Tecnologia"/>
    <s v="Software"/>
    <n v="0"/>
    <m/>
    <n v="8205251.6799999997"/>
    <n v="1.4331399999999999"/>
    <m/>
    <s v="03/10/2023 23:59:59"/>
    <n v="1"/>
    <n v="1"/>
    <s v="B"/>
    <n v="0"/>
    <n v="31345322.399999999"/>
    <n v="2.4600000000000002E-6"/>
    <n v="123618989.48999999"/>
    <n v="132456249.91"/>
    <n v="596150.00000000012"/>
    <n v="9219855.2300000004"/>
    <n v="23.664660909999998"/>
    <n v="0.45007313999999998"/>
    <n v="6.9606796500000003"/>
    <n v="5.7999999999999995E-7"/>
    <s v="ok"/>
    <s v="ok"/>
    <n v="26356083.120000001"/>
    <n v="2.4600000000000002E-6"/>
    <n v="0"/>
    <n v="0"/>
    <s v="PA"/>
    <n v="-78038.69"/>
    <s v="RV"/>
    <s v="HACE"/>
    <n v="-163.9"/>
    <n v="-115.02"/>
    <n v="1.1000000000000001"/>
    <n v="0.7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6.1999999999999999E-7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1.1000000000000001"/>
    <n v="0.77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.0000000000000001E-3"/>
    <n v="1.4359200000000001"/>
    <n v="0"/>
    <n v="0"/>
    <n v="0"/>
    <n v="0"/>
    <n v="0"/>
    <n v="0"/>
    <n v="0"/>
    <n v="0"/>
    <n v="0"/>
    <n v="0"/>
    <n v="0"/>
    <n v="0"/>
  </r>
  <r>
    <n v="16975389"/>
    <n v="128"/>
    <n v="8551"/>
    <n v="0"/>
    <n v="0"/>
    <n v="0"/>
    <n v="0"/>
    <n v="0"/>
    <n v="7500"/>
    <n v="7500"/>
    <n v="75"/>
    <n v="75"/>
    <n v="75"/>
    <n v="69.03"/>
    <n v="453750"/>
    <n v="417625.4"/>
    <n v="453750"/>
    <n v="417625.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5"/>
    <n v="5"/>
    <s v="USD"/>
    <s v="U"/>
    <n v="52.54"/>
    <n v="52.11"/>
    <n v="390825"/>
    <n v="372782.33"/>
    <s v="S"/>
    <n v="4"/>
    <s v="EUR"/>
    <n v="132534288.59999999"/>
    <s v="S"/>
    <n v="1"/>
    <n v="1"/>
    <s v="Tecnologia"/>
    <s v="Software"/>
    <n v="0"/>
    <m/>
    <n v="8205251.6799999997"/>
    <n v="1.0484"/>
    <m/>
    <s v="03/10/2023 23:59:59"/>
    <n v="1"/>
    <n v="1"/>
    <s v="B"/>
    <n v="0"/>
    <n v="31345322.399999999"/>
    <n v="1.1892757899999999"/>
    <n v="123618989.48999999"/>
    <n v="132456249.91"/>
    <n v="596150.00000000012"/>
    <n v="9219855.2300000004"/>
    <n v="23.664660909999998"/>
    <n v="0.45007313999999998"/>
    <n v="6.9606796500000003"/>
    <n v="0.28143807999999998"/>
    <s v="ok"/>
    <s v="ok"/>
    <n v="26356083.120000001"/>
    <n v="1.1892757899999999"/>
    <n v="87.73"/>
    <n v="-0.82"/>
    <s v="PA"/>
    <n v="-78038.69"/>
    <s v="RV"/>
    <s v="ACE"/>
    <n v="-59700"/>
    <n v="-44930.8"/>
    <n v="394050"/>
    <n v="372694.6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0155749999999998"/>
    <m/>
    <n v="0"/>
    <n v="-219173.26"/>
    <m/>
    <m/>
    <m/>
    <n v="1355558.46"/>
    <n v="0"/>
    <n v="2520.3126550000002"/>
    <n v="52555.483399999997"/>
    <n v="-296353.43"/>
    <n v="92570020.519999996"/>
    <n v="-3225"/>
    <n v="394770.09"/>
    <n v="0.29803809999999997"/>
    <m/>
    <n v="0"/>
    <n v="0"/>
    <n v="-296353.43"/>
    <n v="0"/>
    <n v="0"/>
    <n v="16777215"/>
    <n v="0"/>
    <n v="0"/>
    <n v="0"/>
    <n v="0"/>
    <n v="0"/>
    <n v="390825"/>
    <n v="372782.33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52.54"/>
    <n v="1.0572999999999999"/>
    <n v="0"/>
    <n v="0"/>
    <n v="0"/>
    <n v="0"/>
    <n v="0"/>
    <n v="0"/>
    <n v="0"/>
    <n v="0"/>
    <n v="0"/>
    <n v="0"/>
    <n v="0"/>
    <n v="0"/>
  </r>
  <r>
    <n v="16975364"/>
    <n v="128"/>
    <n v="2169"/>
    <n v="0"/>
    <n v="0"/>
    <n v="0"/>
    <n v="0"/>
    <n v="0"/>
    <n v="4700"/>
    <n v="4700"/>
    <n v="4000.01"/>
    <n v="4000.01"/>
    <n v="4000.01"/>
    <n v="1765"/>
    <n v="716776.53"/>
    <n v="663427.74"/>
    <n v="716776.53"/>
    <n v="663427.7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6"/>
    <n v="5"/>
    <s v="USD"/>
    <s v="U"/>
    <n v="171.21"/>
    <n v="173.75"/>
    <n v="816625"/>
    <n v="778925.03"/>
    <s v="S"/>
    <n v="4"/>
    <s v="EUR"/>
    <n v="132534288.59999999"/>
    <s v="S"/>
    <n v="1"/>
    <n v="1"/>
    <s v="Tecnologia"/>
    <s v=""/>
    <n v="0"/>
    <n v="999999999"/>
    <n v="8205251.6799999997"/>
    <n v="1.0484"/>
    <m/>
    <s v="03/10/2023 23:59:59"/>
    <n v="1"/>
    <n v="1"/>
    <s v="B"/>
    <n v="0"/>
    <n v="31345322.399999999"/>
    <n v="2.4849801199999999"/>
    <n v="123618989.48999999"/>
    <n v="132456249.91"/>
    <n v="596150.00000000012"/>
    <n v="9219855.2300000004"/>
    <n v="23.664660909999998"/>
    <n v="0.45007313999999998"/>
    <n v="6.9606796500000003"/>
    <n v="0.58806212000000002"/>
    <s v="ok"/>
    <s v="ok"/>
    <n v="26356083.120000001"/>
    <n v="2.4849801199999999"/>
    <n v="17847.759999999998"/>
    <n v="1.48"/>
    <s v="PA"/>
    <n v="-78038.69"/>
    <s v="RV"/>
    <s v="ACE"/>
    <n v="87910.47"/>
    <n v="97649.53"/>
    <n v="804687"/>
    <n v="761077.27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63010144000000001"/>
    <m/>
    <n v="0"/>
    <n v="-219173.26"/>
    <m/>
    <m/>
    <m/>
    <n v="1355558.46"/>
    <n v="0"/>
    <n v="2520.3126550000002"/>
    <n v="52555.483399999997"/>
    <n v="-296353.43"/>
    <n v="92570020.519999996"/>
    <n v="11938"/>
    <n v="394770.09"/>
    <n v="0.29803809999999997"/>
    <m/>
    <n v="0"/>
    <n v="0"/>
    <n v="-296353.43"/>
    <n v="0"/>
    <n v="0"/>
    <n v="16777215"/>
    <n v="0"/>
    <n v="0"/>
    <n v="0"/>
    <n v="0"/>
    <n v="0"/>
    <n v="816625"/>
    <n v="778925.03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71.21"/>
    <n v="1.0572999999999999"/>
    <n v="0"/>
    <n v="0"/>
    <n v="0"/>
    <n v="0"/>
    <n v="0"/>
    <n v="0"/>
    <n v="0"/>
    <n v="0"/>
    <n v="0"/>
    <n v="0"/>
    <n v="0"/>
    <n v="0"/>
  </r>
  <r>
    <n v="16975590"/>
    <n v="128"/>
    <n v="2168"/>
    <n v="0"/>
    <n v="0"/>
    <n v="0"/>
    <n v="0"/>
    <n v="0"/>
    <n v="2500"/>
    <n v="2500"/>
    <n v="3"/>
    <n v="3"/>
    <n v="3"/>
    <n v="1.1299999999999999"/>
    <n v="722349.65"/>
    <n v="664115.74"/>
    <n v="722349.65"/>
    <n v="664115.74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7"/>
    <n v="5"/>
    <s v="USD"/>
    <s v="U"/>
    <n v="315.75"/>
    <n v="321.8"/>
    <n v="804500"/>
    <n v="767359.79"/>
    <s v="S"/>
    <n v="4"/>
    <s v="EUR"/>
    <n v="132534288.59999999"/>
    <s v="S"/>
    <n v="1"/>
    <n v="1"/>
    <s v="Tecnologia"/>
    <s v=""/>
    <n v="0"/>
    <n v="999999999"/>
    <n v="8205251.6799999997"/>
    <n v="1.0484"/>
    <m/>
    <s v="03/10/2023 23:59:59"/>
    <n v="1"/>
    <n v="1"/>
    <s v="B"/>
    <n v="0"/>
    <n v="31345322.399999999"/>
    <n v="2.4480838999999999"/>
    <n v="123618989.48999999"/>
    <n v="132456249.91"/>
    <n v="596150.00000000012"/>
    <n v="9219855.2300000004"/>
    <n v="23.664660909999998"/>
    <n v="0.45007313999999998"/>
    <n v="6.9606796500000003"/>
    <n v="0.57933075000000001"/>
    <s v="ok"/>
    <s v="ok"/>
    <n v="26356083.120000001"/>
    <n v="2.4480838999999999"/>
    <n v="20764.689999999999"/>
    <n v="1.92"/>
    <s v="PA"/>
    <n v="-78038.69"/>
    <s v="RV"/>
    <s v="ACE"/>
    <n v="67025.350000000006"/>
    <n v="82479.360000000001"/>
    <n v="789375"/>
    <n v="746595.1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62074587999999997"/>
    <m/>
    <n v="0"/>
    <n v="-219173.26"/>
    <m/>
    <m/>
    <m/>
    <n v="1355558.46"/>
    <n v="0"/>
    <n v="2520.3126550000002"/>
    <n v="52555.483399999997"/>
    <n v="-296353.43"/>
    <n v="92570020.519999996"/>
    <n v="15125"/>
    <n v="394770.09"/>
    <n v="0.29803809999999997"/>
    <m/>
    <n v="0"/>
    <n v="0"/>
    <n v="-296353.43"/>
    <n v="0"/>
    <n v="0"/>
    <n v="16777215"/>
    <n v="0"/>
    <n v="0"/>
    <n v="0"/>
    <n v="0"/>
    <n v="0"/>
    <n v="804500"/>
    <n v="767359.79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315.75"/>
    <n v="1.0572999999999999"/>
    <n v="0"/>
    <n v="0"/>
    <n v="0"/>
    <n v="0"/>
    <n v="0"/>
    <n v="0"/>
    <n v="0"/>
    <n v="0"/>
    <n v="0"/>
    <n v="0"/>
    <n v="0"/>
    <n v="0"/>
  </r>
  <r>
    <n v="16975361"/>
    <n v="128"/>
    <n v="3827"/>
    <n v="0"/>
    <n v="0"/>
    <n v="0"/>
    <n v="0"/>
    <n v="0"/>
    <n v="4000"/>
    <n v="4000"/>
    <n v="40"/>
    <n v="40"/>
    <n v="40"/>
    <n v="36.549999999999997"/>
    <n v="339203.31"/>
    <n v="308978.11"/>
    <n v="339203.31"/>
    <n v="308978.11"/>
    <n v="0"/>
    <n v="0"/>
    <n v="0"/>
    <n v="0"/>
    <n v="0"/>
    <n v="0"/>
    <n v="0"/>
    <n v="0"/>
    <n v="0"/>
    <n v="0"/>
    <n v="0"/>
    <n v="0"/>
    <m/>
    <s v="MEDIOLANUM PENSIONES II, FONDO DE PENSIONES"/>
    <s v="03/10/2023 00:00:00"/>
    <x v="68"/>
    <n v="5"/>
    <s v="USD"/>
    <s v="U"/>
    <n v="105.92"/>
    <n v="106.71000000000001"/>
    <n v="426840.00000000006"/>
    <n v="407134.68"/>
    <s v="S"/>
    <n v="4"/>
    <s v="EUR"/>
    <n v="132534288.59999999"/>
    <s v="S"/>
    <n v="1"/>
    <n v="1"/>
    <s v="Tecnologia"/>
    <s v=""/>
    <n v="0"/>
    <n v="999999999"/>
    <n v="8205251.6799999997"/>
    <n v="1.0484"/>
    <m/>
    <s v="03/10/2023 23:59:59"/>
    <n v="1"/>
    <n v="1"/>
    <s v="B"/>
    <n v="0"/>
    <n v="31345322.399999999"/>
    <n v="1.29886901"/>
    <n v="123618989.48999999"/>
    <n v="132456249.91"/>
    <n v="596150.00000000012"/>
    <n v="9219855.2300000004"/>
    <n v="23.664660909999998"/>
    <n v="0.45007313999999998"/>
    <n v="6.9606796500000003"/>
    <n v="0.30737294999999998"/>
    <s v="ok"/>
    <s v="ok"/>
    <n v="26356083.120000001"/>
    <n v="1.29886901"/>
    <n v="6415.87"/>
    <n v="0.75"/>
    <s v="PA"/>
    <n v="-78038.69"/>
    <s v="RV"/>
    <s v="ACE"/>
    <n v="84476.69"/>
    <n v="91740.7"/>
    <n v="423680"/>
    <n v="400718.81"/>
    <n v="0"/>
    <n v="1.4438757900000001"/>
    <n v="13.27863496"/>
    <n v="17588381.91"/>
    <n v="1912503.72"/>
    <n v="6269233.6699999999"/>
    <s v="N"/>
    <s v="N"/>
    <s v="CONTADO"/>
    <s v="29/09/2023 00:00:00"/>
    <x v="1"/>
    <n v="0"/>
    <s v="29/09/2023 00:00:00"/>
    <n v="0.32934638999999999"/>
    <m/>
    <n v="0"/>
    <n v="-219173.26"/>
    <m/>
    <m/>
    <m/>
    <n v="1355558.46"/>
    <n v="0"/>
    <n v="2520.3126550000002"/>
    <n v="52555.483399999997"/>
    <n v="-296353.43"/>
    <n v="92570020.519999996"/>
    <n v="3160"/>
    <n v="394770.09"/>
    <n v="0.29803809999999997"/>
    <m/>
    <n v="0"/>
    <n v="0"/>
    <n v="-296353.43"/>
    <n v="0"/>
    <n v="0"/>
    <n v="16777215"/>
    <n v="0"/>
    <n v="0"/>
    <n v="0"/>
    <n v="0"/>
    <n v="0"/>
    <n v="426840.00000000006"/>
    <n v="407134.68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05.92"/>
    <n v="1.0572999999999999"/>
    <n v="0"/>
    <n v="0"/>
    <n v="0"/>
    <n v="0"/>
    <n v="0"/>
    <n v="0"/>
    <n v="0"/>
    <n v="0"/>
    <n v="0"/>
    <n v="0"/>
    <n v="0"/>
    <n v="0"/>
  </r>
  <r>
    <n v="16975492"/>
    <n v="128"/>
    <n v="10350"/>
    <n v="0"/>
    <n v="0"/>
    <n v="0"/>
    <n v="0"/>
    <n v="0"/>
    <n v="1"/>
    <n v="1"/>
    <n v="500000"/>
    <n v="500000"/>
    <n v="500000"/>
    <n v="500000"/>
    <n v="483760.7"/>
    <n v="483760.7"/>
    <n v="483760.7"/>
    <n v="483760.7"/>
    <n v="500000"/>
    <n v="500000"/>
    <n v="500000"/>
    <n v="500000"/>
    <n v="0"/>
    <n v="0"/>
    <n v="0"/>
    <n v="0"/>
    <n v="10916.01"/>
    <n v="10916.01"/>
    <n v="10916.01"/>
    <n v="10916.01"/>
    <s v="26/01/2024 00:00:00"/>
    <s v="MEDIOLANUM PENSIONES II, FONDO DE PENSIONES"/>
    <s v="03/10/2023 00:00:00"/>
    <x v="69"/>
    <n v="4"/>
    <s v="EUR"/>
    <s v="S"/>
    <n v="0"/>
    <n v="0"/>
    <n v="493239.5"/>
    <n v="493239.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7237917999999998"/>
    <s v="ok"/>
    <s v="ok"/>
    <n v="26356083.120000001"/>
    <n v="0"/>
    <n v="0"/>
    <n v="0"/>
    <s v="PA"/>
    <n v="-78038.69"/>
    <s v="AM"/>
    <s v="AME"/>
    <n v="-1437.21"/>
    <n v="-1437.21"/>
    <n v="493239.5"/>
    <n v="493239.5"/>
    <n v="0"/>
    <n v="1.4438757900000001"/>
    <n v="13.27863496"/>
    <n v="17588381.91"/>
    <n v="1912503.72"/>
    <n v="6269233.6699999999"/>
    <s v="N"/>
    <s v="N"/>
    <s v="CONTADO"/>
    <s v="29/09/2023 00:00:00"/>
    <x v="2"/>
    <n v="0"/>
    <s v="29/09/2023 00:00:00"/>
    <n v="0.39899978000000003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493239.5"/>
    <n v="493239.5"/>
    <n v="31345322.399999999"/>
    <n v="-1110160.2399999984"/>
    <n v="92570020.519999966"/>
    <n v="0"/>
    <n v="0"/>
    <s v="S"/>
    <m/>
    <n v="0"/>
    <n v="3"/>
    <n v="0"/>
    <n v="0.53282854999999996"/>
    <n v="0"/>
    <m/>
    <m/>
    <n v="0"/>
    <n v="0"/>
    <n v="1633661.45"/>
    <n v="1.2333592799999999"/>
    <m/>
    <m/>
    <n v="0"/>
    <n v="1"/>
    <n v="4.3765416459999997"/>
    <n v="0.317808219"/>
    <n v="0"/>
    <n v="0.317808219"/>
    <n v="3.8442490000000001E-3"/>
    <n v="4"/>
    <n v="116"/>
    <n v="0"/>
    <n v="0"/>
    <n v="10.948063833999999"/>
    <n v="0"/>
    <n v="0"/>
  </r>
  <r>
    <n v="16975495"/>
    <n v="128"/>
    <n v="10771"/>
    <n v="0"/>
    <n v="0"/>
    <n v="0"/>
    <n v="0"/>
    <n v="0"/>
    <n v="1000"/>
    <n v="1000"/>
    <n v="1000000"/>
    <n v="1000000"/>
    <n v="1000000"/>
    <n v="1000000"/>
    <n v="975860"/>
    <n v="975860"/>
    <n v="975860"/>
    <n v="975860"/>
    <n v="1000000"/>
    <n v="1000000"/>
    <n v="1000000"/>
    <n v="1000000"/>
    <n v="0"/>
    <n v="0"/>
    <n v="0"/>
    <n v="0"/>
    <n v="0"/>
    <n v="0"/>
    <n v="0"/>
    <n v="0"/>
    <s v="10/05/2024 00:00:00"/>
    <s v="MEDIOLANUM PENSIONES II, FONDO DE PENSIONES"/>
    <s v="03/10/2023 00:00:00"/>
    <x v="70"/>
    <n v="4"/>
    <s v="EUR"/>
    <s v="S"/>
    <n v="97.694000000000003"/>
    <n v="97.575500000000005"/>
    <n v="975755"/>
    <n v="975755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3666211000000004"/>
    <s v="ok"/>
    <s v="ok"/>
    <n v="26356083.120000001"/>
    <n v="0"/>
    <n v="-1185"/>
    <n v="-0.12"/>
    <s v="PA"/>
    <n v="-78038.69"/>
    <s v="AM"/>
    <s v="LET"/>
    <n v="1080"/>
    <n v="1080"/>
    <n v="976940"/>
    <n v="976940"/>
    <n v="0"/>
    <n v="1.4438757900000001"/>
    <n v="13.27863496"/>
    <n v="17588381.91"/>
    <n v="1912503.72"/>
    <n v="6269233.6699999999"/>
    <s v="N"/>
    <s v="N"/>
    <s v="CONTADO"/>
    <s v="29/09/2023 00:00:00"/>
    <x v="2"/>
    <n v="0"/>
    <s v="29/09/2023 00:00:00"/>
    <n v="0.78932451999999997"/>
    <m/>
    <n v="0"/>
    <n v="-219173.26"/>
    <m/>
    <m/>
    <m/>
    <n v="1355558.46"/>
    <n v="0"/>
    <n v="2520.3126550000002"/>
    <n v="52555.483399999997"/>
    <n v="-296353.43"/>
    <n v="92570020.519999996"/>
    <n v="-1185"/>
    <n v="394770.09"/>
    <n v="0.29803809999999997"/>
    <m/>
    <n v="0"/>
    <n v="0"/>
    <n v="-296353.43"/>
    <n v="0"/>
    <n v="0"/>
    <n v="16777215"/>
    <n v="0"/>
    <n v="0"/>
    <n v="0"/>
    <n v="0"/>
    <n v="0"/>
    <n v="975755"/>
    <n v="975755"/>
    <n v="31345322.399999999"/>
    <n v="-1110160.2399999984"/>
    <n v="92570020.519999966"/>
    <n v="0"/>
    <n v="0"/>
    <s v="S"/>
    <m/>
    <n v="0"/>
    <n v="3"/>
    <n v="0"/>
    <n v="1.0540723599999999"/>
    <n v="0"/>
    <m/>
    <m/>
    <n v="0"/>
    <n v="0"/>
    <n v="1633661.45"/>
    <n v="1.2333592799999999"/>
    <m/>
    <m/>
    <n v="97.575500000000005"/>
    <n v="1"/>
    <n v="4.0790756540000004"/>
    <n v="0.61388888900000005"/>
    <n v="0.57552889350000003"/>
    <n v="0.60547945199999997"/>
    <n v="9.1461130000000009E-3"/>
    <n v="7"/>
    <n v="221"/>
    <n v="0"/>
    <n v="0"/>
    <n v="4.0608341460000004"/>
    <n v="0"/>
    <n v="0"/>
  </r>
  <r>
    <n v="16975378"/>
    <n v="128"/>
    <n v="10743"/>
    <n v="0"/>
    <n v="0"/>
    <n v="0"/>
    <n v="0"/>
    <n v="0"/>
    <n v="220"/>
    <n v="220"/>
    <n v="220"/>
    <n v="220"/>
    <n v="220"/>
    <n v="148.84"/>
    <n v="0.02"/>
    <n v="0.01"/>
    <n v="0.02"/>
    <n v="0.01"/>
    <n v="0"/>
    <n v="0"/>
    <n v="0"/>
    <n v="0"/>
    <n v="0"/>
    <n v="0"/>
    <n v="0"/>
    <n v="0"/>
    <n v="0"/>
    <n v="0"/>
    <n v="0"/>
    <n v="0"/>
    <s v="22/08/2028 00:00:00"/>
    <s v="MEDIOLANUM PENSIONES II, FONDO DE PENSIONES"/>
    <s v="03/10/2023 00:00:00"/>
    <x v="71"/>
    <n v="18"/>
    <s v="CAD"/>
    <s v="R"/>
    <n v="0"/>
    <n v="0"/>
    <n v="0.02"/>
    <n v="0.01"/>
    <s v="N"/>
    <n v="4"/>
    <s v="EUR"/>
    <n v="132534288.59999999"/>
    <s v="S"/>
    <n v="1"/>
    <n v="1"/>
    <s v="Tecnologia"/>
    <s v="Software"/>
    <n v="0"/>
    <m/>
    <n v="8205251.6799999997"/>
    <n v="1.4331399999999999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E-8"/>
    <s v="ok"/>
    <s v="ok"/>
    <n v="26356083.120000001"/>
    <n v="0"/>
    <n v="0"/>
    <n v="0"/>
    <s v="PA"/>
    <n v="-78038.69"/>
    <s v="OP"/>
    <s v="WCVE"/>
    <n v="0"/>
    <n v="0"/>
    <n v="0.02"/>
    <n v="0.01"/>
    <n v="0"/>
    <n v="1.4438757900000001"/>
    <n v="13.27863496"/>
    <n v="17588381.91"/>
    <n v="1912503.72"/>
    <n v="6269233.6699999999"/>
    <s v="N"/>
    <s v="N"/>
    <s v="CONTADO"/>
    <s v="29/09/2023 00:00:00"/>
    <x v="3"/>
    <n v="0"/>
    <s v="29/09/2023 00:00:00"/>
    <n v="1E-8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s v="VRV"/>
    <n v="0"/>
    <n v="0"/>
    <n v="-296353.43"/>
    <n v="0"/>
    <n v="0"/>
    <n v="16777215"/>
    <n v="0"/>
    <n v="0"/>
    <n v="0"/>
    <n v="0"/>
    <n v="0"/>
    <n v="0"/>
    <n v="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0"/>
    <n v="1.4359200000000001"/>
    <n v="0"/>
    <n v="0"/>
    <n v="0"/>
    <n v="0"/>
    <n v="0"/>
    <n v="0"/>
    <n v="0"/>
    <n v="0"/>
    <n v="0"/>
    <n v="0"/>
    <n v="0"/>
    <n v="0"/>
  </r>
  <r>
    <n v="16975555"/>
    <n v="128"/>
    <n v="10525"/>
    <n v="0"/>
    <n v="0"/>
    <n v="0"/>
    <n v="0"/>
    <n v="0"/>
    <n v="20"/>
    <n v="20"/>
    <n v="1000"/>
    <n v="1000"/>
    <n v="1000"/>
    <n v="911.58"/>
    <n v="139776"/>
    <n v="127416.59"/>
    <n v="139776"/>
    <n v="127416.59"/>
    <n v="3900000"/>
    <n v="3555150.41"/>
    <n v="3900000"/>
    <n v="3555150.41"/>
    <n v="0"/>
    <n v="0"/>
    <n v="0"/>
    <n v="0"/>
    <n v="0"/>
    <n v="0"/>
    <n v="0"/>
    <n v="0"/>
    <s v="15/12/2023 00:00:00"/>
    <s v="MEDIOLANUM PENSIONES II, FONDO DE PENSIONES"/>
    <s v="03/10/2023 00:00:00"/>
    <x v="72"/>
    <n v="5"/>
    <s v="USD"/>
    <s v="U"/>
    <n v="29.5"/>
    <n v="28"/>
    <n v="28000"/>
    <n v="26707.360000000001"/>
    <s v="N"/>
    <n v="4"/>
    <s v="EUR"/>
    <n v="132534288.59999999"/>
    <s v="S"/>
    <n v="1"/>
    <n v="1"/>
    <s v="Futuros y Opciones"/>
    <s v="Futuro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2.0163159999999999E-2"/>
    <s v="ok"/>
    <s v="ok"/>
    <n v="26356083.120000001"/>
    <n v="0"/>
    <n v="-1193.9000000000001"/>
    <n v="-5.08"/>
    <s v="PA"/>
    <n v="-78038.69"/>
    <s v="OP"/>
    <s v="OPVE"/>
    <n v="-110276"/>
    <n v="-99515.33"/>
    <n v="29500"/>
    <n v="27901.26"/>
    <n v="0"/>
    <n v="1.4438757900000001"/>
    <n v="13.27863496"/>
    <n v="17588381.91"/>
    <n v="1912503.72"/>
    <n v="6269233.6699999999"/>
    <s v="N"/>
    <s v="N"/>
    <s v="CONTADO"/>
    <s v="29/09/2023 00:00:00"/>
    <x v="4"/>
    <n v="0"/>
    <s v="29/09/2023 00:00:00"/>
    <n v="2.1604580000000002E-2"/>
    <m/>
    <n v="0"/>
    <n v="-219173.26"/>
    <m/>
    <m/>
    <m/>
    <n v="1355558.46"/>
    <n v="0"/>
    <n v="2520.3126550000002"/>
    <n v="52555.483399999997"/>
    <n v="-296353.43"/>
    <n v="92570020.519999996"/>
    <n v="-1500"/>
    <n v="394770.09"/>
    <n v="0.29803809999999997"/>
    <s v="IRV"/>
    <n v="0"/>
    <n v="0"/>
    <n v="-296353.43"/>
    <n v="0"/>
    <n v="0"/>
    <n v="16777215"/>
    <n v="0"/>
    <n v="0"/>
    <n v="0"/>
    <n v="0"/>
    <n v="0"/>
    <n v="3900000"/>
    <n v="3719954.22"/>
    <n v="31345322.399999999"/>
    <n v="-1110160.2399999984"/>
    <n v="92570020.519999966"/>
    <n v="0"/>
    <n v="-0.13200000000000001"/>
    <s v="S"/>
    <m/>
    <n v="0"/>
    <n v="3"/>
    <n v="0"/>
    <n v="0"/>
    <n v="0"/>
    <m/>
    <m/>
    <n v="0"/>
    <n v="0"/>
    <n v="1633661.45"/>
    <n v="1.2333592799999999"/>
    <m/>
    <m/>
    <n v="29.5"/>
    <n v="1.0572999999999999"/>
    <n v="0"/>
    <n v="0"/>
    <n v="0"/>
    <n v="0"/>
    <n v="0"/>
    <n v="0"/>
    <n v="0"/>
    <n v="0"/>
    <n v="0"/>
    <n v="0"/>
    <n v="0"/>
    <n v="0"/>
  </r>
  <r>
    <n v="16975554"/>
    <n v="128"/>
    <n v="10527"/>
    <n v="0"/>
    <n v="0"/>
    <n v="0"/>
    <n v="0"/>
    <n v="0"/>
    <n v="20"/>
    <n v="20"/>
    <n v="400"/>
    <n v="400"/>
    <n v="400"/>
    <n v="364.1"/>
    <n v="210426"/>
    <n v="191540.14"/>
    <n v="210426"/>
    <n v="191540.14"/>
    <n v="4800000"/>
    <n v="4369197.16"/>
    <n v="4800000"/>
    <n v="4369197.16"/>
    <n v="0"/>
    <n v="0"/>
    <n v="0"/>
    <n v="0"/>
    <n v="0"/>
    <n v="0"/>
    <n v="0"/>
    <n v="0"/>
    <s v="15/12/2023 00:00:00"/>
    <s v="MEDIOLANUM PENSIONES II, FONDO DE PENSIONES"/>
    <s v="03/10/2023 00:00:00"/>
    <x v="73"/>
    <n v="5"/>
    <s v="USD"/>
    <s v="U"/>
    <n v="46.25"/>
    <n v="41"/>
    <n v="16400"/>
    <n v="15642.88"/>
    <s v="N"/>
    <n v="4"/>
    <s v="EUR"/>
    <n v="132534288.59999999"/>
    <s v="S"/>
    <n v="1"/>
    <n v="1"/>
    <s v="Futuros y Opciones"/>
    <s v=""/>
    <n v="0"/>
    <n v="999999999"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180985E-2"/>
    <s v="ok"/>
    <s v="ok"/>
    <n v="26356083.120000001"/>
    <n v="0"/>
    <n v="-1854.52"/>
    <n v="-11.35"/>
    <s v="PA"/>
    <n v="-78038.69"/>
    <s v="OP"/>
    <s v="OPVE"/>
    <n v="-191926"/>
    <n v="-174042.74"/>
    <n v="18500"/>
    <n v="17497.400000000001"/>
    <n v="0"/>
    <n v="1.4438757900000001"/>
    <n v="13.27863496"/>
    <n v="17588381.91"/>
    <n v="1912503.72"/>
    <n v="6269233.6699999999"/>
    <s v="N"/>
    <s v="N"/>
    <s v="CONTADO"/>
    <s v="29/09/2023 00:00:00"/>
    <x v="4"/>
    <n v="0"/>
    <s v="29/09/2023 00:00:00"/>
    <n v="1.265411E-2"/>
    <m/>
    <n v="0"/>
    <n v="-219173.26"/>
    <m/>
    <m/>
    <m/>
    <n v="1355558.46"/>
    <n v="0"/>
    <n v="2520.3126550000002"/>
    <n v="52555.483399999997"/>
    <n v="-296353.43"/>
    <n v="92570020.519999996"/>
    <n v="-2100"/>
    <n v="394770.09"/>
    <n v="0.29803809999999997"/>
    <s v="IRV"/>
    <n v="0"/>
    <n v="0"/>
    <n v="-296353.43"/>
    <n v="0"/>
    <n v="0"/>
    <n v="16777215"/>
    <n v="0"/>
    <n v="0"/>
    <n v="0"/>
    <n v="0"/>
    <n v="0"/>
    <n v="210426.00000000003"/>
    <n v="200711.56"/>
    <n v="31345322.399999999"/>
    <n v="-1110160.2399999984"/>
    <n v="92570020.519999966"/>
    <n v="0"/>
    <n v="-4.7E-2"/>
    <s v="S"/>
    <m/>
    <n v="0"/>
    <n v="3"/>
    <n v="0"/>
    <n v="0"/>
    <n v="0"/>
    <m/>
    <m/>
    <n v="0"/>
    <n v="0"/>
    <n v="1633661.45"/>
    <n v="1.2333592799999999"/>
    <m/>
    <m/>
    <n v="46.25"/>
    <n v="1.0572999999999999"/>
    <n v="0"/>
    <n v="0"/>
    <n v="0"/>
    <n v="0"/>
    <n v="0"/>
    <n v="0"/>
    <n v="0"/>
    <n v="0"/>
    <n v="0"/>
    <n v="0"/>
    <n v="0"/>
    <n v="0"/>
  </r>
  <r>
    <n v="16975596"/>
    <n v="128"/>
    <n v="10521"/>
    <n v="0"/>
    <n v="0"/>
    <n v="0"/>
    <n v="0"/>
    <n v="0"/>
    <n v="120"/>
    <n v="120"/>
    <n v="1200"/>
    <n v="1200"/>
    <n v="1200"/>
    <n v="1200"/>
    <n v="190440"/>
    <n v="190440"/>
    <n v="190440"/>
    <n v="190440"/>
    <n v="4920000"/>
    <n v="4920000"/>
    <n v="4920000"/>
    <n v="4920000"/>
    <n v="0"/>
    <n v="0"/>
    <n v="0"/>
    <n v="0"/>
    <n v="0"/>
    <n v="0"/>
    <n v="0"/>
    <n v="0"/>
    <s v="15/12/2023 00:00:00"/>
    <s v="MEDIOLANUM PENSIONES II, FONDO DE PENSIONES"/>
    <s v="03/10/2023 00:00:00"/>
    <x v="74"/>
    <n v="4"/>
    <s v="EUR"/>
    <s v="E"/>
    <n v="81"/>
    <n v="96.8"/>
    <n v="116160"/>
    <n v="116160"/>
    <s v="N"/>
    <n v="4"/>
    <s v="EUR"/>
    <n v="132534288.59999999"/>
    <s v="S"/>
    <n v="1"/>
    <n v="1"/>
    <s v="Futuros y Opciones"/>
    <s v=""/>
    <n v="0"/>
    <n v="999999999"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8.7696880000000005E-2"/>
    <s v="ok"/>
    <s v="ok"/>
    <n v="26356083.120000001"/>
    <n v="0"/>
    <n v="18960"/>
    <n v="19.510000000000002"/>
    <s v="PA"/>
    <n v="-78038.69"/>
    <s v="OP"/>
    <s v="OPVE"/>
    <n v="-93240"/>
    <n v="-93240"/>
    <n v="97200"/>
    <n v="97200"/>
    <n v="0"/>
    <n v="1.4438757900000001"/>
    <n v="13.27863496"/>
    <n v="17588381.91"/>
    <n v="1912503.72"/>
    <n v="6269233.6699999999"/>
    <s v="N"/>
    <s v="N"/>
    <s v="CONTADO"/>
    <s v="29/09/2023 00:00:00"/>
    <x v="4"/>
    <n v="0"/>
    <s v="29/09/2023 00:00:00"/>
    <n v="9.3966149999999998E-2"/>
    <m/>
    <n v="0"/>
    <n v="-219173.26"/>
    <m/>
    <m/>
    <m/>
    <n v="1355558.46"/>
    <n v="0"/>
    <n v="2520.3126550000002"/>
    <n v="52555.483399999997"/>
    <n v="-296353.43"/>
    <n v="92570020.519999996"/>
    <n v="18960"/>
    <n v="394770.09"/>
    <n v="0.29803809999999997"/>
    <s v="IRV"/>
    <n v="0"/>
    <n v="0"/>
    <n v="-296353.43"/>
    <n v="0"/>
    <n v="0"/>
    <n v="16777215"/>
    <n v="0"/>
    <n v="0"/>
    <n v="0"/>
    <n v="0"/>
    <n v="0"/>
    <n v="4920000"/>
    <n v="4920000"/>
    <n v="31345322.399999999"/>
    <n v="-1110160.2399999984"/>
    <n v="92570020.519999966"/>
    <n v="0"/>
    <n v="-0.40700000000000003"/>
    <s v="S"/>
    <m/>
    <n v="0"/>
    <n v="3"/>
    <n v="0"/>
    <n v="0"/>
    <n v="0"/>
    <m/>
    <m/>
    <n v="0"/>
    <n v="0"/>
    <n v="1633661.45"/>
    <n v="1.2333592799999999"/>
    <m/>
    <m/>
    <n v="81"/>
    <n v="1"/>
    <n v="0"/>
    <n v="0"/>
    <n v="0"/>
    <n v="0"/>
    <n v="0"/>
    <n v="0"/>
    <n v="0"/>
    <n v="0"/>
    <n v="0"/>
    <n v="0"/>
    <n v="0"/>
    <n v="0"/>
  </r>
  <r>
    <n v="16975556"/>
    <n v="128"/>
    <n v="10524"/>
    <n v="0"/>
    <n v="0"/>
    <n v="0"/>
    <n v="0"/>
    <n v="0"/>
    <n v="-20"/>
    <n v="-20"/>
    <n v="-1000"/>
    <n v="-1000"/>
    <n v="-1000"/>
    <n v="-911.58"/>
    <n v="-142724"/>
    <n v="-130103.92"/>
    <n v="-142724"/>
    <n v="-130103.92"/>
    <n v="-4400000"/>
    <n v="-4010938.92"/>
    <n v="-4400000"/>
    <n v="-4010938.92"/>
    <n v="0"/>
    <n v="0"/>
    <n v="0"/>
    <n v="0"/>
    <n v="0"/>
    <n v="0"/>
    <n v="0"/>
    <n v="0"/>
    <s v="15/12/2023 00:00:00"/>
    <s v="MEDIOLANUM PENSIONES II, FONDO DE PENSIONES"/>
    <s v="03/10/2023 00:00:00"/>
    <x v="75"/>
    <n v="5"/>
    <s v="USD"/>
    <s v="U"/>
    <n v="79"/>
    <n v="78.25"/>
    <n v="-78250"/>
    <n v="-74637.539999999994"/>
    <s v="N"/>
    <n v="4"/>
    <s v="EUR"/>
    <n v="132534288.59999999"/>
    <s v="S"/>
    <n v="1"/>
    <n v="1"/>
    <s v="Futuros y Opciones"/>
    <s v="Futuro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-5.6348820000000001E-2"/>
    <s v="ok"/>
    <s v="ok"/>
    <n v="26356083.120000001"/>
    <n v="0"/>
    <n v="81.08"/>
    <n v="-0.95"/>
    <s v="PA"/>
    <n v="-78038.69"/>
    <s v="OP"/>
    <s v="OCVE"/>
    <n v="63724"/>
    <n v="55385.3"/>
    <n v="-79000"/>
    <n v="-74718.62"/>
    <n v="0"/>
    <n v="1.4438757900000001"/>
    <n v="13.27863496"/>
    <n v="17588381.91"/>
    <n v="1912503.72"/>
    <n v="6269233.6699999999"/>
    <s v="N"/>
    <s v="N"/>
    <s v="CONTADO"/>
    <s v="29/09/2023 00:00:00"/>
    <x v="5"/>
    <n v="0"/>
    <s v="29/09/2023 00:00:00"/>
    <n v="-6.037708E-2"/>
    <m/>
    <n v="0"/>
    <n v="-219173.26"/>
    <m/>
    <m/>
    <m/>
    <n v="1355558.46"/>
    <n v="0"/>
    <n v="2520.3126550000002"/>
    <n v="52555.483399999997"/>
    <n v="-296353.43"/>
    <n v="92570020.519999996"/>
    <n v="750"/>
    <n v="394770.09"/>
    <n v="0.29803809999999997"/>
    <s v="IRV"/>
    <n v="0"/>
    <n v="0"/>
    <n v="-296353.43"/>
    <n v="0"/>
    <n v="0"/>
    <n v="16777215"/>
    <n v="0"/>
    <n v="0"/>
    <n v="0"/>
    <n v="0"/>
    <n v="0"/>
    <n v="-4400000"/>
    <n v="-4196871.42"/>
    <n v="31345322.399999999"/>
    <n v="-1110160.2399999984"/>
    <n v="92570020.519999966"/>
    <n v="0"/>
    <n v="0.39700000000000002"/>
    <s v="S"/>
    <m/>
    <n v="0"/>
    <n v="3"/>
    <n v="0"/>
    <n v="0"/>
    <n v="0"/>
    <m/>
    <m/>
    <n v="0"/>
    <n v="0"/>
    <n v="1633661.45"/>
    <n v="1.2333592799999999"/>
    <m/>
    <m/>
    <n v="79"/>
    <n v="1.0572999999999999"/>
    <n v="0"/>
    <n v="0"/>
    <n v="0"/>
    <n v="0"/>
    <n v="0"/>
    <n v="0"/>
    <n v="0"/>
    <n v="0"/>
    <n v="0"/>
    <n v="0"/>
    <n v="0"/>
    <n v="0"/>
  </r>
  <r>
    <n v="16975553"/>
    <n v="128"/>
    <n v="10526"/>
    <n v="0"/>
    <n v="0"/>
    <n v="0"/>
    <n v="0"/>
    <n v="0"/>
    <n v="-20"/>
    <n v="-20"/>
    <n v="-400"/>
    <n v="-400"/>
    <n v="-400"/>
    <n v="-364.1"/>
    <n v="-182374"/>
    <n v="-166005.82999999999"/>
    <n v="-182374"/>
    <n v="-166005.82999999999"/>
    <n v="-5720000"/>
    <n v="-5206626.62"/>
    <n v="-5720000"/>
    <n v="-5206626.62"/>
    <n v="0"/>
    <n v="0"/>
    <n v="0"/>
    <n v="0"/>
    <n v="0"/>
    <n v="0"/>
    <n v="0"/>
    <n v="0"/>
    <s v="15/12/2023 00:00:00"/>
    <s v="MEDIOLANUM PENSIONES II, FONDO DE PENSIONES"/>
    <s v="03/10/2023 00:00:00"/>
    <x v="76"/>
    <n v="5"/>
    <s v="USD"/>
    <s v="U"/>
    <n v="906.5"/>
    <n v="985.25"/>
    <n v="-394100"/>
    <n v="-375906.14"/>
    <s v="N"/>
    <n v="4"/>
    <s v="EUR"/>
    <n v="132534288.59999999"/>
    <s v="S"/>
    <n v="1"/>
    <n v="1"/>
    <s v="Futuros y Opciones"/>
    <s v=""/>
    <n v="0"/>
    <n v="999999999"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-0.28379644999999998"/>
    <s v="ok"/>
    <s v="ok"/>
    <n v="26356083.120000001"/>
    <n v="0"/>
    <n v="-32957.120000000003"/>
    <n v="8.69"/>
    <s v="PA"/>
    <n v="-78038.69"/>
    <s v="OP"/>
    <s v="OCVE"/>
    <n v="-180226"/>
    <n v="-176943.19"/>
    <n v="-362600"/>
    <n v="-342949.02"/>
    <n v="0"/>
    <n v="1.4438757900000001"/>
    <n v="13.27863496"/>
    <n v="17588381.91"/>
    <n v="1912503.72"/>
    <n v="6269233.6699999999"/>
    <s v="N"/>
    <s v="N"/>
    <s v="CONTADO"/>
    <s v="29/09/2023 00:00:00"/>
    <x v="5"/>
    <n v="0"/>
    <s v="29/09/2023 00:00:00"/>
    <n v="-0.30408446"/>
    <m/>
    <n v="0"/>
    <n v="-219173.26"/>
    <m/>
    <m/>
    <m/>
    <n v="1355558.46"/>
    <n v="0"/>
    <n v="2520.3126550000002"/>
    <n v="52555.483399999997"/>
    <n v="-296353.43"/>
    <n v="92570020.519999996"/>
    <n v="-31500"/>
    <n v="394770.09"/>
    <n v="0.29803809999999997"/>
    <s v="IRV"/>
    <n v="0"/>
    <n v="0"/>
    <n v="-296353.43"/>
    <n v="0"/>
    <n v="0"/>
    <n v="16777215"/>
    <n v="0"/>
    <n v="0"/>
    <n v="0"/>
    <n v="0"/>
    <n v="0"/>
    <n v="-182374"/>
    <n v="-173954.6"/>
    <n v="31345322.399999999"/>
    <n v="-1110160.2399999984"/>
    <n v="92570020.519999966"/>
    <n v="0"/>
    <n v="0.68700000000000006"/>
    <s v="S"/>
    <m/>
    <n v="0"/>
    <n v="3"/>
    <n v="0"/>
    <n v="0"/>
    <n v="0"/>
    <m/>
    <m/>
    <n v="0"/>
    <n v="0"/>
    <n v="1633661.45"/>
    <n v="1.2333592799999999"/>
    <m/>
    <m/>
    <n v="906.5"/>
    <n v="1.0572999999999999"/>
    <n v="0"/>
    <n v="0"/>
    <n v="0"/>
    <n v="0"/>
    <n v="0"/>
    <n v="0"/>
    <n v="0"/>
    <n v="0"/>
    <n v="0"/>
    <n v="0"/>
    <n v="0"/>
    <n v="0"/>
  </r>
  <r>
    <n v="16975597"/>
    <n v="128"/>
    <n v="10520"/>
    <n v="0"/>
    <n v="0"/>
    <n v="0"/>
    <n v="0"/>
    <n v="0"/>
    <n v="-120"/>
    <n v="-120"/>
    <n v="-1200"/>
    <n v="-1200"/>
    <n v="-1200"/>
    <n v="-1200"/>
    <n v="-126840"/>
    <n v="-126840"/>
    <n v="-126840"/>
    <n v="-126840"/>
    <n v="-5580000"/>
    <n v="-5580000"/>
    <n v="-5580000"/>
    <n v="-5580000"/>
    <n v="0"/>
    <n v="0"/>
    <n v="0"/>
    <n v="0"/>
    <n v="0"/>
    <n v="0"/>
    <n v="0"/>
    <n v="0"/>
    <s v="15/12/2023 00:00:00"/>
    <s v="MEDIOLANUM PENSIONES II, FONDO DE PENSIONES"/>
    <s v="03/10/2023 00:00:00"/>
    <x v="77"/>
    <n v="4"/>
    <s v="EUR"/>
    <s v="E"/>
    <n v="5"/>
    <n v="3.6"/>
    <n v="-4320"/>
    <n v="-4320"/>
    <s v="N"/>
    <n v="4"/>
    <s v="EUR"/>
    <n v="132534288.59999999"/>
    <s v="S"/>
    <n v="1"/>
    <n v="1"/>
    <s v="Futuros y Opciones"/>
    <s v=""/>
    <n v="0"/>
    <n v="999999999"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-3.2614499999999999E-3"/>
    <s v="ok"/>
    <s v="ok"/>
    <n v="26356083.120000001"/>
    <n v="0"/>
    <n v="1680"/>
    <n v="-27.999999999999996"/>
    <s v="PA"/>
    <n v="-78038.69"/>
    <s v="OP"/>
    <s v="OCVE"/>
    <n v="120840"/>
    <n v="120840"/>
    <n v="-6000"/>
    <n v="-6000"/>
    <n v="0"/>
    <n v="1.4438757900000001"/>
    <n v="13.27863496"/>
    <n v="17588381.91"/>
    <n v="1912503.72"/>
    <n v="6269233.6699999999"/>
    <s v="N"/>
    <s v="N"/>
    <s v="CONTADO"/>
    <s v="29/09/2023 00:00:00"/>
    <x v="5"/>
    <n v="0"/>
    <s v="29/09/2023 00:00:00"/>
    <n v="-3.49461E-3"/>
    <m/>
    <n v="0"/>
    <n v="-219173.26"/>
    <m/>
    <m/>
    <m/>
    <n v="1355558.46"/>
    <n v="0"/>
    <n v="2520.3126550000002"/>
    <n v="52555.483399999997"/>
    <n v="-296353.43"/>
    <n v="92570020.519999996"/>
    <n v="1680"/>
    <n v="394770.09"/>
    <n v="0.29803809999999997"/>
    <s v="IRV"/>
    <n v="0"/>
    <n v="0"/>
    <n v="-296353.43"/>
    <n v="0"/>
    <n v="0"/>
    <n v="16777215"/>
    <n v="0"/>
    <n v="0"/>
    <n v="0"/>
    <n v="0"/>
    <n v="0"/>
    <n v="-5580000"/>
    <n v="-5580000"/>
    <n v="31345322.399999999"/>
    <n v="-1110160.2399999984"/>
    <n v="92570020.519999966"/>
    <n v="0"/>
    <n v="3.7000000000000005E-2"/>
    <s v="S"/>
    <m/>
    <n v="0"/>
    <n v="3"/>
    <n v="0"/>
    <n v="0"/>
    <n v="0"/>
    <m/>
    <m/>
    <n v="0"/>
    <n v="0"/>
    <n v="1633661.45"/>
    <n v="1.2333592799999999"/>
    <m/>
    <m/>
    <n v="5"/>
    <n v="1"/>
    <n v="0"/>
    <n v="0"/>
    <n v="0"/>
    <n v="0"/>
    <n v="0"/>
    <n v="0"/>
    <n v="0"/>
    <n v="0"/>
    <n v="0"/>
    <n v="0"/>
    <n v="0"/>
    <n v="0"/>
  </r>
  <r>
    <n v="16975425"/>
    <n v="128"/>
    <n v="3472"/>
    <n v="0"/>
    <n v="0"/>
    <n v="0"/>
    <n v="0"/>
    <n v="0"/>
    <n v="1"/>
    <n v="1"/>
    <n v="100000"/>
    <n v="100000"/>
    <n v="100000"/>
    <n v="100000"/>
    <n v="98792"/>
    <n v="98792"/>
    <n v="98792"/>
    <n v="98792"/>
    <n v="100000"/>
    <n v="100000"/>
    <n v="100000"/>
    <n v="100000"/>
    <n v="0"/>
    <n v="0"/>
    <n v="0"/>
    <n v="0"/>
    <n v="1135.55"/>
    <n v="1135.55"/>
    <n v="1135.55"/>
    <n v="1135.55"/>
    <s v="16/10/2023 00:00:00"/>
    <s v="MEDIOLANUM PENSIONES II, FONDO DE PENSIONES"/>
    <s v="03/10/2023 00:00:00"/>
    <x v="78"/>
    <n v="4"/>
    <s v="EUR"/>
    <s v="S"/>
    <n v="101.08526082167"/>
    <n v="101.11578082191799"/>
    <n v="101115.78"/>
    <n v="101115.78"/>
    <s v="N"/>
    <n v="4"/>
    <s v="EUR"/>
    <n v="132534288.59999999"/>
    <s v="S"/>
    <n v="1"/>
    <n v="1"/>
    <s v="Comunicaciones"/>
    <s v="Construcción y Engi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6339000000000004E-2"/>
    <s v="ok"/>
    <s v="ok"/>
    <n v="26356083.120000001"/>
    <n v="0"/>
    <n v="30.52"/>
    <n v="0.03"/>
    <s v="PA"/>
    <n v="-78038.69"/>
    <s v="RF"/>
    <s v="RFE"/>
    <n v="1157.71"/>
    <n v="1157.71"/>
    <n v="101085.26"/>
    <n v="101085.2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1796320000000006E-2"/>
    <m/>
    <n v="0"/>
    <n v="-219173.26"/>
    <m/>
    <m/>
    <m/>
    <n v="1355558.46"/>
    <n v="0"/>
    <n v="2520.3126550000002"/>
    <n v="52555.483399999997"/>
    <n v="-296353.43"/>
    <n v="92570020.519999996"/>
    <n v="30.52"/>
    <n v="394770.09"/>
    <n v="0.29803809999999997"/>
    <m/>
    <n v="0"/>
    <n v="0"/>
    <n v="-296353.43"/>
    <n v="0"/>
    <n v="0"/>
    <n v="16777215"/>
    <n v="0"/>
    <n v="0"/>
    <n v="0"/>
    <n v="0"/>
    <n v="0"/>
    <n v="101115.78"/>
    <n v="101115.78"/>
    <n v="31345322.399999999"/>
    <n v="-1110160.2399999984"/>
    <n v="92570020.519999966"/>
    <n v="0"/>
    <n v="0"/>
    <s v="S"/>
    <m/>
    <n v="0"/>
    <n v="3"/>
    <n v="0"/>
    <n v="0.10923167"/>
    <n v="0"/>
    <m/>
    <m/>
    <n v="0"/>
    <n v="0"/>
    <n v="1633661.45"/>
    <n v="1.2333592799999999"/>
    <m/>
    <m/>
    <n v="101.113773972603"/>
    <n v="1"/>
    <n v="18.564753458999999"/>
    <n v="3.8356163999999998E-2"/>
    <n v="3.2710704267999997E-2"/>
    <n v="3.8356163999999998E-2"/>
    <n v="2.8331500000000002E-4"/>
    <n v="0"/>
    <n v="14"/>
    <n v="0"/>
    <n v="0"/>
    <n v="117.25905082"/>
    <n v="0"/>
    <n v="0"/>
  </r>
  <r>
    <n v="16975510"/>
    <n v="128"/>
    <n v="8413"/>
    <n v="0"/>
    <n v="0"/>
    <n v="0"/>
    <n v="0"/>
    <n v="0"/>
    <n v="4"/>
    <n v="4"/>
    <n v="400000"/>
    <n v="400000"/>
    <n v="400000"/>
    <n v="400000"/>
    <n v="397151.2"/>
    <n v="397151.2"/>
    <n v="397151.2"/>
    <n v="397151.2"/>
    <n v="400000"/>
    <n v="400000"/>
    <n v="400000"/>
    <n v="400000"/>
    <n v="0"/>
    <n v="0"/>
    <n v="0"/>
    <n v="0"/>
    <n v="5889.75"/>
    <n v="5889.75"/>
    <n v="5889.75"/>
    <n v="5889.75"/>
    <s v="23/07/2030 00:00:00"/>
    <s v="MEDIOLANUM PENSIONES II, FONDO DE PENSIONES"/>
    <s v="03/10/2023 00:00:00"/>
    <x v="79"/>
    <n v="4"/>
    <s v="EUR"/>
    <s v="S"/>
    <n v="83.031724587438006"/>
    <n v="82.709109589041006"/>
    <n v="330836.44"/>
    <n v="330836.44"/>
    <s v="N"/>
    <n v="4"/>
    <s v="EUR"/>
    <n v="132534288.59999999"/>
    <s v="S"/>
    <n v="1"/>
    <n v="1"/>
    <s v="Comunicaciones"/>
    <s v="Construcción y Engi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4977035"/>
    <s v="ok"/>
    <s v="ok"/>
    <n v="26356083.120000001"/>
    <n v="0"/>
    <n v="-1290.46"/>
    <n v="-0.39"/>
    <s v="PA"/>
    <n v="-78038.69"/>
    <s v="RF"/>
    <s v="RFE"/>
    <n v="-70914.05"/>
    <n v="-70914.05"/>
    <n v="332126.90000000002"/>
    <n v="332126.900000000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6762591000000002"/>
    <m/>
    <n v="0"/>
    <n v="-219173.26"/>
    <m/>
    <m/>
    <m/>
    <n v="1355558.46"/>
    <n v="0"/>
    <n v="2520.3126550000002"/>
    <n v="52555.483399999997"/>
    <n v="-296353.43"/>
    <n v="92570020.519999996"/>
    <n v="-1290.46"/>
    <n v="394770.09"/>
    <n v="0.29803809999999997"/>
    <m/>
    <n v="0"/>
    <n v="0"/>
    <n v="-296353.43"/>
    <n v="0"/>
    <n v="0"/>
    <n v="16777215"/>
    <n v="0"/>
    <n v="0"/>
    <n v="0"/>
    <n v="0"/>
    <n v="0"/>
    <n v="330836.44"/>
    <n v="330836.44"/>
    <n v="31345322.399999999"/>
    <n v="-1110160.2399999984"/>
    <n v="92570020.519999966"/>
    <n v="0"/>
    <n v="0"/>
    <s v="S"/>
    <m/>
    <n v="0"/>
    <n v="3"/>
    <n v="0"/>
    <n v="0.35739048000000001"/>
    <n v="0"/>
    <m/>
    <m/>
    <n v="0"/>
    <n v="0"/>
    <n v="1633661.45"/>
    <n v="1.2333592799999999"/>
    <m/>
    <m/>
    <n v="82.971815068493996"/>
    <n v="1"/>
    <n v="5.0629140489999997"/>
    <n v="6.3026768200000003"/>
    <n v="4.9774417573729997"/>
    <n v="6.8109589039999996"/>
    <n v="0.437264602"/>
    <n v="72"/>
    <n v="2486"/>
    <n v="0"/>
    <n v="0"/>
    <n v="2.1265513189999998"/>
    <n v="0"/>
    <n v="0"/>
  </r>
  <r>
    <n v="16975507"/>
    <n v="128"/>
    <n v="9472"/>
    <n v="0"/>
    <n v="0"/>
    <n v="0"/>
    <n v="0"/>
    <n v="0"/>
    <n v="4"/>
    <n v="4"/>
    <n v="400000"/>
    <n v="400000"/>
    <n v="400000"/>
    <n v="400000"/>
    <n v="393494"/>
    <n v="393494"/>
    <n v="393494"/>
    <n v="393494"/>
    <n v="400000"/>
    <n v="400000"/>
    <n v="400000"/>
    <n v="400000"/>
    <n v="0"/>
    <n v="0"/>
    <n v="0"/>
    <n v="0"/>
    <n v="1338.41"/>
    <n v="1338.41"/>
    <n v="1338.41"/>
    <n v="1338.41"/>
    <s v="15/06/2027 00:00:00"/>
    <s v="MEDIOLANUM PENSIONES II, FONDO DE PENSIONES"/>
    <s v="03/10/2023 00:00:00"/>
    <x v="80"/>
    <n v="4"/>
    <s v="EUR"/>
    <s v="S"/>
    <n v="86.786982828351"/>
    <n v="86.659680327868998"/>
    <n v="346638.72"/>
    <n v="346638.72"/>
    <s v="N"/>
    <n v="4"/>
    <s v="EUR"/>
    <n v="132534288.59999999"/>
    <s v="S"/>
    <n v="1"/>
    <n v="1"/>
    <s v="Comunicaciones"/>
    <s v="Construcción y Engi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6170053999999998"/>
    <s v="ok"/>
    <s v="ok"/>
    <n v="26356083.120000001"/>
    <n v="0"/>
    <n v="-509.21"/>
    <n v="-0.15"/>
    <s v="PA"/>
    <n v="-78038.69"/>
    <s v="RF"/>
    <s v="RFE"/>
    <n v="-47684.480000000003"/>
    <n v="-47684.480000000003"/>
    <n v="347147.93"/>
    <n v="347147.9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8040895999999998"/>
    <m/>
    <n v="0"/>
    <n v="-219173.26"/>
    <m/>
    <m/>
    <m/>
    <n v="1355558.46"/>
    <n v="0"/>
    <n v="2520.3126550000002"/>
    <n v="52555.483399999997"/>
    <n v="-296353.43"/>
    <n v="92570020.519999996"/>
    <n v="-509.21"/>
    <n v="394770.09"/>
    <n v="0.29803809999999997"/>
    <m/>
    <n v="0"/>
    <n v="0"/>
    <n v="-296353.43"/>
    <n v="0"/>
    <n v="0"/>
    <n v="16777215"/>
    <n v="0"/>
    <n v="0"/>
    <n v="0"/>
    <n v="0"/>
    <n v="0"/>
    <n v="346638.72"/>
    <n v="346638.72"/>
    <n v="31345322.399999999"/>
    <n v="-1110160.2399999984"/>
    <n v="92570020.519999966"/>
    <n v="0"/>
    <n v="0"/>
    <s v="S"/>
    <m/>
    <n v="0"/>
    <n v="3"/>
    <n v="0"/>
    <n v="0.37446109999999999"/>
    <n v="0"/>
    <m/>
    <m/>
    <n v="0"/>
    <n v="0"/>
    <n v="1633661.45"/>
    <n v="1.2333592799999999"/>
    <m/>
    <m/>
    <n v="86.749448087432"/>
    <n v="1"/>
    <n v="5.0261219840000004"/>
    <n v="3.6461665160000001"/>
    <n v="3.0116596418619999"/>
    <n v="3.7041095890000002"/>
    <n v="0.15464673400000001"/>
    <n v="42"/>
    <n v="1352"/>
    <n v="0"/>
    <n v="0"/>
    <n v="1.467667324"/>
    <n v="0"/>
    <n v="0"/>
  </r>
  <r>
    <n v="16975429"/>
    <n v="128"/>
    <n v="2008"/>
    <n v="0"/>
    <n v="0"/>
    <n v="0"/>
    <n v="0"/>
    <n v="0"/>
    <n v="1"/>
    <n v="1"/>
    <n v="100000"/>
    <n v="100000"/>
    <n v="100000"/>
    <n v="100000"/>
    <n v="105040.5"/>
    <n v="105040.5"/>
    <n v="105040.5"/>
    <n v="105040.5"/>
    <n v="100000"/>
    <n v="100000"/>
    <n v="100000"/>
    <n v="100000"/>
    <n v="0"/>
    <n v="0"/>
    <n v="0"/>
    <n v="0"/>
    <n v="-1692.12"/>
    <n v="-1692.12"/>
    <n v="-1692.12"/>
    <n v="-1692.12"/>
    <s v="07/01/2026 00:00:00"/>
    <s v="MEDIOLANUM PENSIONES II, FONDO DE PENSIONES"/>
    <s v="03/10/2023 00:00:00"/>
    <x v="81"/>
    <n v="4"/>
    <s v="EUR"/>
    <s v="E"/>
    <n v="96.357187593155004"/>
    <n v="96.258177595627998"/>
    <n v="96258.18"/>
    <n v="96258.18"/>
    <s v="N"/>
    <n v="4"/>
    <s v="EUR"/>
    <n v="132534288.59999999"/>
    <s v="S"/>
    <n v="1"/>
    <n v="1"/>
    <s v="Comunicaciones"/>
    <s v="Medios Comunic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2671680000000002E-2"/>
    <s v="ok"/>
    <s v="ok"/>
    <n v="26356083.120000001"/>
    <n v="0"/>
    <n v="-99.01"/>
    <n v="-0.1"/>
    <s v="PA"/>
    <n v="-78038.69"/>
    <s v="RF"/>
    <s v="RFE"/>
    <n v="-6991.19"/>
    <n v="-6991.19"/>
    <n v="96357.19"/>
    <n v="96357.1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7866820000000003E-2"/>
    <m/>
    <n v="0"/>
    <n v="-219173.26"/>
    <m/>
    <m/>
    <m/>
    <n v="1355558.46"/>
    <n v="0"/>
    <n v="2520.3126550000002"/>
    <n v="52555.483399999997"/>
    <n v="-296353.43"/>
    <n v="92570020.519999996"/>
    <n v="-99.01"/>
    <n v="394770.09"/>
    <n v="0.29803809999999997"/>
    <m/>
    <n v="0"/>
    <n v="0"/>
    <n v="-296353.43"/>
    <n v="0"/>
    <n v="0"/>
    <n v="16777215"/>
    <n v="0"/>
    <n v="0"/>
    <n v="0"/>
    <n v="0"/>
    <n v="0"/>
    <n v="96258.18"/>
    <n v="96258.18"/>
    <n v="31345322.399999999"/>
    <n v="-1110160.2399999984"/>
    <n v="92570020.519999966"/>
    <n v="0"/>
    <n v="0"/>
    <s v="S"/>
    <m/>
    <n v="0"/>
    <n v="3"/>
    <n v="0"/>
    <n v="0.10398418"/>
    <n v="0"/>
    <m/>
    <m/>
    <n v="0"/>
    <n v="0"/>
    <n v="1633661.45"/>
    <n v="1.2333592799999999"/>
    <m/>
    <m/>
    <n v="96.322346994534996"/>
    <n v="1"/>
    <n v="4.8309664550000004"/>
    <n v="2.2031927040000001"/>
    <n v="2.0243702721729999"/>
    <n v="2.2684931509999999"/>
    <n v="6.5014366000000004E-2"/>
    <n v="25"/>
    <n v="828"/>
    <n v="0"/>
    <n v="0"/>
    <n v="0.79129571600000004"/>
    <n v="0"/>
    <n v="0"/>
  </r>
  <r>
    <n v="16975440"/>
    <n v="128"/>
    <n v="7430"/>
    <n v="0"/>
    <n v="0"/>
    <n v="0"/>
    <n v="0"/>
    <n v="0"/>
    <n v="1"/>
    <n v="1"/>
    <n v="100000"/>
    <n v="100000"/>
    <n v="100000"/>
    <n v="100000"/>
    <n v="94224"/>
    <n v="94224"/>
    <n v="94224"/>
    <n v="94224"/>
    <n v="100000"/>
    <n v="100000"/>
    <n v="100000"/>
    <n v="100000"/>
    <n v="0"/>
    <n v="0"/>
    <n v="0"/>
    <n v="0"/>
    <n v="6344.42"/>
    <n v="6344.42"/>
    <n v="6344.42"/>
    <n v="6344.42"/>
    <s v="05/02/2024 00:00:00"/>
    <s v="MEDIOLANUM PENSIONES II, FONDO DE PENSIONES"/>
    <s v="03/10/2023 00:00:00"/>
    <x v="82"/>
    <n v="4"/>
    <s v="EUR"/>
    <s v="R"/>
    <n v="96.602937779911002"/>
    <n v="96.695777777776996"/>
    <n v="96695.78"/>
    <n v="96695.78"/>
    <s v="N"/>
    <n v="4"/>
    <s v="EUR"/>
    <n v="132534288.59999999"/>
    <s v="S"/>
    <n v="1"/>
    <n v="1"/>
    <s v="Comunicaciones"/>
    <s v="Medios Comunic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3002049999999999E-2"/>
    <s v="ok"/>
    <s v="ok"/>
    <n v="26356083.120000001"/>
    <n v="0"/>
    <n v="92.84"/>
    <n v="0.09"/>
    <s v="PA"/>
    <n v="-78038.69"/>
    <s v="RF"/>
    <s v="RFE"/>
    <n v="-3965.48"/>
    <n v="-3965.48"/>
    <n v="96602.94"/>
    <n v="96602.9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8220810000000002E-2"/>
    <m/>
    <n v="0"/>
    <n v="-219173.26"/>
    <m/>
    <m/>
    <m/>
    <n v="1355558.46"/>
    <n v="0"/>
    <n v="2520.3126550000002"/>
    <n v="52555.483399999997"/>
    <n v="-296353.43"/>
    <n v="92570020.519999996"/>
    <n v="92.84"/>
    <n v="394770.09"/>
    <n v="0.29803809999999997"/>
    <m/>
    <n v="0"/>
    <n v="0"/>
    <n v="-296353.43"/>
    <n v="0"/>
    <n v="0"/>
    <n v="16777215"/>
    <n v="0"/>
    <n v="0"/>
    <n v="0"/>
    <n v="0"/>
    <n v="0"/>
    <n v="96695.78"/>
    <n v="96695.78"/>
    <n v="31345322.399999999"/>
    <n v="-1110160.2399999984"/>
    <n v="92570020.519999966"/>
    <n v="0"/>
    <n v="0"/>
    <s v="S"/>
    <m/>
    <n v="0"/>
    <n v="3"/>
    <n v="0"/>
    <n v="0.10445691"/>
    <n v="0"/>
    <m/>
    <m/>
    <n v="0"/>
    <n v="0"/>
    <n v="1633661.45"/>
    <n v="1.2333592799999999"/>
    <m/>
    <m/>
    <n v="96.626833333332996"/>
    <n v="1"/>
    <n v="14.658625504"/>
    <n v="0.34166666699999998"/>
    <n v="0.30759693906199997"/>
    <n v="0.34520547899999998"/>
    <n v="3.9793349999999996E-3"/>
    <n v="4"/>
    <n v="126"/>
    <n v="0"/>
    <n v="0"/>
    <n v="23.428402211000002"/>
    <n v="0"/>
    <n v="0"/>
  </r>
  <r>
    <n v="16975594"/>
    <n v="128"/>
    <n v="8774"/>
    <n v="0"/>
    <n v="0"/>
    <n v="0"/>
    <n v="0"/>
    <n v="0"/>
    <n v="100"/>
    <n v="100"/>
    <n v="100000"/>
    <n v="100000"/>
    <n v="100000"/>
    <n v="82898.12"/>
    <n v="127222"/>
    <n v="105464.64"/>
    <n v="127222"/>
    <n v="105464.64"/>
    <n v="100000"/>
    <n v="82898.12"/>
    <n v="100000"/>
    <n v="82898.12"/>
    <n v="0"/>
    <n v="0"/>
    <n v="0"/>
    <n v="0"/>
    <n v="-167.21"/>
    <n v="-158.15"/>
    <n v="-167.21"/>
    <n v="-158.15"/>
    <s v="15/05/2039 00:00:00"/>
    <s v="MEDIOLANUM PENSIONES II, FONDO DE PENSIONES"/>
    <s v="03/10/2023 00:00:00"/>
    <x v="83"/>
    <n v="5"/>
    <s v="USD"/>
    <s v="E"/>
    <n v="92.190383348159997"/>
    <n v="91.782083333331002"/>
    <n v="91782.080000000002"/>
    <n v="87544.91"/>
    <s v="N"/>
    <n v="4"/>
    <s v="EUR"/>
    <n v="132534288.59999999"/>
    <s v="S"/>
    <n v="1"/>
    <n v="1"/>
    <s v="Comunicaciones"/>
    <s v="Telecomunicación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6093449999999998E-2"/>
    <s v="ok"/>
    <s v="ok"/>
    <n v="26356083.120000001"/>
    <n v="0"/>
    <n v="350.76"/>
    <n v="-0.44"/>
    <s v="PA"/>
    <n v="-78038.69"/>
    <s v="RF"/>
    <s v="RFE"/>
    <n v="-34864.410000000003"/>
    <n v="-18112.34"/>
    <n v="92190.38"/>
    <n v="87194.1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0818329999999999E-2"/>
    <m/>
    <n v="0"/>
    <n v="-219173.26"/>
    <m/>
    <m/>
    <m/>
    <n v="1355558.46"/>
    <n v="0"/>
    <n v="2520.3126550000002"/>
    <n v="52555.483399999997"/>
    <n v="-296353.43"/>
    <n v="92570020.519999996"/>
    <n v="-408.3"/>
    <n v="394770.09"/>
    <n v="0.29803809999999997"/>
    <m/>
    <n v="0"/>
    <n v="0"/>
    <n v="-296353.43"/>
    <n v="0"/>
    <n v="0"/>
    <n v="16777215"/>
    <n v="0"/>
    <n v="0"/>
    <n v="0"/>
    <n v="0"/>
    <n v="0"/>
    <n v="91782.080000000002"/>
    <n v="87544.91"/>
    <n v="31345322.399999999"/>
    <n v="-1110160.2399999984"/>
    <n v="92570020.519999966"/>
    <n v="0"/>
    <n v="0"/>
    <s v="S"/>
    <m/>
    <n v="0"/>
    <n v="3"/>
    <n v="0"/>
    <n v="9.4571559999999999E-2"/>
    <n v="0"/>
    <m/>
    <m/>
    <n v="0"/>
    <n v="0"/>
    <n v="1633661.45"/>
    <n v="1.2333592799999999"/>
    <m/>
    <m/>
    <n v="91.760180555559003"/>
    <n v="1.0572999999999999"/>
    <n v="7.9828489449999998"/>
    <n v="9.3416851970000003"/>
    <n v="8.2429366149369994"/>
    <n v="15.62739726"/>
    <n v="1.1944542440000001"/>
    <n v="108"/>
    <n v="5704"/>
    <n v="0"/>
    <n v="0"/>
    <n v="4.4671129049999996"/>
    <n v="0"/>
    <n v="0"/>
  </r>
  <r>
    <n v="16975409"/>
    <n v="128"/>
    <n v="7201"/>
    <n v="0"/>
    <n v="0"/>
    <n v="0"/>
    <n v="0"/>
    <n v="0"/>
    <n v="300"/>
    <n v="300"/>
    <n v="300000"/>
    <n v="300000"/>
    <n v="300000"/>
    <n v="249636.76"/>
    <n v="435475"/>
    <n v="362357.92"/>
    <n v="435475"/>
    <n v="362357.92"/>
    <n v="300000"/>
    <n v="249636.76"/>
    <n v="300000"/>
    <n v="249636.76"/>
    <n v="0"/>
    <n v="0"/>
    <n v="0"/>
    <n v="0"/>
    <n v="-13772.29"/>
    <n v="-13025.91"/>
    <n v="-13772.29"/>
    <n v="-13025.91"/>
    <s v="20/06/2036 00:00:00"/>
    <s v="MEDIOLANUM PENSIONES II, FONDO DE PENSIONES"/>
    <s v="03/10/2023 00:00:00"/>
    <x v="84"/>
    <n v="5"/>
    <s v="USD"/>
    <s v="S"/>
    <n v="105.119942770337"/>
    <n v="103.730652777778"/>
    <n v="311191.96000000002"/>
    <n v="296825.59999999998"/>
    <s v="N"/>
    <n v="4"/>
    <s v="EUR"/>
    <n v="132534288.59999999"/>
    <s v="S"/>
    <n v="1"/>
    <n v="1"/>
    <s v="Comunicaciones"/>
    <s v="Telecomunicación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409330999999999"/>
    <s v="ok"/>
    <s v="ok"/>
    <n v="26356083.120000001"/>
    <n v="0"/>
    <n v="-1443.42"/>
    <n v="-1.32"/>
    <s v="PA"/>
    <n v="-78038.69"/>
    <s v="RF"/>
    <s v="RFE"/>
    <n v="-106342.88"/>
    <n v="-51062.99"/>
    <n v="315359.83"/>
    <n v="298269.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011326999999999"/>
    <m/>
    <n v="0"/>
    <n v="-219173.26"/>
    <m/>
    <m/>
    <m/>
    <n v="1355558.46"/>
    <n v="0"/>
    <n v="2520.3126550000002"/>
    <n v="52555.483399999997"/>
    <n v="-296353.43"/>
    <n v="92570020.519999996"/>
    <n v="-4167.87"/>
    <n v="394770.09"/>
    <n v="0.29803809999999997"/>
    <m/>
    <n v="0"/>
    <n v="0"/>
    <n v="-296353.43"/>
    <n v="0"/>
    <n v="0"/>
    <n v="16777215"/>
    <n v="0"/>
    <n v="0"/>
    <n v="0"/>
    <n v="0"/>
    <n v="0"/>
    <n v="311191.96000000002"/>
    <n v="296825.59999999998"/>
    <n v="31345322.399999999"/>
    <n v="-1110160.2399999984"/>
    <n v="92570020.519999966"/>
    <n v="0"/>
    <n v="0"/>
    <s v="S"/>
    <m/>
    <n v="0"/>
    <n v="3"/>
    <n v="0"/>
    <n v="0.32064981999999997"/>
    <n v="0"/>
    <m/>
    <m/>
    <n v="0"/>
    <n v="0"/>
    <n v="1633661.45"/>
    <n v="1.2333592799999999"/>
    <m/>
    <m/>
    <n v="104.983083333333"/>
    <n v="1.0572999999999999"/>
    <n v="6.8027349109999999"/>
    <n v="8.5074824820000003"/>
    <n v="8.6376202198679994"/>
    <n v="12.726027396999999"/>
    <n v="0.94737081999999995"/>
    <n v="99"/>
    <n v="4645"/>
    <n v="0"/>
    <n v="0"/>
    <n v="2.9711182699999998"/>
    <n v="0"/>
    <n v="0"/>
  </r>
  <r>
    <n v="16975359"/>
    <n v="128"/>
    <n v="6512"/>
    <n v="0"/>
    <n v="0"/>
    <n v="0"/>
    <n v="0"/>
    <n v="0"/>
    <n v="200"/>
    <n v="200"/>
    <n v="200000"/>
    <n v="200000"/>
    <n v="200000"/>
    <n v="172794.7"/>
    <n v="203307"/>
    <n v="175412.58"/>
    <n v="203307"/>
    <n v="175412.58"/>
    <n v="200000"/>
    <n v="172794.7"/>
    <n v="200000"/>
    <n v="172794.7"/>
    <n v="0"/>
    <n v="0"/>
    <n v="0"/>
    <n v="0"/>
    <n v="4420.57"/>
    <n v="4181"/>
    <n v="4420.57"/>
    <n v="4181"/>
    <s v="15/10/2025 00:00:00"/>
    <s v="MEDIOLANUM PENSIONES II, FONDO DE PENSIONES"/>
    <s v="03/10/2023 00:00:00"/>
    <x v="85"/>
    <n v="5"/>
    <s v="USD"/>
    <s v="A"/>
    <n v="99.526413332033002"/>
    <n v="99.448833333332999"/>
    <n v="198897.67"/>
    <n v="189715.44"/>
    <s v="N"/>
    <n v="4"/>
    <s v="EUR"/>
    <n v="132534288.59999999"/>
    <s v="S"/>
    <n v="1"/>
    <n v="1"/>
    <s v="Comunicaciones"/>
    <s v="Telecomunicación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322876000000001"/>
    <s v="ok"/>
    <s v="ok"/>
    <n v="26356083.120000001"/>
    <n v="0"/>
    <n v="1450.21"/>
    <n v="-0.08"/>
    <s v="PA"/>
    <n v="-78038.69"/>
    <s v="RF"/>
    <s v="RFE"/>
    <n v="-8674.74"/>
    <n v="8671.65"/>
    <n v="199052.83"/>
    <n v="188265.2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346788"/>
    <m/>
    <n v="0"/>
    <n v="-219173.26"/>
    <m/>
    <m/>
    <m/>
    <n v="1355558.46"/>
    <n v="0"/>
    <n v="2520.3126550000002"/>
    <n v="52555.483399999997"/>
    <n v="-296353.43"/>
    <n v="92570020.519999996"/>
    <n v="-155.16"/>
    <n v="394770.09"/>
    <n v="0.29803809999999997"/>
    <m/>
    <n v="0"/>
    <n v="0"/>
    <n v="-296353.43"/>
    <n v="0"/>
    <n v="0"/>
    <n v="16777215"/>
    <n v="0"/>
    <n v="0"/>
    <n v="0"/>
    <n v="0"/>
    <n v="0"/>
    <n v="198897.67"/>
    <n v="189715.44"/>
    <n v="31345322.399999999"/>
    <n v="-1110160.2399999984"/>
    <n v="92570020.519999966"/>
    <n v="0"/>
    <n v="0"/>
    <s v="S"/>
    <m/>
    <n v="0"/>
    <n v="3"/>
    <n v="0"/>
    <n v="0.20494264000000001"/>
    <n v="0"/>
    <m/>
    <m/>
    <n v="0"/>
    <n v="0"/>
    <n v="1633661.45"/>
    <n v="1.2333592799999999"/>
    <m/>
    <m/>
    <n v="99.561861111111"/>
    <n v="1.0572999999999999"/>
    <n v="7.5571080300000002"/>
    <n v="1.8971674409999999"/>
    <n v="1.820082415036"/>
    <n v="2.0383561640000001"/>
    <n v="5.2813654000000002E-2"/>
    <n v="22"/>
    <n v="744"/>
    <n v="0"/>
    <n v="0"/>
    <n v="6.385479922"/>
    <n v="0"/>
    <n v="0"/>
  </r>
  <r>
    <n v="16975435"/>
    <n v="128"/>
    <n v="9358"/>
    <n v="0"/>
    <n v="0"/>
    <n v="0"/>
    <n v="0"/>
    <n v="0"/>
    <n v="1"/>
    <n v="1"/>
    <n v="100000"/>
    <n v="100000"/>
    <n v="100000"/>
    <n v="100000"/>
    <n v="101674"/>
    <n v="101674"/>
    <n v="101674"/>
    <n v="101674"/>
    <n v="100000"/>
    <n v="100000"/>
    <n v="100000"/>
    <n v="100000"/>
    <n v="0"/>
    <n v="0"/>
    <n v="0"/>
    <n v="0"/>
    <n v="-760.88"/>
    <n v="-760.88"/>
    <n v="-760.88"/>
    <n v="-760.88"/>
    <s v="04/12/2023 00:00:00"/>
    <s v="MEDIOLANUM PENSIONES II, FONDO DE PENSIONES"/>
    <s v="03/10/2023 00:00:00"/>
    <x v="86"/>
    <n v="4"/>
    <s v="EUR"/>
    <s v="E"/>
    <n v="102.009750958814"/>
    <n v="102.019410958905"/>
    <n v="102019.41"/>
    <n v="102019.41"/>
    <s v="N"/>
    <n v="4"/>
    <s v="EUR"/>
    <n v="132534288.59999999"/>
    <s v="S"/>
    <n v="1"/>
    <n v="1"/>
    <s v="Comunicaciones"/>
    <s v="Telecomunic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7021210000000007E-2"/>
    <s v="ok"/>
    <s v="ok"/>
    <n v="26356083.120000001"/>
    <n v="0"/>
    <n v="9.66"/>
    <n v="0.01"/>
    <s v="PA"/>
    <n v="-78038.69"/>
    <s v="RF"/>
    <s v="RFE"/>
    <n v="1096.6300000000001"/>
    <n v="1096.6300000000001"/>
    <n v="102009.75"/>
    <n v="102009.7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2527299999999998E-2"/>
    <m/>
    <n v="0"/>
    <n v="-219173.26"/>
    <m/>
    <m/>
    <m/>
    <n v="1355558.46"/>
    <n v="0"/>
    <n v="2520.3126550000002"/>
    <n v="52555.483399999997"/>
    <n v="-296353.43"/>
    <n v="92570020.519999996"/>
    <n v="9.66"/>
    <n v="394770.09"/>
    <n v="0.29803809999999997"/>
    <m/>
    <n v="0"/>
    <n v="0"/>
    <n v="-296353.43"/>
    <n v="0"/>
    <n v="0"/>
    <n v="16777215"/>
    <n v="0"/>
    <n v="0"/>
    <n v="0"/>
    <n v="0"/>
    <n v="0"/>
    <n v="102019.41"/>
    <n v="102019.41"/>
    <n v="31345322.399999999"/>
    <n v="-1110160.2399999984"/>
    <n v="92570020.519999966"/>
    <n v="0"/>
    <n v="0"/>
    <s v="S"/>
    <m/>
    <n v="0"/>
    <n v="3"/>
    <n v="0"/>
    <n v="0.11020783000000001"/>
    <n v="0"/>
    <m/>
    <m/>
    <n v="0"/>
    <n v="0"/>
    <n v="1633661.45"/>
    <n v="1.2333592799999999"/>
    <m/>
    <m/>
    <n v="102.010691780823"/>
    <n v="1"/>
    <n v="138.89586555"/>
    <n v="5.4794520000000001E-3"/>
    <n v="2.3397753729999999E-3"/>
    <n v="0.17260274"/>
    <n v="9.6539999999999994E-6"/>
    <n v="0"/>
    <n v="63"/>
    <n v="0"/>
    <n v="0"/>
    <n v="336.75477292599999"/>
    <n v="0"/>
    <n v="0"/>
  </r>
  <r>
    <n v="16975430"/>
    <n v="128"/>
    <n v="8958"/>
    <n v="0"/>
    <n v="0"/>
    <n v="0"/>
    <n v="0"/>
    <n v="0"/>
    <n v="1"/>
    <n v="1"/>
    <n v="100000"/>
    <n v="100000"/>
    <n v="100000"/>
    <n v="100000"/>
    <n v="109131"/>
    <n v="109131"/>
    <n v="109131"/>
    <n v="109131"/>
    <n v="100000"/>
    <n v="100000"/>
    <n v="100000"/>
    <n v="100000"/>
    <n v="0"/>
    <n v="0"/>
    <n v="0"/>
    <n v="0"/>
    <n v="-5470.02"/>
    <n v="-5470.02"/>
    <n v="-5470.02"/>
    <n v="-5470.02"/>
    <s v="14/12/2024 00:00:00"/>
    <s v="MEDIOLANUM PENSIONES II, FONDO DE PENSIONES"/>
    <s v="03/10/2023 00:00:00"/>
    <x v="87"/>
    <n v="4"/>
    <s v="EUR"/>
    <s v="E"/>
    <n v="100.543711037824"/>
    <n v="100.585071038251"/>
    <n v="100585.07"/>
    <n v="100585.07"/>
    <s v="N"/>
    <n v="4"/>
    <s v="EUR"/>
    <n v="132534288.59999999"/>
    <s v="S"/>
    <n v="1"/>
    <n v="1"/>
    <s v="Comunicaciones"/>
    <s v="Telecomunic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5938329999999998E-2"/>
    <s v="ok"/>
    <s v="ok"/>
    <n v="26356083.120000001"/>
    <n v="0"/>
    <n v="41.36"/>
    <n v="0.04"/>
    <s v="PA"/>
    <n v="-78038.69"/>
    <s v="RF"/>
    <s v="RFE"/>
    <n v="-3117.27"/>
    <n v="-3117.27"/>
    <n v="100543.71"/>
    <n v="100543.7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1367010000000004E-2"/>
    <m/>
    <n v="0"/>
    <n v="-219173.26"/>
    <m/>
    <m/>
    <m/>
    <n v="1355558.46"/>
    <n v="0"/>
    <n v="2520.3126550000002"/>
    <n v="52555.483399999997"/>
    <n v="-296353.43"/>
    <n v="92570020.519999996"/>
    <n v="41.36"/>
    <n v="394770.09"/>
    <n v="0.29803809999999997"/>
    <m/>
    <n v="0"/>
    <n v="0"/>
    <n v="-296353.43"/>
    <n v="0"/>
    <n v="0"/>
    <n v="16777215"/>
    <n v="0"/>
    <n v="0"/>
    <n v="0"/>
    <n v="0"/>
    <n v="0"/>
    <n v="100585.07"/>
    <n v="100585.07"/>
    <n v="31345322.399999999"/>
    <n v="-1110160.2399999984"/>
    <n v="92570020.519999966"/>
    <n v="0"/>
    <n v="0"/>
    <s v="S"/>
    <m/>
    <n v="0"/>
    <n v="3"/>
    <n v="0"/>
    <n v="0.10865836"/>
    <n v="0"/>
    <m/>
    <m/>
    <n v="0"/>
    <n v="0"/>
    <n v="1633661.45"/>
    <n v="1.2333592799999999"/>
    <m/>
    <m/>
    <n v="100.549117486339"/>
    <n v="1"/>
    <n v="6.0300917549999999"/>
    <n v="0.44808743200000001"/>
    <n v="0.42492461357700001"/>
    <n v="1.2027397259999999"/>
    <n v="5.7716410000000001E-3"/>
    <n v="5"/>
    <n v="439"/>
    <n v="0"/>
    <n v="0"/>
    <n v="-1.14480308"/>
    <n v="0"/>
    <n v="0"/>
  </r>
  <r>
    <n v="16975482"/>
    <n v="128"/>
    <n v="8982"/>
    <n v="0"/>
    <n v="0"/>
    <n v="0"/>
    <n v="0"/>
    <n v="0"/>
    <n v="500"/>
    <n v="500"/>
    <n v="500000"/>
    <n v="500000"/>
    <n v="500000"/>
    <n v="500000"/>
    <n v="515135"/>
    <n v="515135"/>
    <n v="515135"/>
    <n v="515135"/>
    <n v="500000"/>
    <n v="500000"/>
    <n v="500000"/>
    <n v="500000"/>
    <n v="0"/>
    <n v="0"/>
    <n v="0"/>
    <n v="0"/>
    <n v="-7907.25"/>
    <n v="-7907.25"/>
    <n v="-7907.25"/>
    <n v="-7907.25"/>
    <s v="31/10/2024 00:00:00"/>
    <s v="MEDIOLANUM PENSIONES II, FONDO DE PENSIONES"/>
    <s v="03/10/2023 00:00:00"/>
    <x v="88"/>
    <n v="4"/>
    <s v="EUR"/>
    <s v="E"/>
    <n v="98.066903863006999"/>
    <n v="98.062869863013006"/>
    <n v="490314.35"/>
    <n v="490314.35"/>
    <s v="N"/>
    <n v="4"/>
    <s v="EUR"/>
    <n v="132534288.59999999"/>
    <s v="S"/>
    <n v="1"/>
    <n v="1"/>
    <s v="Comunicaciones"/>
    <s v="Telecomunic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7017079000000003"/>
    <s v="ok"/>
    <s v="ok"/>
    <n v="26356083.120000001"/>
    <n v="0"/>
    <n v="-20.170000000000002"/>
    <n v="0"/>
    <s v="PA"/>
    <n v="-78038.69"/>
    <s v="RF"/>
    <s v="RFE"/>
    <n v="-16893.23"/>
    <n v="-16893.23"/>
    <n v="490334.52"/>
    <n v="490334.5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9663352000000002"/>
    <m/>
    <n v="0"/>
    <n v="-219173.26"/>
    <m/>
    <m/>
    <m/>
    <n v="1355558.46"/>
    <n v="0"/>
    <n v="2520.3126550000002"/>
    <n v="52555.483399999997"/>
    <n v="-296353.43"/>
    <n v="92570020.519999996"/>
    <n v="-20.170000000000002"/>
    <n v="394770.09"/>
    <n v="0.29803809999999997"/>
    <m/>
    <n v="0"/>
    <n v="0"/>
    <n v="-296353.43"/>
    <n v="0"/>
    <n v="0"/>
    <n v="16777215"/>
    <n v="0"/>
    <n v="0"/>
    <n v="0"/>
    <n v="0"/>
    <n v="0"/>
    <n v="490314.35"/>
    <n v="490314.35"/>
    <n v="31345322.399999999"/>
    <n v="-1110160.2399999984"/>
    <n v="92570020.519999966"/>
    <n v="0"/>
    <n v="0"/>
    <s v="S"/>
    <m/>
    <n v="0"/>
    <n v="3"/>
    <n v="0"/>
    <n v="0.52966862000000003"/>
    <n v="0"/>
    <m/>
    <m/>
    <n v="0"/>
    <n v="0"/>
    <n v="1633661.45"/>
    <n v="1.2333592799999999"/>
    <m/>
    <m/>
    <n v="98.066047945205995"/>
    <n v="1"/>
    <n v="5.4063777379999998"/>
    <n v="1.063525219"/>
    <n v="0.98946304089899995"/>
    <n v="1.0821917809999999"/>
    <n v="1.9857513E-2"/>
    <n v="12"/>
    <n v="395"/>
    <n v="0"/>
    <n v="0"/>
    <n v="0.62821037300000004"/>
    <n v="0"/>
    <n v="0"/>
  </r>
  <r>
    <n v="16975399"/>
    <n v="128"/>
    <n v="8901"/>
    <n v="0"/>
    <n v="0"/>
    <n v="0"/>
    <n v="0"/>
    <n v="0"/>
    <n v="1"/>
    <n v="1"/>
    <n v="100000"/>
    <n v="100000"/>
    <n v="100000"/>
    <n v="100000"/>
    <n v="99507"/>
    <n v="99507"/>
    <n v="99507"/>
    <n v="99507"/>
    <n v="100000"/>
    <n v="100000"/>
    <n v="100000"/>
    <n v="100000"/>
    <n v="0"/>
    <n v="0"/>
    <n v="0"/>
    <n v="0"/>
    <n v="622.01"/>
    <n v="622.01"/>
    <n v="622.01"/>
    <n v="622.01"/>
    <s v="15/08/2026 00:00:00"/>
    <s v="MEDIOLANUM PENSIONES II, FONDO DE PENSIONES"/>
    <s v="03/10/2023 00:00:00"/>
    <x v="89"/>
    <n v="4"/>
    <s v="EUR"/>
    <s v="S"/>
    <n v="89.592483839143995"/>
    <n v="89.510143835616006"/>
    <n v="89510.14"/>
    <n v="89510.14"/>
    <s v="N"/>
    <n v="4"/>
    <s v="EUR"/>
    <n v="132534288.59999999"/>
    <s v="S"/>
    <n v="1"/>
    <n v="1"/>
    <s v="Comunicaciones"/>
    <s v="Telecomunic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7577139999999994E-2"/>
    <s v="ok"/>
    <s v="ok"/>
    <n v="26356083.120000001"/>
    <n v="0"/>
    <n v="-82.34"/>
    <n v="-0.09"/>
    <s v="PA"/>
    <n v="-78038.69"/>
    <s v="RF"/>
    <s v="RFE"/>
    <n v="-10536.53"/>
    <n v="-10536.53"/>
    <n v="89592.48"/>
    <n v="89592.4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240808E-2"/>
    <m/>
    <n v="0"/>
    <n v="-219173.26"/>
    <m/>
    <m/>
    <m/>
    <n v="1355558.46"/>
    <n v="0"/>
    <n v="2520.3126550000002"/>
    <n v="52555.483399999997"/>
    <n v="-296353.43"/>
    <n v="92570020.519999996"/>
    <n v="-82.34"/>
    <n v="394770.09"/>
    <n v="0.29803809999999997"/>
    <m/>
    <n v="0"/>
    <n v="0"/>
    <n v="-296353.43"/>
    <n v="0"/>
    <n v="0"/>
    <n v="16777215"/>
    <n v="0"/>
    <n v="0"/>
    <n v="0"/>
    <n v="0"/>
    <n v="0"/>
    <n v="89510.14"/>
    <n v="89510.14"/>
    <n v="31345322.399999999"/>
    <n v="-1110160.2399999984"/>
    <n v="92570020.519999966"/>
    <n v="0"/>
    <n v="0"/>
    <s v="S"/>
    <m/>
    <n v="0"/>
    <n v="3"/>
    <n v="0"/>
    <n v="9.6694520000000006E-2"/>
    <n v="0"/>
    <m/>
    <m/>
    <n v="0"/>
    <n v="0"/>
    <n v="1633661.45"/>
    <n v="1.2333592799999999"/>
    <m/>
    <m/>
    <n v="89.597589041096001"/>
    <n v="1"/>
    <n v="4.9835605789999997"/>
    <n v="2.82647301"/>
    <n v="2.4122364094190001"/>
    <n v="2.8712328770000002"/>
    <n v="9.8941997000000004E-2"/>
    <n v="32"/>
    <n v="1048"/>
    <n v="0"/>
    <n v="0"/>
    <n v="1.1608384270000001"/>
    <n v="0"/>
    <n v="0"/>
  </r>
  <r>
    <n v="16975437"/>
    <n v="128"/>
    <n v="3598"/>
    <n v="0"/>
    <n v="0"/>
    <n v="0"/>
    <n v="0"/>
    <n v="0"/>
    <n v="1"/>
    <n v="1"/>
    <n v="100000"/>
    <n v="100000"/>
    <n v="100000"/>
    <n v="100000"/>
    <n v="107294"/>
    <n v="107294"/>
    <n v="107294"/>
    <n v="107294"/>
    <n v="100000"/>
    <n v="100000"/>
    <n v="100000"/>
    <n v="100000"/>
    <n v="0"/>
    <n v="0"/>
    <n v="0"/>
    <n v="0"/>
    <n v="-4366.54"/>
    <n v="-4366.54"/>
    <n v="-4366.54"/>
    <n v="-4366.54"/>
    <s v="18/01/2025 00:00:00"/>
    <s v="MEDIOLANUM PENSIONES II, FONDO DE PENSIONES"/>
    <s v="03/10/2023 00:00:00"/>
    <x v="90"/>
    <n v="4"/>
    <s v="EUR"/>
    <s v="S"/>
    <n v="99.102112131631998"/>
    <n v="99.079672131148996"/>
    <n v="99079.67"/>
    <n v="99079.67"/>
    <s v="N"/>
    <n v="4"/>
    <s v="EUR"/>
    <n v="132534288.59999999"/>
    <s v="S"/>
    <n v="1"/>
    <n v="1"/>
    <s v="Comunicaciones"/>
    <s v=""/>
    <n v="0"/>
    <n v="999999999"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4801809999999996E-2"/>
    <s v="ok"/>
    <s v="ok"/>
    <n v="26356083.120000001"/>
    <n v="0"/>
    <n v="-22.44"/>
    <n v="-0.02"/>
    <s v="PA"/>
    <n v="-78038.69"/>
    <s v="RF"/>
    <s v="RFE"/>
    <n v="-3825.35"/>
    <n v="-3825.35"/>
    <n v="99102.11"/>
    <n v="99102.1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0149230000000002E-2"/>
    <m/>
    <n v="0"/>
    <n v="-219173.26"/>
    <m/>
    <m/>
    <m/>
    <n v="1355558.46"/>
    <n v="0"/>
    <n v="2520.3126550000002"/>
    <n v="52555.483399999997"/>
    <n v="-296353.43"/>
    <n v="92570020.519999996"/>
    <n v="-22.44"/>
    <n v="394770.09"/>
    <n v="0.29803809999999997"/>
    <m/>
    <n v="0"/>
    <n v="0"/>
    <n v="-296353.43"/>
    <n v="0"/>
    <n v="0"/>
    <n v="16777215"/>
    <n v="0"/>
    <n v="0"/>
    <n v="0"/>
    <n v="0"/>
    <n v="0"/>
    <n v="99079.67"/>
    <n v="99079.67"/>
    <n v="31345322.399999999"/>
    <n v="-1110160.2399999984"/>
    <n v="92570020.519999966"/>
    <n v="0"/>
    <n v="0"/>
    <s v="S"/>
    <m/>
    <n v="0"/>
    <n v="3"/>
    <n v="0"/>
    <n v="0.10703214"/>
    <n v="0"/>
    <m/>
    <m/>
    <n v="0"/>
    <n v="0"/>
    <n v="1633661.45"/>
    <n v="1.2333592799999999"/>
    <m/>
    <m/>
    <n v="99.100316939888998"/>
    <n v="1"/>
    <n v="4.6722177509999998"/>
    <n v="1.2746041800000001"/>
    <n v="1.206754580401"/>
    <n v="1.298630137"/>
    <n v="2.6603735E-2"/>
    <n v="15"/>
    <n v="474"/>
    <n v="0"/>
    <n v="0"/>
    <n v="-1.650073517"/>
    <n v="0"/>
    <n v="0"/>
  </r>
  <r>
    <n v="16975574"/>
    <n v="128"/>
    <n v="9505"/>
    <n v="0"/>
    <n v="0"/>
    <n v="0"/>
    <n v="0"/>
    <n v="0"/>
    <n v="100"/>
    <n v="100"/>
    <n v="100000"/>
    <n v="100000"/>
    <n v="100000"/>
    <n v="100000"/>
    <n v="100879.5"/>
    <n v="100879.5"/>
    <n v="100879.5"/>
    <n v="100879.5"/>
    <n v="100000"/>
    <n v="100000"/>
    <n v="100000"/>
    <n v="100000"/>
    <n v="0"/>
    <n v="0"/>
    <n v="0"/>
    <n v="0"/>
    <n v="-237.32"/>
    <n v="-237.32"/>
    <n v="-237.32"/>
    <n v="-237.32"/>
    <s v="11/03/2025 00:00:00"/>
    <s v="MEDIOLANUM PENSIONES II, FONDO DE PENSIONES"/>
    <s v="03/10/2023 00:00:00"/>
    <x v="91"/>
    <n v="4"/>
    <s v="EUR"/>
    <s v="E"/>
    <n v="94.829370983879002"/>
    <n v="94.803040983605996"/>
    <n v="94803.04"/>
    <n v="94803.04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1573100000000001E-2"/>
    <s v="ok"/>
    <s v="ok"/>
    <n v="26356083.120000001"/>
    <n v="0"/>
    <n v="-26.33"/>
    <n v="-0.03"/>
    <s v="PA"/>
    <n v="-78038.69"/>
    <s v="RF"/>
    <s v="RFE"/>
    <n v="-5812.81"/>
    <n v="-5812.81"/>
    <n v="94829.37"/>
    <n v="94829.3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6689709999999994E-2"/>
    <m/>
    <n v="0"/>
    <n v="-219173.26"/>
    <m/>
    <m/>
    <m/>
    <n v="1355558.46"/>
    <n v="0"/>
    <n v="2520.3126550000002"/>
    <n v="52555.483399999997"/>
    <n v="-296353.43"/>
    <n v="92570020.519999996"/>
    <n v="-26.33"/>
    <n v="394770.09"/>
    <n v="0.29803809999999997"/>
    <m/>
    <n v="0"/>
    <n v="0"/>
    <n v="-296353.43"/>
    <n v="0"/>
    <n v="0"/>
    <n v="16777215"/>
    <n v="0"/>
    <n v="0"/>
    <n v="0"/>
    <n v="0"/>
    <n v="0"/>
    <n v="94803.04"/>
    <n v="94803.04"/>
    <n v="31345322.399999999"/>
    <n v="-1110160.2399999984"/>
    <n v="92570020.519999966"/>
    <n v="0"/>
    <n v="0"/>
    <s v="S"/>
    <m/>
    <n v="0"/>
    <n v="3"/>
    <n v="0"/>
    <n v="0.10241225"/>
    <n v="0"/>
    <m/>
    <m/>
    <n v="0"/>
    <n v="0"/>
    <n v="1633661.45"/>
    <n v="1.2333592799999999"/>
    <m/>
    <m/>
    <n v="94.803150273224006"/>
    <n v="1"/>
    <n v="4.8985321769999999"/>
    <n v="1.433205767"/>
    <n v="1.295274765616"/>
    <n v="1.4410958899999999"/>
    <n v="3.1736994999999997E-2"/>
    <n v="16"/>
    <n v="526"/>
    <n v="0"/>
    <n v="0"/>
    <n v="0.44903524099999997"/>
    <n v="0"/>
    <n v="0"/>
  </r>
  <r>
    <n v="16975470"/>
    <n v="128"/>
    <n v="9302"/>
    <n v="0"/>
    <n v="0"/>
    <n v="0"/>
    <n v="0"/>
    <n v="0"/>
    <n v="2"/>
    <n v="2"/>
    <n v="200000"/>
    <n v="200000"/>
    <n v="200000"/>
    <n v="200000"/>
    <n v="182042"/>
    <n v="182042"/>
    <n v="182042"/>
    <n v="182042"/>
    <n v="200000"/>
    <n v="200000"/>
    <n v="200000"/>
    <n v="200000"/>
    <n v="0"/>
    <n v="0"/>
    <n v="0"/>
    <n v="0"/>
    <n v="6250.43"/>
    <n v="6250.43"/>
    <n v="6250.43"/>
    <n v="6250.43"/>
    <s v="04/04/2027 00:00:00"/>
    <s v="MEDIOLANUM PENSIONES II, FONDO DE PENSIONES"/>
    <s v="03/10/2023 00:00:00"/>
    <x v="92"/>
    <n v="4"/>
    <s v="EUR"/>
    <s v="S"/>
    <n v="86.322655819271006"/>
    <n v="86.364950819672003"/>
    <n v="172729.9"/>
    <n v="172729.9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040525"/>
    <s v="ok"/>
    <s v="ok"/>
    <n v="26356083.120000001"/>
    <n v="0"/>
    <n v="84.59"/>
    <n v="0.05"/>
    <s v="PA"/>
    <n v="-78038.69"/>
    <s v="RF"/>
    <s v="RFE"/>
    <n v="-15647.12"/>
    <n v="-15647.12"/>
    <n v="172645.31"/>
    <n v="172645.3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3972763999999999"/>
    <m/>
    <n v="0"/>
    <n v="-219173.26"/>
    <m/>
    <m/>
    <m/>
    <n v="1355558.46"/>
    <n v="0"/>
    <n v="2520.3126550000002"/>
    <n v="52555.483399999997"/>
    <n v="-296353.43"/>
    <n v="92570020.519999996"/>
    <n v="84.59"/>
    <n v="394770.09"/>
    <n v="0.29803809999999997"/>
    <m/>
    <n v="0"/>
    <n v="0"/>
    <n v="-296353.43"/>
    <n v="0"/>
    <n v="0"/>
    <n v="16777215"/>
    <n v="0"/>
    <n v="0"/>
    <n v="0"/>
    <n v="0"/>
    <n v="0"/>
    <n v="172729.9"/>
    <n v="172729.9"/>
    <n v="31345322.399999999"/>
    <n v="-1110160.2399999984"/>
    <n v="92570020.519999966"/>
    <n v="0"/>
    <n v="0"/>
    <s v="S"/>
    <m/>
    <n v="0"/>
    <n v="3"/>
    <n v="0"/>
    <n v="0.18659377999999999"/>
    <n v="0"/>
    <m/>
    <m/>
    <n v="0"/>
    <n v="0"/>
    <n v="1633661.45"/>
    <n v="1.2333592799999999"/>
    <m/>
    <m/>
    <n v="86.407852459015999"/>
    <n v="1"/>
    <n v="6.0367722959999996"/>
    <n v="3.4212360909999999"/>
    <n v="2.7879164649849999"/>
    <n v="3.5068493150000002"/>
    <n v="0.13608491"/>
    <n v="39"/>
    <n v="1280"/>
    <n v="0"/>
    <n v="0"/>
    <n v="4.437538215"/>
    <n v="0"/>
    <n v="0"/>
  </r>
  <r>
    <n v="16975447"/>
    <n v="128"/>
    <n v="9414"/>
    <n v="0"/>
    <n v="0"/>
    <n v="0"/>
    <n v="0"/>
    <n v="0"/>
    <n v="300"/>
    <n v="300"/>
    <n v="300000"/>
    <n v="300000"/>
    <n v="300000"/>
    <n v="300000"/>
    <n v="300511"/>
    <n v="300511"/>
    <n v="300511"/>
    <n v="300511"/>
    <n v="300000"/>
    <n v="300000"/>
    <n v="300000"/>
    <n v="300000"/>
    <n v="0"/>
    <n v="0"/>
    <n v="0"/>
    <n v="0"/>
    <n v="1794.24"/>
    <n v="1794.24"/>
    <n v="1794.24"/>
    <n v="1794.24"/>
    <s v="03/12/2027 00:00:00"/>
    <s v="MEDIOLANUM PENSIONES II, FONDO DE PENSIONES"/>
    <s v="03/10/2023 00:00:00"/>
    <x v="93"/>
    <n v="4"/>
    <s v="EUR"/>
    <s v="E"/>
    <n v="88.918944812071999"/>
    <n v="88.718811475410007"/>
    <n v="266156.43"/>
    <n v="266156.43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0093912999999999"/>
    <s v="ok"/>
    <s v="ok"/>
    <n v="26356083.120000001"/>
    <n v="0"/>
    <n v="-600.4"/>
    <n v="-0.22"/>
    <s v="PA"/>
    <n v="-78038.69"/>
    <s v="RF"/>
    <s v="RFE"/>
    <n v="-35548.410000000003"/>
    <n v="-35548.410000000003"/>
    <n v="266756.83"/>
    <n v="266756.8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1530384"/>
    <m/>
    <n v="0"/>
    <n v="-219173.26"/>
    <m/>
    <m/>
    <m/>
    <n v="1355558.46"/>
    <n v="0"/>
    <n v="2520.3126550000002"/>
    <n v="52555.483399999997"/>
    <n v="-296353.43"/>
    <n v="92570020.519999996"/>
    <n v="-600.4"/>
    <n v="394770.09"/>
    <n v="0.29803809999999997"/>
    <m/>
    <n v="0"/>
    <n v="0"/>
    <n v="-296353.43"/>
    <n v="0"/>
    <n v="0"/>
    <n v="16777215"/>
    <n v="0"/>
    <n v="0"/>
    <n v="0"/>
    <n v="0"/>
    <n v="0"/>
    <n v="266156.43"/>
    <n v="266156.43"/>
    <n v="31345322.399999999"/>
    <n v="-1110160.2399999984"/>
    <n v="92570020.519999966"/>
    <n v="0"/>
    <n v="0"/>
    <s v="S"/>
    <m/>
    <n v="0"/>
    <n v="3"/>
    <n v="0"/>
    <n v="0.28751904"/>
    <n v="0"/>
    <m/>
    <m/>
    <n v="0"/>
    <n v="0"/>
    <n v="1633661.45"/>
    <n v="1.2333592799999999"/>
    <m/>
    <m/>
    <n v="88.874188524591005"/>
    <n v="1"/>
    <n v="5.2094030719999997"/>
    <n v="3.992327956"/>
    <n v="3.3724638393849999"/>
    <n v="4.1726027400000003"/>
    <n v="0.18435394799999999"/>
    <n v="46"/>
    <n v="1523"/>
    <n v="0"/>
    <n v="0"/>
    <n v="2.108340498"/>
    <n v="0"/>
    <n v="0"/>
  </r>
  <r>
    <n v="16975480"/>
    <n v="128"/>
    <n v="9072"/>
    <n v="0"/>
    <n v="0"/>
    <n v="0"/>
    <n v="0"/>
    <n v="0"/>
    <n v="3"/>
    <n v="3"/>
    <n v="300000"/>
    <n v="300000"/>
    <n v="300000"/>
    <n v="300000"/>
    <n v="301255.5"/>
    <n v="301255.5"/>
    <n v="301255.5"/>
    <n v="301255.5"/>
    <n v="300000"/>
    <n v="300000"/>
    <n v="300000"/>
    <n v="300000"/>
    <n v="0"/>
    <n v="0"/>
    <n v="0"/>
    <n v="0"/>
    <n v="-507.75"/>
    <n v="-507.75"/>
    <n v="-507.75"/>
    <n v="-507.75"/>
    <s v="25/12/2024 00:00:00"/>
    <s v="MEDIOLANUM PENSIONES II, FONDO DE PENSIONES"/>
    <s v="03/10/2023 00:00:00"/>
    <x v="94"/>
    <n v="4"/>
    <s v="EUR"/>
    <s v="S"/>
    <n v="97.853082951081007"/>
    <n v="97.920122950819007"/>
    <n v="293760.37"/>
    <n v="293760.37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177917"/>
    <s v="ok"/>
    <s v="ok"/>
    <n v="26356083.120000001"/>
    <n v="0"/>
    <n v="201.12"/>
    <n v="7.0000000000000007E-2"/>
    <s v="PA"/>
    <n v="-78038.69"/>
    <s v="RF"/>
    <s v="RFE"/>
    <n v="-7188.5"/>
    <n v="-7188.5"/>
    <n v="293559.25"/>
    <n v="293559.2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3763369000000001"/>
    <m/>
    <n v="0"/>
    <n v="-219173.26"/>
    <m/>
    <m/>
    <m/>
    <n v="1355558.46"/>
    <n v="0"/>
    <n v="2520.3126550000002"/>
    <n v="52555.483399999997"/>
    <n v="-296353.43"/>
    <n v="92570020.519999996"/>
    <n v="201.12"/>
    <n v="394770.09"/>
    <n v="0.29803809999999997"/>
    <m/>
    <n v="0"/>
    <n v="0"/>
    <n v="-296353.43"/>
    <n v="0"/>
    <n v="0"/>
    <n v="16777215"/>
    <n v="0"/>
    <n v="0"/>
    <n v="0"/>
    <n v="0"/>
    <n v="0"/>
    <n v="293760.37"/>
    <n v="293760.37"/>
    <n v="31345322.399999999"/>
    <n v="-1110160.2399999984"/>
    <n v="92570020.519999966"/>
    <n v="0"/>
    <n v="0"/>
    <s v="S"/>
    <m/>
    <n v="0"/>
    <n v="3"/>
    <n v="0"/>
    <n v="0.31733855999999999"/>
    <n v="0"/>
    <m/>
    <m/>
    <n v="0"/>
    <n v="0"/>
    <n v="1633661.45"/>
    <n v="1.2333592799999999"/>
    <m/>
    <m/>
    <n v="97.874109289616996"/>
    <n v="1"/>
    <n v="5.8315694909999998"/>
    <n v="1.2095728640000001"/>
    <n v="1.1186252568740001"/>
    <n v="1.2328767119999999"/>
    <n v="2.3996460000000001E-2"/>
    <n v="14"/>
    <n v="450"/>
    <n v="0"/>
    <n v="0"/>
    <n v="3.6100068319999998"/>
    <n v="0"/>
    <n v="0"/>
  </r>
  <r>
    <n v="16975433"/>
    <n v="128"/>
    <n v="9301"/>
    <n v="0"/>
    <n v="0"/>
    <n v="0"/>
    <n v="0"/>
    <n v="0"/>
    <n v="1"/>
    <n v="1"/>
    <n v="100000"/>
    <n v="100000"/>
    <n v="100000"/>
    <n v="100000"/>
    <n v="100274"/>
    <n v="100274"/>
    <n v="100274"/>
    <n v="100274"/>
    <n v="100000"/>
    <n v="100000"/>
    <n v="100000"/>
    <n v="100000"/>
    <n v="0"/>
    <n v="0"/>
    <n v="0"/>
    <n v="0"/>
    <n v="1064.8900000000001"/>
    <n v="1064.8900000000001"/>
    <n v="1064.8900000000001"/>
    <n v="1064.8900000000001"/>
    <s v="25/12/2028 00:00:00"/>
    <s v="MEDIOLANUM PENSIONES II, FONDO DE PENSIONES"/>
    <s v="03/10/2023 00:00:00"/>
    <x v="95"/>
    <n v="4"/>
    <s v="EUR"/>
    <s v="S"/>
    <n v="88.966483111981006"/>
    <n v="89.045713114752004"/>
    <n v="89045.71"/>
    <n v="89045.71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7226510000000003E-2"/>
    <s v="ok"/>
    <s v="ok"/>
    <n v="26356083.120000001"/>
    <n v="0"/>
    <n v="79.23"/>
    <n v="0.09"/>
    <s v="PA"/>
    <n v="-78038.69"/>
    <s v="RF"/>
    <s v="RFE"/>
    <n v="-12372.41"/>
    <n v="-12372.41"/>
    <n v="88966.48"/>
    <n v="88966.4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2032390000000002E-2"/>
    <m/>
    <n v="0"/>
    <n v="-219173.26"/>
    <m/>
    <m/>
    <m/>
    <n v="1355558.46"/>
    <n v="0"/>
    <n v="2520.3126550000002"/>
    <n v="52555.483399999997"/>
    <n v="-296353.43"/>
    <n v="92570020.519999996"/>
    <n v="79.23"/>
    <n v="394770.09"/>
    <n v="0.29803809999999997"/>
    <m/>
    <n v="0"/>
    <n v="0"/>
    <n v="-296353.43"/>
    <n v="0"/>
    <n v="0"/>
    <n v="16777215"/>
    <n v="0"/>
    <n v="0"/>
    <n v="0"/>
    <n v="0"/>
    <n v="0"/>
    <n v="89045.71"/>
    <n v="89045.71"/>
    <n v="31345322.399999999"/>
    <n v="-1110160.2399999984"/>
    <n v="92570020.519999966"/>
    <n v="0"/>
    <n v="0"/>
    <s v="S"/>
    <m/>
    <n v="0"/>
    <n v="3"/>
    <n v="0"/>
    <n v="9.6192819999999998E-2"/>
    <n v="0"/>
    <m/>
    <m/>
    <n v="0"/>
    <n v="0"/>
    <n v="1633661.45"/>
    <n v="1.2333592799999999"/>
    <m/>
    <m/>
    <n v="89.066967213113998"/>
    <n v="1"/>
    <n v="6.754535615"/>
    <n v="4.7118637200000002"/>
    <n v="3.931181088133"/>
    <n v="5.2356164380000001"/>
    <n v="0.250044873"/>
    <n v="53"/>
    <n v="1911"/>
    <n v="0"/>
    <n v="0"/>
    <n v="4.1135227419999998"/>
    <n v="0"/>
    <n v="0"/>
  </r>
  <r>
    <n v="16975400"/>
    <n v="128"/>
    <n v="9392"/>
    <n v="0"/>
    <n v="0"/>
    <n v="0"/>
    <n v="0"/>
    <n v="0"/>
    <n v="1"/>
    <n v="1"/>
    <n v="100000"/>
    <n v="100000"/>
    <n v="100000"/>
    <n v="100000"/>
    <n v="99550"/>
    <n v="99550"/>
    <n v="99550"/>
    <n v="99550"/>
    <n v="100000"/>
    <n v="100000"/>
    <n v="100000"/>
    <n v="100000"/>
    <n v="0"/>
    <n v="0"/>
    <n v="0"/>
    <n v="0"/>
    <n v="-623.02"/>
    <n v="-623.02"/>
    <n v="-623.02"/>
    <n v="-623.02"/>
    <s v="14/07/2024 00:00:00"/>
    <s v="MEDIOLANUM PENSIONES II, FONDO DE PENSIONES"/>
    <s v="03/10/2023 00:00:00"/>
    <x v="96"/>
    <n v="4"/>
    <s v="EUR"/>
    <s v="E"/>
    <n v="98.175232950237003"/>
    <n v="98.194622950820005"/>
    <n v="98194.62"/>
    <n v="98194.62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4133630000000006E-2"/>
    <s v="ok"/>
    <s v="ok"/>
    <n v="26356083.120000001"/>
    <n v="0"/>
    <n v="19.39"/>
    <n v="0.02"/>
    <s v="PA"/>
    <n v="-78038.69"/>
    <s v="RF"/>
    <s v="RFE"/>
    <n v="-751.75"/>
    <n v="-751.75"/>
    <n v="98175.23"/>
    <n v="98175.2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9433279999999995E-2"/>
    <m/>
    <n v="0"/>
    <n v="-219173.26"/>
    <m/>
    <m/>
    <m/>
    <n v="1355558.46"/>
    <n v="0"/>
    <n v="2520.3126550000002"/>
    <n v="52555.483399999997"/>
    <n v="-296353.43"/>
    <n v="92570020.519999996"/>
    <n v="19.39"/>
    <n v="394770.09"/>
    <n v="0.29803809999999997"/>
    <m/>
    <n v="0"/>
    <n v="0"/>
    <n v="-296353.43"/>
    <n v="0"/>
    <n v="0"/>
    <n v="16777215"/>
    <n v="0"/>
    <n v="0"/>
    <n v="0"/>
    <n v="0"/>
    <n v="0"/>
    <n v="98194.62"/>
    <n v="98194.62"/>
    <n v="31345322.399999999"/>
    <n v="-1110160.2399999984"/>
    <n v="92570020.519999966"/>
    <n v="0"/>
    <n v="0"/>
    <s v="S"/>
    <m/>
    <n v="0"/>
    <n v="3"/>
    <n v="0"/>
    <n v="0.10607605000000001"/>
    <n v="0"/>
    <m/>
    <m/>
    <n v="0"/>
    <n v="0"/>
    <n v="1633661.45"/>
    <n v="1.2333592799999999"/>
    <m/>
    <m/>
    <n v="98.187658469946001"/>
    <n v="1"/>
    <n v="4.995514848"/>
    <n v="0.78142076500000002"/>
    <n v="0.73075383537100003"/>
    <n v="0.78356164399999995"/>
    <n v="1.2627284000000001E-2"/>
    <n v="9"/>
    <n v="286"/>
    <n v="0"/>
    <n v="0"/>
    <n v="3.1602647240000001"/>
    <n v="0"/>
    <n v="0"/>
  </r>
  <r>
    <n v="16975445"/>
    <n v="128"/>
    <n v="9606"/>
    <n v="0"/>
    <n v="0"/>
    <n v="0"/>
    <n v="0"/>
    <n v="0"/>
    <n v="2"/>
    <n v="2"/>
    <n v="200000"/>
    <n v="200000"/>
    <n v="200000"/>
    <n v="200000"/>
    <n v="200366"/>
    <n v="200366"/>
    <n v="200366"/>
    <n v="200366"/>
    <n v="200000"/>
    <n v="200000"/>
    <n v="200000"/>
    <n v="200000"/>
    <n v="0"/>
    <n v="0"/>
    <n v="0"/>
    <n v="0"/>
    <n v="-431.88"/>
    <n v="-431.88"/>
    <n v="-431.88"/>
    <n v="-431.88"/>
    <s v="16/11/2023 00:00:00"/>
    <s v="MEDIOLANUM PENSIONES II, FONDO DE PENSIONES"/>
    <s v="03/10/2023 00:00:00"/>
    <x v="97"/>
    <n v="4"/>
    <s v="EUR"/>
    <s v="E"/>
    <n v="101.053754589279"/>
    <n v="101.11210958904201"/>
    <n v="202224.22"/>
    <n v="202224.22"/>
    <s v="N"/>
    <n v="4"/>
    <s v="EUR"/>
    <n v="132534288.59999999"/>
    <s v="S"/>
    <n v="1"/>
    <n v="1"/>
    <s v="Consumo Ciclico"/>
    <s v="Aeroline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5267246000000001"/>
    <s v="ok"/>
    <s v="ok"/>
    <n v="26356083.120000001"/>
    <n v="0"/>
    <n v="116.71"/>
    <n v="0.06"/>
    <s v="PA"/>
    <n v="-78038.69"/>
    <s v="RF"/>
    <s v="RFE"/>
    <n v="2173.39"/>
    <n v="2173.39"/>
    <n v="202107.51"/>
    <n v="202107.5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635867"/>
    <m/>
    <n v="0"/>
    <n v="-219173.26"/>
    <m/>
    <m/>
    <m/>
    <n v="1355558.46"/>
    <n v="0"/>
    <n v="2520.3126550000002"/>
    <n v="52555.483399999997"/>
    <n v="-296353.43"/>
    <n v="92570020.519999996"/>
    <n v="116.71"/>
    <n v="394770.09"/>
    <n v="0.29803809999999997"/>
    <m/>
    <n v="0"/>
    <n v="0"/>
    <n v="-296353.43"/>
    <n v="0"/>
    <n v="0"/>
    <n v="16777215"/>
    <n v="0"/>
    <n v="0"/>
    <n v="0"/>
    <n v="0"/>
    <n v="0"/>
    <n v="202224.22"/>
    <n v="202224.22"/>
    <n v="31345322.399999999"/>
    <n v="-1110160.2399999984"/>
    <n v="92570020.519999966"/>
    <n v="0"/>
    <n v="0"/>
    <s v="S"/>
    <m/>
    <n v="0"/>
    <n v="3"/>
    <n v="0"/>
    <n v="0.21845540999999999"/>
    <n v="0"/>
    <m/>
    <m/>
    <n v="0"/>
    <n v="0"/>
    <n v="1633661.45"/>
    <n v="1.2333592799999999"/>
    <m/>
    <m/>
    <n v="101.12665753424599"/>
    <n v="1"/>
    <n v="4.0677991699999998"/>
    <n v="0.123287671"/>
    <n v="0.11980334147500001"/>
    <n v="0.123287671"/>
    <n v="1.2787269999999999E-3"/>
    <n v="1"/>
    <n v="45"/>
    <n v="0"/>
    <n v="0"/>
    <n v="12.290191415000001"/>
    <n v="0"/>
    <n v="0"/>
  </r>
  <r>
    <n v="16975438"/>
    <n v="128"/>
    <n v="9788"/>
    <n v="0"/>
    <n v="0"/>
    <n v="0"/>
    <n v="0"/>
    <n v="0"/>
    <n v="1"/>
    <n v="1"/>
    <n v="100000"/>
    <n v="100000"/>
    <n v="100000"/>
    <n v="100000"/>
    <n v="99810"/>
    <n v="99810"/>
    <n v="99810"/>
    <n v="99810"/>
    <n v="100000"/>
    <n v="100000"/>
    <n v="100000"/>
    <n v="100000"/>
    <n v="0"/>
    <n v="0"/>
    <n v="0"/>
    <n v="0"/>
    <n v="306.95"/>
    <n v="306.95"/>
    <n v="306.95"/>
    <n v="306.95"/>
    <s v="12/03/2025 00:00:00"/>
    <s v="MEDIOLANUM PENSIONES II, FONDO DE PENSIONES"/>
    <s v="03/10/2023 00:00:00"/>
    <x v="98"/>
    <n v="4"/>
    <s v="EUR"/>
    <s v="E"/>
    <n v="100.09899999999899"/>
    <n v="100.139499999999"/>
    <n v="100139.5"/>
    <n v="100139.5"/>
    <s v="N"/>
    <n v="4"/>
    <s v="EUR"/>
    <n v="132534288.59999999"/>
    <s v="S"/>
    <n v="1"/>
    <n v="1"/>
    <s v="Consumo Ciclico"/>
    <s v="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5601940000000006E-2"/>
    <s v="ok"/>
    <s v="ok"/>
    <n v="26356083.120000001"/>
    <n v="0"/>
    <n v="40.5"/>
    <n v="0.04"/>
    <s v="PA"/>
    <n v="-78038.69"/>
    <s v="RF"/>
    <s v="RFE"/>
    <n v="-17.95"/>
    <n v="-17.95"/>
    <n v="100099"/>
    <n v="10009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100657E-2"/>
    <m/>
    <n v="0"/>
    <n v="-219173.26"/>
    <m/>
    <m/>
    <m/>
    <n v="1355558.46"/>
    <n v="0"/>
    <n v="2520.3126550000002"/>
    <n v="52555.483399999997"/>
    <n v="-296353.43"/>
    <n v="92570020.519999996"/>
    <n v="40.5"/>
    <n v="394770.09"/>
    <n v="0.29803809999999997"/>
    <m/>
    <n v="0"/>
    <n v="0"/>
    <n v="-296353.43"/>
    <n v="0"/>
    <n v="0"/>
    <n v="16777215"/>
    <n v="0"/>
    <n v="0"/>
    <n v="0"/>
    <n v="0"/>
    <n v="0"/>
    <n v="100139.5"/>
    <n v="100139.5"/>
    <n v="31345322.399999999"/>
    <n v="-1110160.2399999984"/>
    <n v="92570020.519999966"/>
    <n v="0"/>
    <n v="0"/>
    <s v="S"/>
    <m/>
    <n v="0"/>
    <n v="3"/>
    <n v="0"/>
    <n v="0.10817702999999999"/>
    <n v="0"/>
    <m/>
    <m/>
    <n v="0"/>
    <n v="0"/>
    <n v="1633661.45"/>
    <n v="1.2333592799999999"/>
    <m/>
    <m/>
    <n v="100.147833333335"/>
    <n v="1"/>
    <n v="4.5213764220000003"/>
    <n v="0.197222222"/>
    <n v="0.195306150387"/>
    <n v="1.4438356160000001"/>
    <n v="2.3087009999999998E-3"/>
    <n v="2"/>
    <n v="527"/>
    <n v="0"/>
    <n v="0"/>
    <n v="4.7699076610000004"/>
    <n v="0"/>
    <n v="0"/>
  </r>
  <r>
    <n v="16975479"/>
    <n v="128"/>
    <n v="9074"/>
    <n v="0"/>
    <n v="0"/>
    <n v="0"/>
    <n v="0"/>
    <n v="0"/>
    <n v="3"/>
    <n v="3"/>
    <n v="300000"/>
    <n v="300000"/>
    <n v="300000"/>
    <n v="300000"/>
    <n v="299533"/>
    <n v="299533"/>
    <n v="299533"/>
    <n v="299533"/>
    <n v="300000"/>
    <n v="300000"/>
    <n v="300000"/>
    <n v="300000"/>
    <n v="0"/>
    <n v="0"/>
    <n v="0"/>
    <n v="0"/>
    <n v="-219.04"/>
    <n v="-219.04"/>
    <n v="-219.04"/>
    <n v="-219.04"/>
    <s v="18/01/2024 00:00:00"/>
    <s v="MEDIOLANUM PENSIONES II, FONDO DE PENSIONES"/>
    <s v="03/10/2023 00:00:00"/>
    <x v="99"/>
    <n v="4"/>
    <s v="EUR"/>
    <s v="E"/>
    <n v="98.461820639227994"/>
    <n v="98.468273972603001"/>
    <n v="295404.82"/>
    <n v="295404.82"/>
    <s v="N"/>
    <n v="4"/>
    <s v="EUR"/>
    <n v="132534288.59999999"/>
    <s v="S"/>
    <n v="1"/>
    <n v="1"/>
    <s v="Consumo Ciclico"/>
    <s v="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302067"/>
    <s v="ok"/>
    <s v="ok"/>
    <n v="26356083.120000001"/>
    <n v="0"/>
    <n v="19.36"/>
    <n v="0.01"/>
    <s v="PA"/>
    <n v="-78038.69"/>
    <s v="RF"/>
    <s v="RFE"/>
    <n v="-3928.5"/>
    <n v="-3928.5"/>
    <n v="295385.46000000002"/>
    <n v="295385.460000000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3896395000000001"/>
    <m/>
    <n v="0"/>
    <n v="-219173.26"/>
    <m/>
    <m/>
    <m/>
    <n v="1355558.46"/>
    <n v="0"/>
    <n v="2520.3126550000002"/>
    <n v="52555.483399999997"/>
    <n v="-296353.43"/>
    <n v="92570020.519999996"/>
    <n v="19.36"/>
    <n v="394770.09"/>
    <n v="0.29803809999999997"/>
    <m/>
    <n v="0"/>
    <n v="0"/>
    <n v="-296353.43"/>
    <n v="0"/>
    <n v="0"/>
    <n v="16777215"/>
    <n v="0"/>
    <n v="0"/>
    <n v="0"/>
    <n v="0"/>
    <n v="0"/>
    <n v="295404.82"/>
    <n v="295404.82"/>
    <n v="31345322.399999999"/>
    <n v="-1110160.2399999984"/>
    <n v="92570020.519999966"/>
    <n v="0"/>
    <n v="0"/>
    <s v="S"/>
    <m/>
    <n v="0"/>
    <n v="3"/>
    <n v="0"/>
    <n v="0.31911499999999998"/>
    <n v="0"/>
    <m/>
    <m/>
    <n v="0"/>
    <n v="0"/>
    <n v="1633661.45"/>
    <n v="1.2333592799999999"/>
    <m/>
    <m/>
    <n v="98.396034246575994"/>
    <n v="1"/>
    <n v="8.3303423500000005"/>
    <n v="0.29589041100000002"/>
    <n v="0.26875612463800003"/>
    <n v="0.29589041100000002"/>
    <n v="3.2673749999999999E-3"/>
    <n v="3"/>
    <n v="108"/>
    <n v="0"/>
    <n v="0"/>
    <n v="3.1106580730000002"/>
    <n v="0"/>
    <n v="0"/>
  </r>
  <r>
    <n v="16975432"/>
    <n v="128"/>
    <n v="10263"/>
    <n v="0"/>
    <n v="0"/>
    <n v="0"/>
    <n v="0"/>
    <n v="0"/>
    <n v="1"/>
    <n v="1"/>
    <n v="100000"/>
    <n v="100000"/>
    <n v="100000"/>
    <n v="100000"/>
    <n v="98461"/>
    <n v="98461"/>
    <n v="98461"/>
    <n v="98461"/>
    <n v="100000"/>
    <n v="100000"/>
    <n v="100000"/>
    <n v="100000"/>
    <n v="181.85"/>
    <n v="181.85"/>
    <n v="181.85"/>
    <n v="181.85"/>
    <n v="2465.7399999999998"/>
    <n v="2465.7399999999998"/>
    <n v="2465.7399999999998"/>
    <n v="2465.7399999999998"/>
    <s v="02/10/2023 00:00:00"/>
    <s v="MEDIOLANUM PENSIONES II, FONDO DE PENSIONES"/>
    <s v="03/10/2023 00:00:00"/>
    <x v="100"/>
    <n v="4"/>
    <s v="EUR"/>
    <s v="E"/>
    <n v="101.09784000000001"/>
    <n v="100"/>
    <n v="100000"/>
    <n v="100000"/>
    <s v="N"/>
    <n v="4"/>
    <s v="EUR"/>
    <n v="132534288.59999999"/>
    <s v="S"/>
    <n v="1"/>
    <n v="1"/>
    <s v="Consumo Ciclico"/>
    <s v="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5496629999999995E-2"/>
    <s v="ok"/>
    <s v="ok"/>
    <n v="26356083.120000001"/>
    <n v="0"/>
    <n v="-1097.8399999999999"/>
    <n v="-1.0900000000000001"/>
    <s v="PA"/>
    <n v="-78038.69"/>
    <s v="RF"/>
    <s v="RFE"/>
    <n v="-10.75"/>
    <n v="-10.75"/>
    <n v="101097.84"/>
    <n v="101097.8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0893720000000002E-2"/>
    <m/>
    <n v="0"/>
    <n v="-219173.26"/>
    <m/>
    <m/>
    <m/>
    <n v="1355558.46"/>
    <n v="0"/>
    <n v="2520.3126550000002"/>
    <n v="52555.483399999997"/>
    <n v="-296353.43"/>
    <n v="92570020.519999996"/>
    <n v="-1097.8399999999999"/>
    <n v="394770.09"/>
    <n v="0.29803809999999997"/>
    <m/>
    <n v="0"/>
    <n v="0"/>
    <n v="-296353.43"/>
    <n v="0"/>
    <n v="0"/>
    <n v="16777215"/>
    <n v="0"/>
    <n v="0"/>
    <n v="0"/>
    <n v="0"/>
    <n v="0"/>
    <n v="100000"/>
    <n v="100000"/>
    <n v="31345322.399999999"/>
    <n v="-1110160.2399999984"/>
    <n v="92570020.519999966"/>
    <n v="0"/>
    <n v="0"/>
    <s v="S"/>
    <m/>
    <n v="0"/>
    <n v="3"/>
    <n v="0"/>
    <n v="0.10802633"/>
    <n v="0"/>
    <m/>
    <m/>
    <n v="0"/>
    <n v="0"/>
    <n v="1633661.45"/>
    <n v="1.2333592799999999"/>
    <m/>
    <m/>
    <n v="101.115753424658"/>
    <n v="1"/>
    <n v="0"/>
    <n v="0"/>
    <n v="0"/>
    <n v="0"/>
    <n v="0"/>
    <n v="0"/>
    <n v="0"/>
    <n v="0"/>
    <n v="0"/>
    <n v="0"/>
    <n v="0"/>
    <n v="0"/>
  </r>
  <r>
    <n v="16975543"/>
    <n v="128"/>
    <n v="9744"/>
    <n v="0"/>
    <n v="0"/>
    <n v="0"/>
    <n v="0"/>
    <n v="0"/>
    <n v="1000"/>
    <n v="1000"/>
    <n v="1000000"/>
    <n v="1000000"/>
    <n v="1000000"/>
    <n v="1000000"/>
    <n v="941150"/>
    <n v="941150"/>
    <n v="941150"/>
    <n v="941150"/>
    <n v="1000000"/>
    <n v="1000000"/>
    <n v="1000000"/>
    <n v="1000000"/>
    <n v="390.41"/>
    <n v="390.41"/>
    <n v="390.41"/>
    <n v="390.41"/>
    <n v="17031.990000000002"/>
    <n v="17031.990000000002"/>
    <n v="17031.990000000002"/>
    <n v="17031.990000000002"/>
    <s v="31/01/2025 00:00:00"/>
    <s v="MEDIOLANUM PENSIONES II, FONDO DE PENSIONES"/>
    <s v="03/10/2023 00:00:00"/>
    <x v="101"/>
    <n v="4"/>
    <s v="EUR"/>
    <s v="E"/>
    <n v="95.251753219178994"/>
    <n v="95.251308219178"/>
    <n v="952513.08"/>
    <n v="952513.08"/>
    <s v="N"/>
    <n v="4"/>
    <s v="EUR"/>
    <n v="132534288.59999999"/>
    <s v="S"/>
    <n v="1"/>
    <n v="1"/>
    <s v="Consumo Ciclico"/>
    <s v="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1911524000000004"/>
    <s v="ok"/>
    <s v="ok"/>
    <n v="26356083.120000001"/>
    <n v="0"/>
    <n v="-4.45"/>
    <n v="0"/>
    <s v="PA"/>
    <n v="-78038.69"/>
    <s v="RF"/>
    <s v="RFE"/>
    <n v="-6054.87"/>
    <n v="-6054.87"/>
    <n v="952517.53"/>
    <n v="952517.5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7052326999999998"/>
    <m/>
    <n v="0"/>
    <n v="-219173.26"/>
    <m/>
    <m/>
    <m/>
    <n v="1355558.46"/>
    <n v="0"/>
    <n v="2520.3126550000002"/>
    <n v="52555.483399999997"/>
    <n v="-296353.43"/>
    <n v="92570020.519999996"/>
    <n v="-4.45"/>
    <n v="394770.09"/>
    <n v="0.29803809999999997"/>
    <m/>
    <n v="0"/>
    <n v="0"/>
    <n v="-296353.43"/>
    <n v="0"/>
    <n v="0"/>
    <n v="16777215"/>
    <n v="0"/>
    <n v="0"/>
    <n v="0"/>
    <n v="0"/>
    <n v="0"/>
    <n v="952513.08"/>
    <n v="952513.08"/>
    <n v="31345322.399999999"/>
    <n v="-1110160.2399999984"/>
    <n v="92570020.519999966"/>
    <n v="0"/>
    <n v="0"/>
    <s v="S"/>
    <m/>
    <n v="0"/>
    <n v="3"/>
    <n v="0"/>
    <n v="1.0289649700000001"/>
    <n v="0"/>
    <m/>
    <m/>
    <n v="0"/>
    <n v="0"/>
    <n v="1633661.45"/>
    <n v="1.2333592799999999"/>
    <m/>
    <m/>
    <n v="95.230123287671006"/>
    <n v="1"/>
    <n v="4.1361242809999998"/>
    <n v="1.3289166649999999"/>
    <n v="1.215264143407"/>
    <n v="1.3342465750000001"/>
    <n v="2.8563489000000001E-2"/>
    <n v="15"/>
    <n v="487"/>
    <n v="0"/>
    <n v="0"/>
    <n v="5.0632469660000003"/>
    <n v="0"/>
    <n v="0"/>
  </r>
  <r>
    <n v="16975476"/>
    <n v="128"/>
    <n v="9241"/>
    <n v="0"/>
    <n v="0"/>
    <n v="0"/>
    <n v="0"/>
    <n v="0"/>
    <n v="3"/>
    <n v="3"/>
    <n v="300000"/>
    <n v="300000"/>
    <n v="300000"/>
    <n v="300000"/>
    <n v="308510"/>
    <n v="308510"/>
    <n v="308510"/>
    <n v="308510"/>
    <n v="300000"/>
    <n v="300000"/>
    <n v="300000"/>
    <n v="300000"/>
    <n v="0"/>
    <n v="0"/>
    <n v="0"/>
    <n v="0"/>
    <n v="-5640.96"/>
    <n v="-5640.96"/>
    <n v="-5640.96"/>
    <n v="-5640.96"/>
    <s v="18/03/2025 00:00:00"/>
    <s v="MEDIOLANUM PENSIONES II, FONDO DE PENSIONES"/>
    <s v="03/10/2023 00:00:00"/>
    <x v="102"/>
    <n v="4"/>
    <s v="EUR"/>
    <s v="E"/>
    <n v="95.935231257121998"/>
    <n v="95.913024590164"/>
    <n v="287739.07"/>
    <n v="287739.07"/>
    <s v="N"/>
    <n v="4"/>
    <s v="EUR"/>
    <n v="132534288.59999999"/>
    <s v="S"/>
    <n v="1"/>
    <n v="1"/>
    <s v="Consumo Ciclico"/>
    <s v="Comp. de 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1723329"/>
    <s v="ok"/>
    <s v="ok"/>
    <n v="26356083.120000001"/>
    <n v="0"/>
    <n v="-66.62"/>
    <n v="-0.02"/>
    <s v="PA"/>
    <n v="-78038.69"/>
    <s v="RF"/>
    <s v="RFE"/>
    <n v="-15063.35"/>
    <n v="-15063.35"/>
    <n v="287805.69"/>
    <n v="287805.6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3276284"/>
    <m/>
    <n v="0"/>
    <n v="-219173.26"/>
    <m/>
    <m/>
    <m/>
    <n v="1355558.46"/>
    <n v="0"/>
    <n v="2520.3126550000002"/>
    <n v="52555.483399999997"/>
    <n v="-296353.43"/>
    <n v="92570020.519999996"/>
    <n v="-66.62"/>
    <n v="394770.09"/>
    <n v="0.29803809999999997"/>
    <m/>
    <n v="0"/>
    <n v="0"/>
    <n v="-296353.43"/>
    <n v="0"/>
    <n v="0"/>
    <n v="16777215"/>
    <n v="0"/>
    <n v="0"/>
    <n v="0"/>
    <n v="0"/>
    <n v="0"/>
    <n v="287739.07"/>
    <n v="287739.07"/>
    <n v="31345322.399999999"/>
    <n v="-1110160.2399999984"/>
    <n v="92570020.519999966"/>
    <n v="0"/>
    <n v="0"/>
    <s v="S"/>
    <m/>
    <n v="0"/>
    <n v="3"/>
    <n v="0"/>
    <n v="0.31083397000000001"/>
    <n v="0"/>
    <m/>
    <m/>
    <n v="0"/>
    <n v="0"/>
    <n v="1633661.45"/>
    <n v="1.2333592799999999"/>
    <m/>
    <m/>
    <n v="95.967426229508007"/>
    <n v="1"/>
    <n v="4.7392660129999999"/>
    <n v="1.447693656"/>
    <n v="1.326450331785"/>
    <n v="1.4602739730000001"/>
    <n v="3.2377004000000001E-2"/>
    <n v="17"/>
    <n v="533"/>
    <n v="0"/>
    <n v="0"/>
    <n v="-0.144254992"/>
    <n v="0"/>
    <n v="0"/>
  </r>
  <r>
    <n v="16975481"/>
    <n v="128"/>
    <n v="6337"/>
    <n v="0"/>
    <n v="0"/>
    <n v="0"/>
    <n v="0"/>
    <n v="0"/>
    <n v="500"/>
    <n v="500"/>
    <n v="500000"/>
    <n v="500000"/>
    <n v="500000"/>
    <n v="500000"/>
    <n v="500611.66"/>
    <n v="500611.66"/>
    <n v="500611.66"/>
    <n v="500611.66"/>
    <n v="500000"/>
    <n v="500000"/>
    <n v="500000"/>
    <n v="500000"/>
    <n v="0"/>
    <n v="0"/>
    <n v="0"/>
    <n v="0"/>
    <n v="6193.69"/>
    <n v="6193.69"/>
    <n v="6193.69"/>
    <n v="6193.69"/>
    <s v="30/04/2026 00:00:00"/>
    <s v="MEDIOLANUM PENSIONES II, FONDO DE PENSIONES"/>
    <s v="03/10/2023 00:00:00"/>
    <x v="103"/>
    <n v="4"/>
    <s v="EUR"/>
    <s v="S"/>
    <n v="97.560165999999995"/>
    <n v="97.487250000000003"/>
    <n v="487436.25"/>
    <n v="487436.25"/>
    <s v="N"/>
    <n v="4"/>
    <s v="EUR"/>
    <n v="132534288.59999999"/>
    <s v="S"/>
    <n v="1"/>
    <n v="1"/>
    <s v="Consumo Ciclico"/>
    <s v="Comp. de 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6799791999999998"/>
    <s v="ok"/>
    <s v="ok"/>
    <n v="26356083.120000001"/>
    <n v="0"/>
    <n v="-364.58"/>
    <n v="-7.0000000000000007E-2"/>
    <s v="PA"/>
    <n v="-78038.69"/>
    <s v="RF"/>
    <s v="RFE"/>
    <n v="-19004.52"/>
    <n v="-19004.52"/>
    <n v="487800.83"/>
    <n v="487800.8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9430532000000001"/>
    <m/>
    <n v="0"/>
    <n v="-219173.26"/>
    <m/>
    <m/>
    <m/>
    <n v="1355558.46"/>
    <n v="0"/>
    <n v="2520.3126550000002"/>
    <n v="52555.483399999997"/>
    <n v="-296353.43"/>
    <n v="92570020.519999996"/>
    <n v="-364.58"/>
    <n v="394770.09"/>
    <n v="0.29803809999999997"/>
    <m/>
    <n v="0"/>
    <n v="0"/>
    <n v="-296353.43"/>
    <n v="0"/>
    <n v="0"/>
    <n v="16777215"/>
    <n v="0"/>
    <n v="0"/>
    <n v="0"/>
    <n v="0"/>
    <n v="0"/>
    <n v="487436.25"/>
    <n v="487436.25"/>
    <n v="31345322.399999999"/>
    <n v="-1110160.2399999984"/>
    <n v="92570020.519999966"/>
    <n v="0"/>
    <n v="0"/>
    <s v="S"/>
    <m/>
    <n v="0"/>
    <n v="3"/>
    <n v="0"/>
    <n v="0.52655951000000001"/>
    <n v="0"/>
    <m/>
    <m/>
    <n v="0"/>
    <n v="0"/>
    <n v="1633661.45"/>
    <n v="1.2333592799999999"/>
    <m/>
    <m/>
    <n v="97.578222222221996"/>
    <n v="1"/>
    <n v="4.890366341"/>
    <n v="2.4571863060000001"/>
    <n v="2.340450413813"/>
    <n v="2.5780821920000001"/>
    <n v="8.2931864999999994E-2"/>
    <n v="29"/>
    <n v="941"/>
    <n v="0"/>
    <n v="0"/>
    <n v="3.7978799900000002"/>
    <n v="0"/>
    <n v="0"/>
  </r>
  <r>
    <n v="16975471"/>
    <n v="128"/>
    <n v="9042"/>
    <n v="0"/>
    <n v="0"/>
    <n v="0"/>
    <n v="0"/>
    <n v="0"/>
    <n v="3"/>
    <n v="3"/>
    <n v="300000"/>
    <n v="300000"/>
    <n v="300000"/>
    <n v="300000"/>
    <n v="315324"/>
    <n v="315324"/>
    <n v="315324"/>
    <n v="315324"/>
    <n v="300000"/>
    <n v="300000"/>
    <n v="300000"/>
    <n v="300000"/>
    <n v="0"/>
    <n v="0"/>
    <n v="0"/>
    <n v="0"/>
    <n v="-12767.51"/>
    <n v="-12767.51"/>
    <n v="-12767.51"/>
    <n v="-12767.51"/>
    <s v="21/06/2025 00:00:00"/>
    <s v="MEDIOLANUM PENSIONES II, FONDO DE PENSIONES"/>
    <s v="03/10/2023 00:00:00"/>
    <x v="104"/>
    <n v="4"/>
    <s v="EUR"/>
    <s v="E"/>
    <n v="95.808770655456996"/>
    <n v="95.849860655737999"/>
    <n v="287549.58"/>
    <n v="287549.58"/>
    <s v="N"/>
    <n v="4"/>
    <s v="EUR"/>
    <n v="132534288.59999999"/>
    <s v="S"/>
    <n v="1"/>
    <n v="1"/>
    <s v="Consumo Ciclico"/>
    <s v="Comp. de 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1709023"/>
    <s v="ok"/>
    <s v="ok"/>
    <n v="26356083.120000001"/>
    <n v="0"/>
    <n v="123.27"/>
    <n v="0.04"/>
    <s v="PA"/>
    <n v="-78038.69"/>
    <s v="RF"/>
    <s v="RFE"/>
    <n v="-15130.18"/>
    <n v="-15130.18"/>
    <n v="287426.31"/>
    <n v="287426.3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3260955"/>
    <m/>
    <n v="0"/>
    <n v="-219173.26"/>
    <m/>
    <m/>
    <m/>
    <n v="1355558.46"/>
    <n v="0"/>
    <n v="2520.3126550000002"/>
    <n v="52555.483399999997"/>
    <n v="-296353.43"/>
    <n v="92570020.519999996"/>
    <n v="123.27"/>
    <n v="394770.09"/>
    <n v="0.29803809999999997"/>
    <m/>
    <n v="0"/>
    <n v="0"/>
    <n v="-296353.43"/>
    <n v="0"/>
    <n v="0"/>
    <n v="16777215"/>
    <n v="0"/>
    <n v="0"/>
    <n v="0"/>
    <n v="0"/>
    <n v="0"/>
    <n v="287549.58"/>
    <n v="287549.58"/>
    <n v="31345322.399999999"/>
    <n v="-1110160.2399999984"/>
    <n v="92570020.519999966"/>
    <n v="0"/>
    <n v="0"/>
    <s v="S"/>
    <m/>
    <n v="0"/>
    <n v="3"/>
    <n v="0"/>
    <n v="0.31062927000000001"/>
    <n v="0"/>
    <m/>
    <m/>
    <n v="0"/>
    <n v="0"/>
    <n v="1633661.45"/>
    <n v="1.2333592799999999"/>
    <m/>
    <m/>
    <n v="95.778163934426999"/>
    <n v="1"/>
    <n v="5.711427231"/>
    <n v="1.6963600940000001"/>
    <n v="1.536960188386"/>
    <n v="1.7205479450000001"/>
    <n v="4.1075406000000002E-2"/>
    <n v="19"/>
    <n v="628"/>
    <n v="0"/>
    <n v="0"/>
    <n v="7.6123912000000002E-2"/>
    <n v="0"/>
    <n v="0"/>
  </r>
  <r>
    <n v="16975491"/>
    <n v="128"/>
    <n v="9395"/>
    <n v="0"/>
    <n v="0"/>
    <n v="0"/>
    <n v="0"/>
    <n v="0"/>
    <n v="600"/>
    <n v="600"/>
    <n v="600000"/>
    <n v="600000"/>
    <n v="600000"/>
    <n v="600000"/>
    <n v="599850"/>
    <n v="599850"/>
    <n v="599850"/>
    <n v="599850"/>
    <n v="600000"/>
    <n v="600000"/>
    <n v="600000"/>
    <n v="600000"/>
    <n v="0"/>
    <n v="0"/>
    <n v="0"/>
    <n v="0"/>
    <n v="-475.03"/>
    <n v="-475.03"/>
    <n v="-475.03"/>
    <n v="-475.03"/>
    <s v="20/04/2028 00:00:00"/>
    <s v="MEDIOLANUM PENSIONES II, FONDO DE PENSIONES"/>
    <s v="03/10/2023 00:00:00"/>
    <x v="105"/>
    <n v="4"/>
    <s v="EUR"/>
    <s v="L"/>
    <n v="81.097623907518994"/>
    <n v="81.039065573770998"/>
    <n v="486234.39"/>
    <n v="486234.39"/>
    <s v="N"/>
    <n v="4"/>
    <s v="EUR"/>
    <n v="132534288.59999999"/>
    <s v="S"/>
    <n v="1"/>
    <n v="1"/>
    <s v="Consumo Ciclico"/>
    <s v="Comp. de automóvi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6709056000000001"/>
    <s v="ok"/>
    <s v="ok"/>
    <n v="26356083.120000001"/>
    <n v="0"/>
    <n v="-351.35"/>
    <n v="-7.0000000000000007E-2"/>
    <s v="PA"/>
    <n v="-78038.69"/>
    <s v="RF"/>
    <s v="RFE"/>
    <n v="-112789.23"/>
    <n v="-112789.23"/>
    <n v="486585.74"/>
    <n v="486585.7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9333309"/>
    <m/>
    <n v="0"/>
    <n v="-219173.26"/>
    <m/>
    <m/>
    <m/>
    <n v="1355558.46"/>
    <n v="0"/>
    <n v="2520.3126550000002"/>
    <n v="52555.483399999997"/>
    <n v="-296353.43"/>
    <n v="92570020.519999996"/>
    <n v="-351.35"/>
    <n v="394770.09"/>
    <n v="0.29803809999999997"/>
    <m/>
    <n v="0"/>
    <n v="0"/>
    <n v="-296353.43"/>
    <n v="0"/>
    <n v="0"/>
    <n v="16777215"/>
    <n v="0"/>
    <n v="0"/>
    <n v="0"/>
    <n v="0"/>
    <n v="0"/>
    <n v="486234.39"/>
    <n v="486234.39"/>
    <n v="31345322.399999999"/>
    <n v="-1110160.2399999984"/>
    <n v="92570020.519999966"/>
    <n v="0"/>
    <n v="0"/>
    <s v="S"/>
    <m/>
    <n v="0"/>
    <n v="3"/>
    <n v="0"/>
    <n v="0.52526119000000004"/>
    <n v="0"/>
    <m/>
    <m/>
    <n v="0"/>
    <n v="0"/>
    <n v="1633661.45"/>
    <n v="1.2333592799999999"/>
    <m/>
    <m/>
    <n v="81.212918032787002"/>
    <n v="1"/>
    <n v="7.3820346429999999"/>
    <n v="4.3282865230000001"/>
    <n v="3.2734784716059999"/>
    <n v="4.553424658"/>
    <n v="0.20508358099999999"/>
    <n v="48"/>
    <n v="1662"/>
    <n v="0"/>
    <n v="0"/>
    <n v="2.3625518159999999"/>
    <n v="0"/>
    <n v="0"/>
  </r>
  <r>
    <n v="16975490"/>
    <n v="128"/>
    <n v="5760"/>
    <n v="0"/>
    <n v="0"/>
    <n v="0"/>
    <n v="0"/>
    <n v="0"/>
    <n v="600"/>
    <n v="600"/>
    <n v="600000"/>
    <n v="600000"/>
    <n v="600000"/>
    <n v="600000"/>
    <n v="602452"/>
    <n v="602452"/>
    <n v="602452"/>
    <n v="602452"/>
    <n v="600000"/>
    <n v="600000"/>
    <n v="600000"/>
    <n v="600000"/>
    <n v="0"/>
    <n v="0"/>
    <n v="0"/>
    <n v="0"/>
    <n v="5940.9"/>
    <n v="5940.9"/>
    <n v="5940.9"/>
    <n v="5940.9"/>
    <s v="09/12/2024 00:00:00"/>
    <s v="MEDIOLANUM PENSIONES II, FONDO DE PENSIONES"/>
    <s v="03/10/2023 00:00:00"/>
    <x v="106"/>
    <n v="4"/>
    <s v="EUR"/>
    <s v="E"/>
    <n v="95.728357328035003"/>
    <n v="95.834212328766"/>
    <n v="575005.27"/>
    <n v="575005.27"/>
    <s v="N"/>
    <n v="4"/>
    <s v="EUR"/>
    <n v="132534288.59999999"/>
    <s v="S"/>
    <n v="1"/>
    <n v="1"/>
    <s v="Consumo Ciclico"/>
    <s v="Fin.Diversific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3410957999999999"/>
    <s v="ok"/>
    <s v="ok"/>
    <n v="26356083.120000001"/>
    <n v="0"/>
    <n v="635.13"/>
    <n v="0.11"/>
    <s v="PA"/>
    <n v="-78038.69"/>
    <s v="RF"/>
    <s v="RFE"/>
    <n v="-34022.76"/>
    <n v="-34022.76"/>
    <n v="574370.14"/>
    <n v="574370.1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6514316"/>
    <m/>
    <n v="0"/>
    <n v="-219173.26"/>
    <m/>
    <m/>
    <m/>
    <n v="1355558.46"/>
    <n v="0"/>
    <n v="2520.3126550000002"/>
    <n v="52555.483399999997"/>
    <n v="-296353.43"/>
    <n v="92570020.519999996"/>
    <n v="635.13"/>
    <n v="394770.09"/>
    <n v="0.29803809999999997"/>
    <m/>
    <n v="0"/>
    <n v="0"/>
    <n v="-296353.43"/>
    <n v="0"/>
    <n v="0"/>
    <n v="16777215"/>
    <n v="0"/>
    <n v="0"/>
    <n v="0"/>
    <n v="0"/>
    <n v="0"/>
    <n v="575005.27"/>
    <n v="575005.27"/>
    <n v="31345322.399999999"/>
    <n v="-1110160.2399999984"/>
    <n v="92570020.519999966"/>
    <n v="0"/>
    <n v="0"/>
    <s v="S"/>
    <m/>
    <n v="0"/>
    <n v="3"/>
    <n v="0"/>
    <n v="0.62115712000000001"/>
    <n v="0"/>
    <m/>
    <m/>
    <n v="0"/>
    <n v="0"/>
    <n v="1633661.45"/>
    <n v="1.2333592799999999"/>
    <m/>
    <m/>
    <n v="95.811260273973005"/>
    <n v="1"/>
    <n v="6.599157183"/>
    <n v="1.1695416700000001"/>
    <n v="1.0511833697040001"/>
    <n v="1.189041096"/>
    <n v="2.2474371E-2"/>
    <n v="13"/>
    <n v="434"/>
    <n v="0"/>
    <n v="0"/>
    <n v="2.4129003770000002"/>
    <n v="0"/>
    <n v="0"/>
  </r>
  <r>
    <n v="16975450"/>
    <n v="128"/>
    <n v="9326"/>
    <n v="0"/>
    <n v="0"/>
    <n v="0"/>
    <n v="0"/>
    <n v="0"/>
    <n v="400"/>
    <n v="400"/>
    <n v="400000"/>
    <n v="400000"/>
    <n v="400000"/>
    <n v="400000"/>
    <n v="401946"/>
    <n v="401946"/>
    <n v="401946"/>
    <n v="401946"/>
    <n v="400000"/>
    <n v="400000"/>
    <n v="400000"/>
    <n v="400000"/>
    <n v="0"/>
    <n v="0"/>
    <n v="0"/>
    <n v="0"/>
    <n v="7540.4"/>
    <n v="7540.4"/>
    <n v="7540.4"/>
    <n v="7540.4"/>
    <s v="02/07/2024 00:00:00"/>
    <s v="MEDIOLANUM PENSIONES II, FONDO DE PENSIONES"/>
    <s v="03/10/2023 00:00:00"/>
    <x v="107"/>
    <n v="4"/>
    <s v="EUR"/>
    <s v="S"/>
    <n v="96.219261110426004"/>
    <n v="96.278611111111005"/>
    <n v="385114.44"/>
    <n v="385114.44"/>
    <s v="N"/>
    <n v="4"/>
    <s v="EUR"/>
    <n v="132534288.59999999"/>
    <s v="S"/>
    <n v="1"/>
    <n v="1"/>
    <s v="Consumo Ciclico"/>
    <s v="Hote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9074841000000001"/>
    <s v="ok"/>
    <s v="ok"/>
    <n v="26356083.120000001"/>
    <n v="0"/>
    <n v="237.4"/>
    <n v="0.06"/>
    <s v="PA"/>
    <n v="-78038.69"/>
    <s v="RF"/>
    <s v="RFE"/>
    <n v="-24609.360000000001"/>
    <n v="-24609.360000000001"/>
    <n v="384877.04"/>
    <n v="384877.0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1153340000000002"/>
    <m/>
    <n v="0"/>
    <n v="-219173.26"/>
    <m/>
    <m/>
    <m/>
    <n v="1355558.46"/>
    <n v="0"/>
    <n v="2520.3126550000002"/>
    <n v="52555.483399999997"/>
    <n v="-296353.43"/>
    <n v="92570020.519999996"/>
    <n v="237.4"/>
    <n v="394770.09"/>
    <n v="0.29803809999999997"/>
    <m/>
    <n v="0"/>
    <n v="0"/>
    <n v="-296353.43"/>
    <n v="0"/>
    <n v="0"/>
    <n v="16777215"/>
    <n v="0"/>
    <n v="0"/>
    <n v="0"/>
    <n v="0"/>
    <n v="0"/>
    <n v="385114.44"/>
    <n v="385114.44"/>
    <n v="31345322.399999999"/>
    <n v="-1110160.2399999984"/>
    <n v="92570020.519999966"/>
    <n v="0"/>
    <n v="0"/>
    <s v="S"/>
    <m/>
    <n v="0"/>
    <n v="3"/>
    <n v="0"/>
    <n v="0.41602500999999997"/>
    <n v="0"/>
    <m/>
    <m/>
    <n v="0"/>
    <n v="0"/>
    <n v="1633661.45"/>
    <n v="1.2333592799999999"/>
    <m/>
    <m/>
    <n v="96.248999999999995"/>
    <n v="1"/>
    <n v="12.475562083"/>
    <n v="0.73991120700000002"/>
    <n v="0.67034263159100005"/>
    <n v="0.75068493199999997"/>
    <n v="1.1450195E-2"/>
    <n v="8"/>
    <n v="274"/>
    <n v="0"/>
    <n v="0"/>
    <n v="6.1143715480000003"/>
    <n v="0"/>
    <n v="0"/>
  </r>
  <r>
    <n v="16975457"/>
    <n v="128"/>
    <n v="8816"/>
    <n v="0"/>
    <n v="0"/>
    <n v="0"/>
    <n v="0"/>
    <n v="0"/>
    <n v="400"/>
    <n v="400"/>
    <n v="400000"/>
    <n v="400000"/>
    <n v="400000"/>
    <n v="400000"/>
    <n v="419730"/>
    <n v="419730"/>
    <n v="419730"/>
    <n v="419730"/>
    <n v="400000"/>
    <n v="400000"/>
    <n v="400000"/>
    <n v="400000"/>
    <n v="0"/>
    <n v="0"/>
    <n v="0"/>
    <n v="0"/>
    <n v="-6571.07"/>
    <n v="-6571.07"/>
    <n v="-6571.07"/>
    <n v="-6571.07"/>
    <s v="27/08/2025 00:00:00"/>
    <s v="MEDIOLANUM PENSIONES II, FONDO DE PENSIONES"/>
    <s v="03/10/2023 00:00:00"/>
    <x v="108"/>
    <n v="4"/>
    <s v="EUR"/>
    <s v="E"/>
    <n v="97.872603288194"/>
    <n v="97.807623287671007"/>
    <n v="391230.49"/>
    <n v="391230.49"/>
    <s v="N"/>
    <n v="4"/>
    <s v="EUR"/>
    <n v="132534288.59999999"/>
    <s v="S"/>
    <n v="1"/>
    <n v="1"/>
    <s v="Consumo No Ciclico"/>
    <s v="Agricultura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9536582"/>
    <s v="ok"/>
    <s v="ok"/>
    <n v="26356083.120000001"/>
    <n v="0"/>
    <n v="-259.92"/>
    <n v="-0.06"/>
    <s v="PA"/>
    <n v="-78038.69"/>
    <s v="RF"/>
    <s v="RFE"/>
    <n v="-21668.52"/>
    <n v="-21668.52"/>
    <n v="391490.41"/>
    <n v="391490.4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1648090000000001"/>
    <m/>
    <n v="0"/>
    <n v="-219173.26"/>
    <m/>
    <m/>
    <m/>
    <n v="1355558.46"/>
    <n v="0"/>
    <n v="2520.3126550000002"/>
    <n v="52555.483399999997"/>
    <n v="-296353.43"/>
    <n v="92570020.519999996"/>
    <n v="-259.92"/>
    <n v="394770.09"/>
    <n v="0.29803809999999997"/>
    <m/>
    <n v="0"/>
    <n v="0"/>
    <n v="-296353.43"/>
    <n v="0"/>
    <n v="0"/>
    <n v="16777215"/>
    <n v="0"/>
    <n v="0"/>
    <n v="0"/>
    <n v="0"/>
    <n v="0"/>
    <n v="391230.49"/>
    <n v="391230.49"/>
    <n v="31345322.399999999"/>
    <n v="-1110160.2399999984"/>
    <n v="92570020.519999966"/>
    <n v="0"/>
    <n v="0"/>
    <s v="S"/>
    <m/>
    <n v="0"/>
    <n v="3"/>
    <n v="0"/>
    <n v="0.42263195999999997"/>
    <n v="0"/>
    <m/>
    <m/>
    <n v="0"/>
    <n v="0"/>
    <n v="1633661.45"/>
    <n v="1.2333592799999999"/>
    <m/>
    <m/>
    <n v="97.872616438356999"/>
    <n v="1"/>
    <n v="4.7014460800000002"/>
    <n v="1.8422954600000001"/>
    <n v="1.7221374074910001"/>
    <n v="1.9041095889999999"/>
    <n v="4.8523648000000003E-2"/>
    <n v="21"/>
    <n v="695"/>
    <n v="0"/>
    <n v="0"/>
    <n v="0.82013898600000001"/>
    <n v="0"/>
    <n v="0"/>
  </r>
  <r>
    <n v="16975456"/>
    <n v="128"/>
    <n v="3715"/>
    <n v="0"/>
    <n v="0"/>
    <n v="0"/>
    <n v="0"/>
    <n v="0"/>
    <n v="400"/>
    <n v="400"/>
    <n v="400000"/>
    <n v="400000"/>
    <n v="400000"/>
    <n v="400000"/>
    <n v="414877"/>
    <n v="414877"/>
    <n v="414877"/>
    <n v="414877"/>
    <n v="400000"/>
    <n v="400000"/>
    <n v="400000"/>
    <n v="400000"/>
    <n v="0"/>
    <n v="0"/>
    <n v="0"/>
    <n v="0"/>
    <n v="-6950.32"/>
    <n v="-6950.32"/>
    <n v="-6950.32"/>
    <n v="-6950.32"/>
    <s v="07/11/2023 00:00:00"/>
    <s v="MEDIOLANUM PENSIONES II, FONDO DE PENSIONES"/>
    <s v="03/10/2023 00:00:00"/>
    <x v="109"/>
    <n v="4"/>
    <s v="EUR"/>
    <s v="L"/>
    <n v="100.94006633670099"/>
    <n v="101.034143835617"/>
    <n v="404136.58"/>
    <n v="404136.58"/>
    <s v="N"/>
    <n v="4"/>
    <s v="EUR"/>
    <n v="132534288.59999999"/>
    <s v="S"/>
    <n v="1"/>
    <n v="1"/>
    <s v="Consumo No Ciclico"/>
    <s v="Alimentació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0510947999999999"/>
    <s v="ok"/>
    <s v="ok"/>
    <n v="26356083.120000001"/>
    <n v="0"/>
    <n v="376.31"/>
    <n v="0.09"/>
    <s v="PA"/>
    <n v="-78038.69"/>
    <s v="RF"/>
    <s v="RFE"/>
    <n v="-4166.41"/>
    <n v="-4166.41"/>
    <n v="403760.27"/>
    <n v="403760.2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2692112000000001"/>
    <m/>
    <n v="0"/>
    <n v="-219173.26"/>
    <m/>
    <m/>
    <m/>
    <n v="1355558.46"/>
    <n v="0"/>
    <n v="2520.3126550000002"/>
    <n v="52555.483399999997"/>
    <n v="-296353.43"/>
    <n v="92570020.519999996"/>
    <n v="376.31"/>
    <n v="394770.09"/>
    <n v="0.29803809999999997"/>
    <m/>
    <n v="0"/>
    <n v="0"/>
    <n v="-296353.43"/>
    <n v="0"/>
    <n v="0"/>
    <n v="16777215"/>
    <n v="0"/>
    <n v="0"/>
    <n v="0"/>
    <n v="0"/>
    <n v="0"/>
    <n v="404136.58"/>
    <n v="404136.58"/>
    <n v="31345322.399999999"/>
    <n v="-1110160.2399999984"/>
    <n v="92570020.519999966"/>
    <n v="0"/>
    <n v="0"/>
    <s v="S"/>
    <m/>
    <n v="0"/>
    <n v="3"/>
    <n v="0"/>
    <n v="0.43657393"/>
    <n v="0"/>
    <m/>
    <m/>
    <n v="0"/>
    <n v="0"/>
    <n v="1633661.45"/>
    <n v="1.2333592799999999"/>
    <m/>
    <m/>
    <n v="100.99795205479499"/>
    <n v="1"/>
    <n v="10.125869715"/>
    <n v="9.8630137000000007E-2"/>
    <n v="9.0455057623999996E-2"/>
    <n v="9.8630137000000007E-2"/>
    <n v="8.9347500000000002E-4"/>
    <n v="1"/>
    <n v="36"/>
    <n v="0"/>
    <n v="0"/>
    <n v="-15.895807032"/>
    <n v="0"/>
    <n v="0"/>
  </r>
  <r>
    <n v="16975350"/>
    <n v="128"/>
    <n v="7112"/>
    <n v="0"/>
    <n v="0"/>
    <n v="0"/>
    <n v="0"/>
    <n v="0"/>
    <n v="200"/>
    <n v="200"/>
    <n v="200000"/>
    <n v="200000"/>
    <n v="200000"/>
    <n v="189573.46"/>
    <n v="203056"/>
    <n v="192470.14"/>
    <n v="203056"/>
    <n v="192470.14"/>
    <n v="200000"/>
    <n v="189573.46"/>
    <n v="200000"/>
    <n v="189573.46"/>
    <n v="0"/>
    <n v="0"/>
    <n v="0"/>
    <n v="0"/>
    <n v="4106.7700000000004"/>
    <n v="3884.2"/>
    <n v="4106.7700000000004"/>
    <n v="3884.2"/>
    <s v="06/08/2024 00:00:00"/>
    <s v="MEDIOLANUM PENSIONES II, FONDO DE PENSIONES"/>
    <s v="03/10/2023 00:00:00"/>
    <x v="110"/>
    <n v="5"/>
    <s v="USD"/>
    <s v="U"/>
    <n v="92.336748331367005"/>
    <n v="92.227958333333007"/>
    <n v="184455.92"/>
    <n v="175940.4"/>
    <s v="N"/>
    <n v="4"/>
    <s v="EUR"/>
    <n v="132534288.59999999"/>
    <s v="S"/>
    <n v="1"/>
    <n v="1"/>
    <s v="Consumo No Ciclico"/>
    <s v="Alimentación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282906999999999"/>
    <s v="ok"/>
    <s v="ok"/>
    <n v="26356083.120000001"/>
    <n v="0"/>
    <n v="1275.22"/>
    <n v="-0.12"/>
    <s v="PA"/>
    <n v="-78038.69"/>
    <s v="RF"/>
    <s v="RFE"/>
    <n v="-22489.27"/>
    <n v="-21689.16"/>
    <n v="184673.5"/>
    <n v="174665.1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232474000000001"/>
    <m/>
    <n v="0"/>
    <n v="-219173.26"/>
    <m/>
    <m/>
    <m/>
    <n v="1355558.46"/>
    <n v="0"/>
    <n v="2520.3126550000002"/>
    <n v="52555.483399999997"/>
    <n v="-296353.43"/>
    <n v="92570020.519999996"/>
    <n v="-217.58"/>
    <n v="394770.09"/>
    <n v="0.29803809999999997"/>
    <m/>
    <n v="0"/>
    <n v="0"/>
    <n v="-296353.43"/>
    <n v="0"/>
    <n v="0"/>
    <n v="16777215"/>
    <n v="0"/>
    <n v="0"/>
    <n v="0"/>
    <n v="0"/>
    <n v="0"/>
    <n v="184455.92"/>
    <n v="175940.4"/>
    <n v="31345322.399999999"/>
    <n v="-1110160.2399999984"/>
    <n v="92570020.519999966"/>
    <n v="0"/>
    <n v="0"/>
    <s v="S"/>
    <m/>
    <n v="0"/>
    <n v="3"/>
    <n v="0"/>
    <n v="0.19006197"/>
    <n v="0"/>
    <m/>
    <m/>
    <n v="0"/>
    <n v="0"/>
    <n v="1633661.45"/>
    <n v="1.2333592799999999"/>
    <m/>
    <m/>
    <n v="92.372055555556003"/>
    <n v="1.0572999999999999"/>
    <n v="23.381066111999999"/>
    <n v="0.827766012"/>
    <n v="0.68459202355299997"/>
    <n v="0.84657534199999995"/>
    <n v="1.2192794E-2"/>
    <n v="9"/>
    <n v="309"/>
    <n v="0"/>
    <n v="0"/>
    <n v="10.075338824999999"/>
    <n v="0"/>
    <n v="0"/>
  </r>
  <r>
    <n v="16975514"/>
    <n v="128"/>
    <n v="4611"/>
    <n v="0"/>
    <n v="0"/>
    <n v="0"/>
    <n v="0"/>
    <n v="0"/>
    <n v="600"/>
    <n v="600"/>
    <n v="600000"/>
    <n v="600000"/>
    <n v="600000"/>
    <n v="522437.29"/>
    <n v="590175"/>
    <n v="513560.68"/>
    <n v="590175"/>
    <n v="513560.68"/>
    <n v="600000"/>
    <n v="522437.29"/>
    <n v="600000"/>
    <n v="522437.29"/>
    <n v="0"/>
    <n v="0"/>
    <n v="0"/>
    <n v="0"/>
    <n v="4163.8500000000004"/>
    <n v="3938.19"/>
    <n v="4163.8500000000004"/>
    <n v="3938.19"/>
    <s v="19/06/2024 00:00:00"/>
    <s v="MEDIOLANUM PENSIONES II, FONDO DE PENSIONES"/>
    <s v="03/10/2023 00:00:00"/>
    <x v="111"/>
    <n v="5"/>
    <s v="USD"/>
    <s v="A"/>
    <n v="97.546791666667005"/>
    <n v="97.590416666666997"/>
    <n v="585542.5"/>
    <n v="558510.59"/>
    <s v="N"/>
    <n v="4"/>
    <s v="EUR"/>
    <n v="132534288.59999999"/>
    <s v="S"/>
    <n v="1"/>
    <n v="1"/>
    <s v="Consumo No Ciclico"/>
    <s v="Bebida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2165665000000002"/>
    <s v="ok"/>
    <s v="ok"/>
    <n v="26356083.120000001"/>
    <n v="0"/>
    <n v="4948.92"/>
    <n v="0.04"/>
    <s v="PA"/>
    <n v="-78038.69"/>
    <s v="RF"/>
    <s v="RFE"/>
    <n v="-9058.1"/>
    <n v="36062.800000000003"/>
    <n v="585280.75"/>
    <n v="553561.6700000000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5179999999999998"/>
    <m/>
    <n v="0"/>
    <n v="-219173.26"/>
    <m/>
    <m/>
    <m/>
    <n v="1355558.46"/>
    <n v="0"/>
    <n v="2520.3126550000002"/>
    <n v="52555.483399999997"/>
    <n v="-296353.43"/>
    <n v="92570020.519999996"/>
    <n v="261.75"/>
    <n v="394770.09"/>
    <n v="0.29803809999999997"/>
    <m/>
    <n v="0"/>
    <n v="0"/>
    <n v="-296353.43"/>
    <n v="0"/>
    <n v="0"/>
    <n v="16777215"/>
    <n v="0"/>
    <n v="0"/>
    <n v="0"/>
    <n v="0"/>
    <n v="0"/>
    <n v="585542.5"/>
    <n v="558510.59"/>
    <n v="31345322.399999999"/>
    <n v="-1110160.2399999984"/>
    <n v="92570020.519999966"/>
    <n v="0"/>
    <n v="0"/>
    <s v="S"/>
    <m/>
    <n v="0"/>
    <n v="3"/>
    <n v="0"/>
    <n v="0.60333851999999999"/>
    <n v="0"/>
    <m/>
    <m/>
    <n v="0"/>
    <n v="0"/>
    <n v="1633661.45"/>
    <n v="1.2333592799999999"/>
    <m/>
    <m/>
    <n v="97.516708333333"/>
    <n v="1.0572999999999999"/>
    <n v="8.2631601910000008"/>
    <n v="0.70868134000000005"/>
    <n v="0.66366294876300003"/>
    <n v="0.71506849299999997"/>
    <n v="1.117903E-2"/>
    <n v="8"/>
    <n v="261"/>
    <n v="0"/>
    <n v="0"/>
    <n v="6.9518987509999999"/>
    <n v="0"/>
    <n v="0"/>
  </r>
  <r>
    <n v="16975603"/>
    <n v="128"/>
    <n v="9362"/>
    <n v="0"/>
    <n v="0"/>
    <n v="0"/>
    <n v="0"/>
    <n v="0"/>
    <n v="200"/>
    <n v="200"/>
    <n v="200000"/>
    <n v="200000"/>
    <n v="200000"/>
    <n v="200000"/>
    <n v="201510"/>
    <n v="201510"/>
    <n v="201510"/>
    <n v="201510"/>
    <n v="200000"/>
    <n v="200000"/>
    <n v="200000"/>
    <n v="200000"/>
    <n v="0"/>
    <n v="0"/>
    <n v="0"/>
    <n v="0"/>
    <n v="3088.62"/>
    <n v="3088.62"/>
    <n v="3088.62"/>
    <n v="3088.62"/>
    <s v="15/07/2024 00:00:00"/>
    <s v="MEDIOLANUM PENSIONES II, FONDO DE PENSIONES"/>
    <s v="03/10/2023 00:00:00"/>
    <x v="112"/>
    <n v="4"/>
    <s v="EUR"/>
    <s v="E"/>
    <n v="90.906163335013005"/>
    <n v="90.997833333334"/>
    <n v="181995.67"/>
    <n v="181995.67"/>
    <s v="N"/>
    <n v="4"/>
    <s v="EUR"/>
    <n v="132534288.59999999"/>
    <s v="S"/>
    <n v="1"/>
    <n v="1"/>
    <s v="Consumo No Ciclico"/>
    <s v="Productos Domesti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740058999999999"/>
    <s v="ok"/>
    <s v="ok"/>
    <n v="26356083.120000001"/>
    <n v="0"/>
    <n v="183.34"/>
    <n v="0.1"/>
    <s v="PA"/>
    <n v="-78038.69"/>
    <s v="RF"/>
    <s v="RFE"/>
    <n v="-22786.29"/>
    <n v="-22786.29"/>
    <n v="181812.33"/>
    <n v="181812.3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722307000000001"/>
    <m/>
    <n v="0"/>
    <n v="-219173.26"/>
    <m/>
    <m/>
    <m/>
    <n v="1355558.46"/>
    <n v="0"/>
    <n v="2520.3126550000002"/>
    <n v="52555.483399999997"/>
    <n v="-296353.43"/>
    <n v="92570020.519999996"/>
    <n v="183.34"/>
    <n v="394770.09"/>
    <n v="0.29803809999999997"/>
    <m/>
    <n v="0"/>
    <n v="0"/>
    <n v="-296353.43"/>
    <n v="0"/>
    <n v="0"/>
    <n v="16777215"/>
    <n v="0"/>
    <n v="0"/>
    <n v="0"/>
    <n v="0"/>
    <n v="0"/>
    <n v="181995.67"/>
    <n v="181995.67"/>
    <n v="31345322.399999999"/>
    <n v="-1110160.2399999984"/>
    <n v="92570020.519999966"/>
    <n v="0"/>
    <n v="0"/>
    <s v="S"/>
    <m/>
    <n v="0"/>
    <n v="3"/>
    <n v="0"/>
    <n v="0.19660325000000001"/>
    <n v="0"/>
    <m/>
    <m/>
    <n v="0"/>
    <n v="0"/>
    <n v="1633661.45"/>
    <n v="1.2333592799999999"/>
    <m/>
    <m/>
    <n v="90.874111111112001"/>
    <n v="1"/>
    <n v="19.512447786999999"/>
    <n v="0.77696115300000002"/>
    <n v="0.64329521901599995"/>
    <n v="0.78630137"/>
    <n v="1.1498187999999999E-2"/>
    <n v="8"/>
    <n v="287"/>
    <n v="0"/>
    <n v="0"/>
    <n v="4.6502442080000002"/>
    <n v="0"/>
    <n v="0"/>
  </r>
  <r>
    <n v="16975349"/>
    <n v="128"/>
    <n v="9263"/>
    <n v="0"/>
    <n v="0"/>
    <n v="0"/>
    <n v="0"/>
    <n v="0"/>
    <n v="1"/>
    <n v="1"/>
    <n v="100000"/>
    <n v="100000"/>
    <n v="100000"/>
    <n v="100000"/>
    <n v="115136"/>
    <n v="115136"/>
    <n v="115136"/>
    <n v="115136"/>
    <n v="100000"/>
    <n v="100000"/>
    <n v="100000"/>
    <n v="100000"/>
    <n v="0"/>
    <n v="0"/>
    <n v="0"/>
    <n v="0"/>
    <n v="-9556.06"/>
    <n v="-9556.06"/>
    <n v="-9556.06"/>
    <n v="-9556.06"/>
    <s v="09/06/2024 00:00:00"/>
    <s v="MEDIOLANUM PENSIONES II, FONDO DE PENSIONES"/>
    <s v="03/10/2023 00:00:00"/>
    <x v="113"/>
    <n v="4"/>
    <s v="EUR"/>
    <s v="E"/>
    <n v="103.055871857648"/>
    <n v="103.071021857921"/>
    <n v="103071.02"/>
    <n v="103071.02"/>
    <s v="N"/>
    <n v="4"/>
    <s v="EUR"/>
    <n v="132534288.59999999"/>
    <s v="S"/>
    <n v="1"/>
    <n v="1"/>
    <s v="Consumo No Ciclico"/>
    <s v="Serv comercia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7815140000000005E-2"/>
    <s v="ok"/>
    <s v="ok"/>
    <n v="26356083.120000001"/>
    <n v="0"/>
    <n v="15.15"/>
    <n v="0.02"/>
    <s v="PA"/>
    <n v="-78038.69"/>
    <s v="RF"/>
    <s v="RFE"/>
    <n v="-2524.0700000000002"/>
    <n v="-2524.0700000000002"/>
    <n v="103055.87"/>
    <n v="103055.8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3377980000000004E-2"/>
    <m/>
    <n v="0"/>
    <n v="-219173.26"/>
    <m/>
    <m/>
    <m/>
    <n v="1355558.46"/>
    <n v="0"/>
    <n v="2520.3126550000002"/>
    <n v="52555.483399999997"/>
    <n v="-296353.43"/>
    <n v="92570020.519999996"/>
    <n v="15.15"/>
    <n v="394770.09"/>
    <n v="0.29803809999999997"/>
    <m/>
    <n v="0"/>
    <n v="0"/>
    <n v="-296353.43"/>
    <n v="0"/>
    <n v="0"/>
    <n v="16777215"/>
    <n v="0"/>
    <n v="0"/>
    <n v="0"/>
    <n v="0"/>
    <n v="0"/>
    <n v="103071.02"/>
    <n v="103071.02"/>
    <n v="31345322.399999999"/>
    <n v="-1110160.2399999984"/>
    <n v="92570020.519999966"/>
    <n v="0"/>
    <n v="0"/>
    <s v="S"/>
    <m/>
    <n v="0"/>
    <n v="3"/>
    <n v="0"/>
    <n v="0.11134384"/>
    <n v="0"/>
    <m/>
    <m/>
    <n v="0"/>
    <n v="0"/>
    <n v="1633661.45"/>
    <n v="1.2333592799999999"/>
    <m/>
    <m/>
    <n v="103.077469945354"/>
    <n v="1"/>
    <n v="3.9819623370000001"/>
    <n v="0.68579235000000005"/>
    <n v="0.67982694988500003"/>
    <n v="0.68767123299999999"/>
    <n v="1.0692535E-2"/>
    <n v="8"/>
    <n v="251"/>
    <n v="0"/>
    <n v="0"/>
    <n v="-11.509453098"/>
    <n v="0"/>
    <n v="0"/>
  </r>
  <r>
    <n v="16975354"/>
    <n v="128"/>
    <n v="9275"/>
    <n v="0"/>
    <n v="0"/>
    <n v="0"/>
    <n v="0"/>
    <n v="0"/>
    <n v="200"/>
    <n v="200"/>
    <n v="200000"/>
    <n v="200000"/>
    <n v="200000"/>
    <n v="200000"/>
    <n v="230666"/>
    <n v="230666"/>
    <n v="230666"/>
    <n v="230666"/>
    <n v="200000"/>
    <n v="200000"/>
    <n v="200000"/>
    <n v="200000"/>
    <n v="0"/>
    <n v="0"/>
    <n v="0"/>
    <n v="0"/>
    <n v="-15620.6"/>
    <n v="-15620.6"/>
    <n v="-15620.6"/>
    <n v="-15620.6"/>
    <s v="16/09/2025 00:00:00"/>
    <s v="MEDIOLANUM PENSIONES II, FONDO DE PENSIONES"/>
    <s v="03/10/2023 00:00:00"/>
    <x v="114"/>
    <n v="4"/>
    <s v="EUR"/>
    <s v="E"/>
    <n v="100.417350382702"/>
    <n v="100.368210382515"/>
    <n v="200736.42"/>
    <n v="200736.42"/>
    <s v="N"/>
    <n v="4"/>
    <s v="EUR"/>
    <n v="132534288.59999999"/>
    <s v="S"/>
    <n v="1"/>
    <n v="1"/>
    <s v="Consumo No Ciclico"/>
    <s v="Serv comercia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5154922000000001"/>
    <s v="ok"/>
    <s v="ok"/>
    <n v="26356083.120000001"/>
    <n v="0"/>
    <n v="-98.28"/>
    <n v="-0.05"/>
    <s v="PA"/>
    <n v="-78038.69"/>
    <s v="RF"/>
    <s v="RFE"/>
    <n v="-14210.7"/>
    <n v="-14210.7"/>
    <n v="200834.7"/>
    <n v="200834.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6238316"/>
    <m/>
    <n v="0"/>
    <n v="-219173.26"/>
    <m/>
    <m/>
    <m/>
    <n v="1355558.46"/>
    <n v="0"/>
    <n v="2520.3126550000002"/>
    <n v="52555.483399999997"/>
    <n v="-296353.43"/>
    <n v="92570020.519999996"/>
    <n v="-98.28"/>
    <n v="394770.09"/>
    <n v="0.29803809999999997"/>
    <m/>
    <n v="0"/>
    <n v="0"/>
    <n v="-296353.43"/>
    <n v="0"/>
    <n v="0"/>
    <n v="16777215"/>
    <n v="0"/>
    <n v="0"/>
    <n v="0"/>
    <n v="0"/>
    <n v="0"/>
    <n v="200736.42"/>
    <n v="200736.42"/>
    <n v="31345322.399999999"/>
    <n v="-1110160.2399999984"/>
    <n v="92570020.519999966"/>
    <n v="0"/>
    <n v="0"/>
    <s v="S"/>
    <m/>
    <n v="0"/>
    <n v="3"/>
    <n v="0"/>
    <n v="0.21684819999999999"/>
    <n v="0"/>
    <m/>
    <m/>
    <n v="0"/>
    <n v="0"/>
    <n v="1633661.45"/>
    <n v="1.2333592799999999"/>
    <m/>
    <m/>
    <n v="100.427256830603"/>
    <n v="1"/>
    <n v="4.2446919989999996"/>
    <n v="1.9144181250000001"/>
    <n v="1.8443122336060001"/>
    <n v="1.95890411"/>
    <n v="5.1712072999999997E-2"/>
    <n v="22"/>
    <n v="715"/>
    <n v="0"/>
    <n v="0"/>
    <n v="-3.0198656169999998"/>
    <n v="0"/>
    <n v="0"/>
  </r>
  <r>
    <n v="16975449"/>
    <n v="128"/>
    <n v="9260"/>
    <n v="0"/>
    <n v="0"/>
    <n v="0"/>
    <n v="0"/>
    <n v="0"/>
    <n v="400"/>
    <n v="400"/>
    <n v="400000"/>
    <n v="400000"/>
    <n v="400000"/>
    <n v="400000"/>
    <n v="415304"/>
    <n v="415304"/>
    <n v="415304"/>
    <n v="415304"/>
    <n v="400000"/>
    <n v="400000"/>
    <n v="400000"/>
    <n v="400000"/>
    <n v="0"/>
    <n v="0"/>
    <n v="0"/>
    <n v="0"/>
    <n v="-5094.5200000000004"/>
    <n v="-5094.5200000000004"/>
    <n v="-5094.5200000000004"/>
    <n v="-5094.5200000000004"/>
    <s v="26/06/2026 00:00:00"/>
    <s v="MEDIOLANUM PENSIONES II, FONDO DE PENSIONES"/>
    <s v="03/10/2023 00:00:00"/>
    <x v="115"/>
    <n v="4"/>
    <s v="EUR"/>
    <s v="E"/>
    <n v="94.295018156561"/>
    <n v="94.176860655737997"/>
    <n v="376707.44"/>
    <n v="376707.44"/>
    <s v="N"/>
    <n v="4"/>
    <s v="EUR"/>
    <n v="132534288.59999999"/>
    <s v="S"/>
    <n v="1"/>
    <n v="1"/>
    <s v="Consumo No Ciclico"/>
    <s v="Serv comercia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8440141000000002"/>
    <s v="ok"/>
    <s v="ok"/>
    <n v="26356083.120000001"/>
    <n v="0"/>
    <n v="-472.63"/>
    <n v="-0.13"/>
    <s v="PA"/>
    <n v="-78038.69"/>
    <s v="RF"/>
    <s v="RFE"/>
    <n v="-33029.410000000003"/>
    <n v="-33029.410000000003"/>
    <n v="377180.07"/>
    <n v="377180.0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0473265999999999"/>
    <m/>
    <n v="0"/>
    <n v="-219173.26"/>
    <m/>
    <m/>
    <m/>
    <n v="1355558.46"/>
    <n v="0"/>
    <n v="2520.3126550000002"/>
    <n v="52555.483399999997"/>
    <n v="-296353.43"/>
    <n v="92570020.519999996"/>
    <n v="-472.63"/>
    <n v="394770.09"/>
    <n v="0.29803809999999997"/>
    <m/>
    <n v="0"/>
    <n v="0"/>
    <n v="-296353.43"/>
    <n v="0"/>
    <n v="0"/>
    <n v="16777215"/>
    <n v="0"/>
    <n v="0"/>
    <n v="0"/>
    <n v="0"/>
    <n v="0"/>
    <n v="376707.44"/>
    <n v="376707.44"/>
    <n v="31345322.399999999"/>
    <n v="-1110160.2399999984"/>
    <n v="92570020.519999966"/>
    <n v="0"/>
    <n v="0"/>
    <s v="S"/>
    <m/>
    <n v="0"/>
    <n v="3"/>
    <n v="0"/>
    <n v="0.40694323999999998"/>
    <n v="0"/>
    <m/>
    <m/>
    <n v="0"/>
    <n v="0"/>
    <n v="1633661.45"/>
    <n v="1.2333592799999999"/>
    <m/>
    <m/>
    <n v="94.277579234973004"/>
    <n v="1"/>
    <n v="4.1925116090000003"/>
    <n v="2.678928338"/>
    <n v="2.42400221246"/>
    <n v="2.7342465749999998"/>
    <n v="9.1580757999999998E-2"/>
    <n v="31"/>
    <n v="998"/>
    <n v="0"/>
    <n v="0"/>
    <n v="0.50916922499999995"/>
    <n v="0"/>
    <n v="0"/>
  </r>
  <r>
    <n v="16975536"/>
    <n v="128"/>
    <n v="7213"/>
    <n v="0"/>
    <n v="0"/>
    <n v="0"/>
    <n v="0"/>
    <n v="0"/>
    <n v="900"/>
    <n v="900"/>
    <n v="900000"/>
    <n v="900000"/>
    <n v="900000"/>
    <n v="900000"/>
    <n v="905552"/>
    <n v="905552"/>
    <n v="905552"/>
    <n v="905552"/>
    <n v="900000"/>
    <n v="900000"/>
    <n v="900000"/>
    <n v="900000"/>
    <n v="0"/>
    <n v="0"/>
    <n v="0"/>
    <n v="0"/>
    <n v="-2957.79"/>
    <n v="-2957.79"/>
    <n v="-2957.79"/>
    <n v="-2957.79"/>
    <s v="22/02/2026 00:00:00"/>
    <s v="MEDIOLANUM PENSIONES II, FONDO DE PENSIONES"/>
    <s v="03/10/2023 00:00:00"/>
    <x v="116"/>
    <n v="4"/>
    <s v="EUR"/>
    <s v="U"/>
    <n v="91.064144188380993"/>
    <n v="90.689415300546003"/>
    <n v="816204.74"/>
    <n v="816204.74"/>
    <s v="N"/>
    <n v="4"/>
    <s v="EUR"/>
    <n v="132534288.59999999"/>
    <s v="S"/>
    <n v="1"/>
    <n v="1"/>
    <s v="Consumo No Ciclico"/>
    <s v="Serv comercia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1620704000000004"/>
    <s v="ok"/>
    <s v="ok"/>
    <n v="26356083.120000001"/>
    <n v="0"/>
    <n v="-3372.56"/>
    <n v="-0.41"/>
    <s v="PA"/>
    <n v="-78038.69"/>
    <s v="RF"/>
    <s v="RFE"/>
    <n v="-83016.91"/>
    <n v="-83016.91"/>
    <n v="819577.3"/>
    <n v="819577.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6025838000000003"/>
    <m/>
    <n v="0"/>
    <n v="-219173.26"/>
    <m/>
    <m/>
    <m/>
    <n v="1355558.46"/>
    <n v="0"/>
    <n v="2520.3126550000002"/>
    <n v="52555.483399999997"/>
    <n v="-296353.43"/>
    <n v="92570020.519999996"/>
    <n v="-3372.56"/>
    <n v="394770.09"/>
    <n v="0.29803809999999997"/>
    <m/>
    <n v="0"/>
    <n v="0"/>
    <n v="-296353.43"/>
    <n v="0"/>
    <n v="0"/>
    <n v="16777215"/>
    <n v="0"/>
    <n v="0"/>
    <n v="0"/>
    <n v="0"/>
    <n v="0"/>
    <n v="816204.74"/>
    <n v="816204.74"/>
    <n v="31345322.399999999"/>
    <n v="-1110160.2399999984"/>
    <n v="92570020.519999966"/>
    <n v="0"/>
    <n v="0"/>
    <s v="S"/>
    <m/>
    <n v="0"/>
    <n v="3"/>
    <n v="0"/>
    <n v="0.88171606000000002"/>
    <n v="0"/>
    <m/>
    <m/>
    <n v="0"/>
    <n v="0"/>
    <n v="1633661.45"/>
    <n v="1.2333592799999999"/>
    <m/>
    <m/>
    <n v="90.792658469944996"/>
    <n v="1"/>
    <n v="5.840047083"/>
    <n v="2.3557211059999998"/>
    <n v="2.020805807376"/>
    <n v="2.394520548"/>
    <n v="7.1028650999999998E-2"/>
    <n v="27"/>
    <n v="874"/>
    <n v="0"/>
    <n v="0"/>
    <n v="1.325247705"/>
    <n v="0"/>
    <n v="0"/>
  </r>
  <r>
    <n v="16975575"/>
    <n v="128"/>
    <n v="9259"/>
    <n v="0"/>
    <n v="0"/>
    <n v="0"/>
    <n v="0"/>
    <n v="0"/>
    <n v="100"/>
    <n v="100"/>
    <n v="100000"/>
    <n v="100000"/>
    <n v="100000"/>
    <n v="100000"/>
    <n v="105058"/>
    <n v="105058"/>
    <n v="105058"/>
    <n v="105058"/>
    <n v="100000"/>
    <n v="100000"/>
    <n v="100000"/>
    <n v="100000"/>
    <n v="0"/>
    <n v="0"/>
    <n v="0"/>
    <n v="0"/>
    <n v="-393.87"/>
    <n v="-393.87"/>
    <n v="-393.87"/>
    <n v="-393.87"/>
    <s v="04/09/2028 00:00:00"/>
    <s v="MEDIOLANUM PENSIONES II, FONDO DE PENSIONES"/>
    <s v="03/10/2023 00:00:00"/>
    <x v="117"/>
    <n v="4"/>
    <s v="EUR"/>
    <s v="E"/>
    <n v="89.382843988131995"/>
    <n v="89.034773972601997"/>
    <n v="89034.77"/>
    <n v="89034.77"/>
    <s v="N"/>
    <n v="4"/>
    <s v="EUR"/>
    <n v="132534288.59999999"/>
    <s v="S"/>
    <n v="1"/>
    <n v="1"/>
    <s v="Consumo No Ciclico"/>
    <s v="Serv comercial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7218249999999993E-2"/>
    <s v="ok"/>
    <s v="ok"/>
    <n v="26356083.120000001"/>
    <n v="0"/>
    <n v="-348.07"/>
    <n v="-0.39"/>
    <s v="PA"/>
    <n v="-78038.69"/>
    <s v="RF"/>
    <s v="RFE"/>
    <n v="-15281.29"/>
    <n v="-15281.29"/>
    <n v="89382.84"/>
    <n v="89382.8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2023539999999997E-2"/>
    <m/>
    <n v="0"/>
    <n v="-219173.26"/>
    <m/>
    <m/>
    <m/>
    <n v="1355558.46"/>
    <n v="0"/>
    <n v="2520.3126550000002"/>
    <n v="52555.483399999997"/>
    <n v="-296353.43"/>
    <n v="92570020.519999996"/>
    <n v="-348.07"/>
    <n v="394770.09"/>
    <n v="0.29803809999999997"/>
    <m/>
    <n v="0"/>
    <n v="0"/>
    <n v="-296353.43"/>
    <n v="0"/>
    <n v="0"/>
    <n v="16777215"/>
    <n v="0"/>
    <n v="0"/>
    <n v="0"/>
    <n v="0"/>
    <n v="0"/>
    <n v="89034.77"/>
    <n v="89034.77"/>
    <n v="31345322.399999999"/>
    <n v="-1110160.2399999984"/>
    <n v="92570020.519999966"/>
    <n v="0"/>
    <n v="0"/>
    <s v="S"/>
    <m/>
    <n v="0"/>
    <n v="3"/>
    <n v="0"/>
    <n v="9.6181000000000003E-2"/>
    <n v="0"/>
    <m/>
    <m/>
    <n v="0"/>
    <n v="0"/>
    <n v="1633661.45"/>
    <n v="1.2333592799999999"/>
    <m/>
    <m/>
    <n v="89.381794520547999"/>
    <n v="1"/>
    <n v="4.8631502529999997"/>
    <n v="4.6356747399999998"/>
    <n v="3.9512920039239998"/>
    <n v="4.9287671230000001"/>
    <n v="0.24611122499999999"/>
    <n v="53"/>
    <n v="1799"/>
    <n v="0"/>
    <n v="0"/>
    <n v="1.282582042"/>
    <n v="0"/>
    <n v="0"/>
  </r>
  <r>
    <n v="16975598"/>
    <n v="128"/>
    <n v="4482"/>
    <n v="0"/>
    <n v="0"/>
    <n v="0"/>
    <n v="0"/>
    <n v="0"/>
    <n v="149"/>
    <n v="149"/>
    <n v="149000"/>
    <n v="149000"/>
    <n v="149000"/>
    <n v="149000"/>
    <n v="155092.60999999999"/>
    <n v="155092.60999999999"/>
    <n v="155092.60999999999"/>
    <n v="155092.60999999999"/>
    <n v="149000"/>
    <n v="149000"/>
    <n v="149000"/>
    <n v="149000"/>
    <n v="0"/>
    <n v="0"/>
    <n v="0"/>
    <n v="0"/>
    <n v="-6591.97"/>
    <n v="-6591.97"/>
    <n v="-6591.97"/>
    <n v="-6591.97"/>
    <s v="25/04/2024 00:00:00"/>
    <s v="MEDIOLANUM PENSIONES II, FONDO DE PENSIONES"/>
    <s v="03/10/2023 00:00:00"/>
    <x v="118"/>
    <n v="4"/>
    <s v="EUR"/>
    <s v="E"/>
    <n v="98.676999651886007"/>
    <n v="98.760133879780994"/>
    <n v="147152.6"/>
    <n v="147152.6"/>
    <s v="N"/>
    <n v="4"/>
    <s v="EUR"/>
    <n v="132534288.59999999"/>
    <s v="S"/>
    <n v="1"/>
    <n v="1"/>
    <s v="Consumo No Ciclico"/>
    <s v=""/>
    <n v="0"/>
    <n v="999999999"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109525000000001"/>
    <s v="ok"/>
    <s v="ok"/>
    <n v="26356083.120000001"/>
    <n v="0"/>
    <n v="123.87"/>
    <n v="0.08"/>
    <s v="PA"/>
    <n v="-78038.69"/>
    <s v="RF"/>
    <s v="RFE"/>
    <n v="-1471.91"/>
    <n v="-1471.91"/>
    <n v="147028.73000000001"/>
    <n v="147028.7300000000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1903721"/>
    <m/>
    <n v="0"/>
    <n v="-219173.26"/>
    <m/>
    <m/>
    <m/>
    <n v="1355558.46"/>
    <n v="0"/>
    <n v="2520.3126550000002"/>
    <n v="52555.483399999997"/>
    <n v="-296353.43"/>
    <n v="92570020.519999996"/>
    <n v="123.87"/>
    <n v="394770.09"/>
    <n v="0.29803809999999997"/>
    <m/>
    <n v="0"/>
    <n v="0"/>
    <n v="-296353.43"/>
    <n v="0"/>
    <n v="0"/>
    <n v="16777215"/>
    <n v="0"/>
    <n v="0"/>
    <n v="0"/>
    <n v="0"/>
    <n v="0"/>
    <n v="147152.6"/>
    <n v="147152.6"/>
    <n v="31345322.399999999"/>
    <n v="-1110160.2399999984"/>
    <n v="92570020.519999966"/>
    <n v="0"/>
    <n v="0"/>
    <s v="S"/>
    <m/>
    <n v="0"/>
    <n v="3"/>
    <n v="0"/>
    <n v="0.15896356"/>
    <n v="0"/>
    <m/>
    <m/>
    <n v="0"/>
    <n v="0"/>
    <n v="1633661.45"/>
    <n v="1.2333592799999999"/>
    <m/>
    <m/>
    <n v="98.689081967212999"/>
    <n v="1"/>
    <n v="5.4188123409999998"/>
    <n v="0.56284153000000003"/>
    <n v="0.52691083015999995"/>
    <n v="0.56438356199999995"/>
    <n v="7.915254E-3"/>
    <n v="6"/>
    <n v="206"/>
    <n v="0"/>
    <n v="0"/>
    <n v="-4.1012637820000002"/>
    <n v="0"/>
    <n v="0"/>
  </r>
  <r>
    <n v="16975518"/>
    <n v="128"/>
    <n v="8124"/>
    <n v="0"/>
    <n v="0"/>
    <n v="0"/>
    <n v="0"/>
    <n v="0"/>
    <n v="700"/>
    <n v="700"/>
    <n v="700000"/>
    <n v="700000"/>
    <n v="700000"/>
    <n v="700000"/>
    <n v="728989"/>
    <n v="728989"/>
    <n v="728989"/>
    <n v="728989"/>
    <n v="700000"/>
    <n v="700000"/>
    <n v="700000"/>
    <n v="700000"/>
    <n v="0"/>
    <n v="0"/>
    <n v="0"/>
    <n v="0"/>
    <n v="-17436.21"/>
    <n v="-17436.21"/>
    <n v="-17436.21"/>
    <n v="-17436.21"/>
    <s v="22/03/2026 00:00:00"/>
    <s v="MEDIOLANUM PENSIONES II, FONDO DE PENSIONES"/>
    <s v="03/10/2023 00:00:00"/>
    <x v="119"/>
    <n v="4"/>
    <s v="EUR"/>
    <s v="E"/>
    <n v="94.536978914665994"/>
    <n v="94.604117486337998"/>
    <n v="662228.81999999995"/>
    <n v="662228.81999999995"/>
    <s v="N"/>
    <n v="4"/>
    <s v="EUR"/>
    <n v="132534288.59999999"/>
    <s v="S"/>
    <n v="1"/>
    <n v="1"/>
    <s v="Energia"/>
    <s v="Oil&amp;G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9996042000000002"/>
    <s v="ok"/>
    <s v="ok"/>
    <n v="26356083.120000001"/>
    <n v="0"/>
    <n v="469.97"/>
    <n v="7.0000000000000007E-2"/>
    <s v="PA"/>
    <n v="-78038.69"/>
    <s v="RF"/>
    <s v="RFE"/>
    <n v="-49793.94"/>
    <n v="-49793.94"/>
    <n v="661758.85"/>
    <n v="661758.8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3570152999999998"/>
    <m/>
    <n v="0"/>
    <n v="-219173.26"/>
    <m/>
    <m/>
    <m/>
    <n v="1355558.46"/>
    <n v="0"/>
    <n v="2520.3126550000002"/>
    <n v="52555.483399999997"/>
    <n v="-296353.43"/>
    <n v="92570020.519999996"/>
    <n v="469.97"/>
    <n v="394770.09"/>
    <n v="0.29803809999999997"/>
    <m/>
    <n v="0"/>
    <n v="0"/>
    <n v="-296353.43"/>
    <n v="0"/>
    <n v="0"/>
    <n v="16777215"/>
    <n v="0"/>
    <n v="0"/>
    <n v="0"/>
    <n v="0"/>
    <n v="0"/>
    <n v="662228.81999999995"/>
    <n v="662228.81999999995"/>
    <n v="31345322.399999999"/>
    <n v="-1110160.2399999984"/>
    <n v="92570020.519999966"/>
    <n v="0"/>
    <n v="0"/>
    <s v="S"/>
    <m/>
    <n v="0"/>
    <n v="3"/>
    <n v="0"/>
    <n v="0.71538151999999999"/>
    <n v="0"/>
    <m/>
    <m/>
    <n v="0"/>
    <n v="0"/>
    <n v="1633661.45"/>
    <n v="1.2333592799999999"/>
    <m/>
    <m/>
    <n v="94.530737704917001"/>
    <n v="1"/>
    <n v="6.1059682239999997"/>
    <n v="0.72131147500000004"/>
    <n v="0.64262271994200004"/>
    <n v="2.4712328769999998"/>
    <n v="1.102815E-2"/>
    <n v="8"/>
    <n v="902"/>
    <n v="0"/>
    <n v="0"/>
    <n v="1.895592843"/>
    <n v="0"/>
    <n v="0"/>
  </r>
  <r>
    <n v="16975600"/>
    <n v="128"/>
    <n v="9184"/>
    <n v="0"/>
    <n v="0"/>
    <n v="0"/>
    <n v="0"/>
    <n v="0"/>
    <n v="200"/>
    <n v="200"/>
    <n v="200000"/>
    <n v="200000"/>
    <n v="200000"/>
    <n v="200000"/>
    <n v="199122"/>
    <n v="199122"/>
    <n v="199122"/>
    <n v="199122"/>
    <n v="200000"/>
    <n v="200000"/>
    <n v="200000"/>
    <n v="200000"/>
    <n v="0"/>
    <n v="0"/>
    <n v="0"/>
    <n v="0"/>
    <n v="682.15"/>
    <n v="682.15"/>
    <n v="682.15"/>
    <n v="682.15"/>
    <s v="11/05/2027 00:00:00"/>
    <s v="MEDIOLANUM PENSIONES II, FONDO DE PENSIONES"/>
    <s v="03/10/2023 00:00:00"/>
    <x v="120"/>
    <n v="4"/>
    <s v="EUR"/>
    <s v="E"/>
    <n v="86.423954726999995"/>
    <n v="86.494849726775996"/>
    <n v="172989.7"/>
    <n v="172989.7"/>
    <s v="N"/>
    <n v="4"/>
    <s v="EUR"/>
    <n v="132534288.59999999"/>
    <s v="S"/>
    <n v="1"/>
    <n v="1"/>
    <s v="Energia"/>
    <s v="Oil&amp;G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060139000000001"/>
    <s v="ok"/>
    <s v="ok"/>
    <n v="26356083.120000001"/>
    <n v="0"/>
    <n v="141.79"/>
    <n v="0.08"/>
    <s v="PA"/>
    <n v="-78038.69"/>
    <s v="RF"/>
    <s v="RFE"/>
    <n v="-26956.240000000002"/>
    <n v="-26956.240000000002"/>
    <n v="172847.91"/>
    <n v="172847.9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399378"/>
    <m/>
    <n v="0"/>
    <n v="-219173.26"/>
    <m/>
    <m/>
    <m/>
    <n v="1355558.46"/>
    <n v="0"/>
    <n v="2520.3126550000002"/>
    <n v="52555.483399999997"/>
    <n v="-296353.43"/>
    <n v="92570020.519999996"/>
    <n v="141.79"/>
    <n v="394770.09"/>
    <n v="0.29803809999999997"/>
    <m/>
    <n v="0"/>
    <n v="0"/>
    <n v="-296353.43"/>
    <n v="0"/>
    <n v="0"/>
    <n v="16777215"/>
    <n v="0"/>
    <n v="0"/>
    <n v="0"/>
    <n v="0"/>
    <n v="0"/>
    <n v="172989.7"/>
    <n v="172989.7"/>
    <n v="31345322.399999999"/>
    <n v="-1110160.2399999984"/>
    <n v="92570020.519999966"/>
    <n v="0"/>
    <n v="0"/>
    <s v="S"/>
    <m/>
    <n v="0"/>
    <n v="3"/>
    <n v="0"/>
    <n v="0.18687443000000001"/>
    <n v="0"/>
    <m/>
    <m/>
    <n v="0"/>
    <n v="0"/>
    <n v="1633661.45"/>
    <n v="1.2333592799999999"/>
    <m/>
    <m/>
    <n v="86.502885245901993"/>
    <n v="1"/>
    <n v="6.9042335809999997"/>
    <n v="3.2493513799999998"/>
    <n v="2.6292529315389999"/>
    <n v="3.6082191780000001"/>
    <n v="0.122838449"/>
    <n v="36"/>
    <n v="1317"/>
    <n v="0"/>
    <n v="0"/>
    <n v="2.383930528"/>
    <n v="0"/>
    <n v="0"/>
  </r>
  <r>
    <n v="16975531"/>
    <n v="128"/>
    <n v="10612"/>
    <n v="0"/>
    <n v="0"/>
    <n v="0"/>
    <n v="0"/>
    <n v="0"/>
    <n v="8"/>
    <n v="8"/>
    <n v="800000"/>
    <n v="800000"/>
    <n v="800000"/>
    <n v="800000"/>
    <n v="798432"/>
    <n v="798432"/>
    <n v="798432"/>
    <n v="798432"/>
    <n v="800000"/>
    <n v="800000"/>
    <n v="800000"/>
    <n v="800000"/>
    <n v="0"/>
    <n v="0"/>
    <n v="0"/>
    <n v="0"/>
    <n v="11489.52"/>
    <n v="11489.52"/>
    <n v="11489.52"/>
    <n v="11489.52"/>
    <s v="06/06/2025 00:00:00"/>
    <s v="MEDIOLANUM PENSIONES II, FONDO DE PENSIONES"/>
    <s v="03/10/2023 00:00:00"/>
    <x v="121"/>
    <n v="4"/>
    <s v="EUR"/>
    <s v="E"/>
    <n v="101.39122975409801"/>
    <n v="101.390614754099"/>
    <n v="811124.92"/>
    <n v="811124.92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1237195"/>
    <s v="ok"/>
    <s v="ok"/>
    <n v="26356083.120000001"/>
    <n v="0"/>
    <n v="-4.92"/>
    <n v="0"/>
    <s v="PA"/>
    <n v="-78038.69"/>
    <s v="RF"/>
    <s v="RFE"/>
    <n v="1208.32"/>
    <n v="1208.32"/>
    <n v="811129.84"/>
    <n v="811129.8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5614912999999997"/>
    <m/>
    <n v="0"/>
    <n v="-219173.26"/>
    <m/>
    <m/>
    <m/>
    <n v="1355558.46"/>
    <n v="0"/>
    <n v="2520.3126550000002"/>
    <n v="52555.483399999997"/>
    <n v="-296353.43"/>
    <n v="92570020.519999996"/>
    <n v="-4.92"/>
    <n v="394770.09"/>
    <n v="0.29803809999999997"/>
    <m/>
    <n v="0"/>
    <n v="0"/>
    <n v="-296353.43"/>
    <n v="0"/>
    <n v="0"/>
    <n v="16777215"/>
    <n v="0"/>
    <n v="0"/>
    <n v="0"/>
    <n v="0"/>
    <n v="0"/>
    <n v="811124.92"/>
    <n v="811124.92"/>
    <n v="31345322.399999999"/>
    <n v="-1110160.2399999984"/>
    <n v="92570020.519999966"/>
    <n v="0"/>
    <n v="0"/>
    <s v="S"/>
    <m/>
    <n v="0"/>
    <n v="3"/>
    <n v="0"/>
    <n v="0.87622851999999996"/>
    <n v="0"/>
    <m/>
    <m/>
    <n v="0"/>
    <n v="0"/>
    <n v="1633661.45"/>
    <n v="1.2333592799999999"/>
    <m/>
    <m/>
    <n v="101.414819672132"/>
    <n v="1"/>
    <n v="4.509090853"/>
    <n v="1.6345298429999999"/>
    <n v="1.5861352143930001"/>
    <n v="1.6794520550000001"/>
    <n v="3.9803782000000003E-2"/>
    <n v="19"/>
    <n v="613"/>
    <n v="0"/>
    <n v="0"/>
    <n v="5.5379638299999998"/>
    <n v="0"/>
    <n v="0"/>
  </r>
  <r>
    <n v="16975513"/>
    <n v="128"/>
    <n v="7225"/>
    <n v="0"/>
    <n v="0"/>
    <n v="0"/>
    <n v="0"/>
    <n v="0"/>
    <n v="5"/>
    <n v="5"/>
    <n v="500000"/>
    <n v="500000"/>
    <n v="500000"/>
    <n v="500000"/>
    <n v="491323.75"/>
    <n v="491323.75"/>
    <n v="491323.75"/>
    <n v="491323.75"/>
    <n v="500000"/>
    <n v="500000"/>
    <n v="500000"/>
    <n v="500000"/>
    <n v="0"/>
    <n v="0"/>
    <n v="0"/>
    <n v="0"/>
    <n v="9307.7800000000007"/>
    <n v="9307.7800000000007"/>
    <n v="9307.7800000000007"/>
    <n v="9307.7800000000007"/>
    <s v="12/11/2026 00:00:00"/>
    <s v="MEDIOLANUM PENSIONES II, FONDO DE PENSIONES"/>
    <s v="03/10/2023 00:00:00"/>
    <x v="122"/>
    <n v="4"/>
    <s v="EUR"/>
    <s v="S"/>
    <n v="91.315466329044995"/>
    <n v="91.238212328767005"/>
    <n v="456191.06"/>
    <n v="456191.06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4440885999999998"/>
    <s v="ok"/>
    <s v="ok"/>
    <n v="26356083.120000001"/>
    <n v="0"/>
    <n v="-386.27"/>
    <n v="-0.09"/>
    <s v="PA"/>
    <n v="-78038.69"/>
    <s v="RF"/>
    <s v="RFED"/>
    <n v="-44054.2"/>
    <n v="-44054.2"/>
    <n v="456577.33"/>
    <n v="456577.3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6902992000000001"/>
    <m/>
    <n v="0"/>
    <n v="-219173.26"/>
    <m/>
    <m/>
    <m/>
    <n v="1355558.46"/>
    <n v="0"/>
    <n v="2520.3126550000002"/>
    <n v="52555.483399999997"/>
    <n v="-296353.43"/>
    <n v="92570020.519999996"/>
    <n v="-386.27"/>
    <n v="394770.09"/>
    <n v="0.29803809999999997"/>
    <m/>
    <n v="0"/>
    <n v="0"/>
    <n v="-296353.43"/>
    <n v="0"/>
    <n v="0"/>
    <n v="16777215"/>
    <n v="0"/>
    <n v="0"/>
    <n v="0"/>
    <n v="0"/>
    <n v="0"/>
    <n v="456191.06"/>
    <n v="456191.06"/>
    <n v="31345322.399999999"/>
    <n v="-1110160.2399999984"/>
    <n v="92570020.519999966"/>
    <n v="0"/>
    <n v="0"/>
    <s v="S"/>
    <m/>
    <n v="0"/>
    <n v="3"/>
    <n v="0"/>
    <n v="0.49280647999999999"/>
    <n v="0"/>
    <m/>
    <m/>
    <n v="0"/>
    <n v="0"/>
    <n v="1633661.45"/>
    <n v="1.2333592799999999"/>
    <m/>
    <m/>
    <n v="91.290630136987005"/>
    <n v="1"/>
    <n v="4.5389875049999997"/>
    <n v="3.0408633520000001"/>
    <n v="2.655490915448"/>
    <n v="3.1150684929999999"/>
    <n v="0.11393344499999999"/>
    <n v="35"/>
    <n v="1137"/>
    <n v="0"/>
    <n v="0"/>
    <n v="2.040132732"/>
    <n v="0"/>
    <n v="0"/>
  </r>
  <r>
    <n v="16975504"/>
    <n v="128"/>
    <n v="7063"/>
    <n v="0"/>
    <n v="0"/>
    <n v="0"/>
    <n v="0"/>
    <n v="0"/>
    <n v="3"/>
    <n v="3"/>
    <n v="300000"/>
    <n v="300000"/>
    <n v="300000"/>
    <n v="300000"/>
    <n v="300996"/>
    <n v="300996"/>
    <n v="300996"/>
    <n v="300996"/>
    <n v="300000"/>
    <n v="300000"/>
    <n v="300000"/>
    <n v="300000"/>
    <n v="0"/>
    <n v="0"/>
    <n v="0"/>
    <n v="0"/>
    <n v="5.8"/>
    <n v="5.8"/>
    <n v="5.8"/>
    <n v="5.8"/>
    <s v="08/07/2026 00:00:00"/>
    <s v="MEDIOLANUM PENSIONES II, FONDO DE PENSIONES"/>
    <s v="03/10/2023 00:00:00"/>
    <x v="123"/>
    <n v="4"/>
    <s v="EUR"/>
    <s v="S"/>
    <n v="91.415818468801007"/>
    <n v="91.347491803278999"/>
    <n v="274042.48"/>
    <n v="274042.48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0689283"/>
    <s v="ok"/>
    <s v="ok"/>
    <n v="26356083.120000001"/>
    <n v="0"/>
    <n v="-204.98"/>
    <n v="-0.08"/>
    <s v="PA"/>
    <n v="-78038.69"/>
    <s v="RF"/>
    <s v="RFED"/>
    <n v="-26754.34"/>
    <n v="-26754.34"/>
    <n v="274247.46000000002"/>
    <n v="274247.460000000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2168315999999999"/>
    <m/>
    <n v="0"/>
    <n v="-219173.26"/>
    <m/>
    <m/>
    <m/>
    <n v="1355558.46"/>
    <n v="0"/>
    <n v="2520.3126550000002"/>
    <n v="52555.483399999997"/>
    <n v="-296353.43"/>
    <n v="92570020.519999996"/>
    <n v="-204.98"/>
    <n v="394770.09"/>
    <n v="0.29803809999999997"/>
    <m/>
    <n v="0"/>
    <n v="0"/>
    <n v="-296353.43"/>
    <n v="0"/>
    <n v="0"/>
    <n v="16777215"/>
    <n v="0"/>
    <n v="0"/>
    <n v="0"/>
    <n v="0"/>
    <n v="0"/>
    <n v="274042.48"/>
    <n v="274042.48"/>
    <n v="31345322.399999999"/>
    <n v="-1110160.2399999984"/>
    <n v="92570020.519999966"/>
    <n v="0"/>
    <n v="0"/>
    <s v="S"/>
    <m/>
    <n v="0"/>
    <n v="3"/>
    <n v="0"/>
    <n v="0.29603805"/>
    <n v="0"/>
    <m/>
    <m/>
    <n v="0"/>
    <n v="0"/>
    <n v="1633661.45"/>
    <n v="1.2333592799999999"/>
    <m/>
    <m/>
    <n v="91.089101092896996"/>
    <n v="1"/>
    <n v="4.4505070040000003"/>
    <n v="2.737549435"/>
    <n v="2.3873595674149999"/>
    <n v="2.7671232880000001"/>
    <n v="9.4199064999999998E-2"/>
    <n v="31"/>
    <n v="1010"/>
    <n v="0"/>
    <n v="0"/>
    <n v="0.82833387400000003"/>
    <n v="0"/>
    <n v="0"/>
  </r>
  <r>
    <n v="16975443"/>
    <n v="128"/>
    <n v="7177"/>
    <n v="0"/>
    <n v="0"/>
    <n v="0"/>
    <n v="0"/>
    <n v="0"/>
    <n v="2"/>
    <n v="2"/>
    <n v="200000"/>
    <n v="200000"/>
    <n v="200000"/>
    <n v="200000"/>
    <n v="202743"/>
    <n v="202743"/>
    <n v="202743"/>
    <n v="202743"/>
    <n v="200000"/>
    <n v="200000"/>
    <n v="200000"/>
    <n v="200000"/>
    <n v="0"/>
    <n v="0"/>
    <n v="0"/>
    <n v="0"/>
    <n v="2464"/>
    <n v="2464"/>
    <n v="2464"/>
    <n v="2464"/>
    <s v="07/04/2025 00:00:00"/>
    <s v="MEDIOLANUM PENSIONES II, FONDO DE PENSIONES"/>
    <s v="03/10/2023 00:00:00"/>
    <x v="124"/>
    <n v="4"/>
    <s v="EUR"/>
    <s v="S"/>
    <n v="98.298043551592997"/>
    <n v="98.276453551911004"/>
    <n v="196552.91"/>
    <n v="196552.9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839082000000001"/>
    <s v="ok"/>
    <s v="ok"/>
    <n v="26356083.120000001"/>
    <n v="0"/>
    <n v="-43.18"/>
    <n v="-0.02"/>
    <s v="PA"/>
    <n v="-78038.69"/>
    <s v="RF"/>
    <s v="RFED"/>
    <n v="-8610.91"/>
    <n v="-8610.91"/>
    <n v="196596.09"/>
    <n v="196596.0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899895999999999"/>
    <m/>
    <n v="0"/>
    <n v="-219173.26"/>
    <m/>
    <m/>
    <m/>
    <n v="1355558.46"/>
    <n v="0"/>
    <n v="2520.3126550000002"/>
    <n v="52555.483399999997"/>
    <n v="-296353.43"/>
    <n v="92570020.519999996"/>
    <n v="-43.18"/>
    <n v="394770.09"/>
    <n v="0.29803809999999997"/>
    <m/>
    <n v="0"/>
    <n v="0"/>
    <n v="-296353.43"/>
    <n v="0"/>
    <n v="0"/>
    <n v="16777215"/>
    <n v="0"/>
    <n v="0"/>
    <n v="0"/>
    <n v="0"/>
    <n v="0"/>
    <n v="196552.91"/>
    <n v="196552.91"/>
    <n v="31345322.399999999"/>
    <n v="-1110160.2399999984"/>
    <n v="92570020.519999966"/>
    <n v="0"/>
    <n v="0"/>
    <s v="S"/>
    <m/>
    <n v="0"/>
    <n v="3"/>
    <n v="0"/>
    <n v="0.21232889999999999"/>
    <n v="0"/>
    <m/>
    <m/>
    <n v="0"/>
    <n v="0"/>
    <n v="1633661.45"/>
    <n v="1.2333592799999999"/>
    <m/>
    <m/>
    <n v="98.265816939890001"/>
    <n v="1"/>
    <n v="7.4753793169999998"/>
    <n v="1.468306004"/>
    <n v="1.3424869021479999"/>
    <n v="1.515068493"/>
    <n v="3.1750845999999999E-2"/>
    <n v="16"/>
    <n v="553"/>
    <n v="0"/>
    <n v="0"/>
    <n v="5.2224570349999997"/>
    <n v="0"/>
    <n v="0"/>
  </r>
  <r>
    <n v="16975441"/>
    <n v="128"/>
    <n v="9463"/>
    <n v="0"/>
    <n v="0"/>
    <n v="0"/>
    <n v="0"/>
    <n v="0"/>
    <n v="2"/>
    <n v="2"/>
    <n v="200000"/>
    <n v="200000"/>
    <n v="200000"/>
    <n v="200000"/>
    <n v="199962"/>
    <n v="199962"/>
    <n v="199962"/>
    <n v="199962"/>
    <n v="200000"/>
    <n v="200000"/>
    <n v="200000"/>
    <n v="200000"/>
    <n v="0"/>
    <n v="0"/>
    <n v="0"/>
    <n v="0"/>
    <n v="74.11"/>
    <n v="74.11"/>
    <n v="74.11"/>
    <n v="74.11"/>
    <s v="08/09/2026 00:00:00"/>
    <s v="MEDIOLANUM PENSIONES II, FONDO DE PENSIONES"/>
    <s v="03/10/2023 00:00:00"/>
    <x v="125"/>
    <n v="4"/>
    <s v="EUR"/>
    <s v="S"/>
    <n v="86.995053002815993"/>
    <n v="86.879653005465002"/>
    <n v="173759.31"/>
    <n v="173759.3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118241999999999"/>
    <s v="ok"/>
    <s v="ok"/>
    <n v="26356083.120000001"/>
    <n v="0"/>
    <n v="-230.8"/>
    <n v="-0.14000000000000001"/>
    <s v="PA"/>
    <n v="-78038.69"/>
    <s v="RF"/>
    <s v="RFED"/>
    <n v="-26046"/>
    <n v="-26046"/>
    <n v="173990.11"/>
    <n v="173990.1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056036999999999"/>
    <m/>
    <n v="0"/>
    <n v="-219173.26"/>
    <m/>
    <m/>
    <m/>
    <n v="1355558.46"/>
    <n v="0"/>
    <n v="2520.3126550000002"/>
    <n v="52555.483399999997"/>
    <n v="-296353.43"/>
    <n v="92570020.519999996"/>
    <n v="-230.8"/>
    <n v="394770.09"/>
    <n v="0.29803809999999997"/>
    <m/>
    <n v="0"/>
    <n v="0"/>
    <n v="-296353.43"/>
    <n v="0"/>
    <n v="0"/>
    <n v="16777215"/>
    <n v="0"/>
    <n v="0"/>
    <n v="0"/>
    <n v="0"/>
    <n v="0"/>
    <n v="173759.31"/>
    <n v="173759.31"/>
    <n v="31345322.399999999"/>
    <n v="-1110160.2399999984"/>
    <n v="92570020.519999966"/>
    <n v="0"/>
    <n v="0"/>
    <s v="S"/>
    <m/>
    <n v="0"/>
    <n v="3"/>
    <n v="0"/>
    <n v="0.18770581"/>
    <n v="0"/>
    <m/>
    <m/>
    <n v="0"/>
    <n v="0"/>
    <n v="1633661.45"/>
    <n v="1.2333592799999999"/>
    <m/>
    <m/>
    <n v="86.977286885246002"/>
    <n v="1"/>
    <n v="5.432337027"/>
    <n v="2.9182940020000001"/>
    <n v="2.4074710074589998"/>
    <n v="2.9369863010000001"/>
    <n v="0.103108777"/>
    <n v="33"/>
    <n v="1072"/>
    <n v="0"/>
    <n v="0"/>
    <n v="0.51780089600000001"/>
    <n v="0"/>
    <n v="0"/>
  </r>
  <r>
    <n v="16975549"/>
    <n v="128"/>
    <n v="10620"/>
    <n v="0"/>
    <n v="0"/>
    <n v="0"/>
    <n v="0"/>
    <n v="0"/>
    <n v="12"/>
    <n v="12"/>
    <n v="1200000"/>
    <n v="1200000"/>
    <n v="1200000"/>
    <n v="1200000"/>
    <n v="1193916"/>
    <n v="1193916"/>
    <n v="1193916"/>
    <n v="1193916"/>
    <n v="1200000"/>
    <n v="1200000"/>
    <n v="1200000"/>
    <n v="1200000"/>
    <n v="0"/>
    <n v="0"/>
    <n v="0"/>
    <n v="0"/>
    <n v="16966.18"/>
    <n v="16966.18"/>
    <n v="16966.18"/>
    <n v="16966.18"/>
    <s v="15/06/2026 00:00:00"/>
    <s v="MEDIOLANUM PENSIONES II, FONDO DE PENSIONES"/>
    <s v="03/10/2023 00:00:00"/>
    <x v="126"/>
    <n v="4"/>
    <s v="EUR"/>
    <s v="S"/>
    <n v="100.563660628319"/>
    <n v="100.51759562841301"/>
    <n v="1206211.1499999999"/>
    <n v="1206211.1499999999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91064871999999997"/>
    <s v="ok"/>
    <s v="ok"/>
    <n v="26356083.120000001"/>
    <n v="0"/>
    <n v="-552.78"/>
    <n v="-0.05"/>
    <s v="PA"/>
    <n v="-78038.69"/>
    <s v="RF"/>
    <s v="RFED"/>
    <n v="-4118.25"/>
    <n v="-4118.25"/>
    <n v="1206763.93"/>
    <n v="1206763.9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97574908000000005"/>
    <m/>
    <n v="0"/>
    <n v="-219173.26"/>
    <m/>
    <m/>
    <m/>
    <n v="1355558.46"/>
    <n v="0"/>
    <n v="2520.3126550000002"/>
    <n v="52555.483399999997"/>
    <n v="-296353.43"/>
    <n v="92570020.519999996"/>
    <n v="-552.78"/>
    <n v="394770.09"/>
    <n v="0.29803809999999997"/>
    <m/>
    <n v="0"/>
    <n v="0"/>
    <n v="-296353.43"/>
    <n v="0"/>
    <n v="0"/>
    <n v="16777215"/>
    <n v="0"/>
    <n v="0"/>
    <n v="0"/>
    <n v="0"/>
    <n v="0"/>
    <n v="1206211.1499999999"/>
    <n v="1206211.1499999999"/>
    <n v="31345322.399999999"/>
    <n v="-1110160.2399999984"/>
    <n v="92570020.519999966"/>
    <n v="0"/>
    <n v="0"/>
    <s v="S"/>
    <m/>
    <n v="0"/>
    <n v="3"/>
    <n v="0"/>
    <n v="1.3030256899999999"/>
    <n v="0"/>
    <m/>
    <m/>
    <n v="0"/>
    <n v="0"/>
    <n v="1633661.45"/>
    <n v="1.2333592799999999"/>
    <m/>
    <m/>
    <n v="100.589617486338"/>
    <n v="1"/>
    <n v="5.0744586329999999"/>
    <n v="2.5675630109999998"/>
    <n v="2.4579729882989998"/>
    <n v="2.7041095890000002"/>
    <n v="8.4847053000000006E-2"/>
    <n v="29"/>
    <n v="987"/>
    <n v="0"/>
    <n v="0"/>
    <n v="5.5240924370000002"/>
    <n v="0"/>
    <n v="0"/>
  </r>
  <r>
    <n v="16975550"/>
    <n v="128"/>
    <n v="10030"/>
    <n v="0"/>
    <n v="0"/>
    <n v="0"/>
    <n v="0"/>
    <n v="0"/>
    <n v="12"/>
    <n v="12"/>
    <n v="1200000"/>
    <n v="1200000"/>
    <n v="1200000"/>
    <n v="1200000"/>
    <n v="1182408"/>
    <n v="1182408"/>
    <n v="1182408"/>
    <n v="1182408"/>
    <n v="1200000"/>
    <n v="1200000"/>
    <n v="1200000"/>
    <n v="1200000"/>
    <n v="3278.69"/>
    <n v="3278.69"/>
    <n v="3278.69"/>
    <n v="3278.69"/>
    <n v="14882.43"/>
    <n v="14882.43"/>
    <n v="14882.43"/>
    <n v="14882.43"/>
    <s v="15/06/2024 00:00:00"/>
    <s v="MEDIOLANUM PENSIONES II, FONDO DE PENSIONES"/>
    <s v="03/10/2023 00:00:00"/>
    <x v="127"/>
    <n v="4"/>
    <s v="EUR"/>
    <s v="S"/>
    <n v="100.034311680326"/>
    <n v="100.03704918032599"/>
    <n v="1200444.5900000001"/>
    <n v="1200444.590000000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90629517000000004"/>
    <s v="ok"/>
    <s v="ok"/>
    <n v="26356083.120000001"/>
    <n v="0"/>
    <n v="32.85"/>
    <n v="0"/>
    <s v="PA"/>
    <n v="-78038.69"/>
    <s v="RF"/>
    <s v="RFED"/>
    <n v="-157.38"/>
    <n v="-157.38"/>
    <n v="1200411.74"/>
    <n v="1200411.7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97108428999999996"/>
    <m/>
    <n v="0"/>
    <n v="-219173.26"/>
    <m/>
    <m/>
    <m/>
    <n v="1355558.46"/>
    <n v="0"/>
    <n v="2520.3126550000002"/>
    <n v="52555.483399999997"/>
    <n v="-296353.43"/>
    <n v="92570020.519999996"/>
    <n v="32.85"/>
    <n v="394770.09"/>
    <n v="0.29803809999999997"/>
    <m/>
    <n v="0"/>
    <n v="0"/>
    <n v="-296353.43"/>
    <n v="0"/>
    <n v="0"/>
    <n v="16777215"/>
    <n v="0"/>
    <n v="0"/>
    <n v="0"/>
    <n v="0"/>
    <n v="0"/>
    <n v="1200444.5900000001"/>
    <n v="1200444.5900000001"/>
    <n v="31345322.399999999"/>
    <n v="-1110160.2399999984"/>
    <n v="92570020.519999966"/>
    <n v="0"/>
    <n v="0"/>
    <s v="S"/>
    <m/>
    <n v="0"/>
    <n v="3"/>
    <n v="0"/>
    <n v="1.2967962900000001"/>
    <n v="0"/>
    <m/>
    <m/>
    <n v="0"/>
    <n v="0"/>
    <n v="1633661.45"/>
    <n v="1.2333592799999999"/>
    <m/>
    <m/>
    <n v="100.051803278687"/>
    <n v="1"/>
    <n v="5.3049382090000003"/>
    <n v="0.70218579199999998"/>
    <n v="0.66715726639399997"/>
    <n v="0.70410958899999998"/>
    <n v="1.0778579E-2"/>
    <n v="8"/>
    <n v="257"/>
    <n v="0"/>
    <n v="0"/>
    <n v="7.6225371109999998"/>
    <n v="0"/>
    <n v="0"/>
  </r>
  <r>
    <n v="16975532"/>
    <n v="128"/>
    <n v="10614"/>
    <n v="0"/>
    <n v="0"/>
    <n v="0"/>
    <n v="0"/>
    <n v="0"/>
    <n v="8"/>
    <n v="8"/>
    <n v="800000"/>
    <n v="800000"/>
    <n v="800000"/>
    <n v="800000"/>
    <n v="797496"/>
    <n v="797496"/>
    <n v="797496"/>
    <n v="797496"/>
    <n v="800000"/>
    <n v="800000"/>
    <n v="800000"/>
    <n v="800000"/>
    <n v="0"/>
    <n v="0"/>
    <n v="0"/>
    <n v="0"/>
    <n v="14137.93"/>
    <n v="14137.93"/>
    <n v="14137.93"/>
    <n v="14137.93"/>
    <s v="07/06/2026 00:00:00"/>
    <s v="MEDIOLANUM PENSIONES II, FONDO DE PENSIONES"/>
    <s v="03/10/2023 00:00:00"/>
    <x v="128"/>
    <n v="4"/>
    <s v="EUR"/>
    <s v="S"/>
    <n v="102.31241708987"/>
    <n v="102.23852459016599"/>
    <n v="817908.2"/>
    <n v="817908.2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1749310000000002"/>
    <s v="ok"/>
    <s v="ok"/>
    <n v="26356083.120000001"/>
    <n v="0"/>
    <n v="-591.14"/>
    <n v="-7.0000000000000007E-2"/>
    <s v="PA"/>
    <n v="-78038.69"/>
    <s v="RF"/>
    <s v="RFED"/>
    <n v="6865.41"/>
    <n v="6865.41"/>
    <n v="818499.34"/>
    <n v="818499.3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6163636999999997"/>
    <m/>
    <n v="0"/>
    <n v="-219173.26"/>
    <m/>
    <m/>
    <m/>
    <n v="1355558.46"/>
    <n v="0"/>
    <n v="2520.3126550000002"/>
    <n v="52555.483399999997"/>
    <n v="-296353.43"/>
    <n v="92570020.519999996"/>
    <n v="-591.14"/>
    <n v="394770.09"/>
    <n v="0.29803809999999997"/>
    <m/>
    <n v="0"/>
    <n v="0"/>
    <n v="-296353.43"/>
    <n v="0"/>
    <n v="0"/>
    <n v="16777215"/>
    <n v="0"/>
    <n v="0"/>
    <n v="0"/>
    <n v="0"/>
    <n v="0"/>
    <n v="817908.2"/>
    <n v="817908.2"/>
    <n v="31345322.399999999"/>
    <n v="-1110160.2399999984"/>
    <n v="92570020.519999966"/>
    <n v="0"/>
    <n v="0"/>
    <s v="S"/>
    <m/>
    <n v="0"/>
    <n v="3"/>
    <n v="0"/>
    <n v="0.88355625000000004"/>
    <n v="0"/>
    <m/>
    <m/>
    <n v="0"/>
    <n v="0"/>
    <n v="1633661.45"/>
    <n v="1.2333592799999999"/>
    <m/>
    <m/>
    <n v="102.32365573770799"/>
    <n v="1"/>
    <n v="5.3960281490000002"/>
    <n v="2.523917993"/>
    <n v="2.4503439106610001"/>
    <n v="2.6821917810000002"/>
    <n v="8.2209615999999999E-2"/>
    <n v="29"/>
    <n v="979"/>
    <n v="0"/>
    <n v="0"/>
    <n v="6.4923675899999997"/>
    <n v="0"/>
    <n v="0"/>
  </r>
  <r>
    <n v="16975529"/>
    <n v="128"/>
    <n v="10558"/>
    <n v="0"/>
    <n v="0"/>
    <n v="0"/>
    <n v="0"/>
    <n v="0"/>
    <n v="6"/>
    <n v="6"/>
    <n v="600000"/>
    <n v="600000"/>
    <n v="600000"/>
    <n v="600000"/>
    <n v="598584"/>
    <n v="598584"/>
    <n v="598584"/>
    <n v="598584"/>
    <n v="600000"/>
    <n v="600000"/>
    <n v="600000"/>
    <n v="600000"/>
    <n v="0"/>
    <n v="0"/>
    <n v="0"/>
    <n v="0"/>
    <n v="12228.38"/>
    <n v="12228.38"/>
    <n v="12228.38"/>
    <n v="12228.38"/>
    <s v="18/05/2025 00:00:00"/>
    <s v="MEDIOLANUM PENSIONES II, FONDO DE PENSIONES"/>
    <s v="03/10/2023 00:00:00"/>
    <x v="129"/>
    <n v="4"/>
    <s v="EUR"/>
    <s v="S"/>
    <n v="102.011688825045"/>
    <n v="102.03077049180401"/>
    <n v="612184.62"/>
    <n v="612184.62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6217872999999998"/>
    <s v="ok"/>
    <s v="ok"/>
    <n v="26356083.120000001"/>
    <n v="0"/>
    <n v="114.49"/>
    <n v="0.02"/>
    <s v="PA"/>
    <n v="-78038.69"/>
    <s v="RF"/>
    <s v="RFED"/>
    <n v="1257.75"/>
    <n v="1257.75"/>
    <n v="612070.13"/>
    <n v="612070.1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9521892000000001"/>
    <m/>
    <n v="0"/>
    <n v="-219173.26"/>
    <m/>
    <m/>
    <m/>
    <n v="1355558.46"/>
    <n v="0"/>
    <n v="2520.3126550000002"/>
    <n v="52555.483399999997"/>
    <n v="-296353.43"/>
    <n v="92570020.519999996"/>
    <n v="114.49"/>
    <n v="394770.09"/>
    <n v="0.29803809999999997"/>
    <m/>
    <n v="0"/>
    <n v="0"/>
    <n v="-296353.43"/>
    <n v="0"/>
    <n v="0"/>
    <n v="16777215"/>
    <n v="0"/>
    <n v="0"/>
    <n v="0"/>
    <n v="0"/>
    <n v="0"/>
    <n v="612184.62"/>
    <n v="612184.62"/>
    <n v="31345322.399999999"/>
    <n v="-1110160.2399999984"/>
    <n v="92570020.519999966"/>
    <n v="0"/>
    <n v="0"/>
    <s v="S"/>
    <m/>
    <n v="0"/>
    <n v="3"/>
    <n v="0"/>
    <n v="0.66132060999999998"/>
    <n v="0"/>
    <m/>
    <m/>
    <n v="0"/>
    <n v="0"/>
    <n v="1633661.45"/>
    <n v="1.2333592799999999"/>
    <m/>
    <m/>
    <n v="102.0317431694"/>
    <n v="1"/>
    <n v="5.4951344659999997"/>
    <n v="1.573552638"/>
    <n v="1.5218931128269999"/>
    <n v="1.62739726"/>
    <n v="3.6831261999999997E-2"/>
    <n v="18"/>
    <n v="594"/>
    <n v="0"/>
    <n v="0"/>
    <n v="7.0131817490000001"/>
    <n v="0"/>
    <n v="0"/>
  </r>
  <r>
    <n v="16975434"/>
    <n v="128"/>
    <n v="9700"/>
    <n v="0"/>
    <n v="0"/>
    <n v="0"/>
    <n v="0"/>
    <n v="0"/>
    <n v="1"/>
    <n v="1"/>
    <n v="100000"/>
    <n v="100000"/>
    <n v="100000"/>
    <n v="100000"/>
    <n v="99733"/>
    <n v="99733"/>
    <n v="99733"/>
    <n v="99733"/>
    <n v="100000"/>
    <n v="100000"/>
    <n v="100000"/>
    <n v="100000"/>
    <n v="0"/>
    <n v="0"/>
    <n v="0"/>
    <n v="0"/>
    <n v="945.36"/>
    <n v="945.36"/>
    <n v="945.36"/>
    <n v="945.36"/>
    <s v="01/12/2025 00:00:00"/>
    <s v="MEDIOLANUM PENSIONES II, FONDO DE PENSIONES"/>
    <s v="03/10/2023 00:00:00"/>
    <x v="130"/>
    <n v="4"/>
    <s v="EUR"/>
    <s v="S"/>
    <n v="92.138136162519004"/>
    <n v="92.093356164384005"/>
    <n v="92093.36"/>
    <n v="92093.36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952738E-2"/>
    <s v="ok"/>
    <s v="ok"/>
    <n v="26356083.120000001"/>
    <n v="0"/>
    <n v="-44.78"/>
    <n v="-0.04"/>
    <s v="PA"/>
    <n v="-78038.69"/>
    <s v="RF"/>
    <s v="RFED"/>
    <n v="-8540.2199999999993"/>
    <n v="-8540.2199999999993"/>
    <n v="92138.14"/>
    <n v="92138.1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4497750000000001E-2"/>
    <m/>
    <n v="0"/>
    <n v="-219173.26"/>
    <m/>
    <m/>
    <m/>
    <n v="1355558.46"/>
    <n v="0"/>
    <n v="2520.3126550000002"/>
    <n v="52555.483399999997"/>
    <n v="-296353.43"/>
    <n v="92570020.519999996"/>
    <n v="-44.78"/>
    <n v="394770.09"/>
    <n v="0.29803809999999997"/>
    <m/>
    <n v="0"/>
    <n v="0"/>
    <n v="-296353.43"/>
    <n v="0"/>
    <n v="0"/>
    <n v="16777215"/>
    <n v="0"/>
    <n v="0"/>
    <n v="0"/>
    <n v="0"/>
    <n v="0"/>
    <n v="92093.36"/>
    <n v="92093.36"/>
    <n v="31345322.399999999"/>
    <n v="-1110160.2399999984"/>
    <n v="92570020.519999966"/>
    <n v="0"/>
    <n v="0"/>
    <s v="S"/>
    <m/>
    <n v="0"/>
    <n v="3"/>
    <n v="0"/>
    <n v="9.9485080000000004E-2"/>
    <n v="0"/>
    <m/>
    <m/>
    <n v="0"/>
    <n v="0"/>
    <n v="1633661.45"/>
    <n v="1.2333592799999999"/>
    <m/>
    <m/>
    <n v="92.141116438355994"/>
    <n v="1"/>
    <n v="5.3593473530000004"/>
    <n v="2.132650371"/>
    <n v="1.8650911485849999"/>
    <n v="2.167123288"/>
    <n v="6.0655274000000002E-2"/>
    <n v="24"/>
    <n v="791"/>
    <n v="0"/>
    <n v="0"/>
    <n v="1.521242773"/>
    <n v="0"/>
    <n v="0"/>
  </r>
  <r>
    <n v="16975444"/>
    <n v="128"/>
    <n v="10243"/>
    <n v="0"/>
    <n v="0"/>
    <n v="0"/>
    <n v="0"/>
    <n v="0"/>
    <n v="2"/>
    <n v="2"/>
    <n v="200000"/>
    <n v="200000"/>
    <n v="200000"/>
    <n v="200000"/>
    <n v="194100"/>
    <n v="194100"/>
    <n v="194100"/>
    <n v="194100"/>
    <n v="200000"/>
    <n v="200000"/>
    <n v="200000"/>
    <n v="200000"/>
    <n v="0"/>
    <n v="0"/>
    <n v="0"/>
    <n v="0"/>
    <n v="2611.31"/>
    <n v="2611.31"/>
    <n v="2611.31"/>
    <n v="2611.31"/>
    <s v="29/05/2028 00:00:00"/>
    <s v="MEDIOLANUM PENSIONES II, FONDO DE PENSIONES"/>
    <s v="03/10/2023 00:00:00"/>
    <x v="131"/>
    <n v="4"/>
    <s v="EUR"/>
    <s v="S"/>
    <n v="97.621333330707998"/>
    <n v="97.467833333333004"/>
    <n v="194935.67"/>
    <n v="194935.67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716984999999999"/>
    <s v="ok"/>
    <s v="ok"/>
    <n v="26356083.120000001"/>
    <n v="0"/>
    <n v="-307"/>
    <n v="-0.15"/>
    <s v="PA"/>
    <n v="-78038.69"/>
    <s v="RF"/>
    <s v="RFED"/>
    <n v="-1468.64"/>
    <n v="-1468.64"/>
    <n v="195242.67"/>
    <n v="195242.6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769072000000001"/>
    <m/>
    <n v="0"/>
    <n v="-219173.26"/>
    <m/>
    <m/>
    <m/>
    <n v="1355558.46"/>
    <n v="0"/>
    <n v="2520.3126550000002"/>
    <n v="52555.483399999997"/>
    <n v="-296353.43"/>
    <n v="92570020.519999996"/>
    <n v="-307"/>
    <n v="394770.09"/>
    <n v="0.29803809999999997"/>
    <m/>
    <n v="0"/>
    <n v="0"/>
    <n v="-296353.43"/>
    <n v="0"/>
    <n v="0"/>
    <n v="16777215"/>
    <n v="0"/>
    <n v="0"/>
    <n v="0"/>
    <n v="0"/>
    <n v="0"/>
    <n v="194935.67"/>
    <n v="194935.67"/>
    <n v="31345322.399999999"/>
    <n v="-1110160.2399999984"/>
    <n v="92570020.519999966"/>
    <n v="0"/>
    <n v="0"/>
    <s v="S"/>
    <m/>
    <n v="0"/>
    <n v="3"/>
    <n v="0"/>
    <n v="0.21058186000000001"/>
    <n v="0"/>
    <m/>
    <m/>
    <n v="0"/>
    <n v="0"/>
    <n v="1633661.45"/>
    <n v="1.2333592799999999"/>
    <m/>
    <m/>
    <n v="97.6755"/>
    <n v="1"/>
    <n v="3.8524842779999999"/>
    <n v="4.362216117"/>
    <n v="4.1027582853110003"/>
    <n v="4.6602739729999998"/>
    <n v="0.22434644100000001"/>
    <n v="50"/>
    <n v="1701"/>
    <n v="0"/>
    <n v="0"/>
    <n v="4.005566484"/>
    <n v="0"/>
    <n v="0"/>
  </r>
  <r>
    <n v="16975428"/>
    <n v="128"/>
    <n v="7432"/>
    <n v="0"/>
    <n v="0"/>
    <n v="0"/>
    <n v="0"/>
    <n v="0"/>
    <n v="1"/>
    <n v="1"/>
    <n v="200000"/>
    <n v="200000"/>
    <n v="200000"/>
    <n v="200000"/>
    <n v="183084"/>
    <n v="183084"/>
    <n v="183084"/>
    <n v="183084"/>
    <n v="200000"/>
    <n v="200000"/>
    <n v="200000"/>
    <n v="200000"/>
    <n v="0"/>
    <n v="0"/>
    <n v="0"/>
    <n v="0"/>
    <n v="14214.56"/>
    <n v="14214.56"/>
    <n v="14214.56"/>
    <n v="14214.56"/>
    <s v="13/06/2024 00:00:00"/>
    <s v="MEDIOLANUM PENSIONES II, FONDO DE PENSIONES"/>
    <s v="03/10/2023 00:00:00"/>
    <x v="132"/>
    <n v="4"/>
    <s v="EUR"/>
    <s v="S"/>
    <n v="99.592244121193005"/>
    <n v="99.627879120879001"/>
    <n v="199255.76"/>
    <n v="199255.76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5043138"/>
    <s v="ok"/>
    <s v="ok"/>
    <n v="26356083.120000001"/>
    <n v="0"/>
    <n v="71.27"/>
    <n v="0.04"/>
    <s v="PA"/>
    <n v="-78038.69"/>
    <s v="RF"/>
    <s v="RFED"/>
    <n v="1885.93"/>
    <n v="1885.93"/>
    <n v="199184.49"/>
    <n v="199184.4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6118540000000001"/>
    <m/>
    <n v="0"/>
    <n v="-219173.26"/>
    <m/>
    <m/>
    <m/>
    <n v="1355558.46"/>
    <n v="0"/>
    <n v="2520.3126550000002"/>
    <n v="52555.483399999997"/>
    <n v="-296353.43"/>
    <n v="92570020.519999996"/>
    <n v="71.27"/>
    <n v="394770.09"/>
    <n v="0.29803809999999997"/>
    <m/>
    <n v="0"/>
    <n v="0"/>
    <n v="-296353.43"/>
    <n v="0"/>
    <n v="0"/>
    <n v="16777215"/>
    <n v="0"/>
    <n v="0"/>
    <n v="0"/>
    <n v="0"/>
    <n v="0"/>
    <n v="199255.76"/>
    <n v="199255.76"/>
    <n v="31345322.399999999"/>
    <n v="-1110160.2399999984"/>
    <n v="92570020.519999966"/>
    <n v="0"/>
    <n v="0"/>
    <s v="S"/>
    <m/>
    <n v="0"/>
    <n v="3"/>
    <n v="0"/>
    <n v="0.21524868999999999"/>
    <n v="0"/>
    <m/>
    <m/>
    <n v="0"/>
    <n v="0"/>
    <n v="1633661.45"/>
    <n v="1.2333592799999999"/>
    <m/>
    <m/>
    <n v="99.618335164835003"/>
    <n v="1"/>
    <n v="8.0839204579999997"/>
    <n v="0.68427620700000003"/>
    <n v="0.66816116054499997"/>
    <n v="0.69863013699999998"/>
    <n v="1.112144E-2"/>
    <n v="8"/>
    <n v="255"/>
    <n v="0"/>
    <n v="0"/>
    <n v="22.305749705"/>
    <n v="0"/>
    <n v="0"/>
  </r>
  <r>
    <n v="16975427"/>
    <n v="128"/>
    <n v="8758"/>
    <n v="0"/>
    <n v="0"/>
    <n v="0"/>
    <n v="0"/>
    <n v="0"/>
    <n v="1"/>
    <n v="1"/>
    <n v="200000"/>
    <n v="200000"/>
    <n v="200000"/>
    <n v="200000"/>
    <n v="199994"/>
    <n v="199994"/>
    <n v="199994"/>
    <n v="199994"/>
    <n v="200000"/>
    <n v="200000"/>
    <n v="200000"/>
    <n v="200000"/>
    <n v="0"/>
    <n v="0"/>
    <n v="0"/>
    <n v="0"/>
    <n v="2298.27"/>
    <n v="2298.27"/>
    <n v="2298.27"/>
    <n v="2298.27"/>
    <s v="20/07/2026 00:00:00"/>
    <s v="MEDIOLANUM PENSIONES II, FONDO DE PENSIONES"/>
    <s v="03/10/2023 00:00:00"/>
    <x v="133"/>
    <n v="4"/>
    <s v="EUR"/>
    <s v="S"/>
    <n v="90.683916086365002"/>
    <n v="90.733326086957007"/>
    <n v="181466.65"/>
    <n v="181466.6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700119999999999"/>
    <s v="ok"/>
    <s v="ok"/>
    <n v="26356083.120000001"/>
    <n v="0"/>
    <n v="98.82"/>
    <n v="0.06"/>
    <s v="PA"/>
    <n v="-78038.69"/>
    <s v="RF"/>
    <s v="RFED"/>
    <n v="-20924.439999999999"/>
    <n v="-20924.439999999999"/>
    <n v="181367.83"/>
    <n v="181367.8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679512"/>
    <m/>
    <n v="0"/>
    <n v="-219173.26"/>
    <m/>
    <m/>
    <m/>
    <n v="1355558.46"/>
    <n v="0"/>
    <n v="2520.3126550000002"/>
    <n v="52555.483399999997"/>
    <n v="-296353.43"/>
    <n v="92570020.519999996"/>
    <n v="98.82"/>
    <n v="394770.09"/>
    <n v="0.29803809999999997"/>
    <m/>
    <n v="0"/>
    <n v="0"/>
    <n v="-296353.43"/>
    <n v="0"/>
    <n v="0"/>
    <n v="16777215"/>
    <n v="0"/>
    <n v="0"/>
    <n v="0"/>
    <n v="0"/>
    <n v="0"/>
    <n v="181466.65"/>
    <n v="181466.65"/>
    <n v="31345322.399999999"/>
    <n v="-1110160.2399999984"/>
    <n v="92570020.519999966"/>
    <n v="0"/>
    <n v="0"/>
    <s v="S"/>
    <m/>
    <n v="0"/>
    <n v="3"/>
    <n v="0"/>
    <n v="0.19603176999999999"/>
    <n v="0"/>
    <m/>
    <m/>
    <n v="0"/>
    <n v="0"/>
    <n v="1633661.45"/>
    <n v="1.2333592799999999"/>
    <m/>
    <m/>
    <n v="90.684521739130005"/>
    <n v="1"/>
    <n v="11.728139028999999"/>
    <n v="2.1289171150000001"/>
    <n v="1.875604916566"/>
    <n v="2.8"/>
    <n v="6.5223684000000004E-2"/>
    <n v="25"/>
    <n v="1022"/>
    <n v="0"/>
    <n v="0"/>
    <n v="6.7267282479999997"/>
    <n v="0"/>
    <n v="0"/>
  </r>
  <r>
    <n v="16975540"/>
    <n v="128"/>
    <n v="2907"/>
    <n v="0"/>
    <n v="0"/>
    <n v="0"/>
    <n v="0"/>
    <n v="0"/>
    <n v="1000"/>
    <n v="1000"/>
    <n v="1000000"/>
    <n v="1000000"/>
    <n v="1000000"/>
    <n v="1000000"/>
    <n v="71880"/>
    <n v="71880"/>
    <n v="71880"/>
    <n v="71880"/>
    <n v="1000000"/>
    <n v="1000000"/>
    <n v="1000000"/>
    <n v="1000000"/>
    <n v="0"/>
    <n v="0"/>
    <n v="0"/>
    <n v="0"/>
    <n v="0"/>
    <n v="0"/>
    <n v="0"/>
    <n v="0"/>
    <s v="12/06/2015 00:00:00"/>
    <s v="MEDIOLANUM PENSIONES II, FONDO DE PENSIONES"/>
    <s v="03/10/2023 00:00:00"/>
    <x v="134"/>
    <n v="4"/>
    <s v="EUR"/>
    <s v="E"/>
    <n v="0"/>
    <n v="0"/>
    <n v="0"/>
    <n v="0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"/>
    <s v="ok"/>
    <s v="ok"/>
    <n v="26356083.120000001"/>
    <n v="0"/>
    <n v="0"/>
    <n v="0"/>
    <s v="PA"/>
    <n v="-78038.69"/>
    <s v="RF"/>
    <s v="RFE"/>
    <n v="-71880"/>
    <n v="-71880"/>
    <n v="0"/>
    <n v="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0"/>
    <n v="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0"/>
    <n v="1"/>
    <n v="0"/>
    <n v="0"/>
    <n v="0"/>
    <n v="-8.3123287670000003"/>
    <n v="0"/>
    <n v="0"/>
    <n v="-3034"/>
    <n v="0"/>
    <n v="0"/>
    <n v="0"/>
    <n v="0"/>
    <n v="0"/>
  </r>
  <r>
    <n v="16975542"/>
    <n v="128"/>
    <n v="7614"/>
    <n v="0"/>
    <n v="0"/>
    <n v="0"/>
    <n v="0"/>
    <n v="0"/>
    <n v="1000"/>
    <n v="1000"/>
    <n v="1000000"/>
    <n v="1000000"/>
    <n v="1000000"/>
    <n v="1000000"/>
    <n v="985830"/>
    <n v="985830"/>
    <n v="985830"/>
    <n v="985830"/>
    <n v="1000000"/>
    <n v="1000000"/>
    <n v="1000000"/>
    <n v="1000000"/>
    <n v="3671.23"/>
    <n v="3671.23"/>
    <n v="3671.23"/>
    <n v="3671.23"/>
    <n v="18003.32"/>
    <n v="18003.32"/>
    <n v="18003.32"/>
    <n v="18003.32"/>
    <s v="29/01/2024 00:00:00"/>
    <s v="MEDIOLANUM PENSIONES II, FONDO DE PENSIONES"/>
    <s v="03/10/2023 00:00:00"/>
    <x v="135"/>
    <n v="4"/>
    <s v="EUR"/>
    <s v="E"/>
    <n v="100.648985657493"/>
    <n v="100.636924657534"/>
    <n v="1006369.25"/>
    <n v="1006369.2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5977483000000001"/>
    <s v="ok"/>
    <s v="ok"/>
    <n v="26356083.120000001"/>
    <n v="0"/>
    <n v="-120.61"/>
    <n v="-0.01"/>
    <s v="PA"/>
    <n v="-78038.69"/>
    <s v="RF"/>
    <s v="RFE"/>
    <n v="-1014.69"/>
    <n v="-1014.69"/>
    <n v="1006489.86"/>
    <n v="1006489.8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81408952999999995"/>
    <m/>
    <n v="0"/>
    <n v="-219173.26"/>
    <m/>
    <m/>
    <m/>
    <n v="1355558.46"/>
    <n v="0"/>
    <n v="2520.3126550000002"/>
    <n v="52555.483399999997"/>
    <n v="-296353.43"/>
    <n v="92570020.519999996"/>
    <n v="-120.61"/>
    <n v="394770.09"/>
    <n v="0.29803809999999997"/>
    <m/>
    <n v="0"/>
    <n v="0"/>
    <n v="-296353.43"/>
    <n v="0"/>
    <n v="0"/>
    <n v="16777215"/>
    <n v="0"/>
    <n v="0"/>
    <n v="0"/>
    <n v="0"/>
    <n v="0"/>
    <n v="1006369.25"/>
    <n v="1006369.25"/>
    <n v="31345322.399999999"/>
    <n v="-1110160.2399999984"/>
    <n v="92570020.519999966"/>
    <n v="0"/>
    <n v="0"/>
    <s v="S"/>
    <m/>
    <n v="0"/>
    <n v="3"/>
    <n v="0"/>
    <n v="1.0871438099999999"/>
    <n v="0"/>
    <m/>
    <m/>
    <n v="0"/>
    <n v="0"/>
    <n v="1633661.45"/>
    <n v="1.2333592799999999"/>
    <m/>
    <m/>
    <n v="100.65044520548"/>
    <n v="1"/>
    <n v="4.1699100930000004"/>
    <n v="0.326027397"/>
    <n v="0.31501229700299999"/>
    <n v="0.326027397"/>
    <n v="3.9840250000000004E-3"/>
    <n v="4"/>
    <n v="119"/>
    <n v="0"/>
    <n v="0"/>
    <n v="11.016941384000001"/>
    <n v="0"/>
    <n v="0"/>
  </r>
  <r>
    <n v="16975436"/>
    <n v="128"/>
    <n v="10212"/>
    <n v="0"/>
    <n v="0"/>
    <n v="0"/>
    <n v="0"/>
    <n v="0"/>
    <n v="1"/>
    <n v="1"/>
    <n v="100000"/>
    <n v="100000"/>
    <n v="100000"/>
    <n v="100000"/>
    <n v="100960"/>
    <n v="100960"/>
    <n v="100960"/>
    <n v="100960"/>
    <n v="100000"/>
    <n v="100000"/>
    <n v="100000"/>
    <n v="100000"/>
    <n v="0"/>
    <n v="0"/>
    <n v="0"/>
    <n v="0"/>
    <n v="7457.78"/>
    <n v="7457.78"/>
    <n v="7457.78"/>
    <n v="7457.78"/>
    <s v="25/10/2024 00:00:00"/>
    <s v="MEDIOLANUM PENSIONES II, FONDO DE PENSIONES"/>
    <s v="03/10/2023 00:00:00"/>
    <x v="136"/>
    <n v="4"/>
    <s v="EUR"/>
    <s v="E"/>
    <n v="111.30881123259999"/>
    <n v="111.33367123287501"/>
    <n v="111333.67"/>
    <n v="111333.67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8.4053160000000002E-2"/>
    <s v="ok"/>
    <s v="ok"/>
    <n v="26356083.120000001"/>
    <n v="0"/>
    <n v="24.86"/>
    <n v="0.02"/>
    <s v="PA"/>
    <n v="-78038.69"/>
    <s v="RF"/>
    <s v="RFE"/>
    <n v="2891.03"/>
    <n v="2891.03"/>
    <n v="111308.81"/>
    <n v="111308.8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9.0061950000000002E-2"/>
    <m/>
    <n v="0"/>
    <n v="-219173.26"/>
    <m/>
    <m/>
    <m/>
    <n v="1355558.46"/>
    <n v="0"/>
    <n v="2520.3126550000002"/>
    <n v="52555.483399999997"/>
    <n v="-296353.43"/>
    <n v="92570020.519999996"/>
    <n v="24.86"/>
    <n v="394770.09"/>
    <n v="0.29803809999999997"/>
    <m/>
    <n v="0"/>
    <n v="0"/>
    <n v="-296353.43"/>
    <n v="0"/>
    <n v="0"/>
    <n v="16777215"/>
    <n v="0"/>
    <n v="0"/>
    <n v="0"/>
    <n v="0"/>
    <n v="0"/>
    <n v="111333.67"/>
    <n v="111333.67"/>
    <n v="31345322.399999999"/>
    <n v="-1110160.2399999984"/>
    <n v="92570020.519999966"/>
    <n v="0"/>
    <n v="0"/>
    <s v="S"/>
    <m/>
    <n v="0"/>
    <n v="3"/>
    <n v="0"/>
    <n v="0.12026968"/>
    <n v="0"/>
    <m/>
    <m/>
    <n v="0"/>
    <n v="0"/>
    <n v="1633661.45"/>
    <n v="1.2333592799999999"/>
    <m/>
    <m/>
    <n v="111.37538356164499"/>
    <n v="1"/>
    <n v="5.1095199999999998"/>
    <n v="0.98693449099999997"/>
    <n v="1.0457683323739999"/>
    <n v="1.065753425"/>
    <n v="1.8385801E-2"/>
    <n v="11"/>
    <n v="389"/>
    <n v="0"/>
    <n v="0"/>
    <n v="16.146199718999998"/>
    <n v="0"/>
    <n v="0"/>
  </r>
  <r>
    <n v="16975472"/>
    <n v="128"/>
    <n v="8882"/>
    <n v="0"/>
    <n v="0"/>
    <n v="0"/>
    <n v="0"/>
    <n v="0"/>
    <n v="3"/>
    <n v="3"/>
    <n v="300000"/>
    <n v="300000"/>
    <n v="300000"/>
    <n v="300000"/>
    <n v="267727.33"/>
    <n v="267727.33"/>
    <n v="267727.33"/>
    <n v="267727.33"/>
    <n v="300000"/>
    <n v="300000"/>
    <n v="300000"/>
    <n v="300000"/>
    <n v="462.33"/>
    <n v="462.33"/>
    <n v="462.33"/>
    <n v="462.33"/>
    <n v="6832.1"/>
    <n v="6832.1"/>
    <n v="6832.1"/>
    <n v="6832.1"/>
    <s v="12/02/2026 00:00:00"/>
    <s v="MEDIOLANUM PENSIONES II, FONDO DE PENSIONES"/>
    <s v="03/10/2023 00:00:00"/>
    <x v="137"/>
    <n v="4"/>
    <s v="EUR"/>
    <s v="E"/>
    <n v="90.602904018192007"/>
    <n v="90.612650684932007"/>
    <n v="271837.95"/>
    <n v="271837.9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0522847999999999"/>
    <s v="ok"/>
    <s v="ok"/>
    <n v="26356083.120000001"/>
    <n v="0"/>
    <n v="29.24"/>
    <n v="0.01"/>
    <s v="PA"/>
    <n v="-78038.69"/>
    <s v="RF"/>
    <s v="RFE"/>
    <n v="-3213.05"/>
    <n v="-3213.05"/>
    <n v="271808.71000000002"/>
    <n v="271808.710000000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1989982999999999"/>
    <m/>
    <n v="0"/>
    <n v="-219173.26"/>
    <m/>
    <m/>
    <m/>
    <n v="1355558.46"/>
    <n v="0"/>
    <n v="2520.3126550000002"/>
    <n v="52555.483399999997"/>
    <n v="-296353.43"/>
    <n v="92570020.519999996"/>
    <n v="29.24"/>
    <n v="394770.09"/>
    <n v="0.29803809999999997"/>
    <m/>
    <n v="0"/>
    <n v="0"/>
    <n v="-296353.43"/>
    <n v="0"/>
    <n v="0"/>
    <n v="16777215"/>
    <n v="0"/>
    <n v="0"/>
    <n v="0"/>
    <n v="0"/>
    <n v="0"/>
    <n v="271837.95"/>
    <n v="271837.95"/>
    <n v="31345322.399999999"/>
    <n v="-1110160.2399999984"/>
    <n v="92570020.519999966"/>
    <n v="0"/>
    <n v="0"/>
    <s v="S"/>
    <m/>
    <n v="0"/>
    <n v="3"/>
    <n v="0"/>
    <n v="0.29365657000000001"/>
    <n v="0"/>
    <m/>
    <m/>
    <n v="0"/>
    <n v="0"/>
    <n v="1633661.45"/>
    <n v="1.2333592799999999"/>
    <m/>
    <m/>
    <n v="90.626568493150003"/>
    <n v="1"/>
    <n v="5.8108743289999998"/>
    <n v="2.3285692999999998"/>
    <n v="1.9944098047959999"/>
    <n v="2.3671232880000002"/>
    <n v="6.9754362E-2"/>
    <n v="26"/>
    <n v="864"/>
    <n v="0"/>
    <n v="0"/>
    <n v="6.5126070909999996"/>
    <n v="0"/>
    <n v="0"/>
  </r>
  <r>
    <n v="16975347"/>
    <n v="128"/>
    <n v="2910"/>
    <n v="0"/>
    <n v="0"/>
    <n v="0"/>
    <n v="0"/>
    <n v="0"/>
    <n v="1"/>
    <n v="1"/>
    <n v="100000"/>
    <n v="100000"/>
    <n v="100000"/>
    <n v="100000"/>
    <n v="0"/>
    <n v="0"/>
    <n v="0"/>
    <n v="0"/>
    <n v="100000"/>
    <n v="100000"/>
    <n v="100000"/>
    <n v="100000"/>
    <n v="0"/>
    <n v="0"/>
    <n v="0"/>
    <n v="0"/>
    <n v="0"/>
    <n v="0"/>
    <n v="0"/>
    <n v="0"/>
    <s v="28/11/2023 00:00:00"/>
    <s v="MEDIOLANUM PENSIONES II, FONDO DE PENSIONES"/>
    <s v="03/10/2023 00:00:00"/>
    <x v="138"/>
    <n v="4"/>
    <s v="EUR"/>
    <s v="E"/>
    <n v="0"/>
    <n v="0"/>
    <n v="0"/>
    <n v="0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"/>
    <s v="ok"/>
    <s v="ok"/>
    <n v="26356083.120000001"/>
    <n v="0"/>
    <n v="0"/>
    <n v="0"/>
    <s v="PA"/>
    <n v="-78038.69"/>
    <s v="RF"/>
    <s v="RFE"/>
    <n v="0"/>
    <n v="0"/>
    <n v="0"/>
    <n v="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0"/>
    <n v="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0"/>
    <n v="1"/>
    <n v="0"/>
    <n v="0.15616438399999999"/>
    <n v="0"/>
    <n v="0.15616438399999999"/>
    <n v="1.805517E-3"/>
    <n v="2"/>
    <n v="57"/>
    <n v="0"/>
    <n v="0"/>
    <n v="0"/>
    <n v="0"/>
    <n v="0"/>
  </r>
  <r>
    <n v="16975551"/>
    <n v="128"/>
    <n v="7245"/>
    <n v="0"/>
    <n v="0"/>
    <n v="0"/>
    <n v="0"/>
    <n v="0"/>
    <n v="13"/>
    <n v="13"/>
    <n v="1300000"/>
    <n v="1300000"/>
    <n v="1300000"/>
    <n v="1300000"/>
    <n v="1272511"/>
    <n v="1272511"/>
    <n v="1272511"/>
    <n v="1272511"/>
    <n v="1300000"/>
    <n v="1300000"/>
    <n v="1300000"/>
    <n v="1300000"/>
    <n v="10068.49"/>
    <n v="10068.49"/>
    <n v="10068.49"/>
    <n v="10068.49"/>
    <n v="-26.85"/>
    <n v="-26.85"/>
    <n v="-26.85"/>
    <n v="-26.85"/>
    <s v="25/11/2024 00:00:00"/>
    <s v="MEDIOLANUM PENSIONES II, FONDO DE PENSIONES"/>
    <s v="03/10/2023 00:00:00"/>
    <x v="139"/>
    <n v="4"/>
    <s v="EUR"/>
    <s v="E"/>
    <n v="97.570219304519995"/>
    <n v="97.584493150685006"/>
    <n v="1268598.4099999999"/>
    <n v="1268598.4099999999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95774899999999996"/>
    <s v="ok"/>
    <s v="ok"/>
    <n v="26356083.120000001"/>
    <n v="0"/>
    <n v="185.56"/>
    <n v="0.01"/>
    <s v="PA"/>
    <n v="-78038.69"/>
    <s v="RF"/>
    <s v="RFE"/>
    <n v="-14139.79"/>
    <n v="-14139.79"/>
    <n v="1268412.8500000001"/>
    <n v="1268412.850000000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0262164499999999"/>
    <m/>
    <n v="0"/>
    <n v="-219173.26"/>
    <m/>
    <m/>
    <m/>
    <n v="1355558.46"/>
    <n v="0"/>
    <n v="2520.3126550000002"/>
    <n v="52555.483399999997"/>
    <n v="-296353.43"/>
    <n v="92570020.519999996"/>
    <n v="185.56"/>
    <n v="394770.09"/>
    <n v="0.29803809999999997"/>
    <m/>
    <n v="0"/>
    <n v="0"/>
    <n v="-296353.43"/>
    <n v="0"/>
    <n v="0"/>
    <n v="16777215"/>
    <n v="0"/>
    <n v="0"/>
    <n v="0"/>
    <n v="0"/>
    <n v="0"/>
    <n v="1268598.4099999999"/>
    <n v="1268598.4099999999"/>
    <n v="31345322.399999999"/>
    <n v="-1110160.2399999984"/>
    <n v="92570020.519999966"/>
    <n v="0"/>
    <n v="0"/>
    <s v="S"/>
    <m/>
    <n v="0"/>
    <n v="3"/>
    <n v="0"/>
    <n v="1.37042036"/>
    <n v="0"/>
    <m/>
    <m/>
    <n v="0"/>
    <n v="0"/>
    <n v="1633661.45"/>
    <n v="1.2333592799999999"/>
    <m/>
    <m/>
    <n v="97.578068493150994"/>
    <n v="1"/>
    <n v="4.4291150860000004"/>
    <n v="1.1352168229999999"/>
    <n v="1.0607411997759999"/>
    <n v="1.1506849320000001"/>
    <n v="2.2342063999999998E-2"/>
    <n v="13"/>
    <n v="420"/>
    <n v="0"/>
    <n v="0"/>
    <n v="4.1401846219999996"/>
    <n v="0"/>
    <n v="0"/>
  </r>
  <r>
    <n v="16975526"/>
    <n v="128"/>
    <n v="5712"/>
    <n v="0"/>
    <n v="0"/>
    <n v="0"/>
    <n v="0"/>
    <n v="0"/>
    <n v="6"/>
    <n v="6"/>
    <n v="600000"/>
    <n v="600000"/>
    <n v="600000"/>
    <n v="600000"/>
    <n v="684728.67"/>
    <n v="684728.67"/>
    <n v="684728.67"/>
    <n v="684728.67"/>
    <n v="600000"/>
    <n v="600000"/>
    <n v="600000"/>
    <n v="600000"/>
    <n v="0"/>
    <n v="0"/>
    <n v="0"/>
    <n v="0"/>
    <n v="-51933.8"/>
    <n v="-51933.8"/>
    <n v="-51933.8"/>
    <n v="-51933.8"/>
    <s v="27/11/2023 00:00:00"/>
    <s v="MEDIOLANUM PENSIONES II, FONDO DE PENSIONES"/>
    <s v="03/10/2023 00:00:00"/>
    <x v="140"/>
    <n v="4"/>
    <s v="EUR"/>
    <s v="E"/>
    <n v="105.024437695034"/>
    <n v="105.18422602739599"/>
    <n v="631105.36"/>
    <n v="631105.36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7646326"/>
    <s v="ok"/>
    <s v="ok"/>
    <n v="26356083.120000001"/>
    <n v="0"/>
    <n v="958.73"/>
    <n v="0.15"/>
    <s v="PA"/>
    <n v="-78038.69"/>
    <s v="RF"/>
    <s v="RFE"/>
    <n v="-2648.24"/>
    <n v="-2648.24"/>
    <n v="630146.63"/>
    <n v="630146.6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1052461000000005"/>
    <m/>
    <n v="0"/>
    <n v="-219173.26"/>
    <m/>
    <m/>
    <m/>
    <n v="1355558.46"/>
    <n v="0"/>
    <n v="2520.3126550000002"/>
    <n v="52555.483399999997"/>
    <n v="-296353.43"/>
    <n v="92570020.519999996"/>
    <n v="958.73"/>
    <n v="394770.09"/>
    <n v="0.29803809999999997"/>
    <m/>
    <n v="0"/>
    <n v="0"/>
    <n v="-296353.43"/>
    <n v="0"/>
    <n v="0"/>
    <n v="16777215"/>
    <n v="0"/>
    <n v="0"/>
    <n v="0"/>
    <n v="0"/>
    <n v="0"/>
    <n v="631105.36"/>
    <n v="631105.36"/>
    <n v="31345322.399999999"/>
    <n v="-1110160.2399999984"/>
    <n v="92570020.519999966"/>
    <n v="0"/>
    <n v="0"/>
    <s v="S"/>
    <m/>
    <n v="0"/>
    <n v="3"/>
    <n v="0"/>
    <n v="0.68175998999999998"/>
    <n v="0"/>
    <m/>
    <m/>
    <n v="0"/>
    <n v="0"/>
    <n v="1633661.45"/>
    <n v="1.2333592799999999"/>
    <m/>
    <m/>
    <n v="105.08413013698799"/>
    <n v="1"/>
    <n v="5.0083985139999996"/>
    <n v="0.15342465799999999"/>
    <n v="0.15353530679899999"/>
    <n v="0.15342465799999999"/>
    <n v="1.6048569999999999E-3"/>
    <n v="2"/>
    <n v="56"/>
    <n v="0"/>
    <n v="0"/>
    <n v="-38.667824068000002"/>
    <n v="0"/>
    <n v="0"/>
  </r>
  <r>
    <n v="16975373"/>
    <n v="128"/>
    <n v="9504"/>
    <n v="0"/>
    <n v="0"/>
    <n v="0"/>
    <n v="0"/>
    <n v="0"/>
    <n v="200"/>
    <n v="200"/>
    <n v="200000"/>
    <n v="200000"/>
    <n v="200000"/>
    <n v="169247.69"/>
    <n v="223024"/>
    <n v="188731.49"/>
    <n v="223024"/>
    <n v="188731.49"/>
    <n v="200000"/>
    <n v="169247.69"/>
    <n v="200000"/>
    <n v="169247.69"/>
    <n v="0"/>
    <n v="0"/>
    <n v="0"/>
    <n v="0"/>
    <n v="-4328.92"/>
    <n v="-4094.32"/>
    <n v="-4328.92"/>
    <n v="-4094.32"/>
    <s v="19/06/2027 00:00:00"/>
    <s v="MEDIOLANUM PENSIONES II, FONDO DE PENSIONES"/>
    <s v="03/10/2023 00:00:00"/>
    <x v="141"/>
    <n v="5"/>
    <s v="USD"/>
    <s v="E"/>
    <n v="92.898332767789995"/>
    <n v="92.482677777777994"/>
    <n v="184965.36"/>
    <n v="176426.33"/>
    <s v="N"/>
    <n v="4"/>
    <s v="EUR"/>
    <n v="132534288.59999999"/>
    <s v="S"/>
    <n v="1"/>
    <n v="1"/>
    <s v="Financiero"/>
    <s v="Banco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319592999999999"/>
    <s v="ok"/>
    <s v="ok"/>
    <n v="26356083.120000001"/>
    <n v="0"/>
    <n v="698.84"/>
    <n v="-0.45"/>
    <s v="PA"/>
    <n v="-78038.69"/>
    <s v="RF"/>
    <s v="RFE"/>
    <n v="-32898.410000000003"/>
    <n v="-8909.68"/>
    <n v="185796.67"/>
    <n v="175727.4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271782"/>
    <m/>
    <n v="0"/>
    <n v="-219173.26"/>
    <m/>
    <m/>
    <m/>
    <n v="1355558.46"/>
    <n v="0"/>
    <n v="2520.3126550000002"/>
    <n v="52555.483399999997"/>
    <n v="-296353.43"/>
    <n v="92570020.519999996"/>
    <n v="-831.31"/>
    <n v="394770.09"/>
    <n v="0.29803809999999997"/>
    <m/>
    <n v="0"/>
    <n v="0"/>
    <n v="-296353.43"/>
    <n v="0"/>
    <n v="0"/>
    <n v="16777215"/>
    <n v="0"/>
    <n v="0"/>
    <n v="0"/>
    <n v="0"/>
    <n v="0"/>
    <n v="184965.36"/>
    <n v="176426.33"/>
    <n v="31345322.399999999"/>
    <n v="-1110160.2399999984"/>
    <n v="92570020.519999966"/>
    <n v="0"/>
    <n v="0"/>
    <s v="S"/>
    <m/>
    <n v="0"/>
    <n v="3"/>
    <n v="0"/>
    <n v="0.1905869"/>
    <n v="0"/>
    <m/>
    <m/>
    <n v="0"/>
    <n v="0"/>
    <n v="1633661.45"/>
    <n v="1.2333592799999999"/>
    <m/>
    <m/>
    <n v="92.864397222221996"/>
    <n v="1.0572999999999999"/>
    <n v="8.8712551620000006"/>
    <n v="0.213888889"/>
    <n v="0.19019048576799999"/>
    <n v="3.715068493"/>
    <n v="2.3805089999999998E-3"/>
    <n v="2"/>
    <n v="1356"/>
    <n v="0"/>
    <n v="0"/>
    <n v="3.0620409450000001"/>
    <n v="0"/>
    <n v="0"/>
  </r>
  <r>
    <n v="16975558"/>
    <n v="128"/>
    <n v="7145"/>
    <n v="0"/>
    <n v="0"/>
    <n v="0"/>
    <n v="0"/>
    <n v="0"/>
    <n v="50"/>
    <n v="50"/>
    <n v="100000"/>
    <n v="100000"/>
    <n v="100000"/>
    <n v="85881.14"/>
    <n v="106099"/>
    <n v="91119.03"/>
    <n v="106099"/>
    <n v="91119.03"/>
    <n v="100000"/>
    <n v="85881.14"/>
    <n v="100000"/>
    <n v="85881.14"/>
    <n v="0"/>
    <n v="0"/>
    <n v="0"/>
    <n v="0"/>
    <n v="-2401.13"/>
    <n v="-2271"/>
    <n v="-2401.13"/>
    <n v="-2271"/>
    <s v="29/03/2024 00:00:00"/>
    <s v="MEDIOLANUM PENSIONES II, FONDO DE PENSIONES"/>
    <s v="03/10/2023 00:00:00"/>
    <x v="142"/>
    <n v="5"/>
    <s v="USD"/>
    <s v="E"/>
    <n v="101.335322349439"/>
    <n v="101.347792349728"/>
    <n v="101347.79"/>
    <n v="96669.01"/>
    <s v="N"/>
    <n v="4"/>
    <s v="EUR"/>
    <n v="132534288.59999999"/>
    <s v="S"/>
    <n v="1"/>
    <n v="1"/>
    <s v="Financiero"/>
    <s v="Banco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2981840000000006E-2"/>
    <s v="ok"/>
    <s v="ok"/>
    <n v="26356083.120000001"/>
    <n v="0"/>
    <n v="825.52"/>
    <n v="0.01"/>
    <s v="PA"/>
    <n v="-78038.69"/>
    <s v="RF"/>
    <s v="RFE"/>
    <n v="-2362.5500000000002"/>
    <n v="6995.46"/>
    <n v="101335.32"/>
    <n v="95843.4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8199160000000004E-2"/>
    <m/>
    <n v="0"/>
    <n v="-219173.26"/>
    <m/>
    <m/>
    <m/>
    <n v="1355558.46"/>
    <n v="0"/>
    <n v="2520.3126550000002"/>
    <n v="52555.483399999997"/>
    <n v="-296353.43"/>
    <n v="92570020.519999996"/>
    <n v="12.47"/>
    <n v="394770.09"/>
    <n v="0.29803809999999997"/>
    <m/>
    <n v="0"/>
    <n v="0"/>
    <n v="-296353.43"/>
    <n v="0"/>
    <n v="0"/>
    <n v="16777215"/>
    <n v="0"/>
    <n v="0"/>
    <n v="0"/>
    <n v="0"/>
    <n v="0"/>
    <n v="101347.79"/>
    <n v="96669.01"/>
    <n v="31345322.399999999"/>
    <n v="-1110160.2399999984"/>
    <n v="92570020.519999966"/>
    <n v="0"/>
    <n v="0"/>
    <s v="S"/>
    <m/>
    <n v="0"/>
    <n v="3"/>
    <n v="0"/>
    <n v="0.10442799"/>
    <n v="0"/>
    <m/>
    <m/>
    <n v="0"/>
    <n v="0"/>
    <n v="1633661.45"/>
    <n v="1.2333592799999999"/>
    <m/>
    <m/>
    <n v="101.364133879783"/>
    <n v="1.0572999999999999"/>
    <n v="6.3237728600000001"/>
    <n v="0.48907103800000001"/>
    <n v="0.46625755384799999"/>
    <n v="0.49041095899999998"/>
    <n v="6.442087E-3"/>
    <n v="6"/>
    <n v="179"/>
    <n v="0"/>
    <n v="0"/>
    <n v="-3.152086304"/>
    <n v="0"/>
    <n v="0"/>
  </r>
  <r>
    <n v="16975557"/>
    <n v="128"/>
    <n v="7394"/>
    <n v="0"/>
    <n v="0"/>
    <n v="0"/>
    <n v="0"/>
    <n v="0"/>
    <n v="50"/>
    <n v="50"/>
    <n v="100000"/>
    <n v="100000"/>
    <n v="100000"/>
    <n v="84666.84"/>
    <n v="110136"/>
    <n v="93248.67"/>
    <n v="110136"/>
    <n v="93248.67"/>
    <n v="100000"/>
    <n v="84666.84"/>
    <n v="100000"/>
    <n v="84666.84"/>
    <n v="0"/>
    <n v="0"/>
    <n v="0"/>
    <n v="0"/>
    <n v="-5706.43"/>
    <n v="-5397.17"/>
    <n v="-5706.43"/>
    <n v="-5397.17"/>
    <s v="13/07/2024 00:00:00"/>
    <s v="MEDIOLANUM PENSIONES II, FONDO DE PENSIONES"/>
    <s v="03/10/2023 00:00:00"/>
    <x v="143"/>
    <n v="5"/>
    <s v="USD"/>
    <s v="E"/>
    <n v="100.236952624588"/>
    <n v="100.17444262295101"/>
    <n v="100174.44"/>
    <n v="95549.83"/>
    <s v="N"/>
    <n v="4"/>
    <s v="EUR"/>
    <n v="132534288.59999999"/>
    <s v="S"/>
    <n v="1"/>
    <n v="1"/>
    <s v="Financiero"/>
    <s v="Banco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2136900000000004E-2"/>
    <s v="ok"/>
    <s v="ok"/>
    <n v="26356083.120000001"/>
    <n v="0"/>
    <n v="745.19"/>
    <n v="-0.06"/>
    <s v="PA"/>
    <n v="-78038.69"/>
    <s v="RF"/>
    <s v="RFE"/>
    <n v="-4192.62"/>
    <n v="6953.14"/>
    <n v="100236.95"/>
    <n v="94804.6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7293810000000004E-2"/>
    <m/>
    <n v="0"/>
    <n v="-219173.26"/>
    <m/>
    <m/>
    <m/>
    <n v="1355558.46"/>
    <n v="0"/>
    <n v="2520.3126550000002"/>
    <n v="52555.483399999997"/>
    <n v="-296353.43"/>
    <n v="92570020.519999996"/>
    <n v="-62.51"/>
    <n v="394770.09"/>
    <n v="0.29803809999999997"/>
    <m/>
    <n v="0"/>
    <n v="0"/>
    <n v="-296353.43"/>
    <n v="0"/>
    <n v="0"/>
    <n v="16777215"/>
    <n v="0"/>
    <n v="0"/>
    <n v="0"/>
    <n v="0"/>
    <n v="0"/>
    <n v="100174.44"/>
    <n v="95549.83"/>
    <n v="31345322.399999999"/>
    <n v="-1110160.2399999984"/>
    <n v="92570020.519999966"/>
    <n v="0"/>
    <n v="0"/>
    <s v="S"/>
    <m/>
    <n v="0"/>
    <n v="3"/>
    <n v="0"/>
    <n v="0.10321898"/>
    <n v="0"/>
    <m/>
    <m/>
    <n v="0"/>
    <n v="0"/>
    <n v="1633661.45"/>
    <n v="1.2333592799999999"/>
    <m/>
    <m/>
    <n v="100.177778688525"/>
    <n v="1.0572999999999999"/>
    <n v="6.938643677"/>
    <n v="0.77868852499999996"/>
    <n v="0.72945835110900004"/>
    <n v="0.780821918"/>
    <n v="1.21114E-2"/>
    <n v="9"/>
    <n v="285"/>
    <n v="0"/>
    <n v="0"/>
    <n v="-5.3154176079999997"/>
    <n v="0"/>
    <n v="0"/>
  </r>
  <r>
    <n v="16975505"/>
    <n v="128"/>
    <n v="8277"/>
    <n v="0"/>
    <n v="0"/>
    <n v="0"/>
    <n v="0"/>
    <n v="0"/>
    <n v="3"/>
    <n v="3"/>
    <n v="600000"/>
    <n v="600000"/>
    <n v="600000"/>
    <n v="600000"/>
    <n v="606397.5"/>
    <n v="606397.5"/>
    <n v="606397.5"/>
    <n v="606397.5"/>
    <n v="600000"/>
    <n v="600000"/>
    <n v="600000"/>
    <n v="600000"/>
    <n v="0"/>
    <n v="0"/>
    <n v="0"/>
    <n v="0"/>
    <n v="1950.3"/>
    <n v="1950.3"/>
    <n v="1950.3"/>
    <n v="1950.3"/>
    <s v="29/12/2025 00:00:00"/>
    <s v="MEDIOLANUM PENSIONES II, FONDO DE PENSIONES"/>
    <s v="03/10/2023 00:00:00"/>
    <x v="144"/>
    <n v="4"/>
    <s v="EUR"/>
    <s v="E"/>
    <n v="92.963204754464002"/>
    <n v="93.101614754097994"/>
    <n v="558609.68999999994"/>
    <n v="558609.68999999994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2173147"/>
    <s v="ok"/>
    <s v="ok"/>
    <n v="26356083.120000001"/>
    <n v="0"/>
    <n v="830.46"/>
    <n v="0.15"/>
    <s v="PA"/>
    <n v="-78038.69"/>
    <s v="RF"/>
    <s v="RFE"/>
    <n v="-50568.57"/>
    <n v="-50568.57"/>
    <n v="557779.23"/>
    <n v="557779.2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5188015999999998"/>
    <m/>
    <n v="0"/>
    <n v="-219173.26"/>
    <m/>
    <m/>
    <m/>
    <n v="1355558.46"/>
    <n v="0"/>
    <n v="2520.3126550000002"/>
    <n v="52555.483399999997"/>
    <n v="-296353.43"/>
    <n v="92570020.519999996"/>
    <n v="830.46"/>
    <n v="394770.09"/>
    <n v="0.29803809999999997"/>
    <m/>
    <n v="0"/>
    <n v="0"/>
    <n v="-296353.43"/>
    <n v="0"/>
    <n v="0"/>
    <n v="16777215"/>
    <n v="0"/>
    <n v="0"/>
    <n v="0"/>
    <n v="0"/>
    <n v="0"/>
    <n v="558609.68999999994"/>
    <n v="558609.68999999994"/>
    <n v="31345322.399999999"/>
    <n v="-1110160.2399999984"/>
    <n v="92570020.519999966"/>
    <n v="0"/>
    <n v="0"/>
    <s v="S"/>
    <m/>
    <n v="0"/>
    <n v="3"/>
    <n v="0"/>
    <n v="0.60344556999999999"/>
    <n v="0"/>
    <m/>
    <m/>
    <n v="0"/>
    <n v="0"/>
    <n v="1633661.45"/>
    <n v="1.2333592799999999"/>
    <m/>
    <m/>
    <n v="92.940478142076998"/>
    <n v="1"/>
    <n v="8.9480902590000007"/>
    <n v="2.124205715"/>
    <n v="1.889700877321"/>
    <n v="2.2438356160000001"/>
    <n v="6.2306205000000003E-2"/>
    <n v="24"/>
    <n v="819"/>
    <n v="0"/>
    <n v="0"/>
    <n v="4.7390845050000001"/>
    <n v="0"/>
    <n v="0"/>
  </r>
  <r>
    <n v="16975448"/>
    <n v="128"/>
    <n v="7285"/>
    <n v="0"/>
    <n v="0"/>
    <n v="0"/>
    <n v="0"/>
    <n v="0"/>
    <n v="315"/>
    <n v="315"/>
    <n v="315000"/>
    <n v="315000"/>
    <n v="315000"/>
    <n v="315000"/>
    <n v="326579.40000000002"/>
    <n v="326579.40000000002"/>
    <n v="326579.40000000002"/>
    <n v="326579.40000000002"/>
    <n v="315000"/>
    <n v="315000"/>
    <n v="315000"/>
    <n v="315000"/>
    <n v="0"/>
    <n v="0"/>
    <n v="0"/>
    <n v="0"/>
    <n v="-5572.7"/>
    <n v="-5572.7"/>
    <n v="-5572.7"/>
    <n v="-5572.7"/>
    <s v="25/01/2024 00:00:00"/>
    <s v="MEDIOLANUM PENSIONES II, FONDO DE PENSIONES"/>
    <s v="03/10/2023 00:00:00"/>
    <x v="145"/>
    <n v="4"/>
    <s v="EUR"/>
    <s v="E"/>
    <n v="100.93776979744599"/>
    <n v="100.959760273973"/>
    <n v="318023.24"/>
    <n v="318023.24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4009681999999999"/>
    <s v="ok"/>
    <s v="ok"/>
    <n v="26356083.120000001"/>
    <n v="0"/>
    <n v="69.27"/>
    <n v="0.02"/>
    <s v="PA"/>
    <n v="-78038.69"/>
    <s v="RF"/>
    <s v="RFE"/>
    <n v="-3052.73"/>
    <n v="-3052.73"/>
    <n v="317953.96999999997"/>
    <n v="317953.9699999999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5726083"/>
    <m/>
    <n v="0"/>
    <n v="-219173.26"/>
    <m/>
    <m/>
    <m/>
    <n v="1355558.46"/>
    <n v="0"/>
    <n v="2520.3126550000002"/>
    <n v="52555.483399999997"/>
    <n v="-296353.43"/>
    <n v="92570020.519999996"/>
    <n v="69.27"/>
    <n v="394770.09"/>
    <n v="0.29803809999999997"/>
    <m/>
    <n v="0"/>
    <n v="0"/>
    <n v="-296353.43"/>
    <n v="0"/>
    <n v="0"/>
    <n v="16777215"/>
    <n v="0"/>
    <n v="0"/>
    <n v="0"/>
    <n v="0"/>
    <n v="0"/>
    <n v="318023.24"/>
    <n v="318023.24"/>
    <n v="31345322.399999999"/>
    <n v="-1110160.2399999984"/>
    <n v="92570020.519999966"/>
    <n v="0"/>
    <n v="0"/>
    <s v="S"/>
    <m/>
    <n v="0"/>
    <n v="3"/>
    <n v="0"/>
    <n v="0.34354885000000002"/>
    <n v="0"/>
    <m/>
    <m/>
    <n v="0"/>
    <n v="0"/>
    <n v="1633661.45"/>
    <n v="1.2333592799999999"/>
    <m/>
    <m/>
    <n v="100.95909589041"/>
    <n v="1"/>
    <n v="4.114982221"/>
    <n v="0.31506849300000001"/>
    <n v="0.30551827968900003"/>
    <n v="0.31506849300000001"/>
    <n v="3.8223189999999998E-3"/>
    <n v="4"/>
    <n v="115"/>
    <n v="0"/>
    <n v="0"/>
    <n v="-4.300608006"/>
    <n v="0"/>
    <n v="0"/>
  </r>
  <r>
    <n v="16975411"/>
    <n v="128"/>
    <n v="7525"/>
    <n v="0"/>
    <n v="0"/>
    <n v="0"/>
    <n v="0"/>
    <n v="0"/>
    <n v="300"/>
    <n v="300"/>
    <n v="300000"/>
    <n v="300000"/>
    <n v="300000"/>
    <n v="300000"/>
    <n v="294750"/>
    <n v="294750"/>
    <n v="294750"/>
    <n v="294750"/>
    <n v="300000"/>
    <n v="300000"/>
    <n v="300000"/>
    <n v="300000"/>
    <n v="1398.57"/>
    <n v="1398.57"/>
    <n v="1398.57"/>
    <n v="1398.57"/>
    <n v="3113.7"/>
    <n v="3113.7"/>
    <n v="3113.7"/>
    <n v="3113.7"/>
    <s v="15/03/2024 00:00:00"/>
    <s v="MEDIOLANUM PENSIONES II, FONDO DE PENSIONES"/>
    <s v="03/10/2023 00:00:00"/>
    <x v="146"/>
    <n v="4"/>
    <s v="EUR"/>
    <s v="E"/>
    <n v="99.764537923291002"/>
    <n v="99.780857923496995"/>
    <n v="299342.57"/>
    <n v="299342.57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599353999999999"/>
    <s v="ok"/>
    <s v="ok"/>
    <n v="26356083.120000001"/>
    <n v="0"/>
    <n v="48.96"/>
    <n v="0.02"/>
    <s v="PA"/>
    <n v="-78038.69"/>
    <s v="RF"/>
    <s v="RFE"/>
    <n v="31.34"/>
    <n v="31.34"/>
    <n v="299293.61"/>
    <n v="299293.6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214933999999999"/>
    <m/>
    <n v="0"/>
    <n v="-219173.26"/>
    <m/>
    <m/>
    <m/>
    <n v="1355558.46"/>
    <n v="0"/>
    <n v="2520.3126550000002"/>
    <n v="52555.483399999997"/>
    <n v="-296353.43"/>
    <n v="92570020.519999996"/>
    <n v="48.96"/>
    <n v="394770.09"/>
    <n v="0.29803809999999997"/>
    <m/>
    <n v="0"/>
    <n v="0"/>
    <n v="-296353.43"/>
    <n v="0"/>
    <n v="0"/>
    <n v="16777215"/>
    <n v="0"/>
    <n v="0"/>
    <n v="0"/>
    <n v="0"/>
    <n v="0"/>
    <n v="299342.57"/>
    <n v="299342.57"/>
    <n v="31345322.399999999"/>
    <n v="-1110160.2399999984"/>
    <n v="92570020.519999966"/>
    <n v="0"/>
    <n v="0"/>
    <s v="S"/>
    <m/>
    <n v="0"/>
    <n v="3"/>
    <n v="0"/>
    <n v="0.32336881000000001"/>
    <n v="0"/>
    <m/>
    <m/>
    <n v="0"/>
    <n v="0"/>
    <n v="1633661.45"/>
    <n v="1.2333592799999999"/>
    <m/>
    <m/>
    <n v="99.771418032786997"/>
    <n v="1"/>
    <n v="4.1677003289999996"/>
    <n v="0.450819672"/>
    <n v="0.43179332803999998"/>
    <n v="0.45205479500000001"/>
    <n v="6.0276790000000002E-3"/>
    <n v="5"/>
    <n v="165"/>
    <n v="0"/>
    <n v="0"/>
    <n v="7.7795311189999996"/>
    <n v="0"/>
    <n v="0"/>
  </r>
  <r>
    <n v="16975486"/>
    <n v="128"/>
    <n v="7033"/>
    <n v="0"/>
    <n v="0"/>
    <n v="0"/>
    <n v="0"/>
    <n v="0"/>
    <n v="500"/>
    <n v="500"/>
    <n v="500000"/>
    <n v="500000"/>
    <n v="500000"/>
    <n v="500000"/>
    <n v="531847.5"/>
    <n v="531847.5"/>
    <n v="531847.5"/>
    <n v="531847.5"/>
    <n v="500000"/>
    <n v="500000"/>
    <n v="500000"/>
    <n v="500000"/>
    <n v="0"/>
    <n v="0"/>
    <n v="0"/>
    <n v="0"/>
    <n v="-22062.27"/>
    <n v="-22062.27"/>
    <n v="-22062.27"/>
    <n v="-22062.27"/>
    <s v="20/06/2024 00:00:00"/>
    <s v="MEDIOLANUM PENSIONES II, FONDO DE PENSIONES"/>
    <s v="03/10/2023 00:00:00"/>
    <x v="147"/>
    <n v="4"/>
    <s v="EUR"/>
    <s v="E"/>
    <n v="99.566557770567996"/>
    <n v="99.599073770493007"/>
    <n v="497995.37"/>
    <n v="497995.37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7596970000000002"/>
    <s v="ok"/>
    <s v="ok"/>
    <n v="26356083.120000001"/>
    <n v="0"/>
    <n v="162.58000000000001"/>
    <n v="0.03"/>
    <s v="PA"/>
    <n v="-78038.69"/>
    <s v="RF"/>
    <s v="RFE"/>
    <n v="-11952.44"/>
    <n v="-11952.44"/>
    <n v="497832.79"/>
    <n v="497832.7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0284698000000002"/>
    <m/>
    <n v="0"/>
    <n v="-219173.26"/>
    <m/>
    <m/>
    <m/>
    <n v="1355558.46"/>
    <n v="0"/>
    <n v="2520.3126550000002"/>
    <n v="52555.483399999997"/>
    <n v="-296353.43"/>
    <n v="92570020.519999996"/>
    <n v="162.58000000000001"/>
    <n v="394770.09"/>
    <n v="0.29803809999999997"/>
    <m/>
    <n v="0"/>
    <n v="0"/>
    <n v="-296353.43"/>
    <n v="0"/>
    <n v="0"/>
    <n v="16777215"/>
    <n v="0"/>
    <n v="0"/>
    <n v="0"/>
    <n v="0"/>
    <n v="0"/>
    <n v="497995.37"/>
    <n v="497995.37"/>
    <n v="31345322.399999999"/>
    <n v="-1110160.2399999984"/>
    <n v="92570020.519999966"/>
    <n v="0"/>
    <n v="0"/>
    <s v="S"/>
    <m/>
    <n v="0"/>
    <n v="3"/>
    <n v="0"/>
    <n v="0.53796613999999998"/>
    <n v="0"/>
    <m/>
    <m/>
    <n v="0"/>
    <n v="0"/>
    <n v="1633661.45"/>
    <n v="1.2333592799999999"/>
    <m/>
    <m/>
    <n v="99.589401639342995"/>
    <n v="1"/>
    <n v="4.2836556310000002"/>
    <n v="0.71584699500000004"/>
    <n v="0.68362365567799999"/>
    <n v="0.71780821900000003"/>
    <n v="1.1294481E-2"/>
    <n v="8"/>
    <n v="262"/>
    <n v="0"/>
    <n v="0"/>
    <n v="-4.8830322769999999"/>
    <n v="0"/>
    <n v="0"/>
  </r>
  <r>
    <n v="16975577"/>
    <n v="128"/>
    <n v="7086"/>
    <n v="0"/>
    <n v="0"/>
    <n v="0"/>
    <n v="0"/>
    <n v="0"/>
    <n v="100"/>
    <n v="100"/>
    <n v="100000"/>
    <n v="100000"/>
    <n v="100000"/>
    <n v="100000"/>
    <n v="99596"/>
    <n v="99596"/>
    <n v="99596"/>
    <n v="99596"/>
    <n v="100000"/>
    <n v="100000"/>
    <n v="100000"/>
    <n v="100000"/>
    <n v="0"/>
    <n v="0"/>
    <n v="0"/>
    <n v="0"/>
    <n v="515.36"/>
    <n v="515.36"/>
    <n v="515.36"/>
    <n v="515.36"/>
    <s v="15/07/2025 00:00:00"/>
    <s v="MEDIOLANUM PENSIONES II, FONDO DE PENSIONES"/>
    <s v="03/10/2023 00:00:00"/>
    <x v="148"/>
    <n v="4"/>
    <s v="EUR"/>
    <s v="E"/>
    <n v="94.865681640431006"/>
    <n v="94.802901639344995"/>
    <n v="94802.9"/>
    <n v="94802.9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1572990000000003E-2"/>
    <s v="ok"/>
    <s v="ok"/>
    <n v="26356083.120000001"/>
    <n v="0"/>
    <n v="-62.78"/>
    <n v="-0.06"/>
    <s v="PA"/>
    <n v="-78038.69"/>
    <s v="RF"/>
    <s v="RFE"/>
    <n v="-5245.68"/>
    <n v="-5245.68"/>
    <n v="94865.68"/>
    <n v="94865.6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6689590000000002E-2"/>
    <m/>
    <n v="0"/>
    <n v="-219173.26"/>
    <m/>
    <m/>
    <m/>
    <n v="1355558.46"/>
    <n v="0"/>
    <n v="2520.3126550000002"/>
    <n v="52555.483399999997"/>
    <n v="-296353.43"/>
    <n v="92570020.519999996"/>
    <n v="-62.78"/>
    <n v="394770.09"/>
    <n v="0.29803809999999997"/>
    <m/>
    <n v="0"/>
    <n v="0"/>
    <n v="-296353.43"/>
    <n v="0"/>
    <n v="0"/>
    <n v="16777215"/>
    <n v="0"/>
    <n v="0"/>
    <n v="0"/>
    <n v="0"/>
    <n v="0"/>
    <n v="94802.9"/>
    <n v="94802.9"/>
    <n v="31345322.399999999"/>
    <n v="-1110160.2399999984"/>
    <n v="92570020.519999966"/>
    <n v="0"/>
    <n v="0"/>
    <s v="S"/>
    <m/>
    <n v="0"/>
    <n v="3"/>
    <n v="0"/>
    <n v="0.10241210000000001"/>
    <n v="0"/>
    <m/>
    <m/>
    <n v="0"/>
    <n v="0"/>
    <n v="1633661.45"/>
    <n v="1.2333592799999999"/>
    <m/>
    <m/>
    <n v="94.828327868852995"/>
    <n v="1"/>
    <n v="4.3418208700000003"/>
    <n v="1.772678336"/>
    <n v="1.611052222703"/>
    <n v="1.7863013700000001"/>
    <n v="4.5249493000000002E-2"/>
    <n v="20"/>
    <n v="652"/>
    <n v="0"/>
    <n v="0"/>
    <n v="1.4942897930000001"/>
    <n v="0"/>
    <n v="0"/>
  </r>
  <r>
    <n v="16975360"/>
    <n v="128"/>
    <n v="7315"/>
    <n v="0"/>
    <n v="0"/>
    <n v="0"/>
    <n v="0"/>
    <n v="0"/>
    <n v="200"/>
    <n v="200"/>
    <n v="200000"/>
    <n v="200000"/>
    <n v="200000"/>
    <n v="200000"/>
    <n v="202828"/>
    <n v="202828"/>
    <n v="202828"/>
    <n v="202828"/>
    <n v="200000"/>
    <n v="200000"/>
    <n v="200000"/>
    <n v="200000"/>
    <n v="0"/>
    <n v="0"/>
    <n v="0"/>
    <n v="0"/>
    <n v="-1850.94"/>
    <n v="-1850.94"/>
    <n v="-1850.94"/>
    <n v="-1850.94"/>
    <s v="23/09/2024 00:00:00"/>
    <s v="MEDIOLANUM PENSIONES II, FONDO DE PENSIONES"/>
    <s v="03/10/2023 00:00:00"/>
    <x v="149"/>
    <n v="4"/>
    <s v="EUR"/>
    <s v="E"/>
    <n v="95.785249808773997"/>
    <n v="95.800144808743994"/>
    <n v="191600.29"/>
    <n v="191600.29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465175"/>
    <s v="ok"/>
    <s v="ok"/>
    <n v="26356083.120000001"/>
    <n v="0"/>
    <n v="29.79"/>
    <n v="0.01"/>
    <s v="PA"/>
    <n v="-78038.69"/>
    <s v="RF"/>
    <s v="RFE"/>
    <n v="-9406.56"/>
    <n v="-9406.56"/>
    <n v="191570.5"/>
    <n v="191570.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499260000000001"/>
    <m/>
    <n v="0"/>
    <n v="-219173.26"/>
    <m/>
    <m/>
    <m/>
    <n v="1355558.46"/>
    <n v="0"/>
    <n v="2520.3126550000002"/>
    <n v="52555.483399999997"/>
    <n v="-296353.43"/>
    <n v="92570020.519999996"/>
    <n v="29.79"/>
    <n v="394770.09"/>
    <n v="0.29803809999999997"/>
    <m/>
    <n v="0"/>
    <n v="0"/>
    <n v="-296353.43"/>
    <n v="0"/>
    <n v="0"/>
    <n v="16777215"/>
    <n v="0"/>
    <n v="0"/>
    <n v="0"/>
    <n v="0"/>
    <n v="0"/>
    <n v="191600.29"/>
    <n v="191600.29"/>
    <n v="31345322.399999999"/>
    <n v="-1110160.2399999984"/>
    <n v="92570020.519999966"/>
    <n v="0"/>
    <n v="0"/>
    <s v="S"/>
    <m/>
    <n v="0"/>
    <n v="3"/>
    <n v="0"/>
    <n v="0.20697877000000001"/>
    <n v="0"/>
    <m/>
    <m/>
    <n v="0"/>
    <n v="0"/>
    <n v="1633661.45"/>
    <n v="1.2333592799999999"/>
    <m/>
    <m/>
    <n v="95.863180327867994"/>
    <n v="1"/>
    <n v="6.5682196079999997"/>
    <n v="0.97540983599999997"/>
    <n v="0.87742752391500001"/>
    <n v="0.97808219200000002"/>
    <n v="1.6966370000000001E-2"/>
    <n v="11"/>
    <n v="357"/>
    <n v="0"/>
    <n v="0"/>
    <n v="0.59243968800000002"/>
    <n v="0"/>
    <n v="0"/>
  </r>
  <r>
    <n v="16975527"/>
    <n v="128"/>
    <n v="8451"/>
    <n v="0"/>
    <n v="0"/>
    <n v="0"/>
    <n v="0"/>
    <n v="0"/>
    <n v="6"/>
    <n v="6"/>
    <n v="600000"/>
    <n v="600000"/>
    <n v="600000"/>
    <n v="600000"/>
    <n v="602960"/>
    <n v="602960"/>
    <n v="602960"/>
    <n v="602960"/>
    <n v="600000"/>
    <n v="600000"/>
    <n v="600000"/>
    <n v="600000"/>
    <n v="0"/>
    <n v="0"/>
    <n v="0"/>
    <n v="0"/>
    <n v="1322.29"/>
    <n v="1322.29"/>
    <n v="1322.29"/>
    <n v="1322.29"/>
    <s v="27/03/2025 00:00:00"/>
    <s v="MEDIOLANUM PENSIONES II, FONDO DE PENSIONES"/>
    <s v="03/10/2023 00:00:00"/>
    <x v="150"/>
    <n v="4"/>
    <s v="EUR"/>
    <s v="S"/>
    <n v="95.292794726718995"/>
    <n v="95.273016393442006"/>
    <n v="571638.1"/>
    <n v="571638.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3156748"/>
    <s v="ok"/>
    <s v="ok"/>
    <n v="26356083.120000001"/>
    <n v="0"/>
    <n v="-118.67"/>
    <n v="-0.02"/>
    <s v="PA"/>
    <n v="-78038.69"/>
    <s v="RF"/>
    <s v="RFE"/>
    <n v="-32525.52"/>
    <n v="-32525.52"/>
    <n v="571756.77"/>
    <n v="571756.7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6241933000000002"/>
    <m/>
    <n v="0"/>
    <n v="-219173.26"/>
    <m/>
    <m/>
    <m/>
    <n v="1355558.46"/>
    <n v="0"/>
    <n v="2520.3126550000002"/>
    <n v="52555.483399999997"/>
    <n v="-296353.43"/>
    <n v="92570020.519999996"/>
    <n v="-118.67"/>
    <n v="394770.09"/>
    <n v="0.29803809999999997"/>
    <m/>
    <n v="0"/>
    <n v="0"/>
    <n v="-296353.43"/>
    <n v="0"/>
    <n v="0"/>
    <n v="16777215"/>
    <n v="0"/>
    <n v="0"/>
    <n v="0"/>
    <n v="0"/>
    <n v="0"/>
    <n v="571638.1"/>
    <n v="571638.1"/>
    <n v="31345322.399999999"/>
    <n v="-1110160.2399999984"/>
    <n v="92570020.519999966"/>
    <n v="0"/>
    <n v="0"/>
    <s v="S"/>
    <m/>
    <n v="0"/>
    <n v="3"/>
    <n v="0"/>
    <n v="0.61751968999999995"/>
    <n v="0"/>
    <m/>
    <m/>
    <n v="0"/>
    <n v="0"/>
    <n v="1633661.45"/>
    <n v="1.2333592799999999"/>
    <m/>
    <m/>
    <n v="95.324942622950999"/>
    <n v="1"/>
    <n v="4.8783735520000002"/>
    <n v="1.4720735620000001"/>
    <n v="1.3379815409589999"/>
    <n v="1.484931507"/>
    <n v="3.3187717999999998E-2"/>
    <n v="17"/>
    <n v="542"/>
    <n v="0"/>
    <n v="0"/>
    <n v="1.1837897239999999"/>
    <n v="0"/>
    <n v="0"/>
  </r>
  <r>
    <n v="16975530"/>
    <n v="128"/>
    <n v="8366"/>
    <n v="0"/>
    <n v="0"/>
    <n v="0"/>
    <n v="0"/>
    <n v="0"/>
    <n v="7"/>
    <n v="7"/>
    <n v="700000"/>
    <n v="700000"/>
    <n v="700000"/>
    <n v="700000"/>
    <n v="696026"/>
    <n v="696026"/>
    <n v="696026"/>
    <n v="696026"/>
    <n v="700000"/>
    <n v="700000"/>
    <n v="700000"/>
    <n v="700000"/>
    <n v="0"/>
    <n v="0"/>
    <n v="0"/>
    <n v="0"/>
    <n v="7324.95"/>
    <n v="7324.95"/>
    <n v="7324.95"/>
    <n v="7324.95"/>
    <s v="01/10/2024 00:00:00"/>
    <s v="MEDIOLANUM PENSIONES II, FONDO DE PENSIONES"/>
    <s v="03/10/2023 00:00:00"/>
    <x v="151"/>
    <n v="4"/>
    <s v="EUR"/>
    <s v="S"/>
    <n v="97.241286726425997"/>
    <n v="96.612915300546007"/>
    <n v="676290.41"/>
    <n v="676290.4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51057644000000002"/>
    <s v="ok"/>
    <s v="ok"/>
    <n v="26356083.120000001"/>
    <n v="0"/>
    <n v="-4398.6000000000004"/>
    <n v="-0.65"/>
    <s v="PA"/>
    <n v="-78038.69"/>
    <s v="RF"/>
    <s v="RFE"/>
    <n v="-22661.94"/>
    <n v="-22661.94"/>
    <n v="680689.01"/>
    <n v="680689.0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4707647000000004"/>
    <m/>
    <n v="0"/>
    <n v="-219173.26"/>
    <m/>
    <m/>
    <m/>
    <n v="1355558.46"/>
    <n v="0"/>
    <n v="2520.3126550000002"/>
    <n v="52555.483399999997"/>
    <n v="-296353.43"/>
    <n v="92570020.519999996"/>
    <n v="-4398.6000000000004"/>
    <n v="394770.09"/>
    <n v="0.29803809999999997"/>
    <m/>
    <n v="0"/>
    <n v="0"/>
    <n v="-296353.43"/>
    <n v="0"/>
    <n v="0"/>
    <n v="16777215"/>
    <n v="0"/>
    <n v="0"/>
    <n v="0"/>
    <n v="0"/>
    <n v="0"/>
    <n v="676290.41"/>
    <n v="676290.41"/>
    <n v="31345322.399999999"/>
    <n v="-1110160.2399999984"/>
    <n v="92570020.519999966"/>
    <n v="0"/>
    <n v="0"/>
    <s v="S"/>
    <m/>
    <n v="0"/>
    <n v="3"/>
    <n v="0"/>
    <n v="0.73057174000000003"/>
    <n v="0"/>
    <m/>
    <m/>
    <n v="0"/>
    <n v="0"/>
    <n v="1633661.45"/>
    <n v="1.2333592799999999"/>
    <m/>
    <m/>
    <n v="96.593707650273004"/>
    <n v="1"/>
    <n v="4.1851230030000002"/>
    <n v="0.99726775999999995"/>
    <n v="0.92460216585999999"/>
    <n v="1"/>
    <n v="1.8350024999999999E-2"/>
    <n v="11"/>
    <n v="365"/>
    <n v="0"/>
    <n v="0"/>
    <n v="1.202830209"/>
    <n v="0"/>
    <n v="0"/>
  </r>
  <r>
    <n v="16975383"/>
    <n v="128"/>
    <n v="8456"/>
    <n v="0"/>
    <n v="0"/>
    <n v="0"/>
    <n v="0"/>
    <n v="0"/>
    <n v="250"/>
    <n v="250"/>
    <n v="250000"/>
    <n v="250000"/>
    <n v="250000"/>
    <n v="250000"/>
    <n v="260012.5"/>
    <n v="260012.5"/>
    <n v="260012.5"/>
    <n v="260012.5"/>
    <n v="250000"/>
    <n v="250000"/>
    <n v="250000"/>
    <n v="250000"/>
    <n v="0"/>
    <n v="0"/>
    <n v="0"/>
    <n v="0"/>
    <n v="-4594.7700000000004"/>
    <n v="-4594.7700000000004"/>
    <n v="-4594.7700000000004"/>
    <n v="-4594.7700000000004"/>
    <s v="21/04/2025 00:00:00"/>
    <s v="MEDIOLANUM PENSIONES II, FONDO DE PENSIONES"/>
    <s v="03/10/2023 00:00:00"/>
    <x v="152"/>
    <n v="4"/>
    <s v="EUR"/>
    <s v="E"/>
    <n v="96.708265968000006"/>
    <n v="96.669581967213006"/>
    <n v="241673.95"/>
    <n v="241673.9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8245568000000001"/>
    <s v="ok"/>
    <s v="ok"/>
    <n v="26356083.120000001"/>
    <n v="0"/>
    <n v="-96.71"/>
    <n v="-0.04"/>
    <s v="PA"/>
    <n v="-78038.69"/>
    <s v="RF"/>
    <s v="RFE"/>
    <n v="-13647.07"/>
    <n v="-13647.07"/>
    <n v="241770.66"/>
    <n v="241770.6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9549905000000001"/>
    <m/>
    <n v="0"/>
    <n v="-219173.26"/>
    <m/>
    <m/>
    <m/>
    <n v="1355558.46"/>
    <n v="0"/>
    <n v="2520.3126550000002"/>
    <n v="52555.483399999997"/>
    <n v="-296353.43"/>
    <n v="92570020.519999996"/>
    <n v="-96.71"/>
    <n v="394770.09"/>
    <n v="0.29803809999999997"/>
    <m/>
    <n v="0"/>
    <n v="0"/>
    <n v="-296353.43"/>
    <n v="0"/>
    <n v="0"/>
    <n v="16777215"/>
    <n v="0"/>
    <n v="0"/>
    <n v="0"/>
    <n v="0"/>
    <n v="0"/>
    <n v="241673.95"/>
    <n v="241673.95"/>
    <n v="31345322.399999999"/>
    <n v="-1110160.2399999984"/>
    <n v="92570020.519999966"/>
    <n v="0"/>
    <n v="0"/>
    <s v="S"/>
    <m/>
    <n v="0"/>
    <n v="3"/>
    <n v="0"/>
    <n v="0.26107151000000001"/>
    <n v="0"/>
    <m/>
    <m/>
    <n v="0"/>
    <n v="0"/>
    <n v="1633661.45"/>
    <n v="1.2333592799999999"/>
    <m/>
    <m/>
    <n v="96.673142076502998"/>
    <n v="1"/>
    <n v="4.3786043179999998"/>
    <n v="1.5354962560000001"/>
    <n v="1.4221424844420001"/>
    <n v="1.553424658"/>
    <n v="3.5882791999999997E-2"/>
    <n v="18"/>
    <n v="567"/>
    <n v="0"/>
    <n v="0"/>
    <n v="-0.47314428800000002"/>
    <n v="0"/>
    <n v="0"/>
  </r>
  <r>
    <n v="16975352"/>
    <n v="128"/>
    <n v="8824"/>
    <n v="0"/>
    <n v="0"/>
    <n v="0"/>
    <n v="0"/>
    <n v="0"/>
    <n v="200"/>
    <n v="200"/>
    <n v="200000"/>
    <n v="200000"/>
    <n v="200000"/>
    <n v="200000"/>
    <n v="204248"/>
    <n v="204248"/>
    <n v="204248"/>
    <n v="204248"/>
    <n v="200000"/>
    <n v="200000"/>
    <n v="200000"/>
    <n v="200000"/>
    <n v="0"/>
    <n v="0"/>
    <n v="0"/>
    <n v="0"/>
    <n v="84.25"/>
    <n v="84.25"/>
    <n v="84.25"/>
    <n v="84.25"/>
    <s v="24/10/2024 00:00:00"/>
    <s v="MEDIOLANUM PENSIONES II, FONDO DE PENSIONES"/>
    <s v="03/10/2023 00:00:00"/>
    <x v="153"/>
    <n v="4"/>
    <s v="EUR"/>
    <s v="E"/>
    <n v="97.413368630001997"/>
    <n v="97.403698630137995"/>
    <n v="194807.4"/>
    <n v="194807.4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707301"/>
    <s v="ok"/>
    <s v="ok"/>
    <n v="26356083.120000001"/>
    <n v="0"/>
    <n v="-19.34"/>
    <n v="-0.01"/>
    <s v="PA"/>
    <n v="-78038.69"/>
    <s v="RF"/>
    <s v="RFE"/>
    <n v="-9505.51"/>
    <n v="-9505.51"/>
    <n v="194826.74"/>
    <n v="194826.7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758695"/>
    <m/>
    <n v="0"/>
    <n v="-219173.26"/>
    <m/>
    <m/>
    <m/>
    <n v="1355558.46"/>
    <n v="0"/>
    <n v="2520.3126550000002"/>
    <n v="52555.483399999997"/>
    <n v="-296353.43"/>
    <n v="92570020.519999996"/>
    <n v="-19.34"/>
    <n v="394770.09"/>
    <n v="0.29803809999999997"/>
    <m/>
    <n v="0"/>
    <n v="0"/>
    <n v="-296353.43"/>
    <n v="0"/>
    <n v="0"/>
    <n v="16777215"/>
    <n v="0"/>
    <n v="0"/>
    <n v="0"/>
    <n v="0"/>
    <n v="0"/>
    <n v="194807.4"/>
    <n v="194807.4"/>
    <n v="31345322.399999999"/>
    <n v="-1110160.2399999984"/>
    <n v="92570020.519999966"/>
    <n v="0"/>
    <n v="0"/>
    <s v="S"/>
    <m/>
    <n v="0"/>
    <n v="3"/>
    <n v="0"/>
    <n v="0.21044329000000001"/>
    <n v="0"/>
    <m/>
    <m/>
    <n v="0"/>
    <n v="0"/>
    <n v="1633661.45"/>
    <n v="1.2333592799999999"/>
    <m/>
    <m/>
    <n v="97.402589041094998"/>
    <n v="1"/>
    <n v="5.4908081160000002"/>
    <n v="1.0449235079999999"/>
    <n v="0.964806857111"/>
    <n v="1.0630136990000001"/>
    <n v="1.9337198E-2"/>
    <n v="12"/>
    <n v="388"/>
    <n v="0"/>
    <n v="0"/>
    <n v="0.82017775999999998"/>
    <n v="0"/>
    <n v="0"/>
  </r>
  <r>
    <n v="16975483"/>
    <n v="128"/>
    <n v="7395"/>
    <n v="0"/>
    <n v="0"/>
    <n v="0"/>
    <n v="0"/>
    <n v="0"/>
    <n v="500"/>
    <n v="500"/>
    <n v="500000"/>
    <n v="500000"/>
    <n v="500000"/>
    <n v="500000"/>
    <n v="510156.67"/>
    <n v="510156.67"/>
    <n v="510156.67"/>
    <n v="510156.67"/>
    <n v="500000"/>
    <n v="500000"/>
    <n v="500000"/>
    <n v="500000"/>
    <n v="0"/>
    <n v="0"/>
    <n v="0"/>
    <n v="0"/>
    <n v="-1145.0899999999999"/>
    <n v="-1145.0899999999999"/>
    <n v="-1145.0899999999999"/>
    <n v="-1145.0899999999999"/>
    <s v="18/02/2025 00:00:00"/>
    <s v="MEDIOLANUM PENSIONES II, FONDO DE PENSIONES"/>
    <s v="03/10/2023 00:00:00"/>
    <x v="154"/>
    <n v="4"/>
    <s v="EUR"/>
    <s v="E"/>
    <n v="96.357260438650002"/>
    <n v="96.292616438356006"/>
    <n v="481463.08"/>
    <n v="481463.08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6348838"/>
    <s v="ok"/>
    <s v="ok"/>
    <n v="26356083.120000001"/>
    <n v="0"/>
    <n v="-323.22000000000003"/>
    <n v="-0.06"/>
    <s v="PA"/>
    <n v="-78038.69"/>
    <s v="RF"/>
    <s v="RFE"/>
    <n v="-27225.279999999999"/>
    <n v="-27225.279999999999"/>
    <n v="481786.3"/>
    <n v="481786.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8947340000000003"/>
    <m/>
    <n v="0"/>
    <n v="-219173.26"/>
    <m/>
    <m/>
    <m/>
    <n v="1355558.46"/>
    <n v="0"/>
    <n v="2520.3126550000002"/>
    <n v="52555.483399999997"/>
    <n v="-296353.43"/>
    <n v="92570020.519999996"/>
    <n v="-323.22000000000003"/>
    <n v="394770.09"/>
    <n v="0.29803809999999997"/>
    <m/>
    <n v="0"/>
    <n v="0"/>
    <n v="-296353.43"/>
    <n v="0"/>
    <n v="0"/>
    <n v="16777215"/>
    <n v="0"/>
    <n v="0"/>
    <n v="0"/>
    <n v="0"/>
    <n v="0"/>
    <n v="481463.08"/>
    <n v="481463.08"/>
    <n v="31345322.399999999"/>
    <n v="-1110160.2399999984"/>
    <n v="92570020.519999966"/>
    <n v="0"/>
    <n v="0"/>
    <s v="S"/>
    <m/>
    <n v="0"/>
    <n v="3"/>
    <n v="0"/>
    <n v="0.52010692000000003"/>
    <n v="0"/>
    <m/>
    <m/>
    <n v="0"/>
    <n v="0"/>
    <n v="1633661.45"/>
    <n v="1.2333592799999999"/>
    <m/>
    <m/>
    <n v="96.360164383561994"/>
    <n v="1"/>
    <n v="5.1907669109999999"/>
    <n v="1.3642799839999999"/>
    <n v="1.2497507856250001"/>
    <n v="1.383561644"/>
    <n v="2.9297601999999999E-2"/>
    <n v="16"/>
    <n v="505"/>
    <n v="0"/>
    <n v="0"/>
    <n v="0.87362048299999995"/>
    <n v="0"/>
    <n v="0"/>
  </r>
  <r>
    <n v="16975539"/>
    <n v="128"/>
    <n v="7399"/>
    <n v="0"/>
    <n v="0"/>
    <n v="0"/>
    <n v="0"/>
    <n v="0"/>
    <n v="900"/>
    <n v="900"/>
    <n v="900000"/>
    <n v="900000"/>
    <n v="900000"/>
    <n v="900000"/>
    <n v="890460"/>
    <n v="890460"/>
    <n v="890460"/>
    <n v="890460"/>
    <n v="900000"/>
    <n v="900000"/>
    <n v="900000"/>
    <n v="900000"/>
    <n v="0"/>
    <n v="0"/>
    <n v="0"/>
    <n v="0"/>
    <n v="7793.34"/>
    <n v="7793.34"/>
    <n v="7793.34"/>
    <n v="7793.34"/>
    <s v="20/05/2024 00:00:00"/>
    <s v="MEDIOLANUM PENSIONES II, FONDO DE PENSIONES"/>
    <s v="03/10/2023 00:00:00"/>
    <x v="155"/>
    <n v="4"/>
    <s v="EUR"/>
    <s v="E"/>
    <n v="97.390694571913997"/>
    <n v="97.417292349727006"/>
    <n v="876755.63"/>
    <n v="876755.63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6192092000000002"/>
    <s v="ok"/>
    <s v="ok"/>
    <n v="26356083.120000001"/>
    <n v="0"/>
    <n v="239.38"/>
    <n v="0.03"/>
    <s v="PA"/>
    <n v="-78038.69"/>
    <s v="RF"/>
    <s v="RFE"/>
    <n v="-21737.09"/>
    <n v="-21737.09"/>
    <n v="876516.25"/>
    <n v="876516.2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0924025000000002"/>
    <m/>
    <n v="0"/>
    <n v="-219173.26"/>
    <m/>
    <m/>
    <m/>
    <n v="1355558.46"/>
    <n v="0"/>
    <n v="2520.3126550000002"/>
    <n v="52555.483399999997"/>
    <n v="-296353.43"/>
    <n v="92570020.519999996"/>
    <n v="239.38"/>
    <n v="394770.09"/>
    <n v="0.29803809999999997"/>
    <m/>
    <n v="0"/>
    <n v="0"/>
    <n v="-296353.43"/>
    <n v="0"/>
    <n v="0"/>
    <n v="16777215"/>
    <n v="0"/>
    <n v="0"/>
    <n v="0"/>
    <n v="0"/>
    <n v="0"/>
    <n v="876755.63"/>
    <n v="876755.63"/>
    <n v="31345322.399999999"/>
    <n v="-1110160.2399999984"/>
    <n v="92570020.519999966"/>
    <n v="0"/>
    <n v="0"/>
    <s v="S"/>
    <m/>
    <n v="0"/>
    <n v="3"/>
    <n v="0"/>
    <n v="0.94712697000000001"/>
    <n v="0"/>
    <m/>
    <m/>
    <n v="0"/>
    <n v="0"/>
    <n v="1633661.45"/>
    <n v="1.2333592799999999"/>
    <m/>
    <m/>
    <n v="97.397926229508002"/>
    <n v="1"/>
    <n v="5.0930404210000004"/>
    <n v="0.63114754100000003"/>
    <n v="0.58493370650900001"/>
    <n v="0.63287671199999995"/>
    <n v="9.3212940000000008E-3"/>
    <n v="7"/>
    <n v="231"/>
    <n v="0"/>
    <n v="0"/>
    <n v="2.5096536619999998"/>
    <n v="0"/>
    <n v="0"/>
  </r>
  <r>
    <n v="16975351"/>
    <n v="128"/>
    <n v="8972"/>
    <n v="0"/>
    <n v="0"/>
    <n v="0"/>
    <n v="0"/>
    <n v="0"/>
    <n v="200"/>
    <n v="200"/>
    <n v="200000"/>
    <n v="200000"/>
    <n v="200000"/>
    <n v="200000"/>
    <n v="199132"/>
    <n v="199132"/>
    <n v="199132"/>
    <n v="199132"/>
    <n v="200000"/>
    <n v="200000"/>
    <n v="200000"/>
    <n v="200000"/>
    <n v="0"/>
    <n v="0"/>
    <n v="0"/>
    <n v="0"/>
    <n v="794.33"/>
    <n v="794.33"/>
    <n v="794.33"/>
    <n v="794.33"/>
    <s v="23/05/2025 00:00:00"/>
    <s v="MEDIOLANUM PENSIONES II, FONDO DE PENSIONES"/>
    <s v="03/10/2023 00:00:00"/>
    <x v="156"/>
    <n v="4"/>
    <s v="EUR"/>
    <s v="E"/>
    <n v="92.741195491837004"/>
    <n v="92.734770491803005"/>
    <n v="185469.54"/>
    <n v="185469.54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002324999999999"/>
    <s v="ok"/>
    <s v="ok"/>
    <n v="26356083.120000001"/>
    <n v="0"/>
    <n v="-12.85"/>
    <n v="-0.01"/>
    <s v="PA"/>
    <n v="-78038.69"/>
    <s v="RF"/>
    <s v="RFE"/>
    <n v="-14443.94"/>
    <n v="-14443.94"/>
    <n v="185482.39"/>
    <n v="185482.3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003321"/>
    <m/>
    <n v="0"/>
    <n v="-219173.26"/>
    <m/>
    <m/>
    <m/>
    <n v="1355558.46"/>
    <n v="0"/>
    <n v="2520.3126550000002"/>
    <n v="52555.483399999997"/>
    <n v="-296353.43"/>
    <n v="92570020.519999996"/>
    <n v="-12.85"/>
    <n v="394770.09"/>
    <n v="0.29803809999999997"/>
    <m/>
    <n v="0"/>
    <n v="0"/>
    <n v="-296353.43"/>
    <n v="0"/>
    <n v="0"/>
    <n v="16777215"/>
    <n v="0"/>
    <n v="0"/>
    <n v="0"/>
    <n v="0"/>
    <n v="0"/>
    <n v="185469.54"/>
    <n v="185469.54"/>
    <n v="31345322.399999999"/>
    <n v="-1110160.2399999984"/>
    <n v="92570020.519999966"/>
    <n v="0"/>
    <n v="0"/>
    <s v="S"/>
    <m/>
    <n v="0"/>
    <n v="3"/>
    <n v="0"/>
    <n v="0.20035595"/>
    <n v="0"/>
    <m/>
    <m/>
    <n v="0"/>
    <n v="0"/>
    <n v="1633661.45"/>
    <n v="1.2333592799999999"/>
    <m/>
    <m/>
    <n v="92.768245901639006"/>
    <n v="1"/>
    <n v="5.1760652809999996"/>
    <n v="1.635430274"/>
    <n v="1.4424954711910001"/>
    <n v="1.6410958899999999"/>
    <n v="3.8998005000000002E-2"/>
    <n v="19"/>
    <n v="599"/>
    <n v="0"/>
    <n v="0"/>
    <n v="0.72537416300000002"/>
    <n v="0"/>
    <n v="0"/>
  </r>
  <r>
    <n v="16975517"/>
    <n v="128"/>
    <n v="9396"/>
    <n v="0"/>
    <n v="0"/>
    <n v="0"/>
    <n v="0"/>
    <n v="0"/>
    <n v="700"/>
    <n v="700"/>
    <n v="700000"/>
    <n v="700000"/>
    <n v="700000"/>
    <n v="700000"/>
    <n v="694884"/>
    <n v="694884"/>
    <n v="694884"/>
    <n v="694884"/>
    <n v="700000"/>
    <n v="700000"/>
    <n v="700000"/>
    <n v="700000"/>
    <n v="0"/>
    <n v="0"/>
    <n v="0"/>
    <n v="0"/>
    <n v="3088.84"/>
    <n v="3088.84"/>
    <n v="3088.84"/>
    <n v="3088.84"/>
    <s v="14/07/2025 00:00:00"/>
    <s v="MEDIOLANUM PENSIONES II, FONDO DE PENSIONES"/>
    <s v="03/10/2023 00:00:00"/>
    <x v="157"/>
    <n v="4"/>
    <s v="EUR"/>
    <s v="E"/>
    <n v="92.431918946227"/>
    <n v="92.409491803278996"/>
    <n v="646866.43999999994"/>
    <n v="646866.43999999994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8836234000000001"/>
    <s v="ok"/>
    <s v="ok"/>
    <n v="26356083.120000001"/>
    <n v="0"/>
    <n v="-156.99"/>
    <n v="-0.02"/>
    <s v="PA"/>
    <n v="-78038.69"/>
    <s v="RF"/>
    <s v="RFE"/>
    <n v="-50949.41"/>
    <n v="-50949.41"/>
    <n v="647023.43000000005"/>
    <n v="647023.430000000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2327433000000001"/>
    <m/>
    <n v="0"/>
    <n v="-219173.26"/>
    <m/>
    <m/>
    <m/>
    <n v="1355558.46"/>
    <n v="0"/>
    <n v="2520.3126550000002"/>
    <n v="52555.483399999997"/>
    <n v="-296353.43"/>
    <n v="92570020.519999996"/>
    <n v="-156.99"/>
    <n v="394770.09"/>
    <n v="0.29803809999999997"/>
    <m/>
    <n v="0"/>
    <n v="0"/>
    <n v="-296353.43"/>
    <n v="0"/>
    <n v="0"/>
    <n v="16777215"/>
    <n v="0"/>
    <n v="0"/>
    <n v="0"/>
    <n v="0"/>
    <n v="0"/>
    <n v="646866.43999999994"/>
    <n v="646866.43999999994"/>
    <n v="31345322.399999999"/>
    <n v="-1110160.2399999984"/>
    <n v="92570020.519999966"/>
    <n v="0"/>
    <n v="0"/>
    <s v="S"/>
    <m/>
    <n v="0"/>
    <n v="3"/>
    <n v="0"/>
    <n v="0.69878609999999997"/>
    <n v="0"/>
    <m/>
    <m/>
    <n v="0"/>
    <n v="0"/>
    <n v="1633661.45"/>
    <n v="1.2333592799999999"/>
    <m/>
    <m/>
    <n v="92.435467213115004"/>
    <n v="1"/>
    <n v="4.9646652390000003"/>
    <n v="1.7775146129999999"/>
    <n v="1.5653400448670001"/>
    <n v="1.7835616439999999"/>
    <n v="4.4846176000000001E-2"/>
    <n v="20"/>
    <n v="651"/>
    <n v="0"/>
    <n v="0"/>
    <n v="0.83644073699999999"/>
    <n v="0"/>
    <n v="0"/>
  </r>
  <r>
    <n v="16975382"/>
    <n v="128"/>
    <n v="9471"/>
    <n v="0"/>
    <n v="0"/>
    <n v="0"/>
    <n v="0"/>
    <n v="0"/>
    <n v="250"/>
    <n v="250"/>
    <n v="250000"/>
    <n v="250000"/>
    <n v="250000"/>
    <n v="250000"/>
    <n v="250477.5"/>
    <n v="250477.5"/>
    <n v="250477.5"/>
    <n v="250477.5"/>
    <n v="250000"/>
    <n v="250000"/>
    <n v="250000"/>
    <n v="250000"/>
    <n v="0"/>
    <n v="0"/>
    <n v="0"/>
    <n v="0"/>
    <n v="1547.12"/>
    <n v="1547.12"/>
    <n v="1547.12"/>
    <n v="1547.12"/>
    <s v="02/11/2027 00:00:00"/>
    <s v="MEDIOLANUM PENSIONES II, FONDO DE PENSIONES"/>
    <s v="03/10/2023 00:00:00"/>
    <x v="158"/>
    <n v="4"/>
    <s v="EUR"/>
    <s v="E"/>
    <n v="85.884192164745002"/>
    <n v="85.695856164383997"/>
    <n v="214239.64"/>
    <n v="214239.64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6174369999999999"/>
    <s v="ok"/>
    <s v="ok"/>
    <n v="26356083.120000001"/>
    <n v="0"/>
    <n v="-470.84"/>
    <n v="-0.22"/>
    <s v="PA"/>
    <n v="-78038.69"/>
    <s v="RF"/>
    <s v="RFE"/>
    <n v="-37314.14"/>
    <n v="-37314.14"/>
    <n v="214710.48"/>
    <n v="214710.4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7330641999999999"/>
    <m/>
    <n v="0"/>
    <n v="-219173.26"/>
    <m/>
    <m/>
    <m/>
    <n v="1355558.46"/>
    <n v="0"/>
    <n v="2520.3126550000002"/>
    <n v="52555.483399999997"/>
    <n v="-296353.43"/>
    <n v="92570020.519999996"/>
    <n v="-470.84"/>
    <n v="394770.09"/>
    <n v="0.29803809999999997"/>
    <m/>
    <n v="0"/>
    <n v="0"/>
    <n v="-296353.43"/>
    <n v="0"/>
    <n v="0"/>
    <n v="16777215"/>
    <n v="0"/>
    <n v="0"/>
    <n v="0"/>
    <n v="0"/>
    <n v="0"/>
    <n v="214239.64"/>
    <n v="214239.64"/>
    <n v="31345322.399999999"/>
    <n v="-1110160.2399999984"/>
    <n v="92570020.519999966"/>
    <n v="0"/>
    <n v="0"/>
    <s v="S"/>
    <m/>
    <n v="0"/>
    <n v="3"/>
    <n v="0"/>
    <n v="0.23143522999999999"/>
    <n v="0"/>
    <m/>
    <m/>
    <n v="0"/>
    <n v="0"/>
    <n v="1633661.45"/>
    <n v="1.2333592799999999"/>
    <m/>
    <m/>
    <n v="85.865301369863005"/>
    <n v="1"/>
    <n v="4.8346254890000004"/>
    <n v="8.4931507000000003E-2"/>
    <n v="6.9563556666000004E-2"/>
    <n v="4.087671233"/>
    <n v="8.3841999999999999E-4"/>
    <n v="1"/>
    <n v="1492"/>
    <n v="0"/>
    <n v="0"/>
    <n v="0.87389335499999998"/>
    <n v="0"/>
    <n v="0"/>
  </r>
  <r>
    <n v="16975396"/>
    <n v="128"/>
    <n v="9871"/>
    <n v="0"/>
    <n v="0"/>
    <n v="0"/>
    <n v="0"/>
    <n v="0"/>
    <n v="1"/>
    <n v="1"/>
    <n v="100000"/>
    <n v="100000"/>
    <n v="100000"/>
    <n v="100000"/>
    <n v="100147"/>
    <n v="100147"/>
    <n v="100147"/>
    <n v="100147"/>
    <n v="100000"/>
    <n v="100000"/>
    <n v="100000"/>
    <n v="100000"/>
    <n v="0"/>
    <n v="0"/>
    <n v="0"/>
    <n v="0"/>
    <n v="1281.3499999999999"/>
    <n v="1281.3499999999999"/>
    <n v="1281.3499999999999"/>
    <n v="1281.3499999999999"/>
    <s v="24/03/2025 00:00:00"/>
    <s v="MEDIOLANUM PENSIONES II, FONDO DE PENSIONES"/>
    <s v="03/10/2023 00:00:00"/>
    <x v="159"/>
    <n v="4"/>
    <s v="EUR"/>
    <s v="S"/>
    <n v="97.524701311086005"/>
    <n v="97.553721311475996"/>
    <n v="97553.72"/>
    <n v="97553.72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3649770000000003E-2"/>
    <s v="ok"/>
    <s v="ok"/>
    <n v="26356083.120000001"/>
    <n v="0"/>
    <n v="29.02"/>
    <n v="0.03"/>
    <s v="PA"/>
    <n v="-78038.69"/>
    <s v="RF"/>
    <s v="RFE"/>
    <n v="-3903.65"/>
    <n v="-3903.65"/>
    <n v="97524.7"/>
    <n v="97524.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8914830000000005E-2"/>
    <m/>
    <n v="0"/>
    <n v="-219173.26"/>
    <m/>
    <m/>
    <m/>
    <n v="1355558.46"/>
    <n v="0"/>
    <n v="2520.3126550000002"/>
    <n v="52555.483399999997"/>
    <n v="-296353.43"/>
    <n v="92570020.519999996"/>
    <n v="29.02"/>
    <n v="394770.09"/>
    <n v="0.29803809999999997"/>
    <m/>
    <n v="0"/>
    <n v="0"/>
    <n v="-296353.43"/>
    <n v="0"/>
    <n v="0"/>
    <n v="16777215"/>
    <n v="0"/>
    <n v="0"/>
    <n v="0"/>
    <n v="0"/>
    <n v="0"/>
    <n v="97553.72"/>
    <n v="97553.72"/>
    <n v="31345322.399999999"/>
    <n v="-1110160.2399999984"/>
    <n v="92570020.519999966"/>
    <n v="0"/>
    <n v="0"/>
    <s v="S"/>
    <m/>
    <n v="0"/>
    <n v="3"/>
    <n v="0"/>
    <n v="0.10538371000000001"/>
    <n v="0"/>
    <m/>
    <m/>
    <n v="0"/>
    <n v="0"/>
    <n v="1633661.45"/>
    <n v="1.2333592799999999"/>
    <m/>
    <m/>
    <n v="97.556049180326994"/>
    <n v="1"/>
    <n v="5.3754091339999999"/>
    <n v="1.4491637449999999"/>
    <n v="1.3416288556739999"/>
    <n v="1.4767123289999999"/>
    <n v="3.2193840000000001E-2"/>
    <n v="17"/>
    <n v="539"/>
    <n v="0"/>
    <n v="0"/>
    <n v="3.4868424309999999"/>
    <n v="0"/>
    <n v="0"/>
  </r>
  <r>
    <n v="16975353"/>
    <n v="128"/>
    <n v="9894"/>
    <n v="0"/>
    <n v="0"/>
    <n v="0"/>
    <n v="0"/>
    <n v="0"/>
    <n v="200"/>
    <n v="200"/>
    <n v="200000"/>
    <n v="200000"/>
    <n v="200000"/>
    <n v="200000"/>
    <n v="199382"/>
    <n v="199382"/>
    <n v="199382"/>
    <n v="199382"/>
    <n v="200000"/>
    <n v="200000"/>
    <n v="200000"/>
    <n v="200000"/>
    <n v="0"/>
    <n v="0"/>
    <n v="0"/>
    <n v="0"/>
    <n v="1471.25"/>
    <n v="1471.25"/>
    <n v="1471.25"/>
    <n v="1471.25"/>
    <s v="05/06/2025 00:00:00"/>
    <s v="MEDIOLANUM PENSIONES II, FONDO DE PENSIONES"/>
    <s v="03/10/2023 00:00:00"/>
    <x v="160"/>
    <n v="4"/>
    <s v="EUR"/>
    <s v="E"/>
    <n v="96.052384097955994"/>
    <n v="96.009254098360998"/>
    <n v="192018.51"/>
    <n v="192018.5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49675"/>
    <s v="ok"/>
    <s v="ok"/>
    <n v="26356083.120000001"/>
    <n v="0"/>
    <n v="-86.26"/>
    <n v="-0.04"/>
    <s v="PA"/>
    <n v="-78038.69"/>
    <s v="RF"/>
    <s v="RFE"/>
    <n v="-8748.48"/>
    <n v="-8748.48"/>
    <n v="192104.77"/>
    <n v="192104.7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533092000000001"/>
    <m/>
    <n v="0"/>
    <n v="-219173.26"/>
    <m/>
    <m/>
    <m/>
    <n v="1355558.46"/>
    <n v="0"/>
    <n v="2520.3126550000002"/>
    <n v="52555.483399999997"/>
    <n v="-296353.43"/>
    <n v="92570020.519999996"/>
    <n v="-86.26"/>
    <n v="394770.09"/>
    <n v="0.29803809999999997"/>
    <m/>
    <n v="0"/>
    <n v="0"/>
    <n v="-296353.43"/>
    <n v="0"/>
    <n v="0"/>
    <n v="16777215"/>
    <n v="0"/>
    <n v="0"/>
    <n v="0"/>
    <n v="0"/>
    <n v="0"/>
    <n v="192018.51"/>
    <n v="192018.51"/>
    <n v="31345322.399999999"/>
    <n v="-1110160.2399999984"/>
    <n v="92570020.519999966"/>
    <n v="0"/>
    <n v="0"/>
    <s v="S"/>
    <m/>
    <n v="0"/>
    <n v="3"/>
    <n v="0"/>
    <n v="0.20743056000000001"/>
    <n v="0"/>
    <m/>
    <m/>
    <n v="0"/>
    <n v="0"/>
    <n v="1633661.45"/>
    <n v="1.2333592799999999"/>
    <m/>
    <m/>
    <n v="96.030631147541001"/>
    <n v="1"/>
    <n v="4.7785129160000004"/>
    <n v="1.655943851"/>
    <n v="1.5176903046200001"/>
    <n v="1.6767123289999999"/>
    <n v="4.0229910000000001E-2"/>
    <n v="19"/>
    <n v="612"/>
    <n v="0"/>
    <n v="0"/>
    <n v="2.4383651500000001"/>
    <n v="0"/>
    <n v="0"/>
  </r>
  <r>
    <n v="16975548"/>
    <n v="128"/>
    <n v="10488"/>
    <n v="0"/>
    <n v="0"/>
    <n v="0"/>
    <n v="0"/>
    <n v="0"/>
    <n v="10"/>
    <n v="10"/>
    <n v="1000000"/>
    <n v="1000000"/>
    <n v="1000000"/>
    <n v="1000000"/>
    <n v="944800"/>
    <n v="944800"/>
    <n v="944800"/>
    <n v="944800"/>
    <n v="1000000"/>
    <n v="1000000"/>
    <n v="1000000"/>
    <n v="1000000"/>
    <n v="3463.11"/>
    <n v="3463.11"/>
    <n v="3463.11"/>
    <n v="3463.11"/>
    <n v="11543.17"/>
    <n v="11543.17"/>
    <n v="11543.17"/>
    <n v="11543.17"/>
    <s v="13/04/2025 00:00:00"/>
    <s v="MEDIOLANUM PENSIONES II, FONDO DE PENSIONES"/>
    <s v="03/10/2023 00:00:00"/>
    <x v="161"/>
    <n v="4"/>
    <s v="EUR"/>
    <s v="S"/>
    <n v="96.128781092919994"/>
    <n v="96.103601092896"/>
    <n v="961036.01"/>
    <n v="961036.0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2554976999999998"/>
    <s v="ok"/>
    <s v="ok"/>
    <n v="26356083.120000001"/>
    <n v="0"/>
    <n v="-251.8"/>
    <n v="-0.03"/>
    <s v="PA"/>
    <n v="-78038.69"/>
    <s v="RF"/>
    <s v="RFE"/>
    <n v="1481.53"/>
    <n v="1481.53"/>
    <n v="961287.81"/>
    <n v="961287.8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7741779"/>
    <m/>
    <n v="0"/>
    <n v="-219173.26"/>
    <m/>
    <m/>
    <m/>
    <n v="1355558.46"/>
    <n v="0"/>
    <n v="2520.3126550000002"/>
    <n v="52555.483399999997"/>
    <n v="-296353.43"/>
    <n v="92570020.519999996"/>
    <n v="-251.8"/>
    <n v="394770.09"/>
    <n v="0.29803809999999997"/>
    <m/>
    <n v="0"/>
    <n v="0"/>
    <n v="-296353.43"/>
    <n v="0"/>
    <n v="0"/>
    <n v="16777215"/>
    <n v="0"/>
    <n v="0"/>
    <n v="0"/>
    <n v="0"/>
    <n v="0"/>
    <n v="961036.01"/>
    <n v="961036.01"/>
    <n v="31345322.399999999"/>
    <n v="-1110160.2399999984"/>
    <n v="92570020.519999966"/>
    <n v="0"/>
    <n v="0"/>
    <s v="S"/>
    <m/>
    <n v="0"/>
    <n v="3"/>
    <n v="0"/>
    <n v="1.0381719700000001"/>
    <n v="0"/>
    <m/>
    <m/>
    <n v="0"/>
    <n v="0"/>
    <n v="1633661.45"/>
    <n v="1.2333592799999999"/>
    <m/>
    <m/>
    <n v="96.120661202185005"/>
    <n v="1"/>
    <n v="4.8394507339999997"/>
    <n v="1.513567047"/>
    <n v="1.3876938915779999"/>
    <n v="1.5315068489999999"/>
    <n v="3.4760804999999999E-2"/>
    <n v="17"/>
    <n v="559"/>
    <n v="0"/>
    <n v="0"/>
    <n v="6.0388319700000004"/>
    <n v="0"/>
    <n v="0"/>
  </r>
  <r>
    <n v="16975503"/>
    <n v="128"/>
    <n v="10137"/>
    <n v="0"/>
    <n v="0"/>
    <n v="0"/>
    <n v="0"/>
    <n v="0"/>
    <n v="3"/>
    <n v="3"/>
    <n v="300000"/>
    <n v="300000"/>
    <n v="300000"/>
    <n v="300000"/>
    <n v="301389"/>
    <n v="301389"/>
    <n v="301389"/>
    <n v="301389"/>
    <n v="300000"/>
    <n v="300000"/>
    <n v="300000"/>
    <n v="300000"/>
    <n v="0"/>
    <n v="0"/>
    <n v="0"/>
    <n v="0"/>
    <n v="466.42"/>
    <n v="466.42"/>
    <n v="466.42"/>
    <n v="466.42"/>
    <s v="08/09/2025 00:00:00"/>
    <s v="MEDIOLANUM PENSIONES II, FONDO DE PENSIONES"/>
    <s v="03/10/2023 00:00:00"/>
    <x v="162"/>
    <n v="4"/>
    <s v="EUR"/>
    <s v="S"/>
    <n v="100.189088142031"/>
    <n v="100.192144808743"/>
    <n v="300576.43"/>
    <n v="300576.43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692506000000001"/>
    <s v="ok"/>
    <s v="ok"/>
    <n v="26356083.120000001"/>
    <n v="0"/>
    <n v="9.17"/>
    <n v="0"/>
    <s v="PA"/>
    <n v="-78038.69"/>
    <s v="RF"/>
    <s v="RFE"/>
    <n v="-1288.1600000000001"/>
    <n v="-1288.1600000000001"/>
    <n v="300567.26"/>
    <n v="300567.2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314746000000001"/>
    <m/>
    <n v="0"/>
    <n v="-219173.26"/>
    <m/>
    <m/>
    <m/>
    <n v="1355558.46"/>
    <n v="0"/>
    <n v="2520.3126550000002"/>
    <n v="52555.483399999997"/>
    <n v="-296353.43"/>
    <n v="92570020.519999996"/>
    <n v="9.17"/>
    <n v="394770.09"/>
    <n v="0.29803809999999997"/>
    <m/>
    <n v="0"/>
    <n v="0"/>
    <n v="-296353.43"/>
    <n v="0"/>
    <n v="0"/>
    <n v="16777215"/>
    <n v="0"/>
    <n v="0"/>
    <n v="0"/>
    <n v="0"/>
    <n v="0"/>
    <n v="300576.43"/>
    <n v="300576.43"/>
    <n v="31345322.399999999"/>
    <n v="-1110160.2399999984"/>
    <n v="92570020.519999966"/>
    <n v="0"/>
    <n v="0"/>
    <s v="S"/>
    <m/>
    <n v="0"/>
    <n v="3"/>
    <n v="0"/>
    <n v="0.32470169999999998"/>
    <n v="0"/>
    <m/>
    <m/>
    <n v="0"/>
    <n v="0"/>
    <n v="1633661.45"/>
    <n v="1.2333592799999999"/>
    <m/>
    <m/>
    <n v="100.260959016394"/>
    <n v="1"/>
    <n v="5.4212761140000003"/>
    <n v="1.8833966680000001"/>
    <n v="1.7912053726329999"/>
    <n v="1.9369863009999999"/>
    <n v="4.9299801999999997E-2"/>
    <n v="21"/>
    <n v="707"/>
    <n v="0"/>
    <n v="0"/>
    <n v="5.3086558049999999"/>
    <n v="0"/>
    <n v="0"/>
  </r>
  <r>
    <n v="16975410"/>
    <n v="128"/>
    <n v="10189"/>
    <n v="0"/>
    <n v="0"/>
    <n v="0"/>
    <n v="0"/>
    <n v="0"/>
    <n v="300"/>
    <n v="300"/>
    <n v="300000"/>
    <n v="300000"/>
    <n v="300000"/>
    <n v="300000"/>
    <n v="296835"/>
    <n v="296835"/>
    <n v="296835"/>
    <n v="296835"/>
    <n v="300000"/>
    <n v="300000"/>
    <n v="300000"/>
    <n v="300000"/>
    <n v="0"/>
    <n v="0"/>
    <n v="0"/>
    <n v="0"/>
    <n v="7565.32"/>
    <n v="7565.32"/>
    <n v="7565.32"/>
    <n v="7565.32"/>
    <s v="11/04/2025 00:00:00"/>
    <s v="MEDIOLANUM PENSIONES II, FONDO DE PENSIONES"/>
    <s v="03/10/2023 00:00:00"/>
    <x v="163"/>
    <n v="4"/>
    <s v="EUR"/>
    <s v="E"/>
    <n v="101.987497103805"/>
    <n v="101.992407103826"/>
    <n v="305977.21999999997"/>
    <n v="305977.21999999997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3100248000000001"/>
    <s v="ok"/>
    <s v="ok"/>
    <n v="26356083.120000001"/>
    <n v="0"/>
    <n v="14.73"/>
    <n v="0"/>
    <s v="PA"/>
    <n v="-78038.69"/>
    <s v="RF"/>
    <s v="RFE"/>
    <n v="1562.17"/>
    <n v="1562.17"/>
    <n v="305962.49"/>
    <n v="305962.4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751635999999999"/>
    <m/>
    <n v="0"/>
    <n v="-219173.26"/>
    <m/>
    <m/>
    <m/>
    <n v="1355558.46"/>
    <n v="0"/>
    <n v="2520.3126550000002"/>
    <n v="52555.483399999997"/>
    <n v="-296353.43"/>
    <n v="92570020.519999996"/>
    <n v="14.73"/>
    <n v="394770.09"/>
    <n v="0.29803809999999997"/>
    <m/>
    <n v="0"/>
    <n v="0"/>
    <n v="-296353.43"/>
    <n v="0"/>
    <n v="0"/>
    <n v="16777215"/>
    <n v="0"/>
    <n v="0"/>
    <n v="0"/>
    <n v="0"/>
    <n v="0"/>
    <n v="305977.21999999997"/>
    <n v="305977.21999999997"/>
    <n v="31345322.399999999"/>
    <n v="-1110160.2399999984"/>
    <n v="92570020.519999966"/>
    <n v="0"/>
    <n v="0"/>
    <s v="S"/>
    <m/>
    <n v="0"/>
    <n v="3"/>
    <n v="0"/>
    <n v="0.33053598000000001"/>
    <n v="0"/>
    <m/>
    <m/>
    <n v="0"/>
    <n v="0"/>
    <n v="1633661.45"/>
    <n v="1.2333592799999999"/>
    <m/>
    <m/>
    <n v="101.991770491805"/>
    <n v="1"/>
    <n v="4.7503439810000003"/>
    <n v="1.4803340519999999"/>
    <n v="1.441349834258"/>
    <n v="1.526027397"/>
    <n v="3.3848028000000002E-2"/>
    <n v="17"/>
    <n v="557"/>
    <n v="0"/>
    <n v="0"/>
    <n v="6.9191708829999996"/>
    <n v="0"/>
    <n v="0"/>
  </r>
  <r>
    <n v="16975541"/>
    <n v="128"/>
    <n v="10371"/>
    <n v="0"/>
    <n v="0"/>
    <n v="0"/>
    <n v="0"/>
    <n v="0"/>
    <n v="1000"/>
    <n v="1000"/>
    <n v="1000000"/>
    <n v="1000000"/>
    <n v="1000000"/>
    <n v="1000000"/>
    <n v="998950"/>
    <n v="998950"/>
    <n v="998950"/>
    <n v="998950"/>
    <n v="1000000"/>
    <n v="1000000"/>
    <n v="1000000"/>
    <n v="1000000"/>
    <n v="0"/>
    <n v="0"/>
    <n v="0"/>
    <n v="0"/>
    <n v="22337.72"/>
    <n v="22337.72"/>
    <n v="22337.72"/>
    <n v="22337.72"/>
    <s v="16/02/2026 00:00:00"/>
    <s v="MEDIOLANUM PENSIONES II, FONDO DE PENSIONES"/>
    <s v="03/10/2023 00:00:00"/>
    <x v="164"/>
    <n v="4"/>
    <s v="EUR"/>
    <s v="J"/>
    <n v="101.005278931521"/>
    <n v="101.02588493150699"/>
    <n v="1010258.85"/>
    <n v="1010258.8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6271135000000001"/>
    <s v="ok"/>
    <s v="ok"/>
    <n v="26356083.120000001"/>
    <n v="0"/>
    <n v="206.06"/>
    <n v="0.02"/>
    <s v="PA"/>
    <n v="-78038.69"/>
    <s v="RF"/>
    <s v="RFE"/>
    <n v="-11234.93"/>
    <n v="-11234.93"/>
    <n v="1010052.79"/>
    <n v="1010052.7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81723597000000003"/>
    <m/>
    <n v="0"/>
    <n v="-219173.26"/>
    <m/>
    <m/>
    <m/>
    <n v="1355558.46"/>
    <n v="0"/>
    <n v="2520.3126550000002"/>
    <n v="52555.483399999997"/>
    <n v="-296353.43"/>
    <n v="92570020.519999996"/>
    <n v="206.06"/>
    <n v="394770.09"/>
    <n v="0.29803809999999997"/>
    <m/>
    <n v="0"/>
    <n v="0"/>
    <n v="-296353.43"/>
    <n v="0"/>
    <n v="0"/>
    <n v="16777215"/>
    <n v="0"/>
    <n v="0"/>
    <n v="0"/>
    <n v="0"/>
    <n v="0"/>
    <n v="1010258.85"/>
    <n v="1010258.85"/>
    <n v="31345322.399999999"/>
    <n v="-1110160.2399999984"/>
    <n v="92570020.519999966"/>
    <n v="0"/>
    <n v="0"/>
    <s v="S"/>
    <m/>
    <n v="0"/>
    <n v="3"/>
    <n v="0"/>
    <n v="1.0913455999999999"/>
    <n v="0"/>
    <m/>
    <m/>
    <n v="0"/>
    <n v="0"/>
    <n v="1633661.45"/>
    <n v="1.2333592799999999"/>
    <m/>
    <m/>
    <n v="101.07551643835799"/>
    <n v="1"/>
    <n v="4.12348304"/>
    <n v="2.2714315680000001"/>
    <n v="2.2049408266410002"/>
    <n v="2.3780821919999999"/>
    <n v="7.0045723000000004E-2"/>
    <n v="26"/>
    <n v="868"/>
    <n v="0"/>
    <n v="0"/>
    <n v="4.6635260780000003"/>
    <n v="0"/>
    <n v="0"/>
  </r>
  <r>
    <n v="16975406"/>
    <n v="128"/>
    <n v="10368"/>
    <n v="0"/>
    <n v="0"/>
    <n v="0"/>
    <n v="0"/>
    <n v="0"/>
    <n v="300"/>
    <n v="300"/>
    <n v="300000"/>
    <n v="300000"/>
    <n v="300000"/>
    <n v="300000"/>
    <n v="299598"/>
    <n v="299598"/>
    <n v="299598"/>
    <n v="299598"/>
    <n v="300000"/>
    <n v="300000"/>
    <n v="300000"/>
    <n v="300000"/>
    <n v="0"/>
    <n v="0"/>
    <n v="0"/>
    <n v="0"/>
    <n v="6981.66"/>
    <n v="6981.66"/>
    <n v="6981.66"/>
    <n v="6981.66"/>
    <s v="10/02/2025 00:00:00"/>
    <s v="MEDIOLANUM PENSIONES II, FONDO DE PENSIONES"/>
    <s v="03/10/2023 00:00:00"/>
    <x v="165"/>
    <n v="4"/>
    <s v="EUR"/>
    <s v="E"/>
    <n v="101.09111077616799"/>
    <n v="101.10240410958799"/>
    <n v="303307.21000000002"/>
    <n v="303307.21000000002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898671000000001"/>
    <s v="ok"/>
    <s v="ok"/>
    <n v="26356083.120000001"/>
    <n v="0"/>
    <n v="33.880000000000003"/>
    <n v="0.01"/>
    <s v="PA"/>
    <n v="-78038.69"/>
    <s v="RF"/>
    <s v="RFE"/>
    <n v="-3306.33"/>
    <n v="-3306.33"/>
    <n v="303273.33"/>
    <n v="303273.3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535649000000001"/>
    <m/>
    <n v="0"/>
    <n v="-219173.26"/>
    <m/>
    <m/>
    <m/>
    <n v="1355558.46"/>
    <n v="0"/>
    <n v="2520.3126550000002"/>
    <n v="52555.483399999997"/>
    <n v="-296353.43"/>
    <n v="92570020.519999996"/>
    <n v="33.880000000000003"/>
    <n v="394770.09"/>
    <n v="0.29803809999999997"/>
    <m/>
    <n v="0"/>
    <n v="0"/>
    <n v="-296353.43"/>
    <n v="0"/>
    <n v="0"/>
    <n v="16777215"/>
    <n v="0"/>
    <n v="0"/>
    <n v="0"/>
    <n v="0"/>
    <n v="0"/>
    <n v="303307.21000000002"/>
    <n v="303307.21000000002"/>
    <n v="31345322.399999999"/>
    <n v="-1110160.2399999984"/>
    <n v="92570020.519999966"/>
    <n v="0"/>
    <n v="0"/>
    <s v="S"/>
    <m/>
    <n v="0"/>
    <n v="3"/>
    <n v="0"/>
    <n v="0.32765166000000001"/>
    <n v="0"/>
    <m/>
    <m/>
    <n v="0"/>
    <n v="0"/>
    <n v="1633661.45"/>
    <n v="1.2333592799999999"/>
    <m/>
    <m/>
    <n v="101.10697260274"/>
    <n v="1"/>
    <n v="4.5543754429999996"/>
    <n v="1.3236195340000001"/>
    <n v="1.2799766947219999"/>
    <n v="1.3616438360000001"/>
    <n v="2.8446182E-2"/>
    <n v="15"/>
    <n v="497"/>
    <n v="0"/>
    <n v="0"/>
    <n v="5.5345862610000003"/>
    <n v="0"/>
    <n v="0"/>
  </r>
  <r>
    <n v="16975484"/>
    <n v="128"/>
    <n v="10426"/>
    <n v="0"/>
    <n v="0"/>
    <n v="0"/>
    <n v="0"/>
    <n v="0"/>
    <n v="500"/>
    <n v="500"/>
    <n v="500000"/>
    <n v="500000"/>
    <n v="500000"/>
    <n v="500000"/>
    <n v="496630"/>
    <n v="496630"/>
    <n v="496630"/>
    <n v="496630"/>
    <n v="500000"/>
    <n v="500000"/>
    <n v="500000"/>
    <n v="500000"/>
    <n v="0"/>
    <n v="0"/>
    <n v="0"/>
    <n v="0"/>
    <n v="14378.35"/>
    <n v="14378.35"/>
    <n v="14378.35"/>
    <n v="14378.35"/>
    <s v="08/03/2027 00:00:00"/>
    <s v="MEDIOLANUM PENSIONES II, FONDO DE PENSIONES"/>
    <s v="03/10/2023 00:00:00"/>
    <x v="166"/>
    <n v="4"/>
    <s v="EUR"/>
    <s v="E"/>
    <n v="102.68320725595299"/>
    <n v="102.56219125683"/>
    <n v="512810.96"/>
    <n v="512810.96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8715496999999999"/>
    <s v="ok"/>
    <s v="ok"/>
    <n v="26356083.120000001"/>
    <n v="0"/>
    <n v="-605.08000000000004"/>
    <n v="-0.12"/>
    <s v="PA"/>
    <n v="-78038.69"/>
    <s v="RF"/>
    <s v="RFE"/>
    <n v="2407.69"/>
    <n v="2407.69"/>
    <n v="513416.04"/>
    <n v="513416.0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1483186999999999"/>
    <m/>
    <n v="0"/>
    <n v="-219173.26"/>
    <m/>
    <m/>
    <m/>
    <n v="1355558.46"/>
    <n v="0"/>
    <n v="2520.3126550000002"/>
    <n v="52555.483399999997"/>
    <n v="-296353.43"/>
    <n v="92570020.519999996"/>
    <n v="-605.08000000000004"/>
    <n v="394770.09"/>
    <n v="0.29803809999999997"/>
    <m/>
    <n v="0"/>
    <n v="0"/>
    <n v="-296353.43"/>
    <n v="0"/>
    <n v="0"/>
    <n v="16777215"/>
    <n v="0"/>
    <n v="0"/>
    <n v="0"/>
    <n v="0"/>
    <n v="0"/>
    <n v="512810.96"/>
    <n v="512810.96"/>
    <n v="31345322.399999999"/>
    <n v="-1110160.2399999984"/>
    <n v="92570020.519999966"/>
    <n v="0"/>
    <n v="0"/>
    <s v="S"/>
    <m/>
    <n v="0"/>
    <n v="3"/>
    <n v="0"/>
    <n v="0.55397088000000005"/>
    <n v="0"/>
    <m/>
    <m/>
    <n v="0"/>
    <n v="0"/>
    <n v="1633661.45"/>
    <n v="1.2333592799999999"/>
    <m/>
    <m/>
    <n v="102.734030054645"/>
    <n v="1"/>
    <n v="5.0251146240000004"/>
    <n v="3.1548040909999999"/>
    <n v="3.0859831908589999"/>
    <n v="3.4328767120000001"/>
    <n v="0.124062691"/>
    <n v="36"/>
    <n v="1253"/>
    <n v="0"/>
    <n v="0"/>
    <n v="6.1553522520000001"/>
    <n v="0"/>
    <n v="0"/>
  </r>
  <r>
    <n v="16975512"/>
    <n v="128"/>
    <n v="10613"/>
    <n v="0"/>
    <n v="0"/>
    <n v="0"/>
    <n v="0"/>
    <n v="0"/>
    <n v="5"/>
    <n v="5"/>
    <n v="500000"/>
    <n v="500000"/>
    <n v="500000"/>
    <n v="500000"/>
    <n v="499180"/>
    <n v="499180"/>
    <n v="499180"/>
    <n v="499180"/>
    <n v="500000"/>
    <n v="500000"/>
    <n v="500000"/>
    <n v="500000"/>
    <n v="0"/>
    <n v="0"/>
    <n v="0"/>
    <n v="0"/>
    <n v="7781.86"/>
    <n v="7781.86"/>
    <n v="7781.86"/>
    <n v="7781.86"/>
    <s v="07/06/2028 00:00:00"/>
    <s v="MEDIOLANUM PENSIONES II, FONDO DE PENSIONES"/>
    <s v="03/10/2023 00:00:00"/>
    <x v="167"/>
    <n v="4"/>
    <s v="EUR"/>
    <s v="S"/>
    <n v="101.369037857748"/>
    <n v="101.243021857925"/>
    <n v="506215.11"/>
    <n v="506215.11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8217532999999998"/>
    <s v="ok"/>
    <s v="ok"/>
    <n v="26356083.120000001"/>
    <n v="0"/>
    <n v="-630.08000000000004"/>
    <n v="-0.13"/>
    <s v="PA"/>
    <n v="-78038.69"/>
    <s v="RF"/>
    <s v="RFE"/>
    <n v="-116.67"/>
    <n v="-116.67"/>
    <n v="506845.19"/>
    <n v="506845.1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0949624000000001"/>
    <m/>
    <n v="0"/>
    <n v="-219173.26"/>
    <m/>
    <m/>
    <m/>
    <n v="1355558.46"/>
    <n v="0"/>
    <n v="2520.3126550000002"/>
    <n v="52555.483399999997"/>
    <n v="-296353.43"/>
    <n v="92570020.519999996"/>
    <n v="-630.08000000000004"/>
    <n v="394770.09"/>
    <n v="0.29803809999999997"/>
    <m/>
    <n v="0"/>
    <n v="0"/>
    <n v="-296353.43"/>
    <n v="0"/>
    <n v="0"/>
    <n v="16777215"/>
    <n v="0"/>
    <n v="0"/>
    <n v="0"/>
    <n v="0"/>
    <n v="0"/>
    <n v="506215.11"/>
    <n v="506215.11"/>
    <n v="31345322.399999999"/>
    <n v="-1110160.2399999984"/>
    <n v="92570020.519999966"/>
    <n v="0"/>
    <n v="0"/>
    <s v="S"/>
    <m/>
    <n v="0"/>
    <n v="3"/>
    <n v="0"/>
    <n v="0.54684562999999997"/>
    <n v="0"/>
    <m/>
    <m/>
    <n v="0"/>
    <n v="0"/>
    <n v="1633661.45"/>
    <n v="1.2333592799999999"/>
    <m/>
    <m/>
    <n v="101.46036065574"/>
    <n v="1"/>
    <n v="5.0273052610000004"/>
    <n v="4.2259720229999997"/>
    <n v="4.0824492685899996"/>
    <n v="4.6849315069999999"/>
    <n v="0.21089611599999999"/>
    <n v="48"/>
    <n v="1710"/>
    <n v="0"/>
    <n v="0"/>
    <n v="5.4293955790000004"/>
    <n v="0"/>
    <n v="0"/>
  </r>
  <r>
    <n v="16975525"/>
    <n v="128"/>
    <n v="10554"/>
    <n v="0"/>
    <n v="0"/>
    <n v="0"/>
    <n v="0"/>
    <n v="0"/>
    <n v="6"/>
    <n v="6"/>
    <n v="600000"/>
    <n v="600000"/>
    <n v="600000"/>
    <n v="600000"/>
    <n v="601272"/>
    <n v="601272"/>
    <n v="601272"/>
    <n v="601272"/>
    <n v="600000"/>
    <n v="600000"/>
    <n v="600000"/>
    <n v="600000"/>
    <n v="0"/>
    <n v="0"/>
    <n v="0"/>
    <n v="0"/>
    <n v="10111.59"/>
    <n v="10111.59"/>
    <n v="10111.59"/>
    <n v="10111.59"/>
    <s v="16/05/2026 00:00:00"/>
    <s v="MEDIOLANUM PENSIONES II, FONDO DE PENSIONES"/>
    <s v="03/10/2023 00:00:00"/>
    <x v="168"/>
    <n v="4"/>
    <s v="EUR"/>
    <s v="S"/>
    <n v="101.234217350077"/>
    <n v="101.182125683059"/>
    <n v="607092.75"/>
    <n v="607092.75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5833454000000001"/>
    <s v="ok"/>
    <s v="ok"/>
    <n v="26356083.120000001"/>
    <n v="0"/>
    <n v="-312.55"/>
    <n v="-0.05"/>
    <s v="PA"/>
    <n v="-78038.69"/>
    <s v="RF"/>
    <s v="RFE"/>
    <n v="-3978.29"/>
    <n v="-3978.29"/>
    <n v="607405.30000000005"/>
    <n v="607405.300000000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9109990999999997"/>
    <m/>
    <n v="0"/>
    <n v="-219173.26"/>
    <m/>
    <m/>
    <m/>
    <n v="1355558.46"/>
    <n v="0"/>
    <n v="2520.3126550000002"/>
    <n v="52555.483399999997"/>
    <n v="-296353.43"/>
    <n v="92570020.519999996"/>
    <n v="-312.55"/>
    <n v="394770.09"/>
    <n v="0.29803809999999997"/>
    <m/>
    <n v="0"/>
    <n v="0"/>
    <n v="-296353.43"/>
    <n v="0"/>
    <n v="0"/>
    <n v="16777215"/>
    <n v="0"/>
    <n v="0"/>
    <n v="0"/>
    <n v="0"/>
    <n v="0"/>
    <n v="607092.75"/>
    <n v="607092.75"/>
    <n v="31345322.399999999"/>
    <n v="-1110160.2399999984"/>
    <n v="92570020.519999966"/>
    <n v="0"/>
    <n v="0"/>
    <s v="S"/>
    <m/>
    <n v="0"/>
    <n v="3"/>
    <n v="0"/>
    <n v="0.65582004000000005"/>
    <n v="0"/>
    <m/>
    <m/>
    <n v="0"/>
    <n v="0"/>
    <n v="1633661.45"/>
    <n v="1.2333592799999999"/>
    <m/>
    <m/>
    <n v="101.235489071038"/>
    <n v="1"/>
    <n v="4.8307917460000001"/>
    <n v="2.4891586760000002"/>
    <n v="2.4037898756890002"/>
    <n v="2.6219178080000001"/>
    <n v="8.0874408999999994E-2"/>
    <n v="28"/>
    <n v="957"/>
    <n v="0"/>
    <n v="0"/>
    <n v="5.259686061"/>
    <n v="0"/>
    <n v="0"/>
  </r>
  <r>
    <n v="16975569"/>
    <n v="128"/>
    <n v="10577"/>
    <n v="0"/>
    <n v="0"/>
    <n v="0"/>
    <n v="0"/>
    <n v="0"/>
    <n v="2000"/>
    <n v="2000"/>
    <n v="2000000"/>
    <n v="2000000"/>
    <n v="2000000"/>
    <n v="2000000"/>
    <n v="1997710"/>
    <n v="1997710"/>
    <n v="1997710"/>
    <n v="1997710"/>
    <n v="2000000"/>
    <n v="2000000"/>
    <n v="2000000"/>
    <n v="2000000"/>
    <n v="13268.44"/>
    <n v="13268.44"/>
    <n v="13268.44"/>
    <n v="13268.44"/>
    <n v="17844.28"/>
    <n v="17844.28"/>
    <n v="17844.28"/>
    <n v="17844.28"/>
    <s v="30/05/2024 00:00:00"/>
    <s v="MEDIOLANUM PENSIONES II, FONDO DE PENSIONES"/>
    <s v="03/10/2023 00:00:00"/>
    <x v="169"/>
    <n v="4"/>
    <s v="EUR"/>
    <s v="E"/>
    <n v="101.582303614738"/>
    <n v="101.596713114754"/>
    <n v="2031934.26"/>
    <n v="2031934.26"/>
    <s v="N"/>
    <n v="4"/>
    <s v="EUR"/>
    <n v="132534288.59999999"/>
    <s v="S"/>
    <n v="1"/>
    <n v="1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53404181"/>
    <s v="ok"/>
    <s v="ok"/>
    <n v="26356083.120000001"/>
    <n v="0"/>
    <n v="288.19"/>
    <n v="0.01"/>
    <s v="PA"/>
    <n v="-78038.69"/>
    <s v="RF"/>
    <s v="RFE"/>
    <n v="2823.35"/>
    <n v="2823.35"/>
    <n v="2031646.07"/>
    <n v="2031646.0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64370722"/>
    <m/>
    <n v="0"/>
    <n v="-219173.26"/>
    <m/>
    <m/>
    <m/>
    <n v="1355558.46"/>
    <n v="0"/>
    <n v="2520.3126550000002"/>
    <n v="52555.483399999997"/>
    <n v="-296353.43"/>
    <n v="92570020.519999996"/>
    <n v="288.19"/>
    <n v="394770.09"/>
    <n v="0.29803809999999997"/>
    <m/>
    <n v="0"/>
    <n v="0"/>
    <n v="-296353.43"/>
    <n v="0"/>
    <n v="0"/>
    <n v="16777215"/>
    <n v="0"/>
    <n v="0"/>
    <n v="0"/>
    <n v="0"/>
    <n v="0"/>
    <n v="2031934.26"/>
    <n v="2031934.26"/>
    <n v="31345322.399999999"/>
    <n v="-1110160.2399999984"/>
    <n v="92570020.519999966"/>
    <n v="0"/>
    <n v="0"/>
    <s v="S"/>
    <m/>
    <n v="0"/>
    <n v="3"/>
    <n v="0"/>
    <n v="2.1950240999999999"/>
    <n v="0"/>
    <m/>
    <m/>
    <n v="0"/>
    <n v="0"/>
    <n v="1633661.45"/>
    <n v="1.2333592799999999"/>
    <m/>
    <m/>
    <n v="101.592576502733"/>
    <n v="1"/>
    <n v="4.5679884780000002"/>
    <n v="0.658469945"/>
    <n v="0.63973362428400005"/>
    <n v="0.66027397300000001"/>
    <n v="9.9872529999999998E-3"/>
    <n v="8"/>
    <n v="241"/>
    <n v="0"/>
    <n v="0"/>
    <n v="7.2940064309999997"/>
    <n v="0"/>
    <n v="0"/>
  </r>
  <r>
    <n v="16975534"/>
    <n v="128"/>
    <n v="10297"/>
    <n v="0"/>
    <n v="0"/>
    <n v="0"/>
    <n v="0"/>
    <n v="0"/>
    <n v="10"/>
    <n v="10"/>
    <n v="1000000"/>
    <n v="1000000"/>
    <n v="1000000"/>
    <n v="1000000"/>
    <n v="1009980"/>
    <n v="1009980"/>
    <n v="1009980"/>
    <n v="1009980"/>
    <n v="1000000"/>
    <n v="1000000"/>
    <n v="1000000"/>
    <n v="1000000"/>
    <n v="0"/>
    <n v="0"/>
    <n v="0"/>
    <n v="0"/>
    <n v="6658.29"/>
    <n v="6658.29"/>
    <n v="6658.29"/>
    <n v="6658.29"/>
    <s v="30/06/2025 00:00:00"/>
    <s v="MEDIOLANUM PENSIONES II, FONDO DE PENSIONES"/>
    <s v="03/10/2023 00:00:00"/>
    <x v="170"/>
    <n v="4"/>
    <s v="EUR"/>
    <s v="S"/>
    <n v="100.151622655803"/>
    <n v="100.170860655737"/>
    <n v="1001708.61"/>
    <n v="1001708.61"/>
    <s v="N"/>
    <n v="4"/>
    <s v="EUR"/>
    <n v="132534288.59999999"/>
    <s v="S"/>
    <n v="1"/>
    <n v="1"/>
    <s v="Financiero"/>
    <s v="Fin.Diversific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5625620999999998"/>
    <s v="ok"/>
    <s v="ok"/>
    <n v="26356083.120000001"/>
    <n v="0"/>
    <n v="192.38"/>
    <n v="0.02"/>
    <s v="PA"/>
    <n v="-78038.69"/>
    <s v="RF"/>
    <s v="RFOF"/>
    <n v="-15122.06"/>
    <n v="-15122.06"/>
    <n v="1001516.23"/>
    <n v="1001516.2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81031936000000004"/>
    <m/>
    <n v="0"/>
    <n v="-219173.26"/>
    <m/>
    <m/>
    <m/>
    <n v="1355558.46"/>
    <n v="0"/>
    <n v="2520.3126550000002"/>
    <n v="52555.483399999997"/>
    <n v="-296353.43"/>
    <n v="92570020.519999996"/>
    <n v="192.38"/>
    <n v="394770.09"/>
    <n v="0.29803809999999997"/>
    <m/>
    <n v="0"/>
    <n v="0"/>
    <n v="-296353.43"/>
    <n v="0"/>
    <n v="0"/>
    <n v="16777215"/>
    <n v="0"/>
    <n v="0"/>
    <n v="0"/>
    <n v="0"/>
    <n v="0"/>
    <n v="1001708.61"/>
    <n v="1001708.61"/>
    <n v="31345322.399999999"/>
    <n v="-1110160.2399999984"/>
    <n v="92570020.519999966"/>
    <n v="0"/>
    <n v="0"/>
    <s v="S"/>
    <m/>
    <n v="0"/>
    <n v="3"/>
    <n v="0"/>
    <n v="1.0821090900000001"/>
    <n v="0"/>
    <m/>
    <m/>
    <n v="0"/>
    <n v="0"/>
    <n v="1633661.45"/>
    <n v="1.2333592799999999"/>
    <m/>
    <m/>
    <n v="100.186614754099"/>
    <n v="1"/>
    <n v="4.2123883490000003"/>
    <n v="1.7068695810000001"/>
    <n v="1.640932405059"/>
    <n v="1.745205479"/>
    <n v="4.2865197000000001E-2"/>
    <n v="20"/>
    <n v="637"/>
    <n v="0"/>
    <n v="0"/>
    <n v="3.7210995580000001"/>
    <n v="0"/>
    <n v="0"/>
  </r>
  <r>
    <n v="16975552"/>
    <n v="128"/>
    <n v="10295"/>
    <n v="0"/>
    <n v="0"/>
    <n v="0"/>
    <n v="0"/>
    <n v="0"/>
    <n v="15"/>
    <n v="15"/>
    <n v="1500000"/>
    <n v="1500000"/>
    <n v="1500000"/>
    <n v="1500000"/>
    <n v="1502220"/>
    <n v="1502220"/>
    <n v="1502220"/>
    <n v="1502220"/>
    <n v="1500000"/>
    <n v="1500000"/>
    <n v="1500000"/>
    <n v="1500000"/>
    <n v="3070.36"/>
    <n v="3070.36"/>
    <n v="3070.36"/>
    <n v="3070.36"/>
    <n v="16264.61"/>
    <n v="16264.61"/>
    <n v="16264.61"/>
    <n v="16264.61"/>
    <s v="23/05/2025 00:00:00"/>
    <s v="MEDIOLANUM PENSIONES II, FONDO DE PENSIONES"/>
    <s v="03/10/2023 00:00:00"/>
    <x v="171"/>
    <n v="4"/>
    <s v="EUR"/>
    <s v="S"/>
    <n v="100.906365748669"/>
    <n v="100.9206284153"/>
    <n v="1513809.43"/>
    <n v="1513809.43"/>
    <s v="N"/>
    <n v="4"/>
    <s v="EUR"/>
    <n v="132534288.59999999"/>
    <s v="S"/>
    <n v="1"/>
    <n v="1"/>
    <s v="Financiero"/>
    <s v="Fin.Diversific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14287505"/>
    <s v="ok"/>
    <s v="ok"/>
    <n v="26356083.120000001"/>
    <n v="0"/>
    <n v="213.94"/>
    <n v="0.01"/>
    <s v="PA"/>
    <n v="-78038.69"/>
    <s v="RF"/>
    <s v="RFOF"/>
    <n v="-7959.48"/>
    <n v="-7959.48"/>
    <n v="1513595.49"/>
    <n v="1513595.4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2245767700000001"/>
    <m/>
    <n v="0"/>
    <n v="-219173.26"/>
    <m/>
    <m/>
    <m/>
    <n v="1355558.46"/>
    <n v="0"/>
    <n v="2520.3126550000002"/>
    <n v="52555.483399999997"/>
    <n v="-296353.43"/>
    <n v="92570020.519999996"/>
    <n v="213.94"/>
    <n v="394770.09"/>
    <n v="0.29803809999999997"/>
    <m/>
    <n v="0"/>
    <n v="0"/>
    <n v="-296353.43"/>
    <n v="0"/>
    <n v="0"/>
    <n v="16777215"/>
    <n v="0"/>
    <n v="0"/>
    <n v="0"/>
    <n v="0"/>
    <n v="0"/>
    <n v="1513809.43"/>
    <n v="1513809.43"/>
    <n v="31345322.399999999"/>
    <n v="-1110160.2399999984"/>
    <n v="92570020.519999966"/>
    <n v="0"/>
    <n v="0"/>
    <s v="S"/>
    <m/>
    <n v="0"/>
    <n v="3"/>
    <n v="0"/>
    <n v="1.6353128400000001"/>
    <n v="0"/>
    <m/>
    <m/>
    <n v="0"/>
    <n v="0"/>
    <n v="1633661.45"/>
    <n v="1.2333592799999999"/>
    <m/>
    <m/>
    <n v="100.968040983607"/>
    <n v="1"/>
    <n v="4.1397315470000002"/>
    <n v="1.601948293"/>
    <n v="1.5531591878590001"/>
    <n v="1.6410958899999999"/>
    <n v="3.8765806E-2"/>
    <n v="18"/>
    <n v="599"/>
    <n v="0"/>
    <n v="0"/>
    <n v="4.6712518689999998"/>
    <n v="0"/>
    <n v="0"/>
  </r>
  <r>
    <n v="16975475"/>
    <n v="128"/>
    <n v="9585"/>
    <n v="0"/>
    <n v="0"/>
    <n v="0"/>
    <n v="0"/>
    <n v="0"/>
    <n v="3"/>
    <n v="3"/>
    <n v="300000"/>
    <n v="300000"/>
    <n v="300000"/>
    <n v="300000"/>
    <n v="300573"/>
    <n v="300573"/>
    <n v="300573"/>
    <n v="300573"/>
    <n v="300000"/>
    <n v="300000"/>
    <n v="300000"/>
    <n v="300000"/>
    <n v="0"/>
    <n v="0"/>
    <n v="0"/>
    <n v="0"/>
    <n v="6477.07"/>
    <n v="6477.07"/>
    <n v="6477.07"/>
    <n v="6477.07"/>
    <s v="05/11/2025 00:00:00"/>
    <s v="MEDIOLANUM PENSIONES II, FONDO DE PENSIONES"/>
    <s v="03/10/2023 00:00:00"/>
    <x v="172"/>
    <n v="4"/>
    <s v="EUR"/>
    <s v="E"/>
    <n v="93.069422602352006"/>
    <n v="93.019972602739998"/>
    <n v="279059.92"/>
    <n v="279059.92"/>
    <s v="N"/>
    <n v="4"/>
    <s v="EUR"/>
    <n v="132534288.59999999"/>
    <s v="S"/>
    <n v="1"/>
    <n v="1"/>
    <s v="Financiero"/>
    <s v="Fin.Diversific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1068081999999999"/>
    <s v="ok"/>
    <s v="ok"/>
    <n v="26356083.120000001"/>
    <n v="0"/>
    <n v="-148.35"/>
    <n v="-0.05"/>
    <s v="PA"/>
    <n v="-78038.69"/>
    <s v="RF"/>
    <s v="RFE"/>
    <n v="-27841.8"/>
    <n v="-27841.8"/>
    <n v="279208.27"/>
    <n v="279208.2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2574195"/>
    <m/>
    <n v="0"/>
    <n v="-219173.26"/>
    <m/>
    <m/>
    <m/>
    <n v="1355558.46"/>
    <n v="0"/>
    <n v="2520.3126550000002"/>
    <n v="52555.483399999997"/>
    <n v="-296353.43"/>
    <n v="92570020.519999996"/>
    <n v="-148.35"/>
    <n v="394770.09"/>
    <n v="0.29803809999999997"/>
    <m/>
    <n v="0"/>
    <n v="0"/>
    <n v="-296353.43"/>
    <n v="0"/>
    <n v="0"/>
    <n v="16777215"/>
    <n v="0"/>
    <n v="0"/>
    <n v="0"/>
    <n v="0"/>
    <n v="0"/>
    <n v="279059.92"/>
    <n v="279059.92"/>
    <n v="31345322.399999999"/>
    <n v="-1110160.2399999984"/>
    <n v="92570020.519999966"/>
    <n v="0"/>
    <n v="0"/>
    <s v="S"/>
    <m/>
    <n v="0"/>
    <n v="3"/>
    <n v="0"/>
    <n v="0.30145820000000001"/>
    <n v="0"/>
    <m/>
    <m/>
    <n v="0"/>
    <n v="0"/>
    <n v="1633661.45"/>
    <n v="1.2333592799999999"/>
    <m/>
    <m/>
    <n v="93.102623287669999"/>
    <n v="1"/>
    <n v="7.380528709"/>
    <n v="2.0149603969999998"/>
    <n v="1.74704018554"/>
    <n v="2.0958904110000001"/>
    <n v="5.3773987000000002E-2"/>
    <n v="23"/>
    <n v="765"/>
    <n v="0"/>
    <n v="0"/>
    <n v="3.5447231719999999"/>
    <n v="0"/>
    <n v="0"/>
  </r>
  <r>
    <n v="16975535"/>
    <n v="128"/>
    <n v="10458"/>
    <n v="0"/>
    <n v="0"/>
    <n v="0"/>
    <n v="0"/>
    <n v="0"/>
    <n v="10"/>
    <n v="10"/>
    <n v="1000000"/>
    <n v="1000000"/>
    <n v="1000000"/>
    <n v="1000000"/>
    <n v="959170"/>
    <n v="959170"/>
    <n v="959170"/>
    <n v="959170"/>
    <n v="1000000"/>
    <n v="1000000"/>
    <n v="1000000"/>
    <n v="1000000"/>
    <n v="0"/>
    <n v="0"/>
    <n v="0"/>
    <n v="0"/>
    <n v="17972.82"/>
    <n v="17972.82"/>
    <n v="17972.82"/>
    <n v="17972.82"/>
    <s v="27/06/2024 00:00:00"/>
    <s v="MEDIOLANUM PENSIONES II, FONDO DE PENSIONES"/>
    <s v="03/10/2023 00:00:00"/>
    <x v="173"/>
    <n v="4"/>
    <s v="EUR"/>
    <s v="S"/>
    <n v="97.42833583606"/>
    <n v="97.424909836066007"/>
    <n v="974249.1"/>
    <n v="974249.1"/>
    <s v="N"/>
    <n v="4"/>
    <s v="EUR"/>
    <n v="132534288.59999999"/>
    <s v="S"/>
    <n v="1"/>
    <n v="1"/>
    <s v="Financiero"/>
    <s v="Fin.Diversific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3552519999999999"/>
    <s v="ok"/>
    <s v="ok"/>
    <n v="26356083.120000001"/>
    <n v="0"/>
    <n v="-34.26"/>
    <n v="0"/>
    <s v="PA"/>
    <n v="-78038.69"/>
    <s v="RF"/>
    <s v="RFE"/>
    <n v="-2859.46"/>
    <n v="-2859.46"/>
    <n v="974283.36"/>
    <n v="974283.3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8810634999999996"/>
    <m/>
    <n v="0"/>
    <n v="-219173.26"/>
    <m/>
    <m/>
    <m/>
    <n v="1355558.46"/>
    <n v="0"/>
    <n v="2520.3126550000002"/>
    <n v="52555.483399999997"/>
    <n v="-296353.43"/>
    <n v="92570020.519999996"/>
    <n v="-34.26"/>
    <n v="394770.09"/>
    <n v="0.29803809999999997"/>
    <m/>
    <n v="0"/>
    <n v="0"/>
    <n v="-296353.43"/>
    <n v="0"/>
    <n v="0"/>
    <n v="16777215"/>
    <n v="0"/>
    <n v="0"/>
    <n v="0"/>
    <n v="0"/>
    <n v="0"/>
    <n v="974249.1"/>
    <n v="974249.1"/>
    <n v="31345322.399999999"/>
    <n v="-1110160.2399999984"/>
    <n v="92570020.519999966"/>
    <n v="0"/>
    <n v="0"/>
    <s v="S"/>
    <m/>
    <n v="0"/>
    <n v="3"/>
    <n v="0"/>
    <n v="1.05244559"/>
    <n v="0"/>
    <m/>
    <m/>
    <n v="0"/>
    <n v="0"/>
    <n v="1633661.45"/>
    <n v="1.2333592799999999"/>
    <m/>
    <m/>
    <n v="97.404385245902006"/>
    <n v="1"/>
    <n v="4.1721788489999998"/>
    <n v="0.73497267799999999"/>
    <n v="0.68722342817199999"/>
    <n v="0.73698630099999995"/>
    <n v="1.1750607999999999E-2"/>
    <n v="8"/>
    <n v="269"/>
    <n v="0"/>
    <n v="0"/>
    <n v="6.3762059200000003"/>
    <n v="0"/>
    <n v="0"/>
  </r>
  <r>
    <n v="16975401"/>
    <n v="128"/>
    <n v="9800"/>
    <n v="0"/>
    <n v="0"/>
    <n v="0"/>
    <n v="0"/>
    <n v="0"/>
    <n v="1"/>
    <n v="1"/>
    <n v="100000"/>
    <n v="100000"/>
    <n v="100000"/>
    <n v="100000"/>
    <n v="98919"/>
    <n v="98919"/>
    <n v="98919"/>
    <n v="98919"/>
    <n v="100000"/>
    <n v="100000"/>
    <n v="100000"/>
    <n v="100000"/>
    <n v="0"/>
    <n v="0"/>
    <n v="0"/>
    <n v="0"/>
    <n v="1282.52"/>
    <n v="1282.52"/>
    <n v="1282.52"/>
    <n v="1282.52"/>
    <s v="28/11/2028 00:00:00"/>
    <s v="MEDIOLANUM PENSIONES II, FONDO DE PENSIONES"/>
    <s v="03/10/2023 00:00:00"/>
    <x v="174"/>
    <n v="4"/>
    <s v="EUR"/>
    <s v="E"/>
    <n v="85.638751372746995"/>
    <n v="85.458801369862002"/>
    <n v="85458.8"/>
    <n v="85458.8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4518510000000001E-2"/>
    <s v="ok"/>
    <s v="ok"/>
    <n v="26356083.120000001"/>
    <n v="0"/>
    <n v="-179.95"/>
    <n v="-0.21"/>
    <s v="PA"/>
    <n v="-78038.69"/>
    <s v="RF"/>
    <s v="RFE"/>
    <n v="-14562.77"/>
    <n v="-14562.77"/>
    <n v="85638.75"/>
    <n v="85638.7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6.9130800000000006E-2"/>
    <m/>
    <n v="0"/>
    <n v="-219173.26"/>
    <m/>
    <m/>
    <m/>
    <n v="1355558.46"/>
    <n v="0"/>
    <n v="2520.3126550000002"/>
    <n v="52555.483399999997"/>
    <n v="-296353.43"/>
    <n v="92570020.519999996"/>
    <n v="-179.95"/>
    <n v="394770.09"/>
    <n v="0.29803809999999997"/>
    <m/>
    <n v="0"/>
    <n v="0"/>
    <n v="-296353.43"/>
    <n v="0"/>
    <n v="0"/>
    <n v="16777215"/>
    <n v="0"/>
    <n v="0"/>
    <n v="0"/>
    <n v="0"/>
    <n v="0"/>
    <n v="85458.8"/>
    <n v="85458.8"/>
    <n v="31345322.399999999"/>
    <n v="-1110160.2399999984"/>
    <n v="92570020.519999966"/>
    <n v="0"/>
    <n v="0"/>
    <s v="S"/>
    <m/>
    <n v="0"/>
    <n v="3"/>
    <n v="0"/>
    <n v="9.2318010000000006E-2"/>
    <n v="0"/>
    <m/>
    <m/>
    <n v="0"/>
    <n v="0"/>
    <n v="1633661.45"/>
    <n v="1.2333592799999999"/>
    <m/>
    <m/>
    <n v="85.671452054794997"/>
    <n v="1"/>
    <n v="6.1707977659999997"/>
    <n v="4.7926597390000003"/>
    <n v="3.867298048261"/>
    <n v="5.1616438359999997"/>
    <n v="0.25660229800000001"/>
    <n v="54"/>
    <n v="1884"/>
    <n v="0"/>
    <n v="0"/>
    <n v="3.0437481329999998"/>
    <n v="0"/>
    <n v="0"/>
  </r>
  <r>
    <n v="16975426"/>
    <n v="128"/>
    <n v="10699"/>
    <n v="0"/>
    <n v="0"/>
    <n v="0"/>
    <n v="0"/>
    <n v="0"/>
    <n v="1"/>
    <n v="1"/>
    <n v="100000"/>
    <n v="100000"/>
    <n v="100000"/>
    <n v="100000"/>
    <n v="98120.33"/>
    <n v="98120.33"/>
    <n v="98120.33"/>
    <n v="98120.33"/>
    <n v="100000"/>
    <n v="100000"/>
    <n v="100000"/>
    <n v="100000"/>
    <n v="0"/>
    <n v="0"/>
    <n v="0"/>
    <n v="0"/>
    <n v="1775.69"/>
    <n v="1775.69"/>
    <n v="1775.69"/>
    <n v="1775.69"/>
    <s v="03/07/2028 00:00:00"/>
    <s v="MEDIOLANUM PENSIONES II, FONDO DE PENSIONES"/>
    <s v="03/10/2023 00:00:00"/>
    <x v="175"/>
    <n v="4"/>
    <s v="EUR"/>
    <s v="E"/>
    <n v="91.875814248553993"/>
    <n v="91.833034246576005"/>
    <n v="91833.03"/>
    <n v="91833.03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9330840000000005E-2"/>
    <s v="ok"/>
    <s v="ok"/>
    <n v="26356083.120000001"/>
    <n v="0"/>
    <n v="-42.78"/>
    <n v="-0.04"/>
    <s v="PA"/>
    <n v="-78038.69"/>
    <s v="RF"/>
    <s v="RFE"/>
    <n v="-8020.21"/>
    <n v="-8020.21"/>
    <n v="91875.81"/>
    <n v="91875.8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4287149999999996E-2"/>
    <m/>
    <n v="0"/>
    <n v="-219173.26"/>
    <m/>
    <m/>
    <m/>
    <n v="1355558.46"/>
    <n v="0"/>
    <n v="2520.3126550000002"/>
    <n v="52555.483399999997"/>
    <n v="-296353.43"/>
    <n v="92570020.519999996"/>
    <n v="-42.78"/>
    <n v="394770.09"/>
    <n v="0.29803809999999997"/>
    <m/>
    <n v="0"/>
    <n v="0"/>
    <n v="-296353.43"/>
    <n v="0"/>
    <n v="0"/>
    <n v="16777215"/>
    <n v="0"/>
    <n v="0"/>
    <n v="0"/>
    <n v="0"/>
    <n v="0"/>
    <n v="91833.03"/>
    <n v="91833.03"/>
    <n v="31345322.399999999"/>
    <n v="-1110160.2399999984"/>
    <n v="92570020.519999966"/>
    <n v="0"/>
    <n v="0"/>
    <s v="S"/>
    <m/>
    <n v="0"/>
    <n v="3"/>
    <n v="0"/>
    <n v="9.9203860000000005E-2"/>
    <n v="0"/>
    <m/>
    <m/>
    <n v="0"/>
    <n v="0"/>
    <n v="1633661.45"/>
    <n v="1.2333592799999999"/>
    <m/>
    <m/>
    <n v="91.887034246575993"/>
    <n v="1"/>
    <n v="9.9845240650000004"/>
    <n v="2.7397260000000001E-3"/>
    <n v="2.2889152119999999E-3"/>
    <n v="4.7561643839999999"/>
    <n v="2.2711E-5"/>
    <n v="0"/>
    <n v="1736"/>
    <n v="0"/>
    <n v="0"/>
    <n v="8.2286244610000008"/>
    <n v="0"/>
    <n v="0"/>
  </r>
  <r>
    <n v="16975581"/>
    <n v="128"/>
    <n v="7497"/>
    <n v="0"/>
    <n v="0"/>
    <n v="0"/>
    <n v="0"/>
    <n v="0"/>
    <n v="100"/>
    <n v="100"/>
    <n v="100000"/>
    <n v="100000"/>
    <n v="100000"/>
    <n v="100000"/>
    <n v="101177"/>
    <n v="101177"/>
    <n v="101177"/>
    <n v="101177"/>
    <n v="100000"/>
    <n v="100000"/>
    <n v="100000"/>
    <n v="100000"/>
    <n v="0"/>
    <n v="0"/>
    <n v="0"/>
    <n v="0"/>
    <n v="-689.71"/>
    <n v="-689.71"/>
    <n v="-689.71"/>
    <n v="-689.71"/>
    <s v="26/02/2025 00:00:00"/>
    <s v="MEDIOLANUM PENSIONES II, FONDO DE PENSIONES"/>
    <s v="03/10/2023 00:00:00"/>
    <x v="176"/>
    <n v="4"/>
    <s v="EUR"/>
    <s v="S"/>
    <n v="96.258244700657997"/>
    <n v="96.233584699453999"/>
    <n v="96233.58"/>
    <n v="96233.58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2653110000000007E-2"/>
    <s v="ok"/>
    <s v="ok"/>
    <n v="26356083.120000001"/>
    <n v="0"/>
    <n v="-24.66"/>
    <n v="-0.02"/>
    <s v="PA"/>
    <n v="-78038.69"/>
    <s v="RF"/>
    <s v="RFE"/>
    <n v="-4229.05"/>
    <n v="-4229.05"/>
    <n v="96258.240000000005"/>
    <n v="96258.2400000000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784692E-2"/>
    <m/>
    <n v="0"/>
    <n v="-219173.26"/>
    <m/>
    <m/>
    <m/>
    <n v="1355558.46"/>
    <n v="0"/>
    <n v="2520.3126550000002"/>
    <n v="52555.483399999997"/>
    <n v="-296353.43"/>
    <n v="92570020.519999996"/>
    <n v="-24.66"/>
    <n v="394770.09"/>
    <n v="0.29803809999999997"/>
    <m/>
    <n v="0"/>
    <n v="0"/>
    <n v="-296353.43"/>
    <n v="0"/>
    <n v="0"/>
    <n v="16777215"/>
    <n v="0"/>
    <n v="0"/>
    <n v="0"/>
    <n v="0"/>
    <n v="0"/>
    <n v="96233.58"/>
    <n v="96233.58"/>
    <n v="31345322.399999999"/>
    <n v="-1110160.2399999984"/>
    <n v="92570020.519999966"/>
    <n v="0"/>
    <n v="0"/>
    <s v="S"/>
    <m/>
    <n v="0"/>
    <n v="3"/>
    <n v="0"/>
    <n v="0.10395761000000001"/>
    <n v="0"/>
    <m/>
    <m/>
    <n v="0"/>
    <n v="0"/>
    <n v="1633661.45"/>
    <n v="1.2333592799999999"/>
    <m/>
    <m/>
    <n v="96.259303278687995"/>
    <n v="1"/>
    <n v="5.0447333890000001"/>
    <n v="1.389440821"/>
    <n v="1.273234755194"/>
    <n v="1.405479452"/>
    <n v="3.0177031E-2"/>
    <n v="16"/>
    <n v="513"/>
    <n v="0"/>
    <n v="0"/>
    <n v="1.344990471"/>
    <n v="0"/>
    <n v="0"/>
  </r>
  <r>
    <n v="16975358"/>
    <n v="128"/>
    <n v="7262"/>
    <n v="0"/>
    <n v="0"/>
    <n v="0"/>
    <n v="0"/>
    <n v="0"/>
    <n v="200"/>
    <n v="200"/>
    <n v="200000"/>
    <n v="200000"/>
    <n v="200000"/>
    <n v="200000"/>
    <n v="199916.4"/>
    <n v="199916.4"/>
    <n v="199916.4"/>
    <n v="199916.4"/>
    <n v="200000"/>
    <n v="200000"/>
    <n v="200000"/>
    <n v="200000"/>
    <n v="0"/>
    <n v="0"/>
    <n v="0"/>
    <n v="0"/>
    <n v="1354.34"/>
    <n v="1354.34"/>
    <n v="1354.34"/>
    <n v="1354.34"/>
    <s v="28/08/2024 00:00:00"/>
    <s v="MEDIOLANUM PENSIONES II, FONDO DE PENSIONES"/>
    <s v="03/10/2023 00:00:00"/>
    <x v="177"/>
    <n v="4"/>
    <s v="EUR"/>
    <s v="E"/>
    <n v="94.060502605107004"/>
    <n v="94.153472602739996"/>
    <n v="188306.95"/>
    <n v="188306.95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216539"/>
    <s v="ok"/>
    <s v="ok"/>
    <n v="26356083.120000001"/>
    <n v="0"/>
    <n v="185.94"/>
    <n v="0.1"/>
    <s v="PA"/>
    <n v="-78038.69"/>
    <s v="RF"/>
    <s v="RFE"/>
    <n v="-13149.73"/>
    <n v="-13149.73"/>
    <n v="188121.01"/>
    <n v="188121.0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232850000000001"/>
    <m/>
    <n v="0"/>
    <n v="-219173.26"/>
    <m/>
    <m/>
    <m/>
    <n v="1355558.46"/>
    <n v="0"/>
    <n v="2520.3126550000002"/>
    <n v="52555.483399999997"/>
    <n v="-296353.43"/>
    <n v="92570020.519999996"/>
    <n v="185.94"/>
    <n v="394770.09"/>
    <n v="0.29803809999999997"/>
    <m/>
    <n v="0"/>
    <n v="0"/>
    <n v="-296353.43"/>
    <n v="0"/>
    <n v="0"/>
    <n v="16777215"/>
    <n v="0"/>
    <n v="0"/>
    <n v="0"/>
    <n v="0"/>
    <n v="0"/>
    <n v="188306.95"/>
    <n v="188306.95"/>
    <n v="31345322.399999999"/>
    <n v="-1110160.2399999984"/>
    <n v="92570020.519999966"/>
    <n v="0"/>
    <n v="0"/>
    <s v="S"/>
    <m/>
    <n v="0"/>
    <n v="3"/>
    <n v="0"/>
    <n v="0.20342109999999999"/>
    <n v="0"/>
    <m/>
    <m/>
    <n v="0"/>
    <n v="0"/>
    <n v="1633661.45"/>
    <n v="1.2333592799999999"/>
    <m/>
    <m/>
    <n v="94.091650684930997"/>
    <n v="1"/>
    <n v="11.585164528"/>
    <n v="0.88776060300000004"/>
    <n v="0.74858392646299998"/>
    <n v="0.90684931499999999"/>
    <n v="1.3557130000000001E-2"/>
    <n v="10"/>
    <n v="331"/>
    <n v="0"/>
    <n v="0"/>
    <n v="4.2393523210000001"/>
    <n v="0"/>
    <n v="0"/>
  </r>
  <r>
    <n v="16975474"/>
    <n v="128"/>
    <n v="8294"/>
    <n v="0"/>
    <n v="0"/>
    <n v="0"/>
    <n v="0"/>
    <n v="0"/>
    <n v="3"/>
    <n v="3"/>
    <n v="300000"/>
    <n v="300000"/>
    <n v="300000"/>
    <n v="300000"/>
    <n v="285557.57"/>
    <n v="285557.57"/>
    <n v="285557.57"/>
    <n v="285557.57"/>
    <n v="300000"/>
    <n v="300000"/>
    <n v="300000"/>
    <n v="300000"/>
    <n v="0"/>
    <n v="0"/>
    <n v="0"/>
    <n v="0"/>
    <n v="6629.39"/>
    <n v="6629.39"/>
    <n v="6629.39"/>
    <n v="6629.39"/>
    <s v="04/12/2034 00:00:00"/>
    <s v="MEDIOLANUM PENSIONES II, FONDO DE PENSIONES"/>
    <s v="03/10/2023 00:00:00"/>
    <x v="178"/>
    <n v="4"/>
    <s v="EUR"/>
    <s v="S"/>
    <n v="71.489096850595999"/>
    <n v="70.991006849314005"/>
    <n v="212973.02"/>
    <n v="212973.02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6078745"/>
    <s v="ok"/>
    <s v="ok"/>
    <n v="26356083.120000001"/>
    <n v="0"/>
    <n v="-1494.27"/>
    <n v="-0.7"/>
    <s v="PA"/>
    <n v="-78038.69"/>
    <s v="RF"/>
    <s v="RFE"/>
    <n v="-77719.67"/>
    <n v="-77719.67"/>
    <n v="214467.29"/>
    <n v="214467.2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7228180000000001"/>
    <m/>
    <n v="0"/>
    <n v="-219173.26"/>
    <m/>
    <m/>
    <m/>
    <n v="1355558.46"/>
    <n v="0"/>
    <n v="2520.3126550000002"/>
    <n v="52555.483399999997"/>
    <n v="-296353.43"/>
    <n v="92570020.519999996"/>
    <n v="-1494.27"/>
    <n v="394770.09"/>
    <n v="0.29803809999999997"/>
    <m/>
    <n v="0"/>
    <n v="0"/>
    <n v="-296353.43"/>
    <n v="0"/>
    <n v="0"/>
    <n v="16777215"/>
    <n v="0"/>
    <n v="0"/>
    <n v="0"/>
    <n v="0"/>
    <n v="0"/>
    <n v="212973.02"/>
    <n v="212973.02"/>
    <n v="31345322.399999999"/>
    <n v="-1110160.2399999984"/>
    <n v="92570020.519999966"/>
    <n v="0"/>
    <n v="0"/>
    <s v="S"/>
    <m/>
    <n v="0"/>
    <n v="3"/>
    <n v="0"/>
    <n v="0.23006694999999999"/>
    <n v="0"/>
    <m/>
    <m/>
    <n v="0"/>
    <n v="0"/>
    <n v="1633661.45"/>
    <n v="1.2333592799999999"/>
    <m/>
    <m/>
    <n v="71.483369863014005"/>
    <n v="1"/>
    <n v="5.5588577270000004"/>
    <n v="9.7257385910000007"/>
    <n v="6.5861698760609997"/>
    <n v="11.180821917999999"/>
    <n v="1.0217991150000001"/>
    <n v="111"/>
    <n v="4081"/>
    <n v="0"/>
    <n v="0"/>
    <n v="2.5360641930000001"/>
    <n v="0"/>
    <n v="0"/>
  </r>
  <r>
    <n v="16975506"/>
    <n v="128"/>
    <n v="8275"/>
    <n v="0"/>
    <n v="0"/>
    <n v="0"/>
    <n v="0"/>
    <n v="0"/>
    <n v="3"/>
    <n v="3"/>
    <n v="300000"/>
    <n v="300000"/>
    <n v="300000"/>
    <n v="300000"/>
    <n v="301917"/>
    <n v="301917"/>
    <n v="301917"/>
    <n v="301917"/>
    <n v="300000"/>
    <n v="300000"/>
    <n v="300000"/>
    <n v="300000"/>
    <n v="0"/>
    <n v="0"/>
    <n v="0"/>
    <n v="0"/>
    <n v="-1743.98"/>
    <n v="-1743.98"/>
    <n v="-1743.98"/>
    <n v="-1743.98"/>
    <s v="13/04/2027 00:00:00"/>
    <s v="MEDIOLANUM PENSIONES II, FONDO DE PENSIONES"/>
    <s v="03/10/2023 00:00:00"/>
    <x v="179"/>
    <n v="4"/>
    <s v="EUR"/>
    <s v="S"/>
    <n v="93.424637159398998"/>
    <n v="93.248603825136996"/>
    <n v="279745.81"/>
    <n v="279745.81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1119864999999999"/>
    <s v="ok"/>
    <s v="ok"/>
    <n v="26356083.120000001"/>
    <n v="0"/>
    <n v="-528.1"/>
    <n v="-0.19"/>
    <s v="PA"/>
    <n v="-78038.69"/>
    <s v="RF"/>
    <s v="RFE"/>
    <n v="-19899.11"/>
    <n v="-19899.11"/>
    <n v="280273.90999999997"/>
    <n v="280273.9099999999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2629679"/>
    <m/>
    <n v="0"/>
    <n v="-219173.26"/>
    <m/>
    <m/>
    <m/>
    <n v="1355558.46"/>
    <n v="0"/>
    <n v="2520.3126550000002"/>
    <n v="52555.483399999997"/>
    <n v="-296353.43"/>
    <n v="92570020.519999996"/>
    <n v="-528.1"/>
    <n v="394770.09"/>
    <n v="0.29803809999999997"/>
    <m/>
    <n v="0"/>
    <n v="0"/>
    <n v="-296353.43"/>
    <n v="0"/>
    <n v="0"/>
    <n v="16777215"/>
    <n v="0"/>
    <n v="0"/>
    <n v="0"/>
    <n v="0"/>
    <n v="0"/>
    <n v="279745.81"/>
    <n v="279745.81"/>
    <n v="31345322.399999999"/>
    <n v="-1110160.2399999984"/>
    <n v="92570020.519999966"/>
    <n v="0"/>
    <n v="0"/>
    <s v="S"/>
    <m/>
    <n v="0"/>
    <n v="3"/>
    <n v="0"/>
    <n v="0.30219913999999998"/>
    <n v="0"/>
    <m/>
    <m/>
    <n v="0"/>
    <n v="0"/>
    <n v="1633661.45"/>
    <n v="1.2333592799999999"/>
    <m/>
    <m/>
    <n v="93.411114754099003"/>
    <n v="1"/>
    <n v="4.6039355430000004"/>
    <n v="3.4045492999999998"/>
    <n v="3.0402560253600002"/>
    <n v="3.5315068489999999"/>
    <n v="0.13937369499999999"/>
    <n v="39"/>
    <n v="1289"/>
    <n v="0"/>
    <n v="0"/>
    <n v="2.3407198999999999"/>
    <n v="0"/>
    <n v="0"/>
  </r>
  <r>
    <n v="16975356"/>
    <n v="128"/>
    <n v="9386"/>
    <n v="0"/>
    <n v="0"/>
    <n v="0"/>
    <n v="0"/>
    <n v="0"/>
    <n v="200"/>
    <n v="200"/>
    <n v="200000"/>
    <n v="200000"/>
    <n v="200000"/>
    <n v="200000"/>
    <n v="216968"/>
    <n v="216968"/>
    <n v="216968"/>
    <n v="216968"/>
    <n v="200000"/>
    <n v="200000"/>
    <n v="200000"/>
    <n v="200000"/>
    <n v="0"/>
    <n v="0"/>
    <n v="0"/>
    <n v="0"/>
    <n v="-8819.56"/>
    <n v="-8819.56"/>
    <n v="-8819.56"/>
    <n v="-8819.56"/>
    <s v="29/04/2026 00:00:00"/>
    <s v="MEDIOLANUM PENSIONES II, FONDO DE PENSIONES"/>
    <s v="03/10/2023 00:00:00"/>
    <x v="180"/>
    <n v="4"/>
    <s v="EUR"/>
    <s v="E"/>
    <n v="77.581787213121999"/>
    <n v="77.581467213113001"/>
    <n v="155162.93"/>
    <n v="155162.93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714278"/>
    <s v="ok"/>
    <s v="ok"/>
    <n v="26356083.120000001"/>
    <n v="0"/>
    <n v="-0.64"/>
    <n v="0"/>
    <s v="PA"/>
    <n v="-78038.69"/>
    <s v="RF"/>
    <s v="RFE"/>
    <n v="-52984.87"/>
    <n v="-52984.87"/>
    <n v="155163.57"/>
    <n v="155163.5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2551707000000001"/>
    <m/>
    <n v="0"/>
    <n v="-219173.26"/>
    <m/>
    <m/>
    <m/>
    <n v="1355558.46"/>
    <n v="0"/>
    <n v="2520.3126550000002"/>
    <n v="52555.483399999997"/>
    <n v="-296353.43"/>
    <n v="92570020.519999996"/>
    <n v="-0.64"/>
    <n v="394770.09"/>
    <n v="0.29803809999999997"/>
    <m/>
    <n v="0"/>
    <n v="0"/>
    <n v="-296353.43"/>
    <n v="0"/>
    <n v="0"/>
    <n v="16777215"/>
    <n v="0"/>
    <n v="0"/>
    <n v="0"/>
    <n v="0"/>
    <n v="0"/>
    <n v="155162.93"/>
    <n v="155162.93"/>
    <n v="31345322.399999999"/>
    <n v="-1110160.2399999984"/>
    <n v="92570020.519999966"/>
    <n v="0"/>
    <n v="0"/>
    <s v="S"/>
    <m/>
    <n v="0"/>
    <n v="3"/>
    <n v="0"/>
    <n v="0.16761682999999999"/>
    <n v="0"/>
    <m/>
    <m/>
    <n v="0"/>
    <n v="0"/>
    <n v="1633661.45"/>
    <n v="1.2333592799999999"/>
    <m/>
    <m/>
    <n v="77.739407103824007"/>
    <n v="1"/>
    <n v="14.110082372000001"/>
    <n v="2.4917310879999999"/>
    <n v="1.697533587341"/>
    <n v="2.5753424659999999"/>
    <n v="6.7697673E-2"/>
    <n v="26"/>
    <n v="940"/>
    <n v="0"/>
    <n v="0"/>
    <n v="-0.13607153599999999"/>
    <n v="0"/>
    <n v="0"/>
  </r>
  <r>
    <n v="16975478"/>
    <n v="128"/>
    <n v="9246"/>
    <n v="0"/>
    <n v="0"/>
    <n v="0"/>
    <n v="0"/>
    <n v="0"/>
    <n v="3"/>
    <n v="3"/>
    <n v="300000"/>
    <n v="300000"/>
    <n v="300000"/>
    <n v="300000"/>
    <n v="297822"/>
    <n v="297822"/>
    <n v="297822"/>
    <n v="297822"/>
    <n v="300000"/>
    <n v="300000"/>
    <n v="300000"/>
    <n v="300000"/>
    <n v="0"/>
    <n v="0"/>
    <n v="0"/>
    <n v="0"/>
    <n v="1125.23"/>
    <n v="1125.23"/>
    <n v="1125.23"/>
    <n v="1125.23"/>
    <s v="01/06/2030 00:00:00"/>
    <s v="MEDIOLANUM PENSIONES II, FONDO DE PENSIONES"/>
    <s v="03/10/2023 00:00:00"/>
    <x v="181"/>
    <n v="4"/>
    <s v="EUR"/>
    <s v="S"/>
    <n v="78.806576995794003"/>
    <n v="78.505346994535998"/>
    <n v="235516.04"/>
    <n v="235516.04"/>
    <s v="N"/>
    <n v="4"/>
    <s v="EUR"/>
    <n v="132534288.59999999"/>
    <s v="S"/>
    <n v="1"/>
    <n v="1"/>
    <s v="Financiero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7780666000000001"/>
    <s v="ok"/>
    <s v="ok"/>
    <n v="26356083.120000001"/>
    <n v="0"/>
    <n v="-903.69"/>
    <n v="-0.38"/>
    <s v="PA"/>
    <n v="-78038.69"/>
    <s v="RF"/>
    <s v="RFE"/>
    <n v="-62527.5"/>
    <n v="-62527.5"/>
    <n v="236419.73"/>
    <n v="236419.7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9051768999999999"/>
    <m/>
    <n v="0"/>
    <n v="-219173.26"/>
    <m/>
    <m/>
    <m/>
    <n v="1355558.46"/>
    <n v="0"/>
    <n v="2520.3126550000002"/>
    <n v="52555.483399999997"/>
    <n v="-296353.43"/>
    <n v="92570020.519999996"/>
    <n v="-903.69"/>
    <n v="394770.09"/>
    <n v="0.29803809999999997"/>
    <m/>
    <n v="0"/>
    <n v="0"/>
    <n v="-296353.43"/>
    <n v="0"/>
    <n v="0"/>
    <n v="16777215"/>
    <n v="0"/>
    <n v="0"/>
    <n v="0"/>
    <n v="0"/>
    <n v="0"/>
    <n v="235516.04"/>
    <n v="235516.04"/>
    <n v="31345322.399999999"/>
    <n v="-1110160.2399999984"/>
    <n v="92570020.519999966"/>
    <n v="0"/>
    <n v="0"/>
    <s v="S"/>
    <m/>
    <n v="0"/>
    <n v="3"/>
    <n v="0"/>
    <n v="0.25441934999999999"/>
    <n v="0"/>
    <m/>
    <m/>
    <n v="0"/>
    <n v="0"/>
    <n v="1633661.45"/>
    <n v="1.2333592799999999"/>
    <m/>
    <m/>
    <n v="78.795590163933994"/>
    <n v="1"/>
    <n v="5.3200495280000002"/>
    <n v="6.338223417"/>
    <n v="4.7419656278789999"/>
    <n v="6.6684931509999998"/>
    <n v="0.43140937099999999"/>
    <n v="72"/>
    <n v="2434"/>
    <n v="0"/>
    <n v="0"/>
    <n v="1.5637478199999999"/>
    <n v="0"/>
    <n v="0"/>
  </r>
  <r>
    <n v="16975580"/>
    <n v="128"/>
    <n v="3089"/>
    <n v="0"/>
    <n v="0"/>
    <n v="0"/>
    <n v="0"/>
    <n v="0"/>
    <n v="100"/>
    <n v="100"/>
    <n v="100000"/>
    <n v="100000"/>
    <n v="100000"/>
    <n v="100000"/>
    <n v="114232.67"/>
    <n v="114232.67"/>
    <n v="114232.67"/>
    <n v="114232.67"/>
    <n v="100000"/>
    <n v="100000"/>
    <n v="100000"/>
    <n v="100000"/>
    <n v="0"/>
    <n v="0"/>
    <n v="0"/>
    <n v="0"/>
    <n v="-1454.92"/>
    <n v="-1454.92"/>
    <n v="-1454.92"/>
    <n v="-1454.92"/>
    <s v="27/10/2027 00:00:00"/>
    <s v="MEDIOLANUM PENSIONES II, FONDO DE PENSIONES"/>
    <s v="03/10/2023 00:00:00"/>
    <x v="182"/>
    <n v="4"/>
    <s v="EUR"/>
    <s v="E"/>
    <n v="105.51414616106"/>
    <n v="105.422856164381"/>
    <n v="105422.86"/>
    <n v="105422.86"/>
    <s v="N"/>
    <n v="4"/>
    <s v="EUR"/>
    <n v="132534288.59999999"/>
    <s v="S"/>
    <n v="1"/>
    <n v="1"/>
    <s v="Financiero"/>
    <s v="Segur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95907E-2"/>
    <s v="ok"/>
    <s v="ok"/>
    <n v="26356083.120000001"/>
    <n v="0"/>
    <n v="-91.29"/>
    <n v="-0.09"/>
    <s v="PA"/>
    <n v="-78038.69"/>
    <s v="RF"/>
    <s v="RFE"/>
    <n v="-7263.6"/>
    <n v="-7263.6"/>
    <n v="105514.15"/>
    <n v="105514.1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5280469999999997E-2"/>
    <m/>
    <n v="0"/>
    <n v="-219173.26"/>
    <m/>
    <m/>
    <m/>
    <n v="1355558.46"/>
    <n v="0"/>
    <n v="2520.3126550000002"/>
    <n v="52555.483399999997"/>
    <n v="-296353.43"/>
    <n v="92570020.519999996"/>
    <n v="-91.29"/>
    <n v="394770.09"/>
    <n v="0.29803809999999997"/>
    <m/>
    <n v="0"/>
    <n v="0"/>
    <n v="-296353.43"/>
    <n v="0"/>
    <n v="0"/>
    <n v="16777215"/>
    <n v="0"/>
    <n v="0"/>
    <n v="0"/>
    <n v="0"/>
    <n v="0"/>
    <n v="105422.86"/>
    <n v="105422.86"/>
    <n v="31345322.399999999"/>
    <n v="-1110160.2399999984"/>
    <n v="92570020.519999966"/>
    <n v="0"/>
    <n v="0"/>
    <s v="S"/>
    <m/>
    <n v="0"/>
    <n v="3"/>
    <n v="0"/>
    <n v="0.11388445"/>
    <n v="0"/>
    <m/>
    <m/>
    <n v="0"/>
    <n v="0"/>
    <n v="1633661.45"/>
    <n v="1.2333592799999999"/>
    <m/>
    <m/>
    <n v="105.502287671232"/>
    <n v="1"/>
    <n v="5.3911740159999999"/>
    <n v="3.5749479380000002"/>
    <n v="3.5787169967199999"/>
    <n v="4.0712328769999999"/>
    <n v="0.15861413899999999"/>
    <n v="41"/>
    <n v="1486"/>
    <n v="0"/>
    <n v="0"/>
    <n v="3.0819828149999999"/>
    <n v="0"/>
    <n v="0"/>
  </r>
  <r>
    <n v="16975439"/>
    <n v="128"/>
    <n v="9571"/>
    <n v="0"/>
    <n v="0"/>
    <n v="0"/>
    <n v="0"/>
    <n v="0"/>
    <n v="1"/>
    <n v="1"/>
    <n v="100000"/>
    <n v="100000"/>
    <n v="100000"/>
    <n v="100000"/>
    <n v="103038.25"/>
    <n v="103038.25"/>
    <n v="103038.25"/>
    <n v="103038.25"/>
    <n v="100000"/>
    <n v="100000"/>
    <n v="100000"/>
    <n v="100000"/>
    <n v="0"/>
    <n v="0"/>
    <n v="0"/>
    <n v="0"/>
    <n v="-811.37"/>
    <n v="-811.37"/>
    <n v="-811.37"/>
    <n v="-811.37"/>
    <s v="04/09/2026 00:00:00"/>
    <s v="MEDIOLANUM PENSIONES II, FONDO DE PENSIONES"/>
    <s v="03/10/2023 00:00:00"/>
    <x v="183"/>
    <n v="4"/>
    <s v="EUR"/>
    <s v="E"/>
    <n v="0"/>
    <n v="0"/>
    <n v="86882.91"/>
    <n v="86882.91"/>
    <s v="N"/>
    <n v="4"/>
    <s v="EUR"/>
    <n v="132534288.59999999"/>
    <s v="S"/>
    <n v="1"/>
    <n v="1"/>
    <s v="Financiero"/>
    <s v="Segur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5593670000000007E-2"/>
    <s v="ok"/>
    <s v="ok"/>
    <n v="26356083.120000001"/>
    <n v="0"/>
    <n v="0"/>
    <n v="0"/>
    <s v="PA"/>
    <n v="-78038.69"/>
    <s v="RF"/>
    <s v="RFE"/>
    <n v="-15343.97"/>
    <n v="-15343.97"/>
    <n v="86882.91"/>
    <n v="86882.9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0282819999999996E-2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86882.91"/>
    <n v="86882.91"/>
    <n v="31345322.399999999"/>
    <n v="-1110160.2399999984"/>
    <n v="92570020.519999966"/>
    <n v="0"/>
    <n v="0"/>
    <s v="S"/>
    <m/>
    <n v="0"/>
    <n v="3"/>
    <n v="0"/>
    <n v="9.3856419999999996E-2"/>
    <n v="0"/>
    <m/>
    <m/>
    <n v="0"/>
    <n v="0"/>
    <n v="1633661.45"/>
    <n v="1.2333592799999999"/>
    <m/>
    <m/>
    <n v="0"/>
    <n v="1"/>
    <n v="9.7477982430000001"/>
    <n v="2.7928145350000002"/>
    <n v="0"/>
    <n v="2.9260273969999999"/>
    <n v="8.9633784999999994E-2"/>
    <n v="31"/>
    <n v="1068"/>
    <n v="0"/>
    <n v="0"/>
    <n v="3.2602513480000002"/>
    <n v="0"/>
    <n v="0"/>
  </r>
  <r>
    <n v="16975515"/>
    <n v="128"/>
    <n v="1410"/>
    <n v="0"/>
    <n v="0"/>
    <n v="0"/>
    <n v="0"/>
    <n v="0"/>
    <n v="700"/>
    <n v="700"/>
    <n v="700000"/>
    <n v="700000"/>
    <n v="700000"/>
    <n v="700000"/>
    <n v="708906"/>
    <n v="708906"/>
    <n v="708906"/>
    <n v="708906"/>
    <n v="700000"/>
    <n v="700000"/>
    <n v="700000"/>
    <n v="700000"/>
    <n v="0"/>
    <n v="0"/>
    <n v="0"/>
    <n v="0"/>
    <n v="-2305.5700000000002"/>
    <n v="-2305.5700000000002"/>
    <n v="-2305.5700000000002"/>
    <n v="-2305.5700000000002"/>
    <s v="23/09/2024 00:00:00"/>
    <s v="MEDIOLANUM PENSIONES II, FONDO DE PENSIONES"/>
    <s v="03/10/2023 00:00:00"/>
    <x v="184"/>
    <n v="4"/>
    <s v="EUR"/>
    <s v="E"/>
    <n v="99.022409765934"/>
    <n v="99.074942622953003"/>
    <n v="693524.6"/>
    <n v="693524.6"/>
    <s v="N"/>
    <n v="4"/>
    <s v="EUR"/>
    <n v="132534288.59999999"/>
    <s v="S"/>
    <n v="1"/>
    <n v="1"/>
    <s v="Financiero"/>
    <s v="Segur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52358768"/>
    <s v="ok"/>
    <s v="ok"/>
    <n v="26356083.120000001"/>
    <n v="0"/>
    <n v="367.73"/>
    <n v="0.05"/>
    <s v="PA"/>
    <n v="-78038.69"/>
    <s v="RF"/>
    <s v="RFE"/>
    <n v="-13443.56"/>
    <n v="-13443.56"/>
    <n v="693156.87"/>
    <n v="693156.8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6101785000000004"/>
    <m/>
    <n v="0"/>
    <n v="-219173.26"/>
    <m/>
    <m/>
    <m/>
    <n v="1355558.46"/>
    <n v="0"/>
    <n v="2520.3126550000002"/>
    <n v="52555.483399999997"/>
    <n v="-296353.43"/>
    <n v="92570020.519999996"/>
    <n v="367.73"/>
    <n v="394770.09"/>
    <n v="0.29803809999999997"/>
    <m/>
    <n v="0"/>
    <n v="0"/>
    <n v="-296353.43"/>
    <n v="0"/>
    <n v="0"/>
    <n v="16777215"/>
    <n v="0"/>
    <n v="0"/>
    <n v="0"/>
    <n v="0"/>
    <n v="0"/>
    <n v="693524.6"/>
    <n v="693524.6"/>
    <n v="31345322.399999999"/>
    <n v="-1110160.2399999984"/>
    <n v="92570020.519999966"/>
    <n v="0"/>
    <n v="0"/>
    <s v="S"/>
    <m/>
    <n v="0"/>
    <n v="3"/>
    <n v="0"/>
    <n v="0.7491892"/>
    <n v="0"/>
    <m/>
    <m/>
    <n v="0"/>
    <n v="0"/>
    <n v="1633661.45"/>
    <n v="1.2333592799999999"/>
    <m/>
    <m/>
    <n v="99.047598360654007"/>
    <n v="1"/>
    <n v="6.4248751930000001"/>
    <n v="0.97540983599999997"/>
    <n v="0.90779530159900002"/>
    <n v="0.97808219200000002"/>
    <n v="1.7012105E-2"/>
    <n v="11"/>
    <n v="357"/>
    <n v="0"/>
    <n v="0"/>
    <n v="4.028729556"/>
    <n v="0"/>
    <n v="0"/>
  </r>
  <r>
    <n v="16975595"/>
    <n v="128"/>
    <n v="9897"/>
    <n v="0"/>
    <n v="0"/>
    <n v="0"/>
    <n v="0"/>
    <n v="0"/>
    <n v="100"/>
    <n v="100"/>
    <n v="100000"/>
    <n v="100000"/>
    <n v="100000"/>
    <n v="100000"/>
    <n v="105010"/>
    <n v="105010"/>
    <n v="105010"/>
    <n v="105010"/>
    <n v="100000"/>
    <n v="100000"/>
    <n v="100000"/>
    <n v="100000"/>
    <n v="0"/>
    <n v="0"/>
    <n v="0"/>
    <n v="0"/>
    <n v="-2085.27"/>
    <n v="-2085.27"/>
    <n v="-2085.27"/>
    <n v="-2085.27"/>
    <s v="13/06/2024 00:00:00"/>
    <s v="MEDIOLANUM PENSIONES II, FONDO DE PENSIONES"/>
    <s v="03/10/2023 00:00:00"/>
    <x v="185"/>
    <n v="4"/>
    <s v="EUR"/>
    <s v="E"/>
    <n v="99.831937815190997"/>
    <n v="99.876797814208999"/>
    <n v="99876.800000000003"/>
    <n v="99876.800000000003"/>
    <s v="N"/>
    <n v="4"/>
    <s v="EUR"/>
    <n v="132534288.59999999"/>
    <s v="S"/>
    <n v="1"/>
    <n v="1"/>
    <s v="Financiero"/>
    <s v="Segur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5403609999999996E-2"/>
    <s v="ok"/>
    <s v="ok"/>
    <n v="26356083.120000001"/>
    <n v="0"/>
    <n v="44.86"/>
    <n v="0.04"/>
    <s v="PA"/>
    <n v="-78038.69"/>
    <s v="RF"/>
    <s v="RFE"/>
    <n v="-3092.79"/>
    <n v="-3092.79"/>
    <n v="99831.94"/>
    <n v="99831.9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8.0794060000000001E-2"/>
    <m/>
    <n v="0"/>
    <n v="-219173.26"/>
    <m/>
    <m/>
    <m/>
    <n v="1355558.46"/>
    <n v="0"/>
    <n v="2520.3126550000002"/>
    <n v="52555.483399999997"/>
    <n v="-296353.43"/>
    <n v="92570020.519999996"/>
    <n v="44.86"/>
    <n v="394770.09"/>
    <n v="0.29803809999999997"/>
    <m/>
    <n v="0"/>
    <n v="0"/>
    <n v="-296353.43"/>
    <n v="0"/>
    <n v="0"/>
    <n v="16777215"/>
    <n v="0"/>
    <n v="0"/>
    <n v="0"/>
    <n v="0"/>
    <n v="0"/>
    <n v="99876.800000000003"/>
    <n v="99876.800000000003"/>
    <n v="31345322.399999999"/>
    <n v="-1110160.2399999984"/>
    <n v="92570020.519999966"/>
    <n v="0"/>
    <n v="0"/>
    <s v="S"/>
    <m/>
    <n v="0"/>
    <n v="3"/>
    <n v="0"/>
    <n v="0.10789325"/>
    <n v="0"/>
    <m/>
    <m/>
    <n v="0"/>
    <n v="0"/>
    <n v="1633661.45"/>
    <n v="1.2333592799999999"/>
    <m/>
    <m/>
    <n v="99.772344262296997"/>
    <n v="1"/>
    <n v="6.6871576670000001"/>
    <n v="0.69672131100000001"/>
    <n v="0.65156406843799997"/>
    <n v="0.69863013699999998"/>
    <n v="1.0385927999999999E-2"/>
    <n v="8"/>
    <n v="255"/>
    <n v="0"/>
    <n v="0"/>
    <n v="-0.866784942"/>
    <n v="0"/>
    <n v="0"/>
  </r>
  <r>
    <n v="16975412"/>
    <n v="128"/>
    <n v="8365"/>
    <n v="0"/>
    <n v="0"/>
    <n v="0"/>
    <n v="0"/>
    <n v="0"/>
    <n v="300"/>
    <n v="300"/>
    <n v="300000"/>
    <n v="300000"/>
    <n v="300000"/>
    <n v="300000"/>
    <n v="303306"/>
    <n v="303306"/>
    <n v="303306"/>
    <n v="303306"/>
    <n v="300000"/>
    <n v="300000"/>
    <n v="300000"/>
    <n v="300000"/>
    <n v="0"/>
    <n v="0"/>
    <n v="0"/>
    <n v="0"/>
    <n v="-2796.33"/>
    <n v="-2796.33"/>
    <n v="-2796.33"/>
    <n v="-2796.33"/>
    <s v="23/06/2030 00:00:00"/>
    <s v="MEDIOLANUM PENSIONES II, FONDO DE PENSIONES"/>
    <s v="03/10/2023 00:00:00"/>
    <x v="186"/>
    <n v="4"/>
    <s v="EUR"/>
    <s v="E"/>
    <n v="93.399161151127004"/>
    <n v="93.108297814208996"/>
    <n v="279324.89"/>
    <n v="279324.89"/>
    <s v="N"/>
    <n v="4"/>
    <s v="EUR"/>
    <n v="132534288.59999999"/>
    <s v="S"/>
    <n v="1"/>
    <n v="1"/>
    <s v="Financiero"/>
    <s v="Segur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1088087"/>
    <s v="ok"/>
    <s v="ok"/>
    <n v="26356083.120000001"/>
    <n v="0"/>
    <n v="-872.59"/>
    <n v="-0.31"/>
    <s v="PA"/>
    <n v="-78038.69"/>
    <s v="RF"/>
    <s v="RFE"/>
    <n v="-20312.189999999999"/>
    <n v="-20312.189999999999"/>
    <n v="280197.48"/>
    <n v="280197.4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259563"/>
    <m/>
    <n v="0"/>
    <n v="-219173.26"/>
    <m/>
    <m/>
    <m/>
    <n v="1355558.46"/>
    <n v="0"/>
    <n v="2520.3126550000002"/>
    <n v="52555.483399999997"/>
    <n v="-296353.43"/>
    <n v="92570020.519999996"/>
    <n v="-872.59"/>
    <n v="394770.09"/>
    <n v="0.29803809999999997"/>
    <m/>
    <n v="0"/>
    <n v="0"/>
    <n v="-296353.43"/>
    <n v="0"/>
    <n v="0"/>
    <n v="16777215"/>
    <n v="0"/>
    <n v="0"/>
    <n v="0"/>
    <n v="0"/>
    <n v="0"/>
    <n v="279324.89"/>
    <n v="279324.89"/>
    <n v="31345322.399999999"/>
    <n v="-1110160.2399999984"/>
    <n v="92570020.519999966"/>
    <n v="0"/>
    <n v="0"/>
    <s v="S"/>
    <m/>
    <n v="0"/>
    <n v="3"/>
    <n v="0"/>
    <n v="0.30174444"/>
    <n v="0"/>
    <m/>
    <m/>
    <n v="0"/>
    <n v="0"/>
    <n v="1633661.45"/>
    <n v="1.2333592799999999"/>
    <m/>
    <m/>
    <n v="93.473918032786003"/>
    <n v="1"/>
    <n v="4.4077032169999999"/>
    <n v="6.11646629"/>
    <n v="5.4759376081370004"/>
    <n v="6.7287671229999999"/>
    <n v="0.41952231299999998"/>
    <n v="70"/>
    <n v="2456"/>
    <n v="0"/>
    <n v="0"/>
    <n v="3.0801559900000002"/>
    <n v="0"/>
    <n v="0"/>
  </r>
  <r>
    <n v="16975442"/>
    <n v="128"/>
    <n v="9468"/>
    <n v="0"/>
    <n v="0"/>
    <n v="0"/>
    <n v="0"/>
    <n v="0"/>
    <n v="2"/>
    <n v="2"/>
    <n v="200000"/>
    <n v="200000"/>
    <n v="200000"/>
    <n v="200000"/>
    <n v="198534"/>
    <n v="198534"/>
    <n v="198534"/>
    <n v="198534"/>
    <n v="200000"/>
    <n v="200000"/>
    <n v="200000"/>
    <n v="200000"/>
    <n v="0"/>
    <n v="0"/>
    <n v="0"/>
    <n v="0"/>
    <n v="99.47"/>
    <n v="99.47"/>
    <n v="99.47"/>
    <n v="99.47"/>
    <s v="10/03/2031 00:00:00"/>
    <s v="MEDIOLANUM PENSIONES II, FONDO DE PENSIONES"/>
    <s v="03/10/2023 00:00:00"/>
    <x v="187"/>
    <n v="4"/>
    <s v="EUR"/>
    <s v="E"/>
    <n v="71.134118248250005"/>
    <n v="71.007538251366995"/>
    <n v="142015.07999999999"/>
    <n v="142015.07999999999"/>
    <s v="N"/>
    <n v="4"/>
    <s v="EUR"/>
    <n v="132534288.59999999"/>
    <s v="S"/>
    <n v="1"/>
    <n v="1"/>
    <s v="Financiero"/>
    <s v="Segur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0721659"/>
    <s v="ok"/>
    <s v="ok"/>
    <n v="26356083.120000001"/>
    <n v="0"/>
    <n v="-253.16"/>
    <n v="-0.18"/>
    <s v="PA"/>
    <n v="-78038.69"/>
    <s v="RF"/>
    <s v="RFE"/>
    <n v="-56365.23"/>
    <n v="-56365.23"/>
    <n v="142268.24"/>
    <n v="142268.2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1488128"/>
    <m/>
    <n v="0"/>
    <n v="-219173.26"/>
    <m/>
    <m/>
    <m/>
    <n v="1355558.46"/>
    <n v="0"/>
    <n v="2520.3126550000002"/>
    <n v="52555.483399999997"/>
    <n v="-296353.43"/>
    <n v="92570020.519999996"/>
    <n v="-253.16"/>
    <n v="394770.09"/>
    <n v="0.29803809999999997"/>
    <m/>
    <n v="0"/>
    <n v="0"/>
    <n v="-296353.43"/>
    <n v="0"/>
    <n v="0"/>
    <n v="16777215"/>
    <n v="0"/>
    <n v="0"/>
    <n v="0"/>
    <n v="0"/>
    <n v="0"/>
    <n v="142015.07999999999"/>
    <n v="142015.07999999999"/>
    <n v="31345322.399999999"/>
    <n v="-1110160.2399999984"/>
    <n v="92570020.519999966"/>
    <n v="0"/>
    <n v="0"/>
    <s v="S"/>
    <m/>
    <n v="0"/>
    <n v="3"/>
    <n v="0"/>
    <n v="0.15341368999999999"/>
    <n v="0"/>
    <m/>
    <m/>
    <n v="0"/>
    <n v="0"/>
    <n v="1633661.45"/>
    <n v="1.2333592799999999"/>
    <m/>
    <m/>
    <n v="71.097232240436"/>
    <n v="1"/>
    <n v="7.3270054839999998"/>
    <n v="0.93989071000000002"/>
    <n v="0.62261709233700002"/>
    <n v="7.4410958899999997"/>
    <n v="1.5828385E-2"/>
    <n v="11"/>
    <n v="2716"/>
    <n v="0"/>
    <n v="0"/>
    <n v="2.252169517"/>
    <n v="0"/>
    <n v="0"/>
  </r>
  <r>
    <n v="16975477"/>
    <n v="128"/>
    <n v="7106"/>
    <n v="0"/>
    <n v="0"/>
    <n v="0"/>
    <n v="0"/>
    <n v="0"/>
    <n v="3"/>
    <n v="3"/>
    <n v="300000"/>
    <n v="300000"/>
    <n v="300000"/>
    <n v="300000"/>
    <n v="303015"/>
    <n v="303015"/>
    <n v="303015"/>
    <n v="303015"/>
    <n v="300000"/>
    <n v="300000"/>
    <n v="300000"/>
    <n v="300000"/>
    <n v="0"/>
    <n v="0"/>
    <n v="0"/>
    <n v="0"/>
    <n v="-2511.4899999999998"/>
    <n v="-2511.4899999999998"/>
    <n v="-2511.4899999999998"/>
    <n v="-2511.4899999999998"/>
    <s v="27/03/2024 00:00:00"/>
    <s v="MEDIOLANUM PENSIONES II, FONDO DE PENSIONES"/>
    <s v="03/10/2023 00:00:00"/>
    <x v="188"/>
    <n v="4"/>
    <s v="EUR"/>
    <s v="E"/>
    <n v="65.213488452077996"/>
    <n v="66.762928415299996"/>
    <n v="200288.79"/>
    <n v="200288.79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5121128"/>
    <s v="ok"/>
    <s v="ok"/>
    <n v="26356083.120000001"/>
    <n v="0"/>
    <n v="4648.32"/>
    <n v="2.38"/>
    <s v="PA"/>
    <n v="-78038.69"/>
    <s v="RF"/>
    <s v="RFE"/>
    <n v="-104863.03999999999"/>
    <n v="-104863.03999999999"/>
    <n v="195640.47"/>
    <n v="195640.4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6202105"/>
    <m/>
    <n v="0"/>
    <n v="-219173.26"/>
    <m/>
    <m/>
    <m/>
    <n v="1355558.46"/>
    <n v="0"/>
    <n v="2520.3126550000002"/>
    <n v="52555.483399999997"/>
    <n v="-296353.43"/>
    <n v="92570020.519999996"/>
    <n v="4648.32"/>
    <n v="394770.09"/>
    <n v="0.29803809999999997"/>
    <m/>
    <n v="0"/>
    <n v="0"/>
    <n v="-296353.43"/>
    <n v="0"/>
    <n v="0"/>
    <n v="16777215"/>
    <n v="0"/>
    <n v="0"/>
    <n v="0"/>
    <n v="0"/>
    <n v="0"/>
    <n v="200288.79"/>
    <n v="200288.79"/>
    <n v="31345322.399999999"/>
    <n v="-1110160.2399999984"/>
    <n v="92570020.519999966"/>
    <n v="0"/>
    <n v="0"/>
    <s v="S"/>
    <m/>
    <n v="0"/>
    <n v="3"/>
    <n v="0"/>
    <n v="0.21636464"/>
    <n v="0"/>
    <m/>
    <m/>
    <n v="0"/>
    <n v="0"/>
    <n v="1633661.45"/>
    <n v="1.2333592799999999"/>
    <m/>
    <m/>
    <n v="66.290467213114994"/>
    <n v="1"/>
    <n v="158.83203082899999"/>
    <n v="0.48360655699999999"/>
    <n v="0.123858335978"/>
    <n v="0.48493150699999998"/>
    <n v="1.070964E-3"/>
    <n v="2"/>
    <n v="177"/>
    <n v="0"/>
    <n v="0"/>
    <n v="8.3515136650000006"/>
    <n v="0"/>
    <n v="0"/>
  </r>
  <r>
    <n v="16975508"/>
    <n v="128"/>
    <n v="7256"/>
    <n v="0"/>
    <n v="0"/>
    <n v="0"/>
    <n v="0"/>
    <n v="0"/>
    <n v="4"/>
    <n v="4"/>
    <n v="400000"/>
    <n v="400000"/>
    <n v="400000"/>
    <n v="400000"/>
    <n v="398540.44"/>
    <n v="398540.44"/>
    <n v="398540.44"/>
    <n v="398540.44"/>
    <n v="400000"/>
    <n v="400000"/>
    <n v="400000"/>
    <n v="400000"/>
    <n v="0"/>
    <n v="0"/>
    <n v="0"/>
    <n v="0"/>
    <n v="5649.35"/>
    <n v="5649.35"/>
    <n v="5649.35"/>
    <n v="5649.35"/>
    <s v="26/08/2026 00:00:00"/>
    <s v="MEDIOLANUM PENSIONES II, FONDO DE PENSIONES"/>
    <s v="03/10/2023 00:00:00"/>
    <x v="189"/>
    <n v="4"/>
    <s v="EUR"/>
    <s v="E"/>
    <n v="93.301548185973004"/>
    <n v="93.160150684933001"/>
    <n v="372640.6"/>
    <n v="372640.6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8133108000000001"/>
    <s v="ok"/>
    <s v="ok"/>
    <n v="26356083.120000001"/>
    <n v="0"/>
    <n v="-565.59"/>
    <n v="-0.15"/>
    <s v="PA"/>
    <n v="-78038.69"/>
    <s v="RF"/>
    <s v="RFE"/>
    <n v="-30983.599999999999"/>
    <n v="-30983.599999999999"/>
    <n v="373206.19"/>
    <n v="373206.1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0144284999999998"/>
    <m/>
    <n v="0"/>
    <n v="-219173.26"/>
    <m/>
    <m/>
    <m/>
    <n v="1355558.46"/>
    <n v="0"/>
    <n v="2520.3126550000002"/>
    <n v="52555.483399999997"/>
    <n v="-296353.43"/>
    <n v="92570020.519999996"/>
    <n v="-565.59"/>
    <n v="394770.09"/>
    <n v="0.29803809999999997"/>
    <m/>
    <n v="0"/>
    <n v="0"/>
    <n v="-296353.43"/>
    <n v="0"/>
    <n v="0"/>
    <n v="16777215"/>
    <n v="0"/>
    <n v="0"/>
    <n v="0"/>
    <n v="0"/>
    <n v="0"/>
    <n v="372640.6"/>
    <n v="372640.6"/>
    <n v="31345322.399999999"/>
    <n v="-1110160.2399999984"/>
    <n v="92570020.519999966"/>
    <n v="0"/>
    <n v="0"/>
    <s v="S"/>
    <m/>
    <n v="0"/>
    <n v="3"/>
    <n v="0"/>
    <n v="0.40254997999999997"/>
    <n v="0"/>
    <m/>
    <m/>
    <n v="0"/>
    <n v="0"/>
    <n v="1633661.45"/>
    <n v="1.2333592799999999"/>
    <m/>
    <m/>
    <n v="93.290616438355997"/>
    <n v="1"/>
    <n v="6.2588715060000002"/>
    <n v="2.7512204040000001"/>
    <n v="2.4154505294100002"/>
    <n v="2.9013698630000002"/>
    <n v="9.4037539000000003E-2"/>
    <n v="31"/>
    <n v="1059"/>
    <n v="0"/>
    <n v="0"/>
    <n v="3.750994264"/>
    <n v="0"/>
    <n v="0"/>
  </r>
  <r>
    <n v="16975473"/>
    <n v="128"/>
    <n v="8985"/>
    <n v="0"/>
    <n v="0"/>
    <n v="0"/>
    <n v="0"/>
    <n v="0"/>
    <n v="3"/>
    <n v="3"/>
    <n v="300000"/>
    <n v="300000"/>
    <n v="300000"/>
    <n v="300000"/>
    <n v="306682.2"/>
    <n v="306682.2"/>
    <n v="306682.2"/>
    <n v="306682.2"/>
    <n v="300000"/>
    <n v="300000"/>
    <n v="300000"/>
    <n v="300000"/>
    <n v="0"/>
    <n v="0"/>
    <n v="0"/>
    <n v="0"/>
    <n v="-4226.1499999999996"/>
    <n v="-4226.1499999999996"/>
    <n v="-4226.1499999999996"/>
    <n v="-4226.1499999999996"/>
    <s v="09/12/2025 00:00:00"/>
    <s v="MEDIOLANUM PENSIONES II, FONDO DE PENSIONES"/>
    <s v="03/10/2023 00:00:00"/>
    <x v="190"/>
    <n v="4"/>
    <s v="EUR"/>
    <s v="E"/>
    <n v="49.675916666668002"/>
    <n v="49.712333333335003"/>
    <n v="149137"/>
    <n v="149137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25934"/>
    <s v="ok"/>
    <s v="ok"/>
    <n v="26356083.120000001"/>
    <n v="0"/>
    <n v="109.25"/>
    <n v="0.08"/>
    <s v="PA"/>
    <n v="-78038.69"/>
    <s v="RF"/>
    <s v="RFE"/>
    <n v="-153428.29999999999"/>
    <n v="-153428.29999999999"/>
    <n v="149027.75"/>
    <n v="149027.7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2064247"/>
    <m/>
    <n v="0"/>
    <n v="-219173.26"/>
    <m/>
    <m/>
    <m/>
    <n v="1355558.46"/>
    <n v="0"/>
    <n v="2520.3126550000002"/>
    <n v="52555.483399999997"/>
    <n v="-296353.43"/>
    <n v="92570020.519999996"/>
    <n v="109.25"/>
    <n v="394770.09"/>
    <n v="0.29803809999999997"/>
    <m/>
    <n v="0"/>
    <n v="0"/>
    <n v="-296353.43"/>
    <n v="0"/>
    <n v="0"/>
    <n v="16777215"/>
    <n v="0"/>
    <n v="0"/>
    <n v="0"/>
    <n v="0"/>
    <n v="0"/>
    <n v="149137"/>
    <n v="149137"/>
    <n v="31345322.399999999"/>
    <n v="-1110160.2399999984"/>
    <n v="92570020.519999966"/>
    <n v="0"/>
    <n v="0"/>
    <s v="S"/>
    <m/>
    <n v="0"/>
    <n v="3"/>
    <n v="0"/>
    <n v="0.16110722999999999"/>
    <n v="0"/>
    <m/>
    <m/>
    <n v="0"/>
    <n v="0"/>
    <n v="1633661.45"/>
    <n v="1.2333592799999999"/>
    <m/>
    <m/>
    <n v="49.742527777778001"/>
    <n v="1"/>
    <n v="45.989764192999999"/>
    <n v="2.0615083890000001"/>
    <n v="0.83373093706699997"/>
    <n v="2.189041096"/>
    <n v="4.2761235000000002E-2"/>
    <n v="20"/>
    <n v="799"/>
    <n v="0"/>
    <n v="0"/>
    <n v="3.3436097600000001"/>
    <n v="0"/>
    <n v="0"/>
  </r>
  <r>
    <n v="16975511"/>
    <n v="128"/>
    <n v="9469"/>
    <n v="0"/>
    <n v="0"/>
    <n v="0"/>
    <n v="0"/>
    <n v="0"/>
    <n v="5"/>
    <n v="5"/>
    <n v="500000"/>
    <n v="500000"/>
    <n v="500000"/>
    <n v="500000"/>
    <n v="501250"/>
    <n v="501250"/>
    <n v="501250"/>
    <n v="501250"/>
    <n v="500000"/>
    <n v="500000"/>
    <n v="500000"/>
    <n v="500000"/>
    <n v="0"/>
    <n v="0"/>
    <n v="0"/>
    <n v="0"/>
    <n v="-1055.47"/>
    <n v="-1055.47"/>
    <n v="-1055.47"/>
    <n v="-1055.47"/>
    <s v="06/12/2026 00:00:00"/>
    <s v="MEDIOLANUM PENSIONES II, FONDO DE PENSIONES"/>
    <s v="03/10/2023 00:00:00"/>
    <x v="191"/>
    <n v="4"/>
    <s v="EUR"/>
    <s v="E"/>
    <n v="51.590665000366997"/>
    <n v="51.609625000000001"/>
    <n v="258048.13"/>
    <n v="258048.13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9481762999999999"/>
    <s v="ok"/>
    <s v="ok"/>
    <n v="26356083.120000001"/>
    <n v="0"/>
    <n v="94.8"/>
    <n v="0.04"/>
    <s v="PA"/>
    <n v="-78038.69"/>
    <s v="RF"/>
    <s v="RFE"/>
    <n v="-242241.2"/>
    <n v="-242241.2"/>
    <n v="257953.33"/>
    <n v="257953.3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0874472999999999"/>
    <m/>
    <n v="0"/>
    <n v="-219173.26"/>
    <m/>
    <m/>
    <m/>
    <n v="1355558.46"/>
    <n v="0"/>
    <n v="2520.3126550000002"/>
    <n v="52555.483399999997"/>
    <n v="-296353.43"/>
    <n v="92570020.519999996"/>
    <n v="94.8"/>
    <n v="394770.09"/>
    <n v="0.29803809999999997"/>
    <m/>
    <n v="0"/>
    <n v="0"/>
    <n v="-296353.43"/>
    <n v="0"/>
    <n v="0"/>
    <n v="16777215"/>
    <n v="0"/>
    <n v="0"/>
    <n v="0"/>
    <n v="0"/>
    <n v="0"/>
    <n v="258048.13"/>
    <n v="258048.13"/>
    <n v="31345322.399999999"/>
    <n v="-1110160.2399999984"/>
    <n v="92570020.519999966"/>
    <n v="0"/>
    <n v="0"/>
    <s v="S"/>
    <m/>
    <n v="0"/>
    <n v="3"/>
    <n v="0"/>
    <n v="0.27875993999999998"/>
    <n v="0"/>
    <m/>
    <m/>
    <n v="0"/>
    <n v="0"/>
    <n v="1633661.45"/>
    <n v="1.2333592799999999"/>
    <m/>
    <m/>
    <n v="51.607472222222"/>
    <n v="1"/>
    <n v="30.842423114999999"/>
    <n v="2.8960906240000002"/>
    <n v="1.294908573426"/>
    <n v="3.1808219179999999"/>
    <n v="8.8563903999999999E-2"/>
    <n v="30"/>
    <n v="1161"/>
    <n v="0"/>
    <n v="0"/>
    <n v="4.4465989090000004"/>
    <n v="0"/>
    <n v="0"/>
  </r>
  <r>
    <n v="16975601"/>
    <n v="128"/>
    <n v="7081"/>
    <n v="0"/>
    <n v="0"/>
    <n v="0"/>
    <n v="0"/>
    <n v="0"/>
    <n v="200"/>
    <n v="200"/>
    <n v="200000"/>
    <n v="200000"/>
    <n v="200000"/>
    <n v="200000"/>
    <n v="207424"/>
    <n v="207424"/>
    <n v="207424"/>
    <n v="207424"/>
    <n v="200000"/>
    <n v="200000"/>
    <n v="200000"/>
    <n v="200000"/>
    <n v="0"/>
    <n v="0"/>
    <n v="0"/>
    <n v="0"/>
    <n v="-4104.5200000000004"/>
    <n v="-4104.5200000000004"/>
    <n v="-4104.5200000000004"/>
    <n v="-4104.5200000000004"/>
    <s v="23/08/2024 00:00:00"/>
    <s v="MEDIOLANUM PENSIONES II, FONDO DE PENSIONES"/>
    <s v="03/10/2023 00:00:00"/>
    <x v="192"/>
    <n v="4"/>
    <s v="EUR"/>
    <s v="E"/>
    <n v="97.558094452039995"/>
    <n v="97.555479452054996"/>
    <n v="195110.96"/>
    <n v="195110.96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730219"/>
    <s v="ok"/>
    <s v="ok"/>
    <n v="26356083.120000001"/>
    <n v="0"/>
    <n v="-5.23"/>
    <n v="0"/>
    <s v="PA"/>
    <n v="-78038.69"/>
    <s v="RF"/>
    <s v="RFE"/>
    <n v="-8203.2900000000009"/>
    <n v="-8203.2900000000009"/>
    <n v="195116.19"/>
    <n v="195116.1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783251000000001"/>
    <m/>
    <n v="0"/>
    <n v="-219173.26"/>
    <m/>
    <m/>
    <m/>
    <n v="1355558.46"/>
    <n v="0"/>
    <n v="2520.3126550000002"/>
    <n v="52555.483399999997"/>
    <n v="-296353.43"/>
    <n v="92570020.519999996"/>
    <n v="-5.23"/>
    <n v="394770.09"/>
    <n v="0.29803809999999997"/>
    <m/>
    <n v="0"/>
    <n v="0"/>
    <n v="-296353.43"/>
    <n v="0"/>
    <n v="0"/>
    <n v="16777215"/>
    <n v="0"/>
    <n v="0"/>
    <n v="0"/>
    <n v="0"/>
    <n v="0"/>
    <n v="195110.96"/>
    <n v="195110.96"/>
    <n v="31345322.399999999"/>
    <n v="-1110160.2399999984"/>
    <n v="92570020.519999966"/>
    <n v="0"/>
    <n v="0"/>
    <s v="S"/>
    <m/>
    <n v="0"/>
    <n v="3"/>
    <n v="0"/>
    <n v="0.21077122000000001"/>
    <n v="0"/>
    <m/>
    <m/>
    <n v="0"/>
    <n v="0"/>
    <n v="1633661.45"/>
    <n v="1.2333592799999999"/>
    <m/>
    <m/>
    <n v="97.565684931505999"/>
    <n v="1"/>
    <n v="6.4409274410000004"/>
    <n v="0.87740821199999997"/>
    <n v="0.80424828304600005"/>
    <n v="0.89315068500000006"/>
    <n v="1.4625577000000001E-2"/>
    <n v="10"/>
    <n v="326"/>
    <n v="0"/>
    <n v="0"/>
    <n v="-0.71555381399999995"/>
    <n v="0"/>
    <n v="0"/>
  </r>
  <r>
    <n v="16975398"/>
    <n v="128"/>
    <n v="9885"/>
    <n v="0"/>
    <n v="0"/>
    <n v="0"/>
    <n v="0"/>
    <n v="0"/>
    <n v="1"/>
    <n v="1"/>
    <n v="100000"/>
    <n v="100000"/>
    <n v="100000"/>
    <n v="100000"/>
    <n v="98270"/>
    <n v="98270"/>
    <n v="98270"/>
    <n v="98270"/>
    <n v="100000"/>
    <n v="100000"/>
    <n v="100000"/>
    <n v="100000"/>
    <n v="0"/>
    <n v="0"/>
    <n v="0"/>
    <n v="0"/>
    <n v="3087.19"/>
    <n v="3087.19"/>
    <n v="3087.19"/>
    <n v="3087.19"/>
    <s v="23/12/2024 00:00:00"/>
    <s v="MEDIOLANUM PENSIONES II, FONDO DE PENSIONES"/>
    <s v="03/10/2023 00:00:00"/>
    <x v="193"/>
    <n v="4"/>
    <s v="EUR"/>
    <s v="E"/>
    <n v="46.702287408952998"/>
    <n v="46.913027397260997"/>
    <n v="46913.03"/>
    <n v="46913.03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3.5417749999999998E-2"/>
    <s v="ok"/>
    <s v="ok"/>
    <n v="26356083.120000001"/>
    <n v="0"/>
    <n v="210.74"/>
    <n v="0.45"/>
    <s v="PA"/>
    <n v="-78038.69"/>
    <s v="RF"/>
    <s v="RFE"/>
    <n v="-54654.9"/>
    <n v="-54654.9"/>
    <n v="46702.29"/>
    <n v="46702.2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3.7949700000000003E-2"/>
    <m/>
    <n v="0"/>
    <n v="-219173.26"/>
    <m/>
    <m/>
    <m/>
    <n v="1355558.46"/>
    <n v="0"/>
    <n v="2520.3126550000002"/>
    <n v="52555.483399999997"/>
    <n v="-296353.43"/>
    <n v="92570020.519999996"/>
    <n v="210.74"/>
    <n v="394770.09"/>
    <n v="0.29803809999999997"/>
    <m/>
    <n v="0"/>
    <n v="0"/>
    <n v="-296353.43"/>
    <n v="0"/>
    <n v="0"/>
    <n v="16777215"/>
    <n v="0"/>
    <n v="0"/>
    <n v="0"/>
    <n v="0"/>
    <n v="0"/>
    <n v="46913.03"/>
    <n v="46913.03"/>
    <n v="31345322.399999999"/>
    <n v="-1110160.2399999984"/>
    <n v="92570020.519999966"/>
    <n v="0"/>
    <n v="0"/>
    <s v="S"/>
    <m/>
    <n v="0"/>
    <n v="3"/>
    <n v="0"/>
    <n v="5.0678429999999997E-2"/>
    <n v="0"/>
    <m/>
    <m/>
    <n v="0"/>
    <n v="0"/>
    <n v="1633661.45"/>
    <n v="1.2333592799999999"/>
    <m/>
    <m/>
    <n v="46.985780821916002"/>
    <n v="1"/>
    <n v="136.92608516999999"/>
    <n v="0.93098309999999995"/>
    <n v="0.18462706562699999"/>
    <n v="1.22739726"/>
    <n v="3.2584409999999999E-3"/>
    <n v="5"/>
    <n v="448"/>
    <n v="0"/>
    <n v="0"/>
    <n v="8.1938827029999999"/>
    <n v="0"/>
    <n v="0"/>
  </r>
  <r>
    <n v="16975487"/>
    <n v="128"/>
    <n v="7183"/>
    <n v="0"/>
    <n v="0"/>
    <n v="0"/>
    <n v="0"/>
    <n v="0"/>
    <n v="600"/>
    <n v="600"/>
    <n v="600000"/>
    <n v="600000"/>
    <n v="600000"/>
    <n v="600000"/>
    <n v="593988"/>
    <n v="593988"/>
    <n v="593988"/>
    <n v="593988"/>
    <n v="600000"/>
    <n v="600000"/>
    <n v="600000"/>
    <n v="600000"/>
    <n v="0"/>
    <n v="0"/>
    <n v="0"/>
    <n v="0"/>
    <n v="9596.5300000000007"/>
    <n v="9596.5300000000007"/>
    <n v="9596.5300000000007"/>
    <n v="9596.5300000000007"/>
    <s v="09/10/2026 00:00:00"/>
    <s v="MEDIOLANUM PENSIONES II, FONDO DE PENSIONES"/>
    <s v="03/10/2023 00:00:00"/>
    <x v="194"/>
    <n v="4"/>
    <s v="EUR"/>
    <s v="E"/>
    <n v="90.721766415312004"/>
    <n v="90.644678082192002"/>
    <n v="543868.06999999995"/>
    <n v="543868.06999999995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1060204"/>
    <s v="ok"/>
    <s v="ok"/>
    <n v="26356083.120000001"/>
    <n v="0"/>
    <n v="-462.53"/>
    <n v="-0.09"/>
    <s v="PA"/>
    <n v="-78038.69"/>
    <s v="RF"/>
    <s v="RFE"/>
    <n v="-59253.93"/>
    <n v="-59253.93"/>
    <n v="544330.6"/>
    <n v="544330.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3995511999999998"/>
    <m/>
    <n v="0"/>
    <n v="-219173.26"/>
    <m/>
    <m/>
    <m/>
    <n v="1355558.46"/>
    <n v="0"/>
    <n v="2520.3126550000002"/>
    <n v="52555.483399999997"/>
    <n v="-296353.43"/>
    <n v="92570020.519999996"/>
    <n v="-462.53"/>
    <n v="394770.09"/>
    <n v="0.29803809999999997"/>
    <m/>
    <n v="0"/>
    <n v="0"/>
    <n v="-296353.43"/>
    <n v="0"/>
    <n v="0"/>
    <n v="16777215"/>
    <n v="0"/>
    <n v="0"/>
    <n v="0"/>
    <n v="0"/>
    <n v="0"/>
    <n v="543868.06999999995"/>
    <n v="543868.06999999995"/>
    <n v="31345322.399999999"/>
    <n v="-1110160.2399999984"/>
    <n v="92570020.519999966"/>
    <n v="0"/>
    <n v="0"/>
    <s v="S"/>
    <m/>
    <n v="0"/>
    <n v="3"/>
    <n v="0"/>
    <n v="0.58752073999999999"/>
    <n v="0"/>
    <m/>
    <m/>
    <n v="0"/>
    <n v="0"/>
    <n v="1633661.45"/>
    <n v="1.2333592799999999"/>
    <m/>
    <m/>
    <n v="90.746041095890007"/>
    <n v="1"/>
    <n v="6.0005310720000002"/>
    <n v="2.899951433"/>
    <n v="2.482620693006"/>
    <n v="3.021917808"/>
    <n v="0.10303791900000001"/>
    <n v="33"/>
    <n v="1103"/>
    <n v="0"/>
    <n v="0"/>
    <n v="2.8706234660000001"/>
    <n v="0"/>
    <n v="0"/>
  </r>
  <r>
    <n v="16975545"/>
    <n v="128"/>
    <n v="8349"/>
    <n v="0"/>
    <n v="0"/>
    <n v="0"/>
    <n v="0"/>
    <n v="0"/>
    <n v="1000"/>
    <n v="1000"/>
    <n v="1000000"/>
    <n v="1000000"/>
    <n v="1000000"/>
    <n v="1000000"/>
    <n v="944701"/>
    <n v="944701"/>
    <n v="944701"/>
    <n v="944701"/>
    <n v="1000000"/>
    <n v="1000000"/>
    <n v="1000000"/>
    <n v="1000000"/>
    <n v="0"/>
    <n v="0"/>
    <n v="0"/>
    <n v="0"/>
    <n v="47331.72"/>
    <n v="47331.72"/>
    <n v="47331.72"/>
    <n v="47331.72"/>
    <s v="16/11/2026 00:00:00"/>
    <s v="MEDIOLANUM PENSIONES II, FONDO DE PENSIONES"/>
    <s v="03/10/2023 00:00:00"/>
    <x v="195"/>
    <n v="4"/>
    <s v="EUR"/>
    <s v="E"/>
    <n v="39.513259766845998"/>
    <n v="39.465828767125998"/>
    <n v="394658.29"/>
    <n v="394658.29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9795368999999999"/>
    <s v="ok"/>
    <s v="ok"/>
    <n v="26356083.120000001"/>
    <n v="0"/>
    <n v="-474.31"/>
    <n v="-0.13"/>
    <s v="PA"/>
    <n v="-78038.69"/>
    <s v="RF"/>
    <s v="RFE"/>
    <n v="-596900.12"/>
    <n v="-596900.12"/>
    <n v="395132.6"/>
    <n v="395132.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1925376999999999"/>
    <m/>
    <n v="0"/>
    <n v="-219173.26"/>
    <m/>
    <m/>
    <m/>
    <n v="1355558.46"/>
    <n v="0"/>
    <n v="2520.3126550000002"/>
    <n v="52555.483399999997"/>
    <n v="-296353.43"/>
    <n v="92570020.519999996"/>
    <n v="-474.31"/>
    <n v="394770.09"/>
    <n v="0.29803809999999997"/>
    <m/>
    <n v="0"/>
    <n v="0"/>
    <n v="-296353.43"/>
    <n v="0"/>
    <n v="0"/>
    <n v="16777215"/>
    <n v="0"/>
    <n v="0"/>
    <n v="0"/>
    <n v="0"/>
    <n v="0"/>
    <n v="394658.29"/>
    <n v="394658.29"/>
    <n v="31345322.399999999"/>
    <n v="-1110160.2399999984"/>
    <n v="92570020.519999966"/>
    <n v="0"/>
    <n v="0"/>
    <s v="S"/>
    <m/>
    <n v="0"/>
    <n v="3"/>
    <n v="0"/>
    <n v="0.42633488000000003"/>
    <n v="0"/>
    <m/>
    <m/>
    <n v="0"/>
    <n v="0"/>
    <n v="1633661.45"/>
    <n v="1.2333592799999999"/>
    <m/>
    <m/>
    <n v="39.638472602739"/>
    <n v="1"/>
    <n v="53.784604825999999"/>
    <n v="2.3856969389999998"/>
    <n v="0.61492099840000003"/>
    <n v="3.1260273970000001"/>
    <n v="3.7977368999999997E-2"/>
    <n v="19"/>
    <n v="1141"/>
    <n v="0"/>
    <n v="0"/>
    <n v="8.8879744110000001"/>
    <n v="0"/>
    <n v="0"/>
  </r>
  <r>
    <n v="16975454"/>
    <n v="128"/>
    <n v="9076"/>
    <n v="0"/>
    <n v="0"/>
    <n v="0"/>
    <n v="0"/>
    <n v="0"/>
    <n v="400"/>
    <n v="400"/>
    <n v="400000"/>
    <n v="400000"/>
    <n v="400000"/>
    <n v="400000"/>
    <n v="425848"/>
    <n v="425848"/>
    <n v="425848"/>
    <n v="425848"/>
    <n v="400000"/>
    <n v="400000"/>
    <n v="400000"/>
    <n v="400000"/>
    <n v="0"/>
    <n v="0"/>
    <n v="0"/>
    <n v="0"/>
    <n v="-10479.9"/>
    <n v="-10479.9"/>
    <n v="-10479.9"/>
    <n v="-10479.9"/>
    <s v="01/07/2025 00:00:00"/>
    <s v="MEDIOLANUM PENSIONES II, FONDO DE PENSIONES"/>
    <s v="03/10/2023 00:00:00"/>
    <x v="196"/>
    <n v="4"/>
    <s v="EUR"/>
    <s v="E"/>
    <n v="95.237177010710994"/>
    <n v="93.067612021857002"/>
    <n v="372270.45"/>
    <n v="372270.45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8105163"/>
    <s v="ok"/>
    <s v="ok"/>
    <n v="26356083.120000001"/>
    <n v="0"/>
    <n v="-8678.26"/>
    <n v="-2.2799999999999998"/>
    <s v="PA"/>
    <n v="-78038.69"/>
    <s v="RF"/>
    <s v="RFE"/>
    <n v="-34419.39"/>
    <n v="-34419.39"/>
    <n v="380948.71"/>
    <n v="380948.7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0114341999999999"/>
    <m/>
    <n v="0"/>
    <n v="-219173.26"/>
    <m/>
    <m/>
    <m/>
    <n v="1355558.46"/>
    <n v="0"/>
    <n v="2520.3126550000002"/>
    <n v="52555.483399999997"/>
    <n v="-296353.43"/>
    <n v="92570020.519999996"/>
    <n v="-8678.26"/>
    <n v="394770.09"/>
    <n v="0.29803809999999997"/>
    <m/>
    <n v="0"/>
    <n v="0"/>
    <n v="-296353.43"/>
    <n v="0"/>
    <n v="0"/>
    <n v="16777215"/>
    <n v="0"/>
    <n v="0"/>
    <n v="0"/>
    <n v="0"/>
    <n v="0"/>
    <n v="372270.45"/>
    <n v="372270.45"/>
    <n v="31345322.399999999"/>
    <n v="-1110160.2399999984"/>
    <n v="92570020.519999966"/>
    <n v="0"/>
    <n v="0"/>
    <s v="S"/>
    <m/>
    <n v="0"/>
    <n v="3"/>
    <n v="0"/>
    <n v="0.40215012"/>
    <n v="0"/>
    <m/>
    <m/>
    <n v="0"/>
    <n v="0"/>
    <n v="1633661.45"/>
    <n v="1.2333592799999999"/>
    <m/>
    <m/>
    <n v="93.059806010928995"/>
    <n v="1"/>
    <n v="6.4654822379999999"/>
    <n v="1.7298421479999999"/>
    <n v="1.5120278542750001"/>
    <n v="1.7479452049999999"/>
    <n v="4.1764473000000003E-2"/>
    <n v="19"/>
    <n v="638"/>
    <n v="0"/>
    <n v="0"/>
    <n v="-1.499483449"/>
    <n v="0"/>
    <n v="0"/>
  </r>
  <r>
    <n v="16975446"/>
    <n v="128"/>
    <n v="8766"/>
    <n v="0"/>
    <n v="0"/>
    <n v="0"/>
    <n v="0"/>
    <n v="0"/>
    <n v="2"/>
    <n v="2"/>
    <n v="200000"/>
    <n v="200000"/>
    <n v="200000"/>
    <n v="200000"/>
    <n v="183921"/>
    <n v="183921"/>
    <n v="183921"/>
    <n v="183921"/>
    <n v="200000"/>
    <n v="200000"/>
    <n v="200000"/>
    <n v="200000"/>
    <n v="0"/>
    <n v="0"/>
    <n v="0"/>
    <n v="0"/>
    <n v="5743.98"/>
    <n v="5743.98"/>
    <n v="5743.98"/>
    <n v="5743.98"/>
    <s v="15/07/2026 00:00:00"/>
    <s v="MEDIOLANUM PENSIONES II, FONDO DE PENSIONES"/>
    <s v="03/10/2023 00:00:00"/>
    <x v="197"/>
    <n v="4"/>
    <s v="EUR"/>
    <s v="E"/>
    <n v="34.277871262047"/>
    <n v="34.136191256830998"/>
    <n v="68272.38"/>
    <n v="68272.38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5.154334E-2"/>
    <s v="ok"/>
    <s v="ok"/>
    <n v="26356083.120000001"/>
    <n v="0"/>
    <n v="-283.36"/>
    <n v="-0.41"/>
    <s v="PA"/>
    <n v="-78038.69"/>
    <s v="RF"/>
    <s v="RFE"/>
    <n v="-121109.24"/>
    <n v="-121109.24"/>
    <n v="68555.740000000005"/>
    <n v="68555.7400000000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5.5228069999999997E-2"/>
    <m/>
    <n v="0"/>
    <n v="-219173.26"/>
    <m/>
    <m/>
    <m/>
    <n v="1355558.46"/>
    <n v="0"/>
    <n v="2520.3126550000002"/>
    <n v="52555.483399999997"/>
    <n v="-296353.43"/>
    <n v="92570020.519999996"/>
    <n v="-283.36"/>
    <n v="394770.09"/>
    <n v="0.29803809999999997"/>
    <m/>
    <n v="0"/>
    <n v="0"/>
    <n v="-296353.43"/>
    <n v="0"/>
    <n v="0"/>
    <n v="16777215"/>
    <n v="0"/>
    <n v="0"/>
    <n v="0"/>
    <n v="0"/>
    <n v="0"/>
    <n v="68272.38"/>
    <n v="68272.38"/>
    <n v="31345322.399999999"/>
    <n v="-1110160.2399999984"/>
    <n v="92570020.519999966"/>
    <n v="0"/>
    <n v="0"/>
    <s v="S"/>
    <m/>
    <n v="0"/>
    <n v="3"/>
    <n v="0"/>
    <n v="7.3752150000000002E-2"/>
    <n v="0"/>
    <m/>
    <m/>
    <n v="0"/>
    <n v="0"/>
    <n v="1633661.45"/>
    <n v="1.2333592799999999"/>
    <m/>
    <m/>
    <n v="34.167751366121003"/>
    <n v="1"/>
    <n v="56.838764089999998"/>
    <n v="2.46356668"/>
    <n v="0.53669470219199999"/>
    <n v="2.7863013699999999"/>
    <n v="3.5132720999999999E-2"/>
    <n v="19"/>
    <n v="1017"/>
    <n v="0"/>
    <n v="0"/>
    <n v="5.240493023"/>
    <n v="0"/>
    <n v="0"/>
  </r>
  <r>
    <n v="16975578"/>
    <n v="128"/>
    <n v="9070"/>
    <n v="0"/>
    <n v="0"/>
    <n v="0"/>
    <n v="0"/>
    <n v="0"/>
    <n v="100"/>
    <n v="100"/>
    <n v="100000"/>
    <n v="100000"/>
    <n v="100000"/>
    <n v="100000"/>
    <n v="104191"/>
    <n v="104191"/>
    <n v="104191"/>
    <n v="104191"/>
    <n v="100000"/>
    <n v="100000"/>
    <n v="100000"/>
    <n v="100000"/>
    <n v="0"/>
    <n v="0"/>
    <n v="0"/>
    <n v="0"/>
    <n v="397.86"/>
    <n v="397.86"/>
    <n v="397.86"/>
    <n v="397.86"/>
    <s v="01/04/2024 00:00:00"/>
    <s v="MEDIOLANUM PENSIONES II, FONDO DE PENSIONES"/>
    <s v="03/10/2023 00:00:00"/>
    <x v="198"/>
    <n v="4"/>
    <s v="EUR"/>
    <s v="S"/>
    <n v="96.968416570003001"/>
    <n v="94.235666666667001"/>
    <n v="94235.67"/>
    <n v="94235.67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1144750000000007E-2"/>
    <s v="ok"/>
    <s v="ok"/>
    <n v="26356083.120000001"/>
    <n v="0"/>
    <n v="-2732.75"/>
    <n v="-2.82"/>
    <s v="PA"/>
    <n v="-78038.69"/>
    <s v="RF"/>
    <s v="RFE"/>
    <n v="-7620.44"/>
    <n v="-7620.44"/>
    <n v="96968.42"/>
    <n v="96968.4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6230740000000005E-2"/>
    <m/>
    <n v="0"/>
    <n v="-219173.26"/>
    <m/>
    <m/>
    <m/>
    <n v="1355558.46"/>
    <n v="0"/>
    <n v="2520.3126550000002"/>
    <n v="52555.483399999997"/>
    <n v="-296353.43"/>
    <n v="92570020.519999996"/>
    <n v="-2732.75"/>
    <n v="394770.09"/>
    <n v="0.29803809999999997"/>
    <m/>
    <n v="0"/>
    <n v="0"/>
    <n v="-296353.43"/>
    <n v="0"/>
    <n v="0"/>
    <n v="16777215"/>
    <n v="0"/>
    <n v="0"/>
    <n v="0"/>
    <n v="0"/>
    <n v="0"/>
    <n v="94235.67"/>
    <n v="94235.67"/>
    <n v="31345322.399999999"/>
    <n v="-1110160.2399999984"/>
    <n v="92570020.519999966"/>
    <n v="0"/>
    <n v="0"/>
    <s v="S"/>
    <m/>
    <n v="0"/>
    <n v="3"/>
    <n v="0"/>
    <n v="0.10179934"/>
    <n v="0"/>
    <m/>
    <m/>
    <n v="0"/>
    <n v="0"/>
    <n v="1633661.45"/>
    <n v="1.2333592799999999"/>
    <m/>
    <m/>
    <n v="94.231083333333004"/>
    <n v="1"/>
    <n v="21.796870771999998"/>
    <n v="0.49722222199999999"/>
    <n v="0.42249278342000002"/>
    <n v="0.49863013699999997"/>
    <n v="6.053213E-3"/>
    <n v="5"/>
    <n v="182"/>
    <n v="0"/>
    <n v="0"/>
    <n v="-0.48776011699999999"/>
    <n v="0"/>
    <n v="0"/>
  </r>
  <r>
    <n v="16975376"/>
    <n v="128"/>
    <n v="9311"/>
    <n v="0"/>
    <n v="0"/>
    <n v="0"/>
    <n v="0"/>
    <n v="0"/>
    <n v="200"/>
    <n v="200"/>
    <n v="200000"/>
    <n v="200000"/>
    <n v="200000"/>
    <n v="200000"/>
    <n v="198052"/>
    <n v="198052"/>
    <n v="198052"/>
    <n v="198052"/>
    <n v="200000"/>
    <n v="200000"/>
    <n v="200000"/>
    <n v="200000"/>
    <n v="0"/>
    <n v="0"/>
    <n v="0"/>
    <n v="0"/>
    <n v="707.47"/>
    <n v="707.47"/>
    <n v="707.47"/>
    <n v="707.47"/>
    <s v="21/03/2029 00:00:00"/>
    <s v="MEDIOLANUM PENSIONES II, FONDO DE PENSIONES"/>
    <s v="03/10/2023 00:00:00"/>
    <x v="199"/>
    <n v="4"/>
    <s v="EUR"/>
    <s v="E"/>
    <n v="75.75794626087"/>
    <n v="75.515191256829993"/>
    <n v="151030.38"/>
    <n v="151030.38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402284"/>
    <s v="ok"/>
    <s v="ok"/>
    <n v="26356083.120000001"/>
    <n v="0"/>
    <n v="-485.51"/>
    <n v="-0.32"/>
    <s v="PA"/>
    <n v="-78038.69"/>
    <s v="RF"/>
    <s v="RFE"/>
    <n v="-47243.58"/>
    <n v="-47243.58"/>
    <n v="151515.89000000001"/>
    <n v="151515.8900000000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2217409"/>
    <m/>
    <n v="0"/>
    <n v="-219173.26"/>
    <m/>
    <m/>
    <m/>
    <n v="1355558.46"/>
    <n v="0"/>
    <n v="2520.3126550000002"/>
    <n v="52555.483399999997"/>
    <n v="-296353.43"/>
    <n v="92570020.519999996"/>
    <n v="-485.51"/>
    <n v="394770.09"/>
    <n v="0.29803809999999997"/>
    <m/>
    <n v="0"/>
    <n v="0"/>
    <n v="-296353.43"/>
    <n v="0"/>
    <n v="0"/>
    <n v="16777215"/>
    <n v="0"/>
    <n v="0"/>
    <n v="0"/>
    <n v="0"/>
    <n v="0"/>
    <n v="151030.38"/>
    <n v="151030.38"/>
    <n v="31345322.399999999"/>
    <n v="-1110160.2399999984"/>
    <n v="92570020.519999966"/>
    <n v="0"/>
    <n v="0"/>
    <s v="S"/>
    <m/>
    <n v="0"/>
    <n v="3"/>
    <n v="0"/>
    <n v="0.16315257999999999"/>
    <n v="0"/>
    <m/>
    <m/>
    <n v="0"/>
    <n v="0"/>
    <n v="1633661.45"/>
    <n v="1.2333592799999999"/>
    <m/>
    <m/>
    <n v="75.728775956283997"/>
    <n v="1"/>
    <n v="6.7901141770000004"/>
    <n v="5.2675550089999996"/>
    <n v="3.7354159253970001"/>
    <n v="5.4712328770000003"/>
    <n v="0.29539904"/>
    <n v="59"/>
    <n v="1997"/>
    <n v="0"/>
    <n v="0"/>
    <n v="1.504218941"/>
    <n v="0"/>
    <n v="0"/>
  </r>
  <r>
    <n v="16975453"/>
    <n v="128"/>
    <n v="9331"/>
    <n v="0"/>
    <n v="0"/>
    <n v="0"/>
    <n v="0"/>
    <n v="0"/>
    <n v="400"/>
    <n v="400"/>
    <n v="400000"/>
    <n v="400000"/>
    <n v="400000"/>
    <n v="400000"/>
    <n v="400244"/>
    <n v="400244"/>
    <n v="400244"/>
    <n v="400244"/>
    <n v="400000"/>
    <n v="400000"/>
    <n v="400000"/>
    <n v="400000"/>
    <n v="0"/>
    <n v="0"/>
    <n v="0"/>
    <n v="0"/>
    <n v="4853.8900000000003"/>
    <n v="4853.8900000000003"/>
    <n v="4853.8900000000003"/>
    <n v="4853.8900000000003"/>
    <s v="29/10/2027 00:00:00"/>
    <s v="MEDIOLANUM PENSIONES II, FONDO DE PENSIONES"/>
    <s v="03/10/2023 00:00:00"/>
    <x v="200"/>
    <n v="4"/>
    <s v="EUR"/>
    <s v="E"/>
    <n v="45.917479484546"/>
    <n v="45.761136986300997"/>
    <n v="183044.55"/>
    <n v="183044.55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819245999999999"/>
    <s v="ok"/>
    <s v="ok"/>
    <n v="26356083.120000001"/>
    <n v="0"/>
    <n v="-625.37"/>
    <n v="-0.35"/>
    <s v="PA"/>
    <n v="-78038.69"/>
    <s v="RF"/>
    <s v="RFE"/>
    <n v="-221427.97"/>
    <n v="-221427.97"/>
    <n v="183669.92"/>
    <n v="183669.9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807155"/>
    <m/>
    <n v="0"/>
    <n v="-219173.26"/>
    <m/>
    <m/>
    <m/>
    <n v="1355558.46"/>
    <n v="0"/>
    <n v="2520.3126550000002"/>
    <n v="52555.483399999997"/>
    <n v="-296353.43"/>
    <n v="92570020.519999996"/>
    <n v="-625.37"/>
    <n v="394770.09"/>
    <n v="0.29803809999999997"/>
    <m/>
    <n v="0"/>
    <n v="0"/>
    <n v="-296353.43"/>
    <n v="0"/>
    <n v="0"/>
    <n v="16777215"/>
    <n v="0"/>
    <n v="0"/>
    <n v="0"/>
    <n v="0"/>
    <n v="0"/>
    <n v="183044.55"/>
    <n v="183044.55"/>
    <n v="31345322.399999999"/>
    <n v="-1110160.2399999984"/>
    <n v="92570020.519999966"/>
    <n v="0"/>
    <n v="0"/>
    <s v="S"/>
    <m/>
    <n v="0"/>
    <n v="3"/>
    <n v="0"/>
    <n v="0.19773631999999999"/>
    <n v="0"/>
    <m/>
    <m/>
    <n v="0"/>
    <n v="0"/>
    <n v="1633661.45"/>
    <n v="1.2333592799999999"/>
    <m/>
    <m/>
    <n v="46.080417808219998"/>
    <n v="1"/>
    <n v="27.429617561000001"/>
    <n v="0.326027397"/>
    <n v="0.117896286315"/>
    <n v="4.0767123290000002"/>
    <n v="2.662354E-3"/>
    <n v="3"/>
    <n v="1488"/>
    <n v="0"/>
    <n v="0"/>
    <n v="3.52434921"/>
    <n v="0"/>
    <n v="0"/>
  </r>
  <r>
    <n v="16975571"/>
    <n v="128"/>
    <n v="9603"/>
    <n v="0"/>
    <n v="0"/>
    <n v="0"/>
    <n v="0"/>
    <n v="0"/>
    <n v="100"/>
    <n v="100"/>
    <n v="100000"/>
    <n v="100000"/>
    <n v="100000"/>
    <n v="100000"/>
    <n v="100175"/>
    <n v="100175"/>
    <n v="100175"/>
    <n v="100175"/>
    <n v="100000"/>
    <n v="100000"/>
    <n v="100000"/>
    <n v="100000"/>
    <n v="0"/>
    <n v="0"/>
    <n v="0"/>
    <n v="0"/>
    <n v="1129.52"/>
    <n v="1129.52"/>
    <n v="1129.52"/>
    <n v="1129.52"/>
    <s v="15/11/2028 00:00:00"/>
    <s v="MEDIOLANUM PENSIONES II, FONDO DE PENSIONES"/>
    <s v="03/10/2023 00:00:00"/>
    <x v="201"/>
    <n v="4"/>
    <s v="EUR"/>
    <s v="E"/>
    <n v="85.069445602242993"/>
    <n v="84.794835616439002"/>
    <n v="84794.84"/>
    <n v="84794.84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4017240000000003E-2"/>
    <s v="ok"/>
    <s v="ok"/>
    <n v="26356083.120000001"/>
    <n v="0"/>
    <n v="-274.61"/>
    <n v="-0.32"/>
    <s v="PA"/>
    <n v="-78038.69"/>
    <s v="RF"/>
    <s v="RFE"/>
    <n v="-16235.07"/>
    <n v="-16235.07"/>
    <n v="85069.45"/>
    <n v="85069.4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6.8593699999999994E-2"/>
    <m/>
    <n v="0"/>
    <n v="-219173.26"/>
    <m/>
    <m/>
    <m/>
    <n v="1355558.46"/>
    <n v="0"/>
    <n v="2520.3126550000002"/>
    <n v="52555.483399999997"/>
    <n v="-296353.43"/>
    <n v="92570020.519999996"/>
    <n v="-274.61"/>
    <n v="394770.09"/>
    <n v="0.29803809999999997"/>
    <m/>
    <n v="0"/>
    <n v="0"/>
    <n v="-296353.43"/>
    <n v="0"/>
    <n v="0"/>
    <n v="16777215"/>
    <n v="0"/>
    <n v="0"/>
    <n v="0"/>
    <n v="0"/>
    <n v="0"/>
    <n v="84794.84"/>
    <n v="84794.84"/>
    <n v="31345322.399999999"/>
    <n v="-1110160.2399999984"/>
    <n v="92570020.519999966"/>
    <n v="0"/>
    <n v="0"/>
    <s v="S"/>
    <m/>
    <n v="0"/>
    <n v="3"/>
    <n v="0"/>
    <n v="9.1600760000000003E-2"/>
    <n v="0"/>
    <m/>
    <m/>
    <n v="0"/>
    <n v="0"/>
    <n v="1633661.45"/>
    <n v="1.2333592799999999"/>
    <m/>
    <m/>
    <n v="85.024041095890993"/>
    <n v="1"/>
    <n v="5.541242027"/>
    <n v="4.8344572389999998"/>
    <n v="3.8946395088350001"/>
    <n v="5.1260273969999997"/>
    <n v="0.26211707299999998"/>
    <n v="55"/>
    <n v="1871"/>
    <n v="0"/>
    <n v="0"/>
    <n v="2.0327978459999998"/>
    <n v="0"/>
    <n v="0"/>
  </r>
  <r>
    <n v="16975579"/>
    <n v="128"/>
    <n v="9706"/>
    <n v="0"/>
    <n v="0"/>
    <n v="0"/>
    <n v="0"/>
    <n v="0"/>
    <n v="100"/>
    <n v="100"/>
    <n v="100000"/>
    <n v="100000"/>
    <n v="100000"/>
    <n v="100000"/>
    <n v="98271"/>
    <n v="98271"/>
    <n v="98271"/>
    <n v="98271"/>
    <n v="100000"/>
    <n v="100000"/>
    <n v="100000"/>
    <n v="100000"/>
    <n v="0"/>
    <n v="0"/>
    <n v="0"/>
    <n v="0"/>
    <n v="1324.59"/>
    <n v="1324.59"/>
    <n v="1324.59"/>
    <n v="1324.59"/>
    <s v="17/10/2029 00:00:00"/>
    <s v="MEDIOLANUM PENSIONES II, FONDO DE PENSIONES"/>
    <s v="03/10/2023 00:00:00"/>
    <x v="202"/>
    <n v="4"/>
    <s v="EUR"/>
    <s v="E"/>
    <n v="64.120784409321999"/>
    <n v="63.746164383561002"/>
    <n v="63746.16"/>
    <n v="63746.16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4.8126200000000001E-2"/>
    <s v="ok"/>
    <s v="ok"/>
    <n v="26356083.120000001"/>
    <n v="0"/>
    <n v="-374.62"/>
    <n v="-0.57999999999999996"/>
    <s v="PA"/>
    <n v="-78038.69"/>
    <s v="RF"/>
    <s v="RFE"/>
    <n v="-35474.81"/>
    <n v="-35474.81"/>
    <n v="64120.78"/>
    <n v="64120.7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5.1566639999999997E-2"/>
    <m/>
    <n v="0"/>
    <n v="-219173.26"/>
    <m/>
    <m/>
    <m/>
    <n v="1355558.46"/>
    <n v="0"/>
    <n v="2520.3126550000002"/>
    <n v="52555.483399999997"/>
    <n v="-296353.43"/>
    <n v="92570020.519999996"/>
    <n v="-374.62"/>
    <n v="394770.09"/>
    <n v="0.29803809999999997"/>
    <m/>
    <n v="0"/>
    <n v="0"/>
    <n v="-296353.43"/>
    <n v="0"/>
    <n v="0"/>
    <n v="16777215"/>
    <n v="0"/>
    <n v="0"/>
    <n v="0"/>
    <n v="0"/>
    <n v="0"/>
    <n v="63746.16"/>
    <n v="63746.16"/>
    <n v="31345322.399999999"/>
    <n v="-1110160.2399999984"/>
    <n v="92570020.519999966"/>
    <n v="0"/>
    <n v="0"/>
    <s v="S"/>
    <m/>
    <n v="0"/>
    <n v="3"/>
    <n v="0"/>
    <n v="6.8862640000000003E-2"/>
    <n v="0"/>
    <m/>
    <m/>
    <n v="0"/>
    <n v="0"/>
    <n v="1633661.45"/>
    <n v="1.2333592799999999"/>
    <m/>
    <m/>
    <n v="64.015369863014001"/>
    <n v="1"/>
    <n v="10.339859883999999"/>
    <n v="5.5931836390000003"/>
    <n v="3.2449716700170002"/>
    <n v="6.0465753419999997"/>
    <n v="0.31725060399999999"/>
    <n v="61"/>
    <n v="2207"/>
    <n v="0"/>
    <n v="0"/>
    <n v="2.2836127749999999"/>
    <n v="0"/>
    <n v="0"/>
  </r>
  <r>
    <n v="16975375"/>
    <n v="128"/>
    <n v="9713"/>
    <n v="0"/>
    <n v="0"/>
    <n v="0"/>
    <n v="0"/>
    <n v="0"/>
    <n v="200"/>
    <n v="200"/>
    <n v="200000"/>
    <n v="200000"/>
    <n v="200000"/>
    <n v="200000"/>
    <n v="196856"/>
    <n v="196856"/>
    <n v="196856"/>
    <n v="196856"/>
    <n v="200000"/>
    <n v="200000"/>
    <n v="200000"/>
    <n v="200000"/>
    <n v="0"/>
    <n v="0"/>
    <n v="0"/>
    <n v="0"/>
    <n v="2791.99"/>
    <n v="2791.99"/>
    <n v="2791.99"/>
    <n v="2791.99"/>
    <s v="20/01/2030 00:00:00"/>
    <s v="MEDIOLANUM PENSIONES II, FONDO DE PENSIONES"/>
    <s v="03/10/2023 00:00:00"/>
    <x v="203"/>
    <n v="4"/>
    <s v="EUR"/>
    <s v="E"/>
    <n v="78.452299725062005"/>
    <n v="78.176739726028003"/>
    <n v="156353.48000000001"/>
    <n v="156353.48000000001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80416"/>
    <s v="ok"/>
    <s v="ok"/>
    <n v="26356083.120000001"/>
    <n v="0"/>
    <n v="-551.12"/>
    <n v="-0.36"/>
    <s v="PA"/>
    <n v="-78038.69"/>
    <s v="RF"/>
    <s v="RFE"/>
    <n v="-42743.39"/>
    <n v="-42743.39"/>
    <n v="156904.6"/>
    <n v="156904.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2648015000000001"/>
    <m/>
    <n v="0"/>
    <n v="-219173.26"/>
    <m/>
    <m/>
    <m/>
    <n v="1355558.46"/>
    <n v="0"/>
    <n v="2520.3126550000002"/>
    <n v="52555.483399999997"/>
    <n v="-296353.43"/>
    <n v="92570020.519999996"/>
    <n v="-551.12"/>
    <n v="394770.09"/>
    <n v="0.29803809999999997"/>
    <m/>
    <n v="0"/>
    <n v="0"/>
    <n v="-296353.43"/>
    <n v="0"/>
    <n v="0"/>
    <n v="16777215"/>
    <n v="0"/>
    <n v="0"/>
    <n v="0"/>
    <n v="0"/>
    <n v="0"/>
    <n v="156353.48000000001"/>
    <n v="156353.48000000001"/>
    <n v="31345322.399999999"/>
    <n v="-1110160.2399999984"/>
    <n v="92570020.519999966"/>
    <n v="0"/>
    <n v="0"/>
    <s v="S"/>
    <m/>
    <n v="0"/>
    <n v="3"/>
    <n v="0"/>
    <n v="0.16890293000000001"/>
    <n v="0"/>
    <m/>
    <m/>
    <n v="0"/>
    <n v="0"/>
    <n v="1633661.45"/>
    <n v="1.2333592799999999"/>
    <m/>
    <m/>
    <n v="78.400760273971997"/>
    <n v="1"/>
    <n v="6.5713679819999999"/>
    <n v="5.8266371210000001"/>
    <n v="4.286449435292"/>
    <n v="6.306849315"/>
    <n v="0.36692519299999998"/>
    <n v="66"/>
    <n v="2302"/>
    <n v="0"/>
    <n v="0"/>
    <n v="2.514503688"/>
    <n v="0"/>
    <n v="0"/>
  </r>
  <r>
    <n v="16975357"/>
    <n v="128"/>
    <n v="9722"/>
    <n v="0"/>
    <n v="0"/>
    <n v="0"/>
    <n v="0"/>
    <n v="0"/>
    <n v="200"/>
    <n v="200"/>
    <n v="200000"/>
    <n v="200000"/>
    <n v="200000"/>
    <n v="200000"/>
    <n v="198880"/>
    <n v="198880"/>
    <n v="198880"/>
    <n v="198880"/>
    <n v="200000"/>
    <n v="200000"/>
    <n v="200000"/>
    <n v="200000"/>
    <n v="0"/>
    <n v="0"/>
    <n v="0"/>
    <n v="0"/>
    <n v="256.55"/>
    <n v="256.55"/>
    <n v="256.55"/>
    <n v="256.55"/>
    <s v="24/04/2028 00:00:00"/>
    <s v="MEDIOLANUM PENSIONES II, FONDO DE PENSIONES"/>
    <s v="03/10/2023 00:00:00"/>
    <x v="204"/>
    <n v="4"/>
    <s v="EUR"/>
    <s v="E"/>
    <n v="73.532464972621995"/>
    <n v="73.384734972676995"/>
    <n v="146769.47"/>
    <n v="146769.47"/>
    <s v="N"/>
    <n v="4"/>
    <s v="EUR"/>
    <n v="132534288.59999999"/>
    <s v="S"/>
    <n v="1"/>
    <n v="1"/>
    <s v="Financiero"/>
    <s v="Serv. Inmobiliari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0806"/>
    <s v="ok"/>
    <s v="ok"/>
    <n v="26356083.120000001"/>
    <n v="0"/>
    <n v="-295.45999999999998"/>
    <n v="-0.2"/>
    <s v="PA"/>
    <n v="-78038.69"/>
    <s v="RF"/>
    <s v="RFE"/>
    <n v="-52071.62"/>
    <n v="-52071.62"/>
    <n v="147064.93"/>
    <n v="147064.9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1872729"/>
    <m/>
    <n v="0"/>
    <n v="-219173.26"/>
    <m/>
    <m/>
    <m/>
    <n v="1355558.46"/>
    <n v="0"/>
    <n v="2520.3126550000002"/>
    <n v="52555.483399999997"/>
    <n v="-296353.43"/>
    <n v="92570020.519999996"/>
    <n v="-295.45999999999998"/>
    <n v="394770.09"/>
    <n v="0.29803809999999997"/>
    <m/>
    <n v="0"/>
    <n v="0"/>
    <n v="-296353.43"/>
    <n v="0"/>
    <n v="0"/>
    <n v="16777215"/>
    <n v="0"/>
    <n v="0"/>
    <n v="0"/>
    <n v="0"/>
    <n v="0"/>
    <n v="146769.47"/>
    <n v="146769.47"/>
    <n v="31345322.399999999"/>
    <n v="-1110160.2399999984"/>
    <n v="92570020.519999966"/>
    <n v="0"/>
    <n v="0"/>
    <s v="S"/>
    <m/>
    <n v="0"/>
    <n v="3"/>
    <n v="0"/>
    <n v="0.15854968"/>
    <n v="0"/>
    <m/>
    <m/>
    <n v="0"/>
    <n v="0"/>
    <n v="1633661.45"/>
    <n v="1.2333592799999999"/>
    <m/>
    <m/>
    <n v="73.462478142075994"/>
    <n v="1"/>
    <n v="8.7529065530000008"/>
    <n v="4.4141415779999997"/>
    <n v="2.9817481615100001"/>
    <n v="4.5643835619999997"/>
    <n v="0.20544490500000001"/>
    <n v="49"/>
    <n v="1666"/>
    <n v="0"/>
    <n v="0"/>
    <n v="1.5634381740000001"/>
    <n v="0"/>
    <n v="0"/>
  </r>
  <r>
    <n v="16975348"/>
    <n v="128"/>
    <n v="2869"/>
    <n v="0"/>
    <n v="0"/>
    <n v="0"/>
    <n v="0"/>
    <n v="0"/>
    <n v="1"/>
    <n v="1"/>
    <n v="100000"/>
    <n v="100000"/>
    <n v="100000"/>
    <n v="100000"/>
    <n v="0"/>
    <n v="0"/>
    <n v="0"/>
    <n v="0"/>
    <n v="100000"/>
    <n v="100000"/>
    <n v="100000"/>
    <n v="100000"/>
    <n v="0"/>
    <n v="0"/>
    <n v="0"/>
    <n v="0"/>
    <n v="0"/>
    <n v="0"/>
    <n v="0"/>
    <n v="0"/>
    <s v="15/07/2016 00:00:00"/>
    <s v="MEDIOLANUM PENSIONES II, FONDO DE PENSIONES"/>
    <s v="03/10/2023 00:00:00"/>
    <x v="205"/>
    <n v="4"/>
    <s v="EUR"/>
    <s v="E"/>
    <n v="0"/>
    <n v="0"/>
    <n v="0"/>
    <n v="0"/>
    <s v="N"/>
    <n v="4"/>
    <s v="EUR"/>
    <n v="132534288.59999999"/>
    <s v="S"/>
    <n v="1"/>
    <n v="1"/>
    <s v="Financiero"/>
    <s v=""/>
    <n v="0"/>
    <n v="999999999"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"/>
    <s v="ok"/>
    <s v="ok"/>
    <n v="26356083.120000001"/>
    <n v="0"/>
    <n v="0"/>
    <n v="0"/>
    <s v="PA"/>
    <n v="-78038.69"/>
    <s v="RF"/>
    <s v="RFE"/>
    <n v="0"/>
    <n v="0"/>
    <n v="0"/>
    <n v="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0"/>
    <n v="0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0"/>
    <n v="1"/>
    <n v="0"/>
    <n v="0"/>
    <n v="0"/>
    <n v="-7.219178082"/>
    <n v="0"/>
    <n v="0"/>
    <n v="-2635"/>
    <n v="0"/>
    <n v="0"/>
    <n v="0"/>
    <n v="0"/>
    <n v="0"/>
  </r>
  <r>
    <n v="16975502"/>
    <n v="128"/>
    <n v="10473"/>
    <n v="0"/>
    <n v="0"/>
    <n v="0"/>
    <n v="0"/>
    <n v="0"/>
    <n v="300000000"/>
    <n v="300000000"/>
    <n v="3000000"/>
    <n v="3000000"/>
    <n v="3000000"/>
    <n v="3000000"/>
    <n v="2922630"/>
    <n v="2922630"/>
    <n v="2922630"/>
    <n v="2922630"/>
    <n v="3000000"/>
    <n v="3000000"/>
    <n v="3000000"/>
    <n v="3000000"/>
    <n v="0"/>
    <n v="0"/>
    <n v="0"/>
    <n v="0"/>
    <n v="0"/>
    <n v="0"/>
    <n v="0"/>
    <n v="0"/>
    <s v="21/02/2024 00:00:00"/>
    <s v="MEDIOLANUM PENSIONES II, FONDO DE PENSIONES"/>
    <s v="03/10/2023 00:00:00"/>
    <x v="206"/>
    <n v="4"/>
    <s v="EUR"/>
    <s v="E"/>
    <n v="98.563000000000002"/>
    <n v="98.564000000000007"/>
    <n v="2956920"/>
    <n v="2956920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2.2323748399999999"/>
    <s v="ok"/>
    <s v="ok"/>
    <n v="26356083.120000001"/>
    <n v="0"/>
    <n v="30"/>
    <n v="0"/>
    <s v="PA"/>
    <n v="-78038.69"/>
    <s v="RF"/>
    <s v="RFE0"/>
    <n v="34260"/>
    <n v="34260"/>
    <n v="2956890"/>
    <n v="295689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2.3919625999999998"/>
    <m/>
    <n v="0"/>
    <n v="-219173.26"/>
    <m/>
    <m/>
    <m/>
    <n v="1355558.46"/>
    <n v="0"/>
    <n v="2520.3126550000002"/>
    <n v="52555.483399999997"/>
    <n v="-296353.43"/>
    <n v="92570020.519999996"/>
    <n v="30"/>
    <n v="394770.09"/>
    <n v="0.29803809999999997"/>
    <m/>
    <n v="0"/>
    <n v="0"/>
    <n v="-296353.43"/>
    <n v="0"/>
    <n v="0"/>
    <n v="16777215"/>
    <n v="0"/>
    <n v="0"/>
    <n v="0"/>
    <n v="0"/>
    <n v="0"/>
    <n v="2956920"/>
    <n v="2956920"/>
    <n v="31345322.399999999"/>
    <n v="-1110160.2399999984"/>
    <n v="92570020.519999966"/>
    <n v="0"/>
    <n v="0"/>
    <s v="S"/>
    <m/>
    <n v="0"/>
    <n v="3"/>
    <n v="0"/>
    <n v="3.1942522900000001"/>
    <n v="0"/>
    <m/>
    <m/>
    <n v="0"/>
    <n v="0"/>
    <n v="1633661.45"/>
    <n v="1.2333592799999999"/>
    <m/>
    <m/>
    <n v="98.552499999999995"/>
    <n v="1"/>
    <n v="3.765708627"/>
    <n v="0.39444444400000001"/>
    <n v="0.37462748126200002"/>
    <n v="0.38904109599999998"/>
    <n v="5.1083350000000003E-3"/>
    <n v="5"/>
    <n v="142"/>
    <n v="0"/>
    <n v="0"/>
    <n v="6.8484186459999998"/>
    <n v="0"/>
    <n v="0"/>
  </r>
  <r>
    <n v="16975501"/>
    <n v="128"/>
    <n v="10492"/>
    <n v="0"/>
    <n v="0"/>
    <n v="0"/>
    <n v="0"/>
    <n v="0"/>
    <n v="300000000"/>
    <n v="300000000"/>
    <n v="3000000"/>
    <n v="3000000"/>
    <n v="3000000"/>
    <n v="3000000"/>
    <n v="2917650"/>
    <n v="2917650"/>
    <n v="2917650"/>
    <n v="2917650"/>
    <n v="3000000"/>
    <n v="3000000"/>
    <n v="3000000"/>
    <n v="3000000"/>
    <n v="0"/>
    <n v="0"/>
    <n v="0"/>
    <n v="0"/>
    <n v="0"/>
    <n v="0"/>
    <n v="0"/>
    <n v="0"/>
    <s v="20/03/2024 00:00:00"/>
    <s v="MEDIOLANUM PENSIONES II, FONDO DE PENSIONES"/>
    <s v="03/10/2023 00:00:00"/>
    <x v="207"/>
    <n v="4"/>
    <s v="EUR"/>
    <s v="E"/>
    <n v="98.287999999999997"/>
    <n v="98.295500000000004"/>
    <n v="2948865"/>
    <n v="2948865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2.22629359"/>
    <s v="ok"/>
    <s v="ok"/>
    <n v="26356083.120000001"/>
    <n v="0"/>
    <n v="225"/>
    <n v="0.01"/>
    <s v="PA"/>
    <n v="-78038.69"/>
    <s v="RF"/>
    <s v="RFE0"/>
    <n v="30990"/>
    <n v="30990"/>
    <n v="2948640"/>
    <n v="294864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2.3854466099999998"/>
    <m/>
    <n v="0"/>
    <n v="-219173.26"/>
    <m/>
    <m/>
    <m/>
    <n v="1355558.46"/>
    <n v="0"/>
    <n v="2520.3126550000002"/>
    <n v="52555.483399999997"/>
    <n v="-296353.43"/>
    <n v="92570020.519999996"/>
    <n v="225"/>
    <n v="394770.09"/>
    <n v="0.29803809999999997"/>
    <m/>
    <n v="0"/>
    <n v="0"/>
    <n v="-296353.43"/>
    <n v="0"/>
    <n v="0"/>
    <n v="16777215"/>
    <n v="0"/>
    <n v="0"/>
    <n v="0"/>
    <n v="0"/>
    <n v="0"/>
    <n v="2948865"/>
    <n v="2948865"/>
    <n v="31345322.399999999"/>
    <n v="-1110160.2399999984"/>
    <n v="92570020.519999966"/>
    <n v="0"/>
    <n v="0"/>
    <s v="S"/>
    <m/>
    <n v="0"/>
    <n v="3"/>
    <n v="0"/>
    <n v="3.1855507699999999"/>
    <n v="0"/>
    <m/>
    <m/>
    <n v="0"/>
    <n v="0"/>
    <n v="1633661.45"/>
    <n v="1.2333592799999999"/>
    <m/>
    <m/>
    <n v="98.288499999999999"/>
    <n v="1"/>
    <n v="3.7233702960000001"/>
    <n v="0.47222222200000002"/>
    <n v="0.44747884419"/>
    <n v="0.465753425"/>
    <n v="6.4619940000000004E-3"/>
    <n v="5"/>
    <n v="170"/>
    <n v="0"/>
    <n v="0"/>
    <n v="6.0713871890000002"/>
    <n v="0"/>
    <n v="0"/>
  </r>
  <r>
    <n v="16975500"/>
    <n v="128"/>
    <n v="10772"/>
    <n v="0"/>
    <n v="0"/>
    <n v="0"/>
    <n v="0"/>
    <n v="0"/>
    <n v="100000000"/>
    <n v="100000000"/>
    <n v="1000000"/>
    <n v="1000000"/>
    <n v="1000000"/>
    <n v="1000000"/>
    <n v="978390"/>
    <n v="978390"/>
    <n v="978390"/>
    <n v="978390"/>
    <n v="1000000"/>
    <n v="1000000"/>
    <n v="1000000"/>
    <n v="1000000"/>
    <n v="0"/>
    <n v="0"/>
    <n v="0"/>
    <n v="0"/>
    <n v="0"/>
    <n v="0"/>
    <n v="0"/>
    <n v="0"/>
    <s v="17/04/2024 00:00:00"/>
    <s v="MEDIOLANUM PENSIONES II, FONDO DE PENSIONES"/>
    <s v="03/10/2023 00:00:00"/>
    <x v="208"/>
    <n v="4"/>
    <s v="EUR"/>
    <s v="E"/>
    <n v="98.000000000000014"/>
    <n v="97.844999999999999"/>
    <n v="978450"/>
    <n v="978450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3869673999999996"/>
    <s v="ok"/>
    <s v="ok"/>
    <n v="26356083.120000001"/>
    <n v="0"/>
    <n v="-1550"/>
    <n v="-0.16"/>
    <s v="PA"/>
    <n v="-78038.69"/>
    <s v="RF"/>
    <s v="RFE0"/>
    <n v="1610"/>
    <n v="1610"/>
    <n v="980000"/>
    <n v="98000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9150461000000005"/>
    <m/>
    <n v="0"/>
    <n v="-219173.26"/>
    <m/>
    <m/>
    <m/>
    <n v="1355558.46"/>
    <n v="0"/>
    <n v="2520.3126550000002"/>
    <n v="52555.483399999997"/>
    <n v="-296353.43"/>
    <n v="92570020.519999996"/>
    <n v="-1550"/>
    <n v="394770.09"/>
    <n v="0.29803809999999997"/>
    <m/>
    <n v="0"/>
    <n v="0"/>
    <n v="-296353.43"/>
    <n v="0"/>
    <n v="0"/>
    <n v="16777215"/>
    <n v="0"/>
    <n v="0"/>
    <n v="0"/>
    <n v="0"/>
    <n v="0"/>
    <n v="978450"/>
    <n v="978450"/>
    <n v="31345322.399999999"/>
    <n v="-1110160.2399999984"/>
    <n v="92570020.519999966"/>
    <n v="0"/>
    <n v="0"/>
    <s v="S"/>
    <m/>
    <n v="0"/>
    <n v="3"/>
    <n v="0"/>
    <n v="1.0569836699999999"/>
    <n v="0"/>
    <m/>
    <m/>
    <n v="0"/>
    <n v="0"/>
    <n v="1633661.45"/>
    <n v="1.2333592799999999"/>
    <m/>
    <m/>
    <n v="97.844999999999999"/>
    <n v="1"/>
    <n v="4.0405111299999996"/>
    <n v="0.55000000000000004"/>
    <n v="0.51724803597900004"/>
    <n v="0.54246575299999999"/>
    <n v="7.8757050000000002E-3"/>
    <n v="6"/>
    <n v="198"/>
    <n v="0"/>
    <n v="0"/>
    <n v="4.0521119829999996"/>
    <n v="0"/>
    <n v="0"/>
  </r>
  <r>
    <n v="16975499"/>
    <n v="128"/>
    <n v="10666"/>
    <n v="0"/>
    <n v="0"/>
    <n v="0"/>
    <n v="0"/>
    <n v="0"/>
    <n v="100000000"/>
    <n v="100000000"/>
    <n v="1000000"/>
    <n v="1000000"/>
    <n v="1000000"/>
    <n v="1000000"/>
    <n v="969170"/>
    <n v="969170"/>
    <n v="969170"/>
    <n v="969170"/>
    <n v="1000000"/>
    <n v="1000000"/>
    <n v="1000000"/>
    <n v="1000000"/>
    <n v="0"/>
    <n v="0"/>
    <n v="0"/>
    <n v="0"/>
    <n v="0"/>
    <n v="0"/>
    <n v="0"/>
    <n v="0"/>
    <s v="15/05/2024 00:00:00"/>
    <s v="MEDIOLANUM PENSIONES II, FONDO DE PENSIONES"/>
    <s v="03/10/2023 00:00:00"/>
    <x v="209"/>
    <n v="4"/>
    <s v="EUR"/>
    <s v="E"/>
    <n v="97.725999999999999"/>
    <n v="97.724500000000006"/>
    <n v="977245"/>
    <n v="977245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3778701000000002"/>
    <s v="ok"/>
    <s v="ok"/>
    <n v="26356083.120000001"/>
    <n v="0"/>
    <n v="-15"/>
    <n v="0"/>
    <s v="PA"/>
    <n v="-78038.69"/>
    <s v="RF"/>
    <s v="RFE0"/>
    <n v="8090"/>
    <n v="8090"/>
    <n v="977260"/>
    <n v="97726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9052984000000004"/>
    <m/>
    <n v="0"/>
    <n v="-219173.26"/>
    <m/>
    <m/>
    <m/>
    <n v="1355558.46"/>
    <n v="0"/>
    <n v="2520.3126550000002"/>
    <n v="52555.483399999997"/>
    <n v="-296353.43"/>
    <n v="92570020.519999996"/>
    <n v="-15"/>
    <n v="394770.09"/>
    <n v="0.29803809999999997"/>
    <m/>
    <n v="0"/>
    <n v="0"/>
    <n v="-296353.43"/>
    <n v="0"/>
    <n v="0"/>
    <n v="16777215"/>
    <n v="0"/>
    <n v="0"/>
    <n v="0"/>
    <n v="0"/>
    <n v="0"/>
    <n v="977245"/>
    <n v="977245"/>
    <n v="31345322.399999999"/>
    <n v="-1110160.2399999984"/>
    <n v="92570020.519999966"/>
    <n v="0"/>
    <n v="0"/>
    <s v="S"/>
    <m/>
    <n v="0"/>
    <n v="3"/>
    <n v="0"/>
    <n v="1.0556819500000001"/>
    <n v="0"/>
    <m/>
    <m/>
    <n v="0"/>
    <n v="0"/>
    <n v="1633661.45"/>
    <n v="1.2333592799999999"/>
    <m/>
    <m/>
    <n v="97.706999999999994"/>
    <n v="1"/>
    <n v="3.7642117169999998"/>
    <n v="0.62777777800000001"/>
    <n v="0.59113139604700005"/>
    <n v="0.61917808200000002"/>
    <n v="9.4908670000000001E-3"/>
    <n v="7"/>
    <n v="226"/>
    <n v="0"/>
    <n v="0"/>
    <n v="5.1147778339999999"/>
    <n v="0"/>
    <n v="0"/>
  </r>
  <r>
    <n v="16975516"/>
    <n v="128"/>
    <n v="9792"/>
    <n v="0"/>
    <n v="0"/>
    <n v="0"/>
    <n v="0"/>
    <n v="0"/>
    <n v="700"/>
    <n v="700"/>
    <n v="700000"/>
    <n v="700000"/>
    <n v="700000"/>
    <n v="700000"/>
    <n v="680127"/>
    <n v="680127"/>
    <n v="680127"/>
    <n v="680127"/>
    <n v="700000"/>
    <n v="700000"/>
    <n v="700000"/>
    <n v="700000"/>
    <n v="0"/>
    <n v="0"/>
    <n v="0"/>
    <n v="0"/>
    <n v="4471.3999999999996"/>
    <n v="4471.3999999999996"/>
    <n v="4471.3999999999996"/>
    <n v="4471.3999999999996"/>
    <s v="30/04/2027 00:00:00"/>
    <s v="MEDIOLANUM PENSIONES II, FONDO DE PENSIONES"/>
    <s v="03/10/2023 00:00:00"/>
    <x v="210"/>
    <n v="4"/>
    <s v="EUR"/>
    <s v="S"/>
    <n v="94.116048547996996"/>
    <n v="94.062844262295997"/>
    <n v="658439.91"/>
    <n v="658439.91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9709991999999997"/>
    <s v="ok"/>
    <s v="ok"/>
    <n v="26356083.120000001"/>
    <n v="0"/>
    <n v="-372.43"/>
    <n v="-0.05"/>
    <s v="PA"/>
    <n v="-78038.69"/>
    <s v="RF"/>
    <s v="DEU"/>
    <n v="-25786.06"/>
    <n v="-25786.06"/>
    <n v="658812.34"/>
    <n v="658812.3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3263654000000005"/>
    <m/>
    <n v="0"/>
    <n v="-219173.26"/>
    <m/>
    <m/>
    <m/>
    <n v="1355558.46"/>
    <n v="0"/>
    <n v="2520.3126550000002"/>
    <n v="52555.483399999997"/>
    <n v="-296353.43"/>
    <n v="92570020.519999996"/>
    <n v="-372.43"/>
    <n v="394770.09"/>
    <n v="0.29803809999999997"/>
    <m/>
    <n v="0"/>
    <n v="0"/>
    <n v="-296353.43"/>
    <n v="0"/>
    <n v="0"/>
    <n v="16777215"/>
    <n v="0"/>
    <n v="0"/>
    <n v="0"/>
    <n v="0"/>
    <n v="0"/>
    <n v="658439.91"/>
    <n v="658439.91"/>
    <n v="31345322.399999999"/>
    <n v="-1110160.2399999984"/>
    <n v="92570020.519999966"/>
    <n v="0"/>
    <n v="0"/>
    <s v="S"/>
    <m/>
    <n v="0"/>
    <n v="3"/>
    <n v="0"/>
    <n v="0.71128849999999999"/>
    <n v="0"/>
    <m/>
    <m/>
    <n v="0"/>
    <n v="0"/>
    <n v="1633661.45"/>
    <n v="1.2333592799999999"/>
    <m/>
    <m/>
    <n v="94.141745901639993"/>
    <n v="1"/>
    <n v="3.4595482830000002"/>
    <n v="3.4848307269999999"/>
    <n v="3.17097894079"/>
    <n v="3.5780821920000001"/>
    <n v="0.14794723500000001"/>
    <n v="40"/>
    <n v="1306"/>
    <n v="0"/>
    <n v="0"/>
    <n v="2.5268260759999999"/>
    <n v="0"/>
    <n v="0"/>
  </r>
  <r>
    <n v="16975522"/>
    <n v="128"/>
    <n v="7495"/>
    <n v="0"/>
    <n v="0"/>
    <n v="0"/>
    <n v="0"/>
    <n v="0"/>
    <n v="900"/>
    <n v="900"/>
    <n v="900000"/>
    <n v="900000"/>
    <n v="900000"/>
    <n v="900000"/>
    <n v="975264"/>
    <n v="975264"/>
    <n v="975264"/>
    <n v="975264"/>
    <n v="900000"/>
    <n v="900000"/>
    <n v="900000"/>
    <n v="900000"/>
    <n v="0"/>
    <n v="0"/>
    <n v="0"/>
    <n v="0"/>
    <n v="-12887.49"/>
    <n v="-12887.49"/>
    <n v="-12887.49"/>
    <n v="-12887.49"/>
    <s v="31/10/2030 00:00:00"/>
    <s v="MEDIOLANUM PENSIONES II, FONDO DE PENSIONES"/>
    <s v="03/10/2023 00:00:00"/>
    <x v="211"/>
    <n v="4"/>
    <s v="EUR"/>
    <s v="S"/>
    <n v="86.397835143235"/>
    <n v="86.112609589041"/>
    <n v="775013.49"/>
    <n v="775013.49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58510903999999997"/>
    <s v="ok"/>
    <s v="ok"/>
    <n v="26356083.120000001"/>
    <n v="0"/>
    <n v="-2567.0300000000002"/>
    <n v="-0.34"/>
    <s v="PA"/>
    <n v="-78038.69"/>
    <s v="RF"/>
    <s v="DEU"/>
    <n v="-184795.99"/>
    <n v="-184795.99"/>
    <n v="777580.52"/>
    <n v="777580.5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2693725"/>
    <m/>
    <n v="0"/>
    <n v="-219173.26"/>
    <m/>
    <m/>
    <m/>
    <n v="1355558.46"/>
    <n v="0"/>
    <n v="2520.3126550000002"/>
    <n v="52555.483399999997"/>
    <n v="-296353.43"/>
    <n v="92570020.519999996"/>
    <n v="-2567.0300000000002"/>
    <n v="394770.09"/>
    <n v="0.29803809999999997"/>
    <m/>
    <n v="0"/>
    <n v="0"/>
    <n v="-296353.43"/>
    <n v="0"/>
    <n v="0"/>
    <n v="16777215"/>
    <n v="0"/>
    <n v="0"/>
    <n v="0"/>
    <n v="0"/>
    <n v="0"/>
    <n v="775013.49"/>
    <n v="775013.49"/>
    <n v="31345322.399999999"/>
    <n v="-1110160.2399999984"/>
    <n v="92570020.519999966"/>
    <n v="0"/>
    <n v="0"/>
    <s v="S"/>
    <m/>
    <n v="0"/>
    <n v="3"/>
    <n v="0"/>
    <n v="0.83721867000000005"/>
    <n v="0"/>
    <m/>
    <m/>
    <n v="0"/>
    <n v="0"/>
    <n v="1633661.45"/>
    <n v="1.2333592799999999"/>
    <m/>
    <m/>
    <n v="86.395184931505995"/>
    <n v="1"/>
    <n v="3.6527262280000001"/>
    <n v="6.7027418450000003"/>
    <n v="5.5867765592090004"/>
    <n v="7.0849315070000003"/>
    <n v="0.49712853600000001"/>
    <n v="78"/>
    <n v="2586"/>
    <n v="0"/>
    <n v="0"/>
    <n v="0.22210429300000001"/>
    <n v="0"/>
    <n v="0"/>
  </r>
  <r>
    <n v="16975560"/>
    <n v="128"/>
    <n v="8786"/>
    <n v="0"/>
    <n v="0"/>
    <n v="0"/>
    <n v="0"/>
    <n v="0"/>
    <n v="1100"/>
    <n v="1100"/>
    <n v="1100000"/>
    <n v="1100000"/>
    <n v="1100000"/>
    <n v="1100000"/>
    <n v="1084441.42"/>
    <n v="1084441.42"/>
    <n v="1084441.42"/>
    <n v="1084441.42"/>
    <n v="1100000"/>
    <n v="1100000"/>
    <n v="1100000"/>
    <n v="1100000"/>
    <n v="0"/>
    <n v="0"/>
    <n v="0"/>
    <n v="0"/>
    <n v="4413.57"/>
    <n v="4413.57"/>
    <n v="4413.57"/>
    <n v="4413.57"/>
    <s v="30/04/2031 00:00:00"/>
    <s v="MEDIOLANUM PENSIONES II, FONDO DE PENSIONES"/>
    <s v="03/10/2023 00:00:00"/>
    <x v="212"/>
    <n v="4"/>
    <s v="EUR"/>
    <s v="S"/>
    <n v="76.668803860797993"/>
    <n v="76.365622950819997"/>
    <n v="840021.85"/>
    <n v="840021.85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3418816"/>
    <s v="ok"/>
    <s v="ok"/>
    <n v="26356083.120000001"/>
    <n v="0"/>
    <n v="-3334.99"/>
    <n v="-0.39"/>
    <s v="PA"/>
    <n v="-78038.69"/>
    <s v="RF"/>
    <s v="DEU"/>
    <n v="-245498.15"/>
    <n v="-245498.15"/>
    <n v="843356.84"/>
    <n v="843356.8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7952493000000003"/>
    <m/>
    <n v="0"/>
    <n v="-219173.26"/>
    <m/>
    <m/>
    <m/>
    <n v="1355558.46"/>
    <n v="0"/>
    <n v="2520.3126550000002"/>
    <n v="52555.483399999997"/>
    <n v="-296353.43"/>
    <n v="92570020.519999996"/>
    <n v="-3334.99"/>
    <n v="394770.09"/>
    <n v="0.29803809999999997"/>
    <m/>
    <n v="0"/>
    <n v="0"/>
    <n v="-296353.43"/>
    <n v="0"/>
    <n v="0"/>
    <n v="16777215"/>
    <n v="0"/>
    <n v="0"/>
    <n v="0"/>
    <n v="0"/>
    <n v="0"/>
    <n v="840021.85"/>
    <n v="840021.85"/>
    <n v="31345322.399999999"/>
    <n v="-1110160.2399999984"/>
    <n v="92570020.519999966"/>
    <n v="0"/>
    <n v="0"/>
    <s v="S"/>
    <m/>
    <n v="0"/>
    <n v="3"/>
    <n v="0"/>
    <n v="0.90744480999999999"/>
    <n v="0"/>
    <m/>
    <m/>
    <n v="0"/>
    <n v="0"/>
    <n v="1633661.45"/>
    <n v="1.2333592799999999"/>
    <m/>
    <m/>
    <n v="76.668849726776003"/>
    <n v="1"/>
    <n v="3.692861706"/>
    <n v="7.5431748110000001"/>
    <n v="5.5773032642990001"/>
    <n v="7.5808219179999998"/>
    <n v="0.60091600700000003"/>
    <n v="87"/>
    <n v="2767"/>
    <n v="0"/>
    <n v="0"/>
    <n v="0.29470716800000002"/>
    <n v="0"/>
    <n v="0"/>
  </r>
  <r>
    <n v="16975455"/>
    <n v="128"/>
    <n v="9676"/>
    <n v="0"/>
    <n v="0"/>
    <n v="0"/>
    <n v="0"/>
    <n v="0"/>
    <n v="400"/>
    <n v="400"/>
    <n v="400000"/>
    <n v="400000"/>
    <n v="400000"/>
    <n v="400000"/>
    <n v="406268"/>
    <n v="406268"/>
    <n v="406268"/>
    <n v="406268"/>
    <n v="400000"/>
    <n v="400000"/>
    <n v="400000"/>
    <n v="400000"/>
    <n v="0"/>
    <n v="0"/>
    <n v="0"/>
    <n v="0"/>
    <n v="707.63"/>
    <n v="707.63"/>
    <n v="707.63"/>
    <n v="707.63"/>
    <s v="31/10/2031 00:00:00"/>
    <s v="MEDIOLANUM PENSIONES II, FONDO DE PENSIONES"/>
    <s v="03/10/2023 00:00:00"/>
    <x v="213"/>
    <n v="4"/>
    <s v="EUR"/>
    <s v="S"/>
    <n v="78.281533830642999"/>
    <n v="77.948643835615997"/>
    <n v="311794.58"/>
    <n v="311794.58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3539439000000001"/>
    <s v="ok"/>
    <s v="ok"/>
    <n v="26356083.120000001"/>
    <n v="0"/>
    <n v="-1331.56"/>
    <n v="-0.42"/>
    <s v="PA"/>
    <n v="-78038.69"/>
    <s v="RF"/>
    <s v="DEU"/>
    <n v="-93849.49"/>
    <n v="-93849.49"/>
    <n v="313126.14"/>
    <n v="313126.1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5222223999999999"/>
    <m/>
    <n v="0"/>
    <n v="-219173.26"/>
    <m/>
    <m/>
    <m/>
    <n v="1355558.46"/>
    <n v="0"/>
    <n v="2520.3126550000002"/>
    <n v="52555.483399999997"/>
    <n v="-296353.43"/>
    <n v="92570020.519999996"/>
    <n v="-1331.56"/>
    <n v="394770.09"/>
    <n v="0.29803809999999997"/>
    <m/>
    <n v="0"/>
    <n v="0"/>
    <n v="-296353.43"/>
    <n v="0"/>
    <n v="0"/>
    <n v="16777215"/>
    <n v="0"/>
    <n v="0"/>
    <n v="0"/>
    <n v="0"/>
    <n v="0"/>
    <n v="311794.58"/>
    <n v="311794.58"/>
    <n v="31345322.399999999"/>
    <n v="-1110160.2399999984"/>
    <n v="92570020.519999966"/>
    <n v="0"/>
    <n v="0"/>
    <s v="S"/>
    <m/>
    <n v="0"/>
    <n v="3"/>
    <n v="0"/>
    <n v="0.33682025999999998"/>
    <n v="0"/>
    <m/>
    <m/>
    <n v="0"/>
    <n v="0"/>
    <n v="1633661.45"/>
    <n v="1.2333592799999999"/>
    <m/>
    <m/>
    <n v="78.388773972603005"/>
    <n v="1"/>
    <n v="3.7117996120000001"/>
    <n v="7.8686209920000003"/>
    <n v="5.9473613867620001"/>
    <n v="8.0849315070000003"/>
    <n v="0.65974730100000001"/>
    <n v="91"/>
    <n v="2951"/>
    <n v="0"/>
    <n v="0"/>
    <n v="0.36075846"/>
    <n v="0"/>
    <n v="0"/>
  </r>
  <r>
    <n v="16975521"/>
    <n v="128"/>
    <n v="9709"/>
    <n v="0"/>
    <n v="0"/>
    <n v="0"/>
    <n v="0"/>
    <n v="0"/>
    <n v="800"/>
    <n v="800"/>
    <n v="800000"/>
    <n v="800000"/>
    <n v="800000"/>
    <n v="800000"/>
    <n v="688561"/>
    <n v="688561"/>
    <n v="688561"/>
    <n v="688561"/>
    <n v="800000"/>
    <n v="800000"/>
    <n v="800000"/>
    <n v="800000"/>
    <n v="0"/>
    <n v="0"/>
    <n v="0"/>
    <n v="0"/>
    <n v="7941.64"/>
    <n v="7941.64"/>
    <n v="7941.64"/>
    <n v="7941.64"/>
    <s v="30/04/2032 00:00:00"/>
    <s v="MEDIOLANUM PENSIONES II, FONDO DE PENSIONES"/>
    <s v="03/10/2023 00:00:00"/>
    <x v="214"/>
    <n v="4"/>
    <s v="EUR"/>
    <s v="S"/>
    <n v="78.167621902898006"/>
    <n v="77.795860655737997"/>
    <n v="622366.89"/>
    <n v="622366.89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6986601"/>
    <s v="ok"/>
    <s v="ok"/>
    <n v="26356083.120000001"/>
    <n v="0"/>
    <n v="-2974.09"/>
    <n v="-0.47"/>
    <s v="PA"/>
    <n v="-78038.69"/>
    <s v="RF"/>
    <s v="DEU"/>
    <n v="-71161.66"/>
    <n v="-71161.66"/>
    <n v="625340.98"/>
    <n v="625340.9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0345572999999999"/>
    <m/>
    <n v="0"/>
    <n v="-219173.26"/>
    <m/>
    <m/>
    <m/>
    <n v="1355558.46"/>
    <n v="0"/>
    <n v="2520.3126550000002"/>
    <n v="52555.483399999997"/>
    <n v="-296353.43"/>
    <n v="92570020.519999996"/>
    <n v="-2974.09"/>
    <n v="394770.09"/>
    <n v="0.29803809999999997"/>
    <m/>
    <n v="0"/>
    <n v="0"/>
    <n v="-296353.43"/>
    <n v="0"/>
    <n v="0"/>
    <n v="16777215"/>
    <n v="0"/>
    <n v="0"/>
    <n v="0"/>
    <n v="0"/>
    <n v="0"/>
    <n v="622366.89"/>
    <n v="622366.89"/>
    <n v="31345322.399999999"/>
    <n v="-1110160.2399999984"/>
    <n v="92570020.519999966"/>
    <n v="0"/>
    <n v="0"/>
    <s v="S"/>
    <m/>
    <n v="0"/>
    <n v="3"/>
    <n v="0"/>
    <n v="0.67232013999999996"/>
    <n v="0"/>
    <m/>
    <m/>
    <n v="0"/>
    <n v="0"/>
    <n v="1633661.45"/>
    <n v="1.2333592799999999"/>
    <m/>
    <m/>
    <n v="78.182948087431996"/>
    <n v="1"/>
    <n v="3.7643364159999999"/>
    <n v="8.2862824279999998"/>
    <n v="6.243435955951"/>
    <n v="8.5835616439999995"/>
    <n v="0.72954071700000001"/>
    <n v="96"/>
    <n v="3133"/>
    <n v="0"/>
    <n v="0"/>
    <n v="2.5690495040000001"/>
    <n v="0"/>
    <n v="0"/>
  </r>
  <r>
    <n v="16975494"/>
    <n v="128"/>
    <n v="10174"/>
    <n v="0"/>
    <n v="0"/>
    <n v="0"/>
    <n v="0"/>
    <n v="0"/>
    <n v="200"/>
    <n v="200"/>
    <n v="200000"/>
    <n v="200000"/>
    <n v="200000"/>
    <n v="200000"/>
    <n v="188018"/>
    <n v="188018"/>
    <n v="188018"/>
    <n v="188018"/>
    <n v="0"/>
    <n v="0"/>
    <n v="0"/>
    <n v="0"/>
    <n v="0"/>
    <n v="0"/>
    <n v="0"/>
    <n v="0"/>
    <n v="0"/>
    <n v="0"/>
    <n v="0"/>
    <n v="0"/>
    <s v="31/05/2025 00:00:00"/>
    <s v="MEDIOLANUM PENSIONES II, FONDO DE PENSIONES"/>
    <s v="03/10/2023 00:00:00"/>
    <x v="215"/>
    <n v="4"/>
    <s v="EUR"/>
    <s v="S"/>
    <n v="94.313999999999993"/>
    <n v="94.3215"/>
    <n v="188643"/>
    <n v="188643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241909999999999"/>
    <s v="ok"/>
    <s v="ok"/>
    <n v="26356083.120000001"/>
    <n v="0"/>
    <n v="15"/>
    <n v="0.01"/>
    <s v="PA"/>
    <n v="-78038.69"/>
    <s v="RF"/>
    <s v="DEU"/>
    <n v="610"/>
    <n v="610"/>
    <n v="188628"/>
    <n v="18862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260034"/>
    <m/>
    <n v="0"/>
    <n v="-219173.26"/>
    <m/>
    <m/>
    <m/>
    <n v="1355558.46"/>
    <n v="0"/>
    <n v="2520.3126550000002"/>
    <n v="52555.483399999997"/>
    <n v="-296353.43"/>
    <n v="92570020.519999996"/>
    <n v="15"/>
    <n v="394770.09"/>
    <n v="0.29803809999999997"/>
    <m/>
    <n v="0"/>
    <n v="0"/>
    <n v="-296353.43"/>
    <n v="0"/>
    <n v="0"/>
    <n v="16777215"/>
    <n v="0"/>
    <n v="0"/>
    <n v="0"/>
    <n v="0"/>
    <n v="0"/>
    <n v="188643"/>
    <n v="188643"/>
    <n v="31345322.399999999"/>
    <n v="-1110160.2399999984"/>
    <n v="92570020.519999966"/>
    <n v="0"/>
    <n v="0"/>
    <s v="S"/>
    <m/>
    <n v="0"/>
    <n v="3"/>
    <n v="0"/>
    <n v="0.20378412000000001"/>
    <n v="0"/>
    <m/>
    <m/>
    <n v="0"/>
    <n v="0"/>
    <n v="1633661.45"/>
    <n v="1.2333592799999999"/>
    <m/>
    <m/>
    <n v="94.157499999999999"/>
    <n v="1"/>
    <n v="3.6904241020000002"/>
    <n v="1.6612021859999999"/>
    <n v="1.5084772406539999"/>
    <n v="1.663013699"/>
    <n v="4.1117156000000002E-2"/>
    <n v="19"/>
    <n v="607"/>
    <n v="0"/>
    <n v="0"/>
    <n v="3.78899228"/>
    <n v="0"/>
    <n v="0"/>
  </r>
  <r>
    <n v="16975544"/>
    <n v="128"/>
    <n v="9971"/>
    <n v="0"/>
    <n v="0"/>
    <n v="0"/>
    <n v="0"/>
    <n v="0"/>
    <n v="1000"/>
    <n v="1000"/>
    <n v="1000000"/>
    <n v="1000000"/>
    <n v="1000000"/>
    <n v="1000000"/>
    <n v="868380"/>
    <n v="868380"/>
    <n v="868380"/>
    <n v="868380"/>
    <n v="1000000"/>
    <n v="1000000"/>
    <n v="1000000"/>
    <n v="1000000"/>
    <n v="0"/>
    <n v="0"/>
    <n v="0"/>
    <n v="0"/>
    <n v="6880.36"/>
    <n v="6880.36"/>
    <n v="6880.36"/>
    <n v="6880.36"/>
    <s v="30/07/2029 00:00:00"/>
    <s v="MEDIOLANUM PENSIONES II, FONDO DE PENSIONES"/>
    <s v="03/10/2023 00:00:00"/>
    <x v="216"/>
    <n v="4"/>
    <s v="EUR"/>
    <s v="S"/>
    <n v="85.777518501762003"/>
    <n v="85.610576502732002"/>
    <n v="856105.77"/>
    <n v="856105.77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4633096999999995"/>
    <s v="ok"/>
    <s v="ok"/>
    <n v="26356083.120000001"/>
    <n v="0"/>
    <n v="-1669.42"/>
    <n v="-0.2"/>
    <s v="PA"/>
    <n v="-78038.69"/>
    <s v="RF"/>
    <s v="DEU"/>
    <n v="-17485.169999999998"/>
    <n v="-17485.169999999998"/>
    <n v="857775.19"/>
    <n v="857775.1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9253580999999997"/>
    <m/>
    <n v="0"/>
    <n v="-219173.26"/>
    <m/>
    <m/>
    <m/>
    <n v="1355558.46"/>
    <n v="0"/>
    <n v="2520.3126550000002"/>
    <n v="52555.483399999997"/>
    <n v="-296353.43"/>
    <n v="92570020.519999996"/>
    <n v="-1669.42"/>
    <n v="394770.09"/>
    <n v="0.29803809999999997"/>
    <m/>
    <n v="0"/>
    <n v="0"/>
    <n v="-296353.43"/>
    <n v="0"/>
    <n v="0"/>
    <n v="16777215"/>
    <n v="0"/>
    <n v="0"/>
    <n v="0"/>
    <n v="0"/>
    <n v="0"/>
    <n v="856105.77"/>
    <n v="856105.77"/>
    <n v="31345322.399999999"/>
    <n v="-1110160.2399999984"/>
    <n v="92570020.519999966"/>
    <n v="0"/>
    <n v="0"/>
    <s v="S"/>
    <m/>
    <n v="0"/>
    <n v="3"/>
    <n v="0"/>
    <n v="0.92481968000000003"/>
    <n v="0"/>
    <m/>
    <m/>
    <n v="0"/>
    <n v="0"/>
    <n v="1633661.45"/>
    <n v="1.2333592799999999"/>
    <m/>
    <m/>
    <n v="85.759390710381993"/>
    <n v="1"/>
    <n v="3.5782795410000001"/>
    <n v="5.6953121820000003"/>
    <n v="4.7155301748339999"/>
    <n v="5.8301369860000003"/>
    <n v="0.35977268400000001"/>
    <n v="66"/>
    <n v="2128"/>
    <n v="0"/>
    <n v="0"/>
    <n v="3.3512400950000001"/>
    <n v="0"/>
    <n v="0"/>
  </r>
  <r>
    <n v="16975338"/>
    <n v="128"/>
    <n v="10634"/>
    <n v="0"/>
    <n v="0"/>
    <n v="0"/>
    <n v="0"/>
    <n v="0"/>
    <n v="3000"/>
    <n v="3000"/>
    <n v="3000000"/>
    <n v="3000000"/>
    <n v="3000000"/>
    <n v="3000000"/>
    <n v="3027870"/>
    <n v="3027870"/>
    <n v="3027870"/>
    <n v="3027870"/>
    <n v="3000000"/>
    <n v="3000000"/>
    <n v="3000000"/>
    <n v="3000000"/>
    <n v="10504.11"/>
    <n v="10504.11"/>
    <n v="10504.11"/>
    <n v="10504.11"/>
    <n v="20335.07"/>
    <n v="20335.07"/>
    <n v="20335.07"/>
    <n v="20335.07"/>
    <s v="31/10/2033 00:00:00"/>
    <s v="MEDIOLANUM PENSIONES II, FONDO DE PENSIONES"/>
    <s v="03/10/2023 00:00:00"/>
    <x v="217"/>
    <n v="4"/>
    <s v="EUR"/>
    <s v="S"/>
    <n v="97.938411041294003"/>
    <n v="97.469589041096"/>
    <n v="2924087.67"/>
    <n v="2924087.67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2.20758754"/>
    <s v="ok"/>
    <s v="ok"/>
    <n v="26356083.120000001"/>
    <n v="0"/>
    <n v="-14064.66"/>
    <n v="-0.48"/>
    <s v="PA"/>
    <n v="-78038.69"/>
    <s v="RF"/>
    <s v="DEU"/>
    <n v="-120556.85"/>
    <n v="-120556.85"/>
    <n v="2938152.33"/>
    <n v="2938152.3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2.36540331"/>
    <m/>
    <n v="0"/>
    <n v="-219173.26"/>
    <m/>
    <m/>
    <m/>
    <n v="1355558.46"/>
    <n v="0"/>
    <n v="2520.3126550000002"/>
    <n v="52555.483399999997"/>
    <n v="-296353.43"/>
    <n v="92570020.519999996"/>
    <n v="-14064.66"/>
    <n v="394770.09"/>
    <n v="0.29803809999999997"/>
    <m/>
    <n v="0"/>
    <n v="0"/>
    <n v="-296353.43"/>
    <n v="0"/>
    <n v="0"/>
    <n v="16777215"/>
    <n v="0"/>
    <n v="0"/>
    <n v="0"/>
    <n v="0"/>
    <n v="0"/>
    <n v="2924087.67"/>
    <n v="2924087.67"/>
    <n v="31345322.399999999"/>
    <n v="-1110160.2399999984"/>
    <n v="92570020.519999966"/>
    <n v="0"/>
    <n v="0"/>
    <s v="S"/>
    <m/>
    <n v="0"/>
    <n v="3"/>
    <n v="0"/>
    <n v="3.1587847299999998"/>
    <n v="0"/>
    <m/>
    <m/>
    <n v="0"/>
    <n v="0"/>
    <n v="1633661.45"/>
    <n v="1.2333592799999999"/>
    <m/>
    <m/>
    <n v="97.964363013699"/>
    <n v="1"/>
    <n v="3.9292746599999999"/>
    <n v="8.525357777"/>
    <n v="8.036053814752"/>
    <n v="10.087671233"/>
    <n v="0.82767047900000001"/>
    <n v="98"/>
    <n v="3682"/>
    <n v="0"/>
    <n v="0"/>
    <n v="3.5670676029999999"/>
    <n v="0"/>
    <n v="0"/>
  </r>
  <r>
    <n v="16975498"/>
    <n v="128"/>
    <n v="10519"/>
    <n v="0"/>
    <n v="0"/>
    <n v="0"/>
    <n v="0"/>
    <n v="0"/>
    <n v="2500000"/>
    <n v="2500000"/>
    <n v="2500000"/>
    <n v="2500000"/>
    <n v="2500000"/>
    <n v="2500000"/>
    <n v="2463625"/>
    <n v="2463625"/>
    <n v="2463625"/>
    <n v="2463625"/>
    <n v="2500000"/>
    <n v="2500000"/>
    <n v="2500000"/>
    <n v="2500000"/>
    <n v="0"/>
    <n v="0"/>
    <n v="0"/>
    <n v="0"/>
    <n v="0"/>
    <n v="0"/>
    <n v="0"/>
    <n v="0"/>
    <s v="06/10/2023 00:00:00"/>
    <s v="MEDIOLANUM PENSIONES II, FONDO DE PENSIONES"/>
    <s v="03/10/2023 00:00:00"/>
    <x v="218"/>
    <n v="4"/>
    <s v="EUR"/>
    <s v="E"/>
    <n v="99.968999999999994"/>
    <n v="99.968500000000006"/>
    <n v="2499212.5"/>
    <n v="2499212.5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88682112"/>
    <s v="ok"/>
    <s v="ok"/>
    <n v="26356083.120000001"/>
    <n v="0"/>
    <n v="-12.5"/>
    <n v="0"/>
    <s v="PA"/>
    <n v="-78038.69"/>
    <s v="RF"/>
    <s v="RFE0"/>
    <n v="35600"/>
    <n v="35600"/>
    <n v="2499225"/>
    <n v="249922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2.0217059800000001"/>
    <m/>
    <n v="0"/>
    <n v="-219173.26"/>
    <m/>
    <m/>
    <m/>
    <n v="1355558.46"/>
    <n v="0"/>
    <n v="2520.3126550000002"/>
    <n v="52555.483399999997"/>
    <n v="-296353.43"/>
    <n v="92570020.519999996"/>
    <n v="-12.5"/>
    <n v="394770.09"/>
    <n v="0.29803809999999997"/>
    <m/>
    <n v="0"/>
    <n v="0"/>
    <n v="-296353.43"/>
    <n v="0"/>
    <n v="0"/>
    <n v="16777215"/>
    <n v="0"/>
    <n v="0"/>
    <n v="0"/>
    <n v="0"/>
    <n v="0"/>
    <n v="2499212.5"/>
    <n v="2499212.5"/>
    <n v="31345322.399999999"/>
    <n v="-1110160.2399999984"/>
    <n v="92570020.519999966"/>
    <n v="0"/>
    <n v="0"/>
    <s v="S"/>
    <m/>
    <n v="0"/>
    <n v="3"/>
    <n v="0"/>
    <n v="2.6998076499999999"/>
    <n v="0"/>
    <m/>
    <m/>
    <n v="0"/>
    <n v="0"/>
    <n v="1633661.45"/>
    <n v="1.2333592799999999"/>
    <m/>
    <m/>
    <n v="99.957499999999996"/>
    <n v="1"/>
    <n v="3.8999395630000002"/>
    <n v="1.1111111E-2"/>
    <n v="1.0689505029000001E-2"/>
    <n v="1.0958904E-2"/>
    <n v="1.0407E-4"/>
    <n v="0"/>
    <n v="4"/>
    <n v="0"/>
    <n v="0"/>
    <n v="274.01287686000001"/>
    <n v="0"/>
    <n v="0"/>
  </r>
  <r>
    <n v="16975468"/>
    <n v="128"/>
    <n v="10183"/>
    <n v="0"/>
    <n v="0"/>
    <n v="0"/>
    <n v="0"/>
    <n v="0"/>
    <n v="2000000"/>
    <n v="2000000"/>
    <n v="2000000"/>
    <n v="2000000"/>
    <n v="2000000"/>
    <n v="2000000"/>
    <n v="1904990"/>
    <n v="1904990"/>
    <n v="1904990"/>
    <n v="1904990"/>
    <n v="2000000"/>
    <n v="2000000"/>
    <n v="2000000"/>
    <n v="2000000"/>
    <n v="0"/>
    <n v="0"/>
    <n v="0"/>
    <n v="0"/>
    <n v="19785.009999999998"/>
    <n v="19785.009999999998"/>
    <n v="19785.009999999998"/>
    <n v="19785.009999999998"/>
    <s v="04/07/2025 00:00:00"/>
    <s v="MEDIOLANUM PENSIONES II, FONDO DE PENSIONES"/>
    <s v="03/10/2023 00:00:00"/>
    <x v="219"/>
    <n v="4"/>
    <s v="EUR"/>
    <s v="E"/>
    <n v="95.505349603827995"/>
    <n v="95.502407103825007"/>
    <n v="1910048.14"/>
    <n v="1910048.14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44202191"/>
    <s v="ok"/>
    <s v="ok"/>
    <n v="26356083.120000001"/>
    <n v="0"/>
    <n v="-58.85"/>
    <n v="0"/>
    <s v="PA"/>
    <n v="-78038.69"/>
    <s v="RF"/>
    <s v="RFE"/>
    <n v="-14668.02"/>
    <n v="-14668.02"/>
    <n v="1910106.99"/>
    <n v="1910106.9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54510901"/>
    <m/>
    <n v="0"/>
    <n v="-219173.26"/>
    <m/>
    <m/>
    <m/>
    <n v="1355558.46"/>
    <n v="0"/>
    <n v="2520.3126550000002"/>
    <n v="52555.483399999997"/>
    <n v="-296353.43"/>
    <n v="92570020.519999996"/>
    <n v="-58.85"/>
    <n v="394770.09"/>
    <n v="0.29803809999999997"/>
    <m/>
    <n v="0"/>
    <n v="0"/>
    <n v="-296353.43"/>
    <n v="0"/>
    <n v="0"/>
    <n v="16777215"/>
    <n v="0"/>
    <n v="0"/>
    <n v="0"/>
    <n v="0"/>
    <n v="0"/>
    <n v="1910048.14"/>
    <n v="1910048.14"/>
    <n v="31345322.399999999"/>
    <n v="-1110160.2399999984"/>
    <n v="92570020.519999966"/>
    <n v="0"/>
    <n v="0"/>
    <s v="S"/>
    <m/>
    <n v="0"/>
    <n v="3"/>
    <n v="0"/>
    <n v="2.0633549900000001"/>
    <n v="0"/>
    <m/>
    <m/>
    <n v="0"/>
    <n v="0"/>
    <n v="1633661.45"/>
    <n v="1.2333592799999999"/>
    <m/>
    <m/>
    <n v="95.410221311474999"/>
    <n v="1"/>
    <n v="3.665517253"/>
    <n v="1.7459380769999999"/>
    <n v="1.606902109223"/>
    <n v="1.7561643840000001"/>
    <n v="4.4687236999999998E-2"/>
    <n v="20"/>
    <n v="641"/>
    <n v="0"/>
    <n v="0"/>
    <n v="3.765669634"/>
    <n v="0"/>
    <n v="0"/>
  </r>
  <r>
    <n v="16975497"/>
    <n v="128"/>
    <n v="10483"/>
    <n v="0"/>
    <n v="0"/>
    <n v="0"/>
    <n v="0"/>
    <n v="0"/>
    <n v="2000000"/>
    <n v="2000000"/>
    <n v="2000000"/>
    <n v="2000000"/>
    <n v="2000000"/>
    <n v="2000000"/>
    <n v="1577200"/>
    <n v="1577200"/>
    <n v="1577200"/>
    <n v="1577200"/>
    <n v="2000000"/>
    <n v="2000000"/>
    <n v="2000000"/>
    <n v="2000000"/>
    <n v="0"/>
    <n v="0"/>
    <n v="0"/>
    <n v="0"/>
    <n v="0"/>
    <n v="0"/>
    <n v="0"/>
    <n v="0"/>
    <s v="04/07/2031 00:00:00"/>
    <s v="MEDIOLANUM PENSIONES II, FONDO DE PENSIONES"/>
    <s v="03/10/2023 00:00:00"/>
    <x v="220"/>
    <n v="4"/>
    <s v="EUR"/>
    <s v="E"/>
    <n v="77.036000000000001"/>
    <n v="76.629500000000007"/>
    <n v="1532590"/>
    <n v="1532590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1570537400000001"/>
    <s v="ok"/>
    <s v="ok"/>
    <n v="26356083.120000001"/>
    <n v="0"/>
    <n v="-8130"/>
    <n v="-0.53"/>
    <s v="PA"/>
    <n v="-78038.69"/>
    <s v="RF"/>
    <s v="RFE"/>
    <n v="-36480"/>
    <n v="-36480"/>
    <n v="1540720"/>
    <n v="154072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2397690699999999"/>
    <m/>
    <n v="0"/>
    <n v="-219173.26"/>
    <m/>
    <m/>
    <m/>
    <n v="1355558.46"/>
    <n v="0"/>
    <n v="2520.3126550000002"/>
    <n v="52555.483399999997"/>
    <n v="-296353.43"/>
    <n v="92570020.519999996"/>
    <n v="-8130"/>
    <n v="394770.09"/>
    <n v="0.29803809999999997"/>
    <m/>
    <n v="0"/>
    <n v="0"/>
    <n v="-296353.43"/>
    <n v="0"/>
    <n v="0"/>
    <n v="16777215"/>
    <n v="0"/>
    <n v="0"/>
    <n v="0"/>
    <n v="0"/>
    <n v="0"/>
    <n v="1532590"/>
    <n v="1532590"/>
    <n v="31345322.399999999"/>
    <n v="-1110160.2399999984"/>
    <n v="92570020.519999966"/>
    <n v="0"/>
    <n v="0"/>
    <s v="S"/>
    <m/>
    <n v="0"/>
    <n v="3"/>
    <n v="0"/>
    <n v="1.6556008"/>
    <n v="0"/>
    <m/>
    <m/>
    <n v="0"/>
    <n v="0"/>
    <n v="1633661.45"/>
    <n v="1.2333592799999999"/>
    <m/>
    <m/>
    <n v="77.057000000000002"/>
    <n v="1"/>
    <n v="3.4182468749999999"/>
    <n v="7.7540983609999996"/>
    <n v="5.7775835063820002"/>
    <n v="7.7589041099999996"/>
    <n v="0.63467060600000003"/>
    <n v="90"/>
    <n v="2832"/>
    <n v="0"/>
    <n v="0"/>
    <n v="3.1102332439999998"/>
    <n v="0"/>
    <n v="0"/>
  </r>
  <r>
    <n v="16975496"/>
    <n v="128"/>
    <n v="10493"/>
    <n v="0"/>
    <n v="0"/>
    <n v="0"/>
    <n v="0"/>
    <n v="0"/>
    <n v="200000"/>
    <n v="200000"/>
    <n v="200000"/>
    <n v="200000"/>
    <n v="200000"/>
    <n v="200000"/>
    <n v="194246"/>
    <n v="194246"/>
    <n v="194246"/>
    <n v="194246"/>
    <n v="200000"/>
    <n v="200000"/>
    <n v="200000"/>
    <n v="200000"/>
    <n v="0"/>
    <n v="0"/>
    <n v="0"/>
    <n v="0"/>
    <n v="0"/>
    <n v="0"/>
    <n v="0"/>
    <n v="0"/>
    <s v="20/03/2024 00:00:00"/>
    <s v="MEDIOLANUM PENSIONES II, FONDO DE PENSIONES"/>
    <s v="03/10/2023 00:00:00"/>
    <x v="221"/>
    <n v="4"/>
    <s v="EUR"/>
    <s v="E"/>
    <n v="0"/>
    <n v="0"/>
    <n v="196510"/>
    <n v="196510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835841999999999"/>
    <s v="ok"/>
    <s v="ok"/>
    <n v="26356083.120000001"/>
    <n v="0"/>
    <n v="0"/>
    <n v="0"/>
    <s v="PA"/>
    <n v="-78038.69"/>
    <s v="RF"/>
    <s v="RFE0"/>
    <n v="2264"/>
    <n v="2264"/>
    <n v="196510"/>
    <n v="196510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896425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196510"/>
    <n v="196510"/>
    <n v="31345322.399999999"/>
    <n v="-1110160.2399999984"/>
    <n v="92570020.519999966"/>
    <n v="0"/>
    <n v="0"/>
    <s v="S"/>
    <m/>
    <n v="0"/>
    <n v="3"/>
    <n v="0"/>
    <n v="0.21228254999999999"/>
    <n v="0"/>
    <m/>
    <m/>
    <n v="0"/>
    <n v="0"/>
    <n v="1633661.45"/>
    <n v="1.2333592799999999"/>
    <m/>
    <m/>
    <n v="0"/>
    <n v="1"/>
    <n v="3.7982739639999998"/>
    <n v="0.47222222200000002"/>
    <n v="0"/>
    <n v="0.465753425"/>
    <n v="6.4526710000000001E-3"/>
    <n v="5"/>
    <n v="170"/>
    <n v="0"/>
    <n v="0"/>
    <n v="6.376902802"/>
    <n v="0"/>
    <n v="0"/>
  </r>
  <r>
    <n v="16975469"/>
    <n v="128"/>
    <n v="2641"/>
    <n v="0"/>
    <n v="0"/>
    <n v="0"/>
    <n v="0"/>
    <n v="0"/>
    <n v="10000000"/>
    <n v="10000000"/>
    <n v="100000"/>
    <n v="100000"/>
    <n v="100000"/>
    <n v="100000"/>
    <n v="134478"/>
    <n v="134478"/>
    <n v="134478"/>
    <n v="134478"/>
    <n v="100000"/>
    <n v="100000"/>
    <n v="100000"/>
    <n v="100000"/>
    <n v="0"/>
    <n v="0"/>
    <n v="0"/>
    <n v="0"/>
    <n v="-7558.24"/>
    <n v="-7558.24"/>
    <n v="-7558.24"/>
    <n v="-7558.24"/>
    <s v="01/11/2027 00:00:00"/>
    <s v="MEDIOLANUM PENSIONES II, FONDO DE PENSIONES"/>
    <s v="03/10/2023 00:00:00"/>
    <x v="222"/>
    <n v="4"/>
    <s v="EUR"/>
    <s v="E"/>
    <n v="111.92077999999999"/>
    <n v="111.96677"/>
    <n v="111966.77"/>
    <n v="111966.77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8.4531129999999996E-2"/>
    <s v="ok"/>
    <s v="ok"/>
    <n v="26356083.120000001"/>
    <n v="0"/>
    <n v="45.99"/>
    <n v="0.04"/>
    <s v="PA"/>
    <n v="-78038.69"/>
    <s v="RF"/>
    <s v="RFE"/>
    <n v="-14998.98"/>
    <n v="-14998.98"/>
    <n v="111920.78"/>
    <n v="111920.7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9.0574089999999996E-2"/>
    <m/>
    <n v="0"/>
    <n v="-219173.26"/>
    <m/>
    <m/>
    <m/>
    <n v="1355558.46"/>
    <n v="0"/>
    <n v="2520.3126550000002"/>
    <n v="52555.483399999997"/>
    <n v="-296353.43"/>
    <n v="92570020.519999996"/>
    <n v="45.99"/>
    <n v="394770.09"/>
    <n v="0.29803809999999997"/>
    <m/>
    <n v="0"/>
    <n v="0"/>
    <n v="-296353.43"/>
    <n v="0"/>
    <n v="0"/>
    <n v="16777215"/>
    <n v="0"/>
    <n v="0"/>
    <n v="0"/>
    <n v="0"/>
    <n v="0"/>
    <n v="111966.77"/>
    <n v="111966.77"/>
    <n v="31345322.399999999"/>
    <n v="-1110160.2399999984"/>
    <n v="92570020.519999966"/>
    <n v="0"/>
    <n v="0"/>
    <s v="S"/>
    <m/>
    <n v="0"/>
    <n v="3"/>
    <n v="0"/>
    <n v="0.12095359999999999"/>
    <n v="0"/>
    <m/>
    <m/>
    <n v="0"/>
    <n v="0"/>
    <n v="1633661.45"/>
    <n v="1.2333592799999999"/>
    <m/>
    <m/>
    <n v="111.95811"/>
    <n v="1"/>
    <n v="4.0619865810000002"/>
    <n v="3.5842992260000002"/>
    <n v="3.933034012811"/>
    <n v="4.0849315070000003"/>
    <n v="0.16919489200000001"/>
    <n v="42"/>
    <n v="1491"/>
    <n v="0"/>
    <n v="0"/>
    <n v="-1.084879551"/>
    <n v="0"/>
    <n v="0"/>
  </r>
  <r>
    <n v="16975562"/>
    <n v="128"/>
    <n v="8375"/>
    <n v="0"/>
    <n v="0"/>
    <n v="0"/>
    <n v="0"/>
    <n v="0"/>
    <n v="1200"/>
    <n v="1200"/>
    <n v="1200000"/>
    <n v="1200000"/>
    <n v="1200000"/>
    <n v="1200000"/>
    <n v="1305783.33"/>
    <n v="1305783.33"/>
    <n v="1305783.33"/>
    <n v="1305783.33"/>
    <n v="1200000"/>
    <n v="1200000"/>
    <n v="1200000"/>
    <n v="1200000"/>
    <n v="0"/>
    <n v="0"/>
    <n v="0"/>
    <n v="0"/>
    <n v="-23663.58"/>
    <n v="-23663.58"/>
    <n v="-23663.58"/>
    <n v="-23663.58"/>
    <s v="01/12/2030 00:00:00"/>
    <s v="MEDIOLANUM PENSIONES II, FONDO DE PENSIONES"/>
    <s v="03/10/2023 00:00:00"/>
    <x v="223"/>
    <n v="4"/>
    <s v="EUR"/>
    <s v="E"/>
    <n v="83.623490000000004"/>
    <n v="83.558520000000001"/>
    <n v="1002702.24"/>
    <n v="1002702.24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5700635999999999"/>
    <s v="ok"/>
    <s v="ok"/>
    <n v="26356083.120000001"/>
    <n v="0"/>
    <n v="-779.64"/>
    <n v="-7.0000000000000007E-2"/>
    <s v="PA"/>
    <n v="-78038.69"/>
    <s v="RF"/>
    <s v="RFE"/>
    <n v="-278637.87"/>
    <n v="-278637.87"/>
    <n v="1003481.88"/>
    <n v="1003481.8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81112315000000001"/>
    <m/>
    <n v="0"/>
    <n v="-219173.26"/>
    <m/>
    <m/>
    <m/>
    <n v="1355558.46"/>
    <n v="0"/>
    <n v="2520.3126550000002"/>
    <n v="52555.483399999997"/>
    <n v="-296353.43"/>
    <n v="92570020.519999996"/>
    <n v="-779.64"/>
    <n v="394770.09"/>
    <n v="0.29803809999999997"/>
    <m/>
    <n v="0"/>
    <n v="0"/>
    <n v="-296353.43"/>
    <n v="0"/>
    <n v="0"/>
    <n v="16777215"/>
    <n v="0"/>
    <n v="0"/>
    <n v="0"/>
    <n v="0"/>
    <n v="0"/>
    <n v="1002702.24"/>
    <n v="1002702.24"/>
    <n v="31345322.399999999"/>
    <n v="-1110160.2399999984"/>
    <n v="92570020.519999966"/>
    <n v="0"/>
    <n v="0"/>
    <s v="S"/>
    <m/>
    <n v="0"/>
    <n v="3"/>
    <n v="0"/>
    <n v="1.0831824800000001"/>
    <n v="0"/>
    <m/>
    <m/>
    <n v="0"/>
    <n v="0"/>
    <n v="1633661.45"/>
    <n v="1.2333592799999999"/>
    <m/>
    <m/>
    <n v="83.642009999999999"/>
    <n v="1"/>
    <n v="4.479549198"/>
    <n v="6.6955251560000004"/>
    <n v="5.4775862355009997"/>
    <n v="7.1698630139999997"/>
    <n v="0.51306015699999996"/>
    <n v="79"/>
    <n v="2617"/>
    <n v="0"/>
    <n v="0"/>
    <n v="0.476268052"/>
    <n v="0"/>
    <n v="0"/>
  </r>
  <r>
    <n v="16975572"/>
    <n v="128"/>
    <n v="8823"/>
    <n v="0"/>
    <n v="0"/>
    <n v="0"/>
    <n v="0"/>
    <n v="0"/>
    <n v="100"/>
    <n v="100"/>
    <n v="100000"/>
    <n v="100000"/>
    <n v="100000"/>
    <n v="100000"/>
    <n v="101441"/>
    <n v="101441"/>
    <n v="101441"/>
    <n v="101441"/>
    <n v="100000"/>
    <n v="100000"/>
    <n v="100000"/>
    <n v="100000"/>
    <n v="0"/>
    <n v="0"/>
    <n v="0"/>
    <n v="0"/>
    <n v="91.4"/>
    <n v="91.4"/>
    <n v="91.4"/>
    <n v="91.4"/>
    <s v="01/04/2031 00:00:00"/>
    <s v="MEDIOLANUM PENSIONES II, FONDO DE PENSIONES"/>
    <s v="03/10/2023 00:00:00"/>
    <x v="224"/>
    <n v="4"/>
    <s v="EUR"/>
    <s v="E"/>
    <n v="78.084540000000004"/>
    <n v="77.55292"/>
    <n v="77552.92"/>
    <n v="77552.92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5.8549839999999999E-2"/>
    <s v="ok"/>
    <s v="ok"/>
    <n v="26356083.120000001"/>
    <n v="0"/>
    <n v="-531.62"/>
    <n v="-0.68"/>
    <s v="PA"/>
    <n v="-78038.69"/>
    <s v="RF"/>
    <s v="RFE"/>
    <n v="-23447.86"/>
    <n v="-23447.86"/>
    <n v="78084.539999999994"/>
    <n v="78084.53999999999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6.2735440000000003E-2"/>
    <m/>
    <n v="0"/>
    <n v="-219173.26"/>
    <m/>
    <m/>
    <m/>
    <n v="1355558.46"/>
    <n v="0"/>
    <n v="2520.3126550000002"/>
    <n v="52555.483399999997"/>
    <n v="-296353.43"/>
    <n v="92570020.519999996"/>
    <n v="-531.62"/>
    <n v="394770.09"/>
    <n v="0.29803809999999997"/>
    <m/>
    <n v="0"/>
    <n v="0"/>
    <n v="-296353.43"/>
    <n v="0"/>
    <n v="0"/>
    <n v="16777215"/>
    <n v="0"/>
    <n v="0"/>
    <n v="0"/>
    <n v="0"/>
    <n v="0"/>
    <n v="77552.92"/>
    <n v="77552.92"/>
    <n v="31345322.399999999"/>
    <n v="-1110160.2399999984"/>
    <n v="92570020.519999966"/>
    <n v="0"/>
    <n v="0"/>
    <s v="S"/>
    <m/>
    <n v="0"/>
    <n v="3"/>
    <n v="0"/>
    <n v="8.3777580000000004E-2"/>
    <n v="0"/>
    <m/>
    <m/>
    <n v="0"/>
    <n v="0"/>
    <n v="1633661.45"/>
    <n v="1.2333592799999999"/>
    <m/>
    <m/>
    <n v="77.638459999999995"/>
    <n v="1"/>
    <n v="4.488829323"/>
    <n v="7.2258200910000001"/>
    <n v="5.4868673848359997"/>
    <n v="7.5013698629999999"/>
    <n v="0.58074188199999999"/>
    <n v="85"/>
    <n v="2738"/>
    <n v="0"/>
    <n v="0"/>
    <n v="0.70392307099999996"/>
    <n v="0"/>
    <n v="0"/>
  </r>
  <r>
    <n v="16975395"/>
    <n v="128"/>
    <n v="9968"/>
    <n v="0"/>
    <n v="0"/>
    <n v="0"/>
    <n v="0"/>
    <n v="0"/>
    <n v="11000"/>
    <n v="11000"/>
    <n v="1100000"/>
    <n v="1100000"/>
    <n v="1100000"/>
    <n v="1005663"/>
    <n v="802359.38"/>
    <n v="733385.86"/>
    <n v="802359.38"/>
    <n v="733385.86"/>
    <n v="1100000"/>
    <n v="1005663"/>
    <n v="1100000"/>
    <n v="1005663"/>
    <n v="0"/>
    <n v="0"/>
    <n v="0"/>
    <n v="0"/>
    <n v="7651.99"/>
    <n v="7237.29"/>
    <n v="7651.99"/>
    <n v="7237.29"/>
    <s v="15/08/2041 00:00:00"/>
    <s v="MEDIOLANUM PENSIONES II, FONDO DE PENSIONES"/>
    <s v="03/10/2023 00:00:00"/>
    <x v="225"/>
    <n v="5"/>
    <s v="USD"/>
    <s v="U"/>
    <n v="62.593749708891004"/>
    <n v="61.615828804347998"/>
    <n v="677774.12"/>
    <n v="646484.28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8807381999999999"/>
    <s v="ok"/>
    <s v="ok"/>
    <n v="26356083.120000001"/>
    <n v="0"/>
    <n v="-4732.26"/>
    <n v="-1.57"/>
    <s v="PA"/>
    <n v="-78038.69"/>
    <s v="RF"/>
    <s v="RFE"/>
    <n v="-121480.12"/>
    <n v="-89406.61"/>
    <n v="688531.25"/>
    <n v="651216.5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2296518999999997"/>
    <m/>
    <n v="0"/>
    <n v="-219173.26"/>
    <m/>
    <m/>
    <m/>
    <n v="1355558.46"/>
    <n v="0"/>
    <n v="2520.3126550000002"/>
    <n v="52555.483399999997"/>
    <n v="-296353.43"/>
    <n v="92570020.519999996"/>
    <n v="-10757.13"/>
    <n v="394770.09"/>
    <n v="0.29803809999999997"/>
    <m/>
    <n v="0"/>
    <n v="0"/>
    <n v="-296353.43"/>
    <n v="0"/>
    <n v="0"/>
    <n v="16777215"/>
    <n v="0"/>
    <n v="0"/>
    <n v="0"/>
    <n v="0"/>
    <n v="0"/>
    <n v="677774.12"/>
    <n v="646484.28"/>
    <n v="31345322.399999999"/>
    <n v="-1110160.2399999984"/>
    <n v="92570020.519999966"/>
    <n v="0"/>
    <n v="0"/>
    <s v="S"/>
    <m/>
    <n v="0"/>
    <n v="3"/>
    <n v="0"/>
    <n v="0.69837327000000005"/>
    <n v="0"/>
    <m/>
    <m/>
    <n v="0"/>
    <n v="0"/>
    <n v="1633661.45"/>
    <n v="1.2333592799999999"/>
    <m/>
    <m/>
    <n v="62.548573369564998"/>
    <n v="1.0572999999999999"/>
    <n v="5.0127717729999999"/>
    <n v="14.523197097000001"/>
    <n v="8.8619382231330004"/>
    <n v="17.882191781"/>
    <n v="2.44131236"/>
    <n v="170"/>
    <n v="6527"/>
    <n v="0"/>
    <n v="0"/>
    <n v="3.9190119810000001"/>
    <n v="0"/>
    <n v="0"/>
  </r>
  <r>
    <n v="16975423"/>
    <n v="128"/>
    <n v="10393"/>
    <n v="0"/>
    <n v="0"/>
    <n v="0"/>
    <n v="0"/>
    <n v="0"/>
    <n v="20000"/>
    <n v="20000"/>
    <n v="2000000"/>
    <n v="2000000"/>
    <n v="2000000"/>
    <n v="1846947.1"/>
    <n v="1983750"/>
    <n v="1831021.54"/>
    <n v="1983750"/>
    <n v="1831021.54"/>
    <n v="2000000"/>
    <n v="1846947.1"/>
    <n v="2000000"/>
    <n v="1846947.1"/>
    <n v="0"/>
    <n v="0"/>
    <n v="0"/>
    <n v="0"/>
    <n v="9889.16"/>
    <n v="9353.2199999999993"/>
    <n v="9889.16"/>
    <n v="9353.2199999999993"/>
    <s v="15/02/2043 00:00:00"/>
    <s v="MEDIOLANUM PENSIONES II, FONDO DE PENSIONES"/>
    <s v="03/10/2023 00:00:00"/>
    <x v="226"/>
    <n v="5"/>
    <s v="USD"/>
    <s v="U"/>
    <n v="0"/>
    <n v="0"/>
    <n v="1752187.5"/>
    <n v="1671296.74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2617726499999999"/>
    <s v="ok"/>
    <s v="ok"/>
    <n v="26356083.120000001"/>
    <n v="0"/>
    <n v="14068.42"/>
    <n v="0"/>
    <s v="PA"/>
    <n v="-78038.69"/>
    <s v="RF"/>
    <s v="RFE"/>
    <n v="-241451.66"/>
    <n v="-183146.44"/>
    <n v="1752187.5"/>
    <n v="1657228.3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3519741199999999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1752187.5"/>
    <n v="1671296.74"/>
    <n v="31345322.399999999"/>
    <n v="-1110160.2399999984"/>
    <n v="92570020.519999966"/>
    <n v="0"/>
    <n v="0"/>
    <s v="S"/>
    <m/>
    <n v="0"/>
    <n v="3"/>
    <n v="0"/>
    <n v="1.80544061"/>
    <n v="0"/>
    <m/>
    <m/>
    <n v="0"/>
    <n v="0"/>
    <n v="1633661.45"/>
    <n v="1.2333592799999999"/>
    <m/>
    <m/>
    <n v="0"/>
    <n v="1.0572999999999999"/>
    <n v="4.9740022929999999"/>
    <n v="13.266134474999999"/>
    <n v="0"/>
    <n v="19.386301370000002"/>
    <n v="2.247159635"/>
    <n v="155"/>
    <n v="7076"/>
    <n v="0"/>
    <n v="0"/>
    <n v="4.011756117"/>
    <n v="0"/>
    <n v="0"/>
  </r>
  <r>
    <n v="16975417"/>
    <n v="128"/>
    <n v="7017"/>
    <n v="0"/>
    <n v="0"/>
    <n v="0"/>
    <n v="0"/>
    <n v="0"/>
    <n v="13500"/>
    <n v="13500"/>
    <n v="1350000"/>
    <n v="1350000"/>
    <n v="1350000"/>
    <n v="1215875"/>
    <n v="1403184.7"/>
    <n v="1263887.6599999999"/>
    <n v="1403184.7"/>
    <n v="1263887.6599999999"/>
    <n v="1350000"/>
    <n v="1215875"/>
    <n v="1350000"/>
    <n v="1215875"/>
    <n v="0"/>
    <n v="0"/>
    <n v="0"/>
    <n v="0"/>
    <n v="-8973.6299999999992"/>
    <n v="-8487.31"/>
    <n v="-8973.6299999999992"/>
    <n v="-8487.31"/>
    <s v="15/05/2029 00:00:00"/>
    <s v="MEDIOLANUM PENSIONES II, FONDO DE PENSIONES"/>
    <s v="03/10/2023 00:00:00"/>
    <x v="227"/>
    <n v="5"/>
    <s v="USD"/>
    <s v="U"/>
    <n v="89.773437913753"/>
    <n v="89.304517913043"/>
    <n v="1205610.99"/>
    <n v="1149953.25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86817591000000005"/>
    <s v="ok"/>
    <s v="ok"/>
    <n v="26356083.120000001"/>
    <n v="0"/>
    <n v="3692.58"/>
    <n v="-0.52"/>
    <s v="PA"/>
    <n v="-78038.69"/>
    <s v="RF"/>
    <s v="RFE"/>
    <n v="-182269.66"/>
    <n v="-109139.68"/>
    <n v="1211941.4099999999"/>
    <n v="1146260.6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93023997000000003"/>
    <m/>
    <n v="0"/>
    <n v="-219173.26"/>
    <m/>
    <m/>
    <m/>
    <n v="1355558.46"/>
    <n v="0"/>
    <n v="2520.3126550000002"/>
    <n v="52555.483399999997"/>
    <n v="-296353.43"/>
    <n v="92570020.519999996"/>
    <n v="-6330.42"/>
    <n v="394770.09"/>
    <n v="0.29803809999999997"/>
    <m/>
    <n v="0"/>
    <n v="0"/>
    <n v="-296353.43"/>
    <n v="0"/>
    <n v="0"/>
    <n v="16777215"/>
    <n v="0"/>
    <n v="0"/>
    <n v="0"/>
    <n v="0"/>
    <n v="0"/>
    <n v="1205610.99"/>
    <n v="1149953.25"/>
    <n v="31345322.399999999"/>
    <n v="-1110160.2399999984"/>
    <n v="92570020.519999966"/>
    <n v="0"/>
    <n v="0"/>
    <s v="S"/>
    <m/>
    <n v="0"/>
    <n v="3"/>
    <n v="0"/>
    <n v="1.2422523400000001"/>
    <n v="0"/>
    <m/>
    <m/>
    <n v="0"/>
    <n v="0"/>
    <n v="1633661.45"/>
    <n v="1.2333592799999999"/>
    <m/>
    <m/>
    <n v="89.778533108695996"/>
    <n v="1.0572999999999999"/>
    <n v="4.7023676930000002"/>
    <n v="5.2148425029999999"/>
    <n v="4.574259844877"/>
    <n v="5.6219178080000001"/>
    <n v="0.32286964000000001"/>
    <n v="61"/>
    <n v="2052"/>
    <n v="0"/>
    <n v="0"/>
    <n v="1.8130579520000001"/>
    <n v="0"/>
    <n v="0"/>
  </r>
  <r>
    <n v="16975390"/>
    <n v="128"/>
    <n v="10327"/>
    <n v="0"/>
    <n v="0"/>
    <n v="0"/>
    <n v="0"/>
    <n v="0"/>
    <n v="9000"/>
    <n v="9000"/>
    <n v="900000"/>
    <n v="900000"/>
    <n v="900000"/>
    <n v="832594.8"/>
    <n v="879427.73"/>
    <n v="813563.68"/>
    <n v="879427.73"/>
    <n v="813563.68"/>
    <n v="900000"/>
    <n v="832594.8"/>
    <n v="900000"/>
    <n v="832594.8"/>
    <n v="0"/>
    <n v="0"/>
    <n v="0"/>
    <n v="0"/>
    <n v="26776.73"/>
    <n v="25325.57"/>
    <n v="26776.73"/>
    <n v="25325.57"/>
    <s v="30/09/2023 00:00:00"/>
    <s v="MEDIOLANUM PENSIONES II, FONDO DE PENSIONES"/>
    <s v="03/10/2023 00:00:00"/>
    <x v="228"/>
    <n v="5"/>
    <s v="USD"/>
    <s v="U"/>
    <n v="100.656179771756"/>
    <n v="100.68561643835601"/>
    <n v="906170.55"/>
    <n v="864336.66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5254502000000003"/>
    <s v="ok"/>
    <s v="ok"/>
    <n v="26356083.120000001"/>
    <n v="0"/>
    <n v="7526.28"/>
    <n v="0.03"/>
    <s v="PA"/>
    <n v="-78038.69"/>
    <s v="RF"/>
    <s v="RFE"/>
    <n v="-298.83999999999997"/>
    <n v="17921.13"/>
    <n v="905905.62"/>
    <n v="856810.3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9919408000000005"/>
    <m/>
    <n v="0"/>
    <n v="-219173.26"/>
    <m/>
    <m/>
    <m/>
    <n v="1355558.46"/>
    <n v="0"/>
    <n v="2520.3126550000002"/>
    <n v="52555.483399999997"/>
    <n v="-296353.43"/>
    <n v="92570020.519999996"/>
    <n v="264.93"/>
    <n v="394770.09"/>
    <n v="0.29803809999999997"/>
    <m/>
    <n v="0"/>
    <n v="0"/>
    <n v="-296353.43"/>
    <n v="0"/>
    <n v="0"/>
    <n v="16777215"/>
    <n v="0"/>
    <n v="0"/>
    <n v="0"/>
    <n v="0"/>
    <n v="0"/>
    <n v="906170.55"/>
    <n v="864336.66"/>
    <n v="31345322.399999999"/>
    <n v="-1110160.2399999984"/>
    <n v="92570020.519999966"/>
    <n v="0"/>
    <n v="0"/>
    <s v="S"/>
    <m/>
    <n v="0"/>
    <n v="3"/>
    <n v="0"/>
    <n v="0.93371121000000001"/>
    <n v="0"/>
    <m/>
    <m/>
    <n v="0"/>
    <n v="0"/>
    <n v="1633661.45"/>
    <n v="1.2333592799999999"/>
    <m/>
    <m/>
    <n v="100.68561643835601"/>
    <n v="1.0572999999999999"/>
    <n v="0"/>
    <n v="0"/>
    <n v="0"/>
    <n v="-5.4794520000000001E-3"/>
    <n v="0"/>
    <n v="0"/>
    <n v="-2"/>
    <n v="0"/>
    <n v="0"/>
    <n v="0"/>
    <n v="0"/>
    <n v="0"/>
  </r>
  <r>
    <n v="16975424"/>
    <n v="128"/>
    <n v="3626"/>
    <n v="0"/>
    <n v="0"/>
    <n v="0"/>
    <n v="0"/>
    <n v="0"/>
    <n v="20000"/>
    <n v="20000"/>
    <n v="2000000"/>
    <n v="2000000"/>
    <n v="2000000"/>
    <n v="1781261.13"/>
    <n v="1983476.56"/>
    <n v="1766544.85"/>
    <n v="1983476.56"/>
    <n v="1766544.85"/>
    <n v="2000000"/>
    <n v="1781261.13"/>
    <n v="2000000"/>
    <n v="1781261.13"/>
    <n v="9415.76"/>
    <n v="8905.48"/>
    <n v="9415.76"/>
    <n v="8905.48"/>
    <n v="21380.78"/>
    <n v="20222.060000000001"/>
    <n v="21380.78"/>
    <n v="20222.060000000001"/>
    <s v="15/11/2023 00:00:00"/>
    <s v="MEDIOLANUM PENSIONES II, FONDO DE PENSIONES"/>
    <s v="03/10/2023 00:00:00"/>
    <x v="229"/>
    <n v="5"/>
    <s v="USD"/>
    <s v="U"/>
    <n v="100.718749978265"/>
    <n v="100.739215478261"/>
    <n v="2014784.31"/>
    <n v="1921770.61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4508719800000001"/>
    <s v="ok"/>
    <s v="ok"/>
    <n v="26356083.120000001"/>
    <n v="0"/>
    <n v="16563.95"/>
    <n v="0.02"/>
    <s v="PA"/>
    <n v="-78038.69"/>
    <s v="RF"/>
    <s v="RFE"/>
    <n v="101.9"/>
    <n v="109534.27"/>
    <n v="2014375"/>
    <n v="1905206.6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5545917499999999"/>
    <m/>
    <n v="0"/>
    <n v="-219173.26"/>
    <m/>
    <m/>
    <m/>
    <n v="1355558.46"/>
    <n v="0"/>
    <n v="2520.3126550000002"/>
    <n v="52555.483399999997"/>
    <n v="-296353.43"/>
    <n v="92570020.519999996"/>
    <n v="409.31"/>
    <n v="394770.09"/>
    <n v="0.29803809999999997"/>
    <m/>
    <n v="0"/>
    <n v="0"/>
    <n v="-296353.43"/>
    <n v="0"/>
    <n v="0"/>
    <n v="16777215"/>
    <n v="0"/>
    <n v="0"/>
    <n v="0"/>
    <n v="0"/>
    <n v="0"/>
    <n v="2014784.31"/>
    <n v="1921770.61"/>
    <n v="31345322.399999999"/>
    <n v="-1110160.2399999984"/>
    <n v="92570020.519999966"/>
    <n v="0"/>
    <n v="0"/>
    <s v="S"/>
    <m/>
    <n v="0"/>
    <n v="3"/>
    <n v="0"/>
    <n v="2.07601835"/>
    <n v="0"/>
    <m/>
    <m/>
    <n v="0"/>
    <n v="0"/>
    <n v="1633661.45"/>
    <n v="1.2333592799999999"/>
    <m/>
    <m/>
    <n v="100.70049265217401"/>
    <n v="1.0572999999999999"/>
    <n v="5.694109579"/>
    <n v="0.120547945"/>
    <n v="0.11803194065100001"/>
    <n v="0.120547945"/>
    <n v="1.277046E-3"/>
    <n v="1"/>
    <n v="44"/>
    <n v="0"/>
    <n v="0"/>
    <n v="19.973996131"/>
    <n v="0"/>
    <n v="0"/>
  </r>
  <r>
    <n v="16975570"/>
    <n v="128"/>
    <n v="8076"/>
    <n v="0"/>
    <n v="0"/>
    <n v="0"/>
    <n v="0"/>
    <n v="0"/>
    <n v="2000"/>
    <n v="2000"/>
    <n v="200000"/>
    <n v="200000"/>
    <n v="200000"/>
    <n v="180554.3"/>
    <n v="199671.87"/>
    <n v="180258.08"/>
    <n v="199671.87"/>
    <n v="180258.08"/>
    <n v="200000"/>
    <n v="180554.3"/>
    <n v="200000"/>
    <n v="180554.3"/>
    <n v="0"/>
    <n v="0"/>
    <n v="0"/>
    <n v="0"/>
    <n v="574.97"/>
    <n v="543.80999999999995"/>
    <n v="574.97"/>
    <n v="543.80999999999995"/>
    <s v="30/04/2027 00:00:00"/>
    <s v="MEDIOLANUM PENSIONES II, FONDO DE PENSIONES"/>
    <s v="03/10/2023 00:00:00"/>
    <x v="230"/>
    <n v="5"/>
    <s v="USD"/>
    <s v="U"/>
    <n v="86.447871257911999"/>
    <n v="86.185771254098"/>
    <n v="172371.54"/>
    <n v="164413.91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2412695999999999"/>
    <s v="ok"/>
    <s v="ok"/>
    <n v="26356083.120000001"/>
    <n v="0"/>
    <n v="888.19"/>
    <n v="-0.3"/>
    <s v="PA"/>
    <n v="-78038.69"/>
    <s v="RF"/>
    <s v="RFE"/>
    <n v="-27351.1"/>
    <n v="-17276.169999999998"/>
    <n v="172895.74"/>
    <n v="163525.7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3300053000000001"/>
    <m/>
    <n v="0"/>
    <n v="-219173.26"/>
    <m/>
    <m/>
    <m/>
    <n v="1355558.46"/>
    <n v="0"/>
    <n v="2520.3126550000002"/>
    <n v="52555.483399999997"/>
    <n v="-296353.43"/>
    <n v="92570020.519999996"/>
    <n v="-524.20000000000005"/>
    <n v="394770.09"/>
    <n v="0.29803809999999997"/>
    <m/>
    <n v="0"/>
    <n v="0"/>
    <n v="-296353.43"/>
    <n v="0"/>
    <n v="0"/>
    <n v="16777215"/>
    <n v="0"/>
    <n v="0"/>
    <n v="0"/>
    <n v="0"/>
    <n v="0"/>
    <n v="172371.54"/>
    <n v="164413.91"/>
    <n v="31345322.399999999"/>
    <n v="-1110160.2399999984"/>
    <n v="92570020.519999966"/>
    <n v="0"/>
    <n v="0"/>
    <s v="S"/>
    <m/>
    <n v="0"/>
    <n v="3"/>
    <n v="0"/>
    <n v="0.17761031999999999"/>
    <n v="0"/>
    <m/>
    <m/>
    <n v="0"/>
    <n v="0"/>
    <n v="1633661.45"/>
    <n v="1.2333592799999999"/>
    <m/>
    <m/>
    <n v="86.450030133880006"/>
    <n v="1.0572999999999999"/>
    <n v="4.7831977600000002"/>
    <n v="3.5379740860000002"/>
    <n v="2.9871392743060001"/>
    <n v="3.5780821920000001"/>
    <n v="0.154057054"/>
    <n v="41"/>
    <n v="1306"/>
    <n v="0"/>
    <n v="0"/>
    <n v="0.60728621299999996"/>
    <n v="0"/>
    <n v="0"/>
  </r>
  <r>
    <n v="16975583"/>
    <n v="128"/>
    <n v="7720"/>
    <n v="0"/>
    <n v="0"/>
    <n v="0"/>
    <n v="0"/>
    <n v="0"/>
    <n v="2000"/>
    <n v="2000"/>
    <n v="200000"/>
    <n v="200000"/>
    <n v="200000"/>
    <n v="182149.36"/>
    <n v="198500"/>
    <n v="180783.24"/>
    <n v="198500"/>
    <n v="180783.24"/>
    <n v="200000"/>
    <n v="182149.36"/>
    <n v="200000"/>
    <n v="182149.36"/>
    <n v="0"/>
    <n v="0"/>
    <n v="0"/>
    <n v="0"/>
    <n v="963.22"/>
    <n v="911.02"/>
    <n v="963.22"/>
    <n v="911.02"/>
    <s v="15/05/2030 00:00:00"/>
    <s v="MEDIOLANUM PENSIONES II, FONDO DE PENSIONES"/>
    <s v="03/10/2023 00:00:00"/>
    <x v="231"/>
    <n v="5"/>
    <s v="USD"/>
    <s v="U"/>
    <n v="77.648440109448998"/>
    <n v="77.114470108695997"/>
    <n v="154228.94"/>
    <n v="147108.87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1106223"/>
    <s v="ok"/>
    <s v="ok"/>
    <n v="26356083.120000001"/>
    <n v="0"/>
    <n v="228.25"/>
    <n v="-0.68"/>
    <s v="PA"/>
    <n v="-78038.69"/>
    <s v="RF"/>
    <s v="RFE"/>
    <n v="-44166.34"/>
    <n v="-34813.64"/>
    <n v="155296.88"/>
    <n v="146880.6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1900184"/>
    <m/>
    <n v="0"/>
    <n v="-219173.26"/>
    <m/>
    <m/>
    <m/>
    <n v="1355558.46"/>
    <n v="0"/>
    <n v="2520.3126550000002"/>
    <n v="52555.483399999997"/>
    <n v="-296353.43"/>
    <n v="92570020.519999996"/>
    <n v="-1067.94"/>
    <n v="394770.09"/>
    <n v="0.29803809999999997"/>
    <m/>
    <n v="0"/>
    <n v="0"/>
    <n v="-296353.43"/>
    <n v="0"/>
    <n v="0"/>
    <n v="16777215"/>
    <n v="0"/>
    <n v="0"/>
    <n v="0"/>
    <n v="0"/>
    <n v="0"/>
    <n v="154228.94"/>
    <n v="147108.87"/>
    <n v="31345322.399999999"/>
    <n v="-1110160.2399999984"/>
    <n v="92570020.519999966"/>
    <n v="0"/>
    <n v="0"/>
    <s v="S"/>
    <m/>
    <n v="0"/>
    <n v="3"/>
    <n v="0"/>
    <n v="0.15891632"/>
    <n v="0"/>
    <m/>
    <m/>
    <n v="0"/>
    <n v="0"/>
    <n v="1633661.45"/>
    <n v="1.2333592799999999"/>
    <m/>
    <m/>
    <n v="77.651834239129997"/>
    <n v="1.0572999999999999"/>
    <n v="4.6797149070000001"/>
    <n v="6.4509373559999998"/>
    <n v="4.8947412156360004"/>
    <n v="6.6219178080000001"/>
    <n v="0.46599460199999998"/>
    <n v="76"/>
    <n v="2417"/>
    <n v="0"/>
    <n v="0"/>
    <n v="0.78012826099999999"/>
    <n v="0"/>
    <n v="0"/>
  </r>
  <r>
    <n v="16975582"/>
    <n v="128"/>
    <n v="8075"/>
    <n v="0"/>
    <n v="0"/>
    <n v="0"/>
    <n v="0"/>
    <n v="0"/>
    <n v="2000"/>
    <n v="2000"/>
    <n v="200000"/>
    <n v="200000"/>
    <n v="200000"/>
    <n v="176865.94"/>
    <n v="199046.88"/>
    <n v="176023.06"/>
    <n v="199046.88"/>
    <n v="176023.06"/>
    <n v="200000"/>
    <n v="176865.94"/>
    <n v="200000"/>
    <n v="176865.94"/>
    <n v="0"/>
    <n v="0"/>
    <n v="0"/>
    <n v="0"/>
    <n v="796.61"/>
    <n v="753.44"/>
    <n v="796.61"/>
    <n v="753.44"/>
    <s v="31/05/2025 00:00:00"/>
    <s v="MEDIOLANUM PENSIONES II, FONDO DE PENSIONES"/>
    <s v="03/10/2023 00:00:00"/>
    <x v="232"/>
    <n v="5"/>
    <s v="USD"/>
    <s v="U"/>
    <n v="92.305989012846993"/>
    <n v="92.229914013661002"/>
    <n v="184459.83"/>
    <n v="175944.13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3283188000000001"/>
    <s v="ok"/>
    <s v="ok"/>
    <n v="26356083.120000001"/>
    <n v="0"/>
    <n v="1337.13"/>
    <n v="-0.09"/>
    <s v="PA"/>
    <n v="-78038.69"/>
    <s v="RF"/>
    <s v="RFE"/>
    <n v="-15231.51"/>
    <n v="-2169.5"/>
    <n v="184611.98"/>
    <n v="17460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4232775"/>
    <m/>
    <n v="0"/>
    <n v="-219173.26"/>
    <m/>
    <m/>
    <m/>
    <n v="1355558.46"/>
    <n v="0"/>
    <n v="2520.3126550000002"/>
    <n v="52555.483399999997"/>
    <n v="-296353.43"/>
    <n v="92570020.519999996"/>
    <n v="-152.15"/>
    <n v="394770.09"/>
    <n v="0.29803809999999997"/>
    <m/>
    <n v="0"/>
    <n v="0"/>
    <n v="-296353.43"/>
    <n v="0"/>
    <n v="0"/>
    <n v="16777215"/>
    <n v="0"/>
    <n v="0"/>
    <n v="0"/>
    <n v="0"/>
    <n v="0"/>
    <n v="184459.83"/>
    <n v="175944.13"/>
    <n v="31345322.399999999"/>
    <n v="-1110160.2399999984"/>
    <n v="92570020.519999966"/>
    <n v="0"/>
    <n v="0"/>
    <s v="S"/>
    <m/>
    <n v="0"/>
    <n v="3"/>
    <n v="0"/>
    <n v="0.19006598999999999"/>
    <n v="0"/>
    <m/>
    <m/>
    <n v="0"/>
    <n v="0"/>
    <n v="1633661.45"/>
    <n v="1.2333592799999999"/>
    <m/>
    <m/>
    <n v="92.303449953552004"/>
    <n v="1.0572999999999999"/>
    <n v="5.2672767230000002"/>
    <n v="1.65724183"/>
    <n v="1.490438620181"/>
    <n v="1.663013699"/>
    <n v="4.1849865999999999E-2"/>
    <n v="19"/>
    <n v="607"/>
    <n v="0"/>
    <n v="0"/>
    <n v="0.59086539699999996"/>
    <n v="0"/>
    <n v="0"/>
  </r>
  <r>
    <n v="16975344"/>
    <n v="128"/>
    <n v="9771"/>
    <n v="0"/>
    <n v="0"/>
    <n v="0"/>
    <n v="0"/>
    <n v="0"/>
    <n v="4000"/>
    <n v="4000"/>
    <n v="400000"/>
    <n v="400000"/>
    <n v="400000"/>
    <n v="355534.45"/>
    <n v="380671.87"/>
    <n v="338315.13"/>
    <n v="380671.87"/>
    <n v="338315.13"/>
    <n v="400000"/>
    <n v="355534.45"/>
    <n v="400000"/>
    <n v="355534.45"/>
    <n v="0"/>
    <n v="0"/>
    <n v="0"/>
    <n v="0"/>
    <n v="5810.96"/>
    <n v="5496.04"/>
    <n v="5810.96"/>
    <n v="5496.04"/>
    <s v="30/06/2028 00:00:00"/>
    <s v="MEDIOLANUM PENSIONES II, FONDO DE PENSIONES"/>
    <s v="03/10/2023 00:00:00"/>
    <x v="233"/>
    <n v="5"/>
    <s v="USD"/>
    <s v="U"/>
    <n v="85.963506713924005"/>
    <n v="85.584409217390998"/>
    <n v="342337.64"/>
    <n v="326533.42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4652172"/>
    <s v="ok"/>
    <s v="ok"/>
    <n v="26356083.120000001"/>
    <n v="0"/>
    <n v="1314.44"/>
    <n v="-0.44"/>
    <s v="PA"/>
    <n v="-78038.69"/>
    <s v="RF"/>
    <s v="RFE"/>
    <n v="-42628.800000000003"/>
    <n v="-18592.189999999999"/>
    <n v="343854.03"/>
    <n v="325218.9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6414503"/>
    <m/>
    <n v="0"/>
    <n v="-219173.26"/>
    <m/>
    <m/>
    <m/>
    <n v="1355558.46"/>
    <n v="0"/>
    <n v="2520.3126550000002"/>
    <n v="52555.483399999997"/>
    <n v="-296353.43"/>
    <n v="92570020.519999996"/>
    <n v="-1516.39"/>
    <n v="394770.09"/>
    <n v="0.29803809999999997"/>
    <m/>
    <n v="0"/>
    <n v="0"/>
    <n v="-296353.43"/>
    <n v="0"/>
    <n v="0"/>
    <n v="16777215"/>
    <n v="0"/>
    <n v="0"/>
    <n v="0"/>
    <n v="0"/>
    <n v="0"/>
    <n v="342337.64"/>
    <n v="326533.42"/>
    <n v="31345322.399999999"/>
    <n v="-1110160.2399999984"/>
    <n v="92570020.519999966"/>
    <n v="0"/>
    <n v="0"/>
    <s v="S"/>
    <m/>
    <n v="0"/>
    <n v="3"/>
    <n v="0"/>
    <n v="0.35274208000000001"/>
    <n v="0"/>
    <m/>
    <m/>
    <n v="0"/>
    <n v="0"/>
    <n v="1633661.45"/>
    <n v="1.2333592799999999"/>
    <m/>
    <m/>
    <n v="85.971637478261002"/>
    <n v="1.0572999999999999"/>
    <n v="4.70949361"/>
    <n v="4.5909750239999996"/>
    <n v="3.8561342071209999"/>
    <n v="4.7479452049999997"/>
    <n v="0.249463459"/>
    <n v="54"/>
    <n v="1733"/>
    <n v="0"/>
    <n v="0"/>
    <n v="2.4195927990000001"/>
    <n v="0"/>
    <n v="0"/>
  </r>
  <r>
    <n v="16975339"/>
    <n v="128"/>
    <n v="9730"/>
    <n v="0"/>
    <n v="0"/>
    <n v="0"/>
    <n v="0"/>
    <n v="0"/>
    <n v="3000"/>
    <n v="3000"/>
    <n v="300000"/>
    <n v="300000"/>
    <n v="300000"/>
    <n v="266849.98"/>
    <n v="291671.88"/>
    <n v="259453.16"/>
    <n v="291671.88"/>
    <n v="259453.16"/>
    <n v="300000"/>
    <n v="266849.98"/>
    <n v="300000"/>
    <n v="266849.98"/>
    <n v="0"/>
    <n v="0"/>
    <n v="0"/>
    <n v="0"/>
    <n v="3668.08"/>
    <n v="3469.29"/>
    <n v="3668.08"/>
    <n v="3469.29"/>
    <s v="31/10/2028 00:00:00"/>
    <s v="MEDIOLANUM PENSIONES II, FONDO DE PENSIONES"/>
    <s v="03/10/2023 00:00:00"/>
    <x v="234"/>
    <n v="5"/>
    <s v="USD"/>
    <s v="U"/>
    <n v="85.907608762311995"/>
    <n v="85.504755434782993"/>
    <n v="256514.27"/>
    <n v="244672.14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8471920999999999"/>
    <s v="ok"/>
    <s v="ok"/>
    <n v="26356083.120000001"/>
    <n v="0"/>
    <n v="916.51"/>
    <n v="-0.47"/>
    <s v="PA"/>
    <n v="-78038.69"/>
    <s v="RF"/>
    <s v="RFE"/>
    <n v="-37617.129999999997"/>
    <n v="-19166.82"/>
    <n v="257722.83"/>
    <n v="243755.6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979244"/>
    <m/>
    <n v="0"/>
    <n v="-219173.26"/>
    <m/>
    <m/>
    <m/>
    <n v="1355558.46"/>
    <n v="0"/>
    <n v="2520.3126550000002"/>
    <n v="52555.483399999997"/>
    <n v="-296353.43"/>
    <n v="92570020.519999996"/>
    <n v="-1208.56"/>
    <n v="394770.09"/>
    <n v="0.29803809999999997"/>
    <m/>
    <n v="0"/>
    <n v="0"/>
    <n v="-296353.43"/>
    <n v="0"/>
    <n v="0"/>
    <n v="16777215"/>
    <n v="0"/>
    <n v="0"/>
    <n v="0"/>
    <n v="0"/>
    <n v="0"/>
    <n v="256514.27"/>
    <n v="244672.14"/>
    <n v="31345322.399999999"/>
    <n v="-1110160.2399999984"/>
    <n v="92570020.519999966"/>
    <n v="0"/>
    <n v="0"/>
    <s v="S"/>
    <m/>
    <n v="0"/>
    <n v="3"/>
    <n v="0"/>
    <n v="0.26431033999999998"/>
    <n v="0"/>
    <m/>
    <m/>
    <n v="0"/>
    <n v="0"/>
    <n v="1633661.45"/>
    <n v="1.2333592799999999"/>
    <m/>
    <m/>
    <n v="85.911175521738997"/>
    <n v="1.0572999999999999"/>
    <n v="4.7041619370000003"/>
    <n v="4.8743578210000003"/>
    <n v="4.0913854060860002"/>
    <n v="5.0849315070000003"/>
    <n v="0.27991322800000001"/>
    <n v="57"/>
    <n v="1856"/>
    <n v="0"/>
    <n v="0"/>
    <n v="2.084874466"/>
    <n v="0"/>
    <n v="0"/>
  </r>
  <r>
    <n v="16975366"/>
    <n v="128"/>
    <n v="9924"/>
    <n v="0"/>
    <n v="0"/>
    <n v="0"/>
    <n v="0"/>
    <n v="0"/>
    <n v="5000"/>
    <n v="5000"/>
    <n v="500000"/>
    <n v="500000"/>
    <n v="500000"/>
    <n v="460702.11"/>
    <n v="462851.55"/>
    <n v="426473.37"/>
    <n v="462851.55"/>
    <n v="426473.37"/>
    <n v="500000"/>
    <n v="460702.11"/>
    <n v="500000"/>
    <n v="460702.11"/>
    <n v="0"/>
    <n v="0"/>
    <n v="0"/>
    <n v="0"/>
    <n v="13660.04"/>
    <n v="12919.73"/>
    <n v="13660.04"/>
    <n v="12919.73"/>
    <s v="31/10/2026 00:00:00"/>
    <s v="MEDIOLANUM PENSIONES II, FONDO DE PENSIONES"/>
    <s v="03/10/2023 00:00:00"/>
    <x v="235"/>
    <n v="5"/>
    <s v="USD"/>
    <s v="U"/>
    <n v="0"/>
    <n v="0"/>
    <n v="450405.06"/>
    <n v="429611.85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2434245"/>
    <s v="ok"/>
    <s v="ok"/>
    <n v="26356083.120000001"/>
    <n v="0"/>
    <n v="3616.33"/>
    <n v="0"/>
    <s v="PA"/>
    <n v="-78038.69"/>
    <s v="RF"/>
    <s v="RFE"/>
    <n v="-26106.53"/>
    <n v="-13397.58"/>
    <n v="450405.06"/>
    <n v="425995.520000000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4752901000000003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450405.06"/>
    <n v="429611.85"/>
    <n v="31345322.399999999"/>
    <n v="-1110160.2399999984"/>
    <n v="92570020.519999966"/>
    <n v="0"/>
    <n v="0"/>
    <s v="S"/>
    <m/>
    <n v="0"/>
    <n v="3"/>
    <n v="0"/>
    <n v="0.46409392999999999"/>
    <n v="0"/>
    <m/>
    <m/>
    <n v="0"/>
    <n v="0"/>
    <n v="1633661.45"/>
    <n v="1.2333592799999999"/>
    <m/>
    <m/>
    <n v="0"/>
    <n v="1.0572999999999999"/>
    <n v="4.8523970460000001"/>
    <n v="3.0165674739999999"/>
    <n v="0"/>
    <n v="3.0821917810000001"/>
    <n v="0.116767487"/>
    <n v="35"/>
    <n v="1125"/>
    <n v="0"/>
    <n v="0"/>
    <n v="3.9093586290000002"/>
    <n v="0"/>
    <n v="0"/>
  </r>
  <r>
    <n v="16975385"/>
    <n v="128"/>
    <n v="9653"/>
    <n v="0"/>
    <n v="0"/>
    <n v="0"/>
    <n v="0"/>
    <n v="0"/>
    <n v="7000"/>
    <n v="7000"/>
    <n v="700000"/>
    <n v="700000"/>
    <n v="700000"/>
    <n v="618664.11"/>
    <n v="693015.64"/>
    <n v="612498.05000000005"/>
    <n v="693015.64"/>
    <n v="612498.05000000005"/>
    <n v="700000"/>
    <n v="618664.11"/>
    <n v="700000"/>
    <n v="618664.11"/>
    <n v="0"/>
    <n v="0"/>
    <n v="0"/>
    <n v="0"/>
    <n v="5283.46"/>
    <n v="4997.13"/>
    <n v="5283.46"/>
    <n v="4997.13"/>
    <s v="30/11/2026 00:00:00"/>
    <s v="MEDIOLANUM PENSIONES II, FONDO DE PENSIONES"/>
    <s v="03/10/2023 00:00:00"/>
    <x v="236"/>
    <n v="5"/>
    <s v="USD"/>
    <s v="U"/>
    <n v="90.162759987548995"/>
    <n v="89.951427130434993"/>
    <n v="629659.99"/>
    <n v="600591.37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5342621999999999"/>
    <s v="ok"/>
    <s v="ok"/>
    <n v="26356083.120000001"/>
    <n v="0"/>
    <n v="3656.42"/>
    <n v="-0.23"/>
    <s v="PA"/>
    <n v="-78038.69"/>
    <s v="RF"/>
    <s v="RFE"/>
    <n v="-67159.78"/>
    <n v="-20560.23"/>
    <n v="631139.31999999995"/>
    <n v="596934.9499999999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8584070000000001"/>
    <m/>
    <n v="0"/>
    <n v="-219173.26"/>
    <m/>
    <m/>
    <m/>
    <n v="1355558.46"/>
    <n v="0"/>
    <n v="2520.3126550000002"/>
    <n v="52555.483399999997"/>
    <n v="-296353.43"/>
    <n v="92570020.519999996"/>
    <n v="-1479.33"/>
    <n v="394770.09"/>
    <n v="0.29803809999999997"/>
    <m/>
    <n v="0"/>
    <n v="0"/>
    <n v="-296353.43"/>
    <n v="0"/>
    <n v="0"/>
    <n v="16777215"/>
    <n v="0"/>
    <n v="0"/>
    <n v="0"/>
    <n v="0"/>
    <n v="0"/>
    <n v="629659.99"/>
    <n v="600591.37"/>
    <n v="31345322.399999999"/>
    <n v="-1110160.2399999984"/>
    <n v="92570020.519999966"/>
    <n v="0"/>
    <n v="0"/>
    <s v="S"/>
    <m/>
    <n v="0"/>
    <n v="3"/>
    <n v="0"/>
    <n v="0.64879684000000004"/>
    <n v="0"/>
    <m/>
    <m/>
    <n v="0"/>
    <n v="0"/>
    <n v="1633661.45"/>
    <n v="1.2333592799999999"/>
    <m/>
    <m/>
    <n v="90.166780391304002"/>
    <n v="1.0572999999999999"/>
    <n v="4.8407232389999999"/>
    <n v="3.0920977409999999"/>
    <n v="2.7221588905180001"/>
    <n v="3.1643835619999998"/>
    <n v="0.122030099"/>
    <n v="36"/>
    <n v="1155"/>
    <n v="0"/>
    <n v="0"/>
    <n v="1.7207422590000001"/>
    <n v="0"/>
    <n v="0"/>
  </r>
  <r>
    <n v="16975365"/>
    <n v="128"/>
    <n v="9880"/>
    <n v="0"/>
    <n v="0"/>
    <n v="0"/>
    <n v="0"/>
    <n v="0"/>
    <n v="5000"/>
    <n v="5000"/>
    <n v="500000"/>
    <n v="500000"/>
    <n v="500000"/>
    <n v="499670.45"/>
    <n v="476648.43"/>
    <n v="476332.72"/>
    <n v="476648.43"/>
    <n v="476332.72"/>
    <n v="500000"/>
    <n v="499670.45"/>
    <n v="500000"/>
    <n v="499670.45"/>
    <n v="0"/>
    <n v="0"/>
    <n v="0"/>
    <n v="0"/>
    <n v="9898.49"/>
    <n v="9362.0400000000009"/>
    <n v="9898.49"/>
    <n v="9362.0400000000009"/>
    <s v="15/03/2025 00:00:00"/>
    <s v="MEDIOLANUM PENSIONES II, FONDO DE PENSIONES"/>
    <s v="03/10/2023 00:00:00"/>
    <x v="237"/>
    <n v="5"/>
    <s v="USD"/>
    <s v="U"/>
    <n v="95.175631961522996"/>
    <n v="95.137319961537997"/>
    <n v="475686.6"/>
    <n v="453726.25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4254801000000001"/>
    <s v="ok"/>
    <s v="ok"/>
    <n v="26356083.120000001"/>
    <n v="0"/>
    <n v="3638.14"/>
    <n v="-0.04"/>
    <s v="PA"/>
    <n v="-78038.69"/>
    <s v="RF"/>
    <s v="RFE"/>
    <n v="-10668.76"/>
    <n v="-35606.65"/>
    <n v="475878.16"/>
    <n v="450088.1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6703605"/>
    <m/>
    <n v="0"/>
    <n v="-219173.26"/>
    <m/>
    <m/>
    <m/>
    <n v="1355558.46"/>
    <n v="0"/>
    <n v="2520.3126550000002"/>
    <n v="52555.483399999997"/>
    <n v="-296353.43"/>
    <n v="92570020.519999996"/>
    <n v="-191.56"/>
    <n v="394770.09"/>
    <n v="0.29803809999999997"/>
    <m/>
    <n v="0"/>
    <n v="0"/>
    <n v="-296353.43"/>
    <n v="0"/>
    <n v="0"/>
    <n v="16777215"/>
    <n v="0"/>
    <n v="0"/>
    <n v="0"/>
    <n v="0"/>
    <n v="0"/>
    <n v="475686.6"/>
    <n v="453726.25"/>
    <n v="31345322.399999999"/>
    <n v="-1110160.2399999984"/>
    <n v="92570020.519999966"/>
    <n v="0"/>
    <n v="0"/>
    <s v="S"/>
    <m/>
    <n v="0"/>
    <n v="3"/>
    <n v="0"/>
    <n v="0.49014384"/>
    <n v="0"/>
    <m/>
    <m/>
    <n v="0"/>
    <n v="0"/>
    <n v="1633661.45"/>
    <n v="1.2333592799999999"/>
    <m/>
    <m/>
    <n v="95.181340269231001"/>
    <n v="1.0572999999999999"/>
    <n v="5.3766563459999999"/>
    <n v="1.437492505"/>
    <n v="1.332405208168"/>
    <n v="1.452054795"/>
    <n v="3.333216E-2"/>
    <n v="17"/>
    <n v="530"/>
    <n v="0"/>
    <n v="0"/>
    <n v="5.2625558300000002"/>
    <n v="0"/>
    <n v="0"/>
  </r>
  <r>
    <n v="16975392"/>
    <n v="128"/>
    <n v="10724"/>
    <n v="0"/>
    <n v="0"/>
    <n v="0"/>
    <n v="0"/>
    <n v="0"/>
    <n v="10000"/>
    <n v="10000"/>
    <n v="1000000"/>
    <n v="1000000"/>
    <n v="1000000"/>
    <n v="934579.44"/>
    <n v="984062.5"/>
    <n v="919684.58"/>
    <n v="984062.5"/>
    <n v="919684.58"/>
    <n v="1000000"/>
    <n v="934579.44"/>
    <n v="1000000"/>
    <n v="934579.44"/>
    <n v="9178.08"/>
    <n v="8680.68"/>
    <n v="9178.08"/>
    <n v="8680.68"/>
    <n v="2591.64"/>
    <n v="2451.19"/>
    <n v="2591.64"/>
    <n v="2451.19"/>
    <s v="30/04/2024 00:00:00"/>
    <s v="MEDIOLANUM PENSIONES II, FONDO DE PENSIONES"/>
    <s v="03/10/2023 00:00:00"/>
    <x v="238"/>
    <n v="5"/>
    <s v="USD"/>
    <s v="U"/>
    <n v="99.356539270843001"/>
    <n v="99.227683270491994"/>
    <n v="992276.83"/>
    <n v="946467.79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1455124999999997"/>
    <s v="ok"/>
    <s v="ok"/>
    <n v="26356083.120000001"/>
    <n v="0"/>
    <n v="6748.33"/>
    <n v="-0.13"/>
    <s v="PA"/>
    <n v="-78038.69"/>
    <s v="RF"/>
    <s v="RFE"/>
    <n v="-2266.83"/>
    <n v="8903.01"/>
    <n v="993565.39"/>
    <n v="939719.4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6563300999999995"/>
    <m/>
    <n v="0"/>
    <n v="-219173.26"/>
    <m/>
    <m/>
    <m/>
    <n v="1355558.46"/>
    <n v="0"/>
    <n v="2520.3126550000002"/>
    <n v="52555.483399999997"/>
    <n v="-296353.43"/>
    <n v="92570020.519999996"/>
    <n v="-1288.56"/>
    <n v="394770.09"/>
    <n v="0.29803809999999997"/>
    <m/>
    <n v="0"/>
    <n v="0"/>
    <n v="-296353.43"/>
    <n v="0"/>
    <n v="0"/>
    <n v="16777215"/>
    <n v="0"/>
    <n v="0"/>
    <n v="0"/>
    <n v="0"/>
    <n v="0"/>
    <n v="992276.83"/>
    <n v="946467.79"/>
    <n v="31345322.399999999"/>
    <n v="-1110160.2399999984"/>
    <n v="92570020.519999966"/>
    <n v="0"/>
    <n v="0"/>
    <s v="S"/>
    <m/>
    <n v="0"/>
    <n v="3"/>
    <n v="0"/>
    <n v="1.0224344599999999"/>
    <n v="0"/>
    <m/>
    <m/>
    <n v="0"/>
    <n v="0"/>
    <n v="1633661.45"/>
    <n v="1.2333592799999999"/>
    <m/>
    <m/>
    <n v="99.220852669398994"/>
    <n v="1.0572999999999999"/>
    <n v="5.8667484439999997"/>
    <n v="0.57023377099999994"/>
    <n v="0.54966701839999998"/>
    <n v="0.57808219199999999"/>
    <n v="8.4801370000000004E-3"/>
    <n v="7"/>
    <n v="211"/>
    <n v="0"/>
    <n v="0"/>
    <n v="7.4084449210000001"/>
    <n v="0"/>
    <n v="0"/>
  </r>
  <r>
    <n v="16975458"/>
    <n v="128"/>
    <n v="10477"/>
    <n v="0"/>
    <n v="0"/>
    <n v="0"/>
    <n v="0"/>
    <n v="0"/>
    <n v="20000"/>
    <n v="20000"/>
    <n v="2000000"/>
    <n v="2000000"/>
    <n v="2000000"/>
    <n v="1844167.82"/>
    <n v="1988125"/>
    <n v="1833218.07"/>
    <n v="1988125"/>
    <n v="1833218.07"/>
    <n v="2000000"/>
    <n v="1844167.82"/>
    <n v="2000000"/>
    <n v="1844167.82"/>
    <n v="0"/>
    <n v="0"/>
    <n v="0"/>
    <n v="0"/>
    <n v="9074.2000000000007"/>
    <n v="8582.42"/>
    <n v="9074.2000000000007"/>
    <n v="8582.42"/>
    <s v="15/02/2033 00:00:00"/>
    <s v="MEDIOLANUM PENSIONES II, FONDO DE PENSIONES"/>
    <s v="03/10/2023 00:00:00"/>
    <x v="239"/>
    <n v="5"/>
    <s v="USD"/>
    <s v="U"/>
    <n v="0"/>
    <n v="0"/>
    <n v="1844687.5"/>
    <n v="1759526.42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1.32838309"/>
    <s v="ok"/>
    <s v="ok"/>
    <n v="26356083.120000001"/>
    <n v="0"/>
    <n v="14811.11"/>
    <n v="0"/>
    <s v="PA"/>
    <n v="-78038.69"/>
    <s v="RF"/>
    <s v="RFE"/>
    <n v="-152511.70000000001"/>
    <n v="-97085.18"/>
    <n v="1844687.5"/>
    <n v="1744715.3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4233463900000001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1844687.5"/>
    <n v="1759526.42"/>
    <n v="31345322.399999999"/>
    <n v="-1110160.2399999984"/>
    <n v="92570020.519999966"/>
    <n v="0"/>
    <n v="0"/>
    <s v="S"/>
    <m/>
    <n v="0"/>
    <n v="3"/>
    <n v="0"/>
    <n v="1.9007518999999999"/>
    <n v="0"/>
    <m/>
    <m/>
    <n v="0"/>
    <n v="0"/>
    <n v="1633661.45"/>
    <n v="1.2333592799999999"/>
    <m/>
    <m/>
    <n v="0"/>
    <n v="1.0572999999999999"/>
    <n v="4.6401924890000004"/>
    <n v="7.9625920700000004"/>
    <n v="0"/>
    <n v="9.3808219180000005"/>
    <n v="0.74853692699999996"/>
    <n v="93"/>
    <n v="3424"/>
    <n v="0"/>
    <n v="0"/>
    <n v="3.6646871490000001"/>
    <n v="0"/>
    <n v="0"/>
  </r>
  <r>
    <n v="16975418"/>
    <n v="128"/>
    <n v="10735"/>
    <n v="0"/>
    <n v="0"/>
    <n v="0"/>
    <n v="0"/>
    <n v="0"/>
    <n v="14000"/>
    <n v="14000"/>
    <n v="1400000"/>
    <n v="1400000"/>
    <n v="1400000"/>
    <n v="1287593.1200000001"/>
    <n v="1371125"/>
    <n v="1261036.51"/>
    <n v="1371125"/>
    <n v="1261036.51"/>
    <n v="1400000"/>
    <n v="1287593.1200000001"/>
    <n v="1400000"/>
    <n v="1287593.1200000001"/>
    <n v="3195.65"/>
    <n v="3022.46"/>
    <n v="3195.65"/>
    <n v="3022.46"/>
    <n v="6486.82"/>
    <n v="6135.27"/>
    <n v="6486.82"/>
    <n v="6135.27"/>
    <s v="31/07/2030 00:00:00"/>
    <s v="MEDIOLANUM PENSIONES II, FONDO DE PENSIONES"/>
    <s v="03/10/2023 00:00:00"/>
    <x v="240"/>
    <n v="5"/>
    <s v="USD"/>
    <s v="U"/>
    <n v="97.022418243312003"/>
    <n v="96.422214673913004"/>
    <n v="1349911.01"/>
    <n v="1287591.58"/>
    <s v="N"/>
    <n v="4"/>
    <s v="EUR"/>
    <n v="132534288.59999999"/>
    <s v="S"/>
    <n v="1"/>
    <n v="1"/>
    <s v="Gobierno"/>
    <s v="Deuda del Estado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97208819999999996"/>
    <s v="ok"/>
    <s v="ok"/>
    <n v="26356083.120000001"/>
    <n v="0"/>
    <n v="2891.06"/>
    <n v="-0.62"/>
    <s v="PA"/>
    <n v="-78038.69"/>
    <s v="RF"/>
    <s v="RFE"/>
    <n v="-22493.61"/>
    <n v="14506.28"/>
    <n v="1358313.86"/>
    <n v="1284700.5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1.0415807399999999"/>
    <m/>
    <n v="0"/>
    <n v="-219173.26"/>
    <m/>
    <m/>
    <m/>
    <n v="1355558.46"/>
    <n v="0"/>
    <n v="2520.3126550000002"/>
    <n v="52555.483399999997"/>
    <n v="-296353.43"/>
    <n v="92570020.519999996"/>
    <n v="-8402.85"/>
    <n v="394770.09"/>
    <n v="0.29803809999999997"/>
    <m/>
    <n v="0"/>
    <n v="0"/>
    <n v="-296353.43"/>
    <n v="0"/>
    <n v="0"/>
    <n v="16777215"/>
    <n v="0"/>
    <n v="0"/>
    <n v="0"/>
    <n v="0"/>
    <n v="0"/>
    <n v="1349911.01"/>
    <n v="1287591.58"/>
    <n v="31345322.399999999"/>
    <n v="-1110160.2399999984"/>
    <n v="92570020.519999966"/>
    <n v="0"/>
    <n v="0"/>
    <s v="S"/>
    <m/>
    <n v="0"/>
    <n v="3"/>
    <n v="0"/>
    <n v="1.3909379900000001"/>
    <n v="0"/>
    <m/>
    <m/>
    <n v="0"/>
    <n v="0"/>
    <n v="1633661.45"/>
    <n v="1.2333592799999999"/>
    <m/>
    <m/>
    <n v="97.020720108695997"/>
    <n v="1.0572999999999999"/>
    <n v="4.6851226739999996"/>
    <n v="5.9831004830000003"/>
    <n v="5.671977619353"/>
    <n v="6.832876712"/>
    <n v="0.42927074300000001"/>
    <n v="70"/>
    <n v="2494"/>
    <n v="0"/>
    <n v="0"/>
    <n v="4.5207637629999997"/>
    <n v="0"/>
    <n v="0"/>
  </r>
  <r>
    <n v="16975405"/>
    <n v="128"/>
    <n v="7068"/>
    <n v="0"/>
    <n v="0"/>
    <n v="0"/>
    <n v="0"/>
    <n v="0"/>
    <n v="300"/>
    <n v="300"/>
    <n v="300000"/>
    <n v="300000"/>
    <n v="300000"/>
    <n v="300000"/>
    <n v="335055"/>
    <n v="335055"/>
    <n v="335055"/>
    <n v="335055"/>
    <n v="300000"/>
    <n v="300000"/>
    <n v="300000"/>
    <n v="300000"/>
    <n v="0"/>
    <n v="0"/>
    <n v="0"/>
    <n v="0"/>
    <n v="-13175.13"/>
    <n v="-13175.13"/>
    <n v="-13175.13"/>
    <n v="-13175.13"/>
    <s v="26/05/2028 00:00:00"/>
    <s v="MEDIOLANUM PENSIONES II, FONDO DE PENSIONES"/>
    <s v="03/10/2023 00:00:00"/>
    <x v="241"/>
    <n v="4"/>
    <s v="EUR"/>
    <s v="R"/>
    <n v="0"/>
    <n v="0"/>
    <n v="271738.83"/>
    <n v="271738.83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0515364999999999"/>
    <s v="ok"/>
    <s v="ok"/>
    <n v="26356083.120000001"/>
    <n v="0"/>
    <n v="0"/>
    <n v="0"/>
    <s v="PA"/>
    <n v="-78038.69"/>
    <s v="RF"/>
    <s v="RFE"/>
    <n v="-50141.04"/>
    <n v="-50141.04"/>
    <n v="271738.83"/>
    <n v="271738.8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1981965000000001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271738.83"/>
    <n v="271738.83"/>
    <n v="31345322.399999999"/>
    <n v="-1110160.2399999984"/>
    <n v="92570020.519999966"/>
    <n v="0"/>
    <n v="0"/>
    <s v="S"/>
    <m/>
    <n v="0"/>
    <n v="3"/>
    <n v="0"/>
    <n v="0.29354950000000002"/>
    <n v="0"/>
    <m/>
    <m/>
    <n v="0"/>
    <n v="0"/>
    <n v="1633661.45"/>
    <n v="1.2333592799999999"/>
    <m/>
    <m/>
    <n v="0"/>
    <n v="1"/>
    <n v="5.4738842280000002"/>
    <n v="4.356412154"/>
    <n v="0"/>
    <n v="4.6520547949999997"/>
    <n v="0.21698152500000001"/>
    <n v="50"/>
    <n v="1698"/>
    <n v="0"/>
    <n v="0"/>
    <n v="0.54308344099999994"/>
    <n v="0"/>
    <n v="0"/>
  </r>
  <r>
    <n v="16975604"/>
    <n v="128"/>
    <n v="6232"/>
    <n v="0"/>
    <n v="0"/>
    <n v="0"/>
    <n v="0"/>
    <n v="0"/>
    <n v="200"/>
    <n v="200"/>
    <n v="200000"/>
    <n v="200000"/>
    <n v="200000"/>
    <n v="200000"/>
    <n v="209252"/>
    <n v="209252"/>
    <n v="209252"/>
    <n v="209252"/>
    <n v="200000"/>
    <n v="200000"/>
    <n v="200000"/>
    <n v="200000"/>
    <n v="0"/>
    <n v="0"/>
    <n v="0"/>
    <n v="0"/>
    <n v="-1669.99"/>
    <n v="-1669.99"/>
    <n v="-1669.99"/>
    <n v="-1669.99"/>
    <s v="18/01/2025 00:00:00"/>
    <s v="MEDIOLANUM PENSIONES II, FONDO DE PENSIONES"/>
    <s v="03/10/2023 00:00:00"/>
    <x v="242"/>
    <n v="4"/>
    <s v="EUR"/>
    <s v="E"/>
    <n v="98.039235615928007"/>
    <n v="98.120335616437004"/>
    <n v="196240.67"/>
    <n v="196240.67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815508999999999"/>
    <s v="ok"/>
    <s v="ok"/>
    <n v="26356083.120000001"/>
    <n v="0"/>
    <n v="162.19999999999999"/>
    <n v="0.08"/>
    <s v="PA"/>
    <n v="-78038.69"/>
    <s v="RF"/>
    <s v="RFE"/>
    <n v="-11503.54"/>
    <n v="-11503.54"/>
    <n v="196078.47"/>
    <n v="196078.4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874637999999999"/>
    <m/>
    <n v="0"/>
    <n v="-219173.26"/>
    <m/>
    <m/>
    <m/>
    <n v="1355558.46"/>
    <n v="0"/>
    <n v="2520.3126550000002"/>
    <n v="52555.483399999997"/>
    <n v="-296353.43"/>
    <n v="92570020.519999996"/>
    <n v="162.19999999999999"/>
    <n v="394770.09"/>
    <n v="0.29803809999999997"/>
    <m/>
    <n v="0"/>
    <n v="0"/>
    <n v="-296353.43"/>
    <n v="0"/>
    <n v="0"/>
    <n v="16777215"/>
    <n v="0"/>
    <n v="0"/>
    <n v="0"/>
    <n v="0"/>
    <n v="0"/>
    <n v="196240.67"/>
    <n v="196240.67"/>
    <n v="31345322.399999999"/>
    <n v="-1110160.2399999984"/>
    <n v="92570020.519999966"/>
    <n v="0"/>
    <n v="0"/>
    <s v="S"/>
    <m/>
    <n v="0"/>
    <n v="3"/>
    <n v="0"/>
    <n v="0.2119916"/>
    <n v="0"/>
    <m/>
    <m/>
    <n v="0"/>
    <n v="0"/>
    <n v="1633661.45"/>
    <n v="1.2333592799999999"/>
    <m/>
    <m/>
    <n v="98.046801369863005"/>
    <n v="1"/>
    <n v="5.9430732270000002"/>
    <n v="1.268317632"/>
    <n v="1.173785913453"/>
    <n v="1.298630137"/>
    <n v="2.5871139000000001E-2"/>
    <n v="14"/>
    <n v="474"/>
    <n v="0"/>
    <n v="0"/>
    <n v="0.65731347399999995"/>
    <n v="0"/>
    <n v="0"/>
  </r>
  <r>
    <n v="16975404"/>
    <n v="128"/>
    <n v="7048"/>
    <n v="0"/>
    <n v="0"/>
    <n v="0"/>
    <n v="0"/>
    <n v="0"/>
    <n v="300"/>
    <n v="300"/>
    <n v="300000"/>
    <n v="300000"/>
    <n v="300000"/>
    <n v="300000"/>
    <n v="333246"/>
    <n v="333246"/>
    <n v="333246"/>
    <n v="333246"/>
    <n v="300000"/>
    <n v="300000"/>
    <n v="300000"/>
    <n v="300000"/>
    <n v="0"/>
    <n v="0"/>
    <n v="0"/>
    <n v="0"/>
    <n v="-4069.31"/>
    <n v="-4069.31"/>
    <n v="-4069.31"/>
    <n v="-4069.31"/>
    <s v="11/03/2029 00:00:00"/>
    <s v="MEDIOLANUM PENSIONES II, FONDO DE PENSIONES"/>
    <s v="03/10/2023 00:00:00"/>
    <x v="243"/>
    <n v="4"/>
    <s v="EUR"/>
    <s v="R"/>
    <n v="89.320602731177004"/>
    <n v="89.162669398907994"/>
    <n v="267488.01"/>
    <n v="267488.01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0194442000000001"/>
    <s v="ok"/>
    <s v="ok"/>
    <n v="26356083.120000001"/>
    <n v="0"/>
    <n v="-473.8"/>
    <n v="-0.18"/>
    <s v="PA"/>
    <n v="-78038.69"/>
    <s v="RF"/>
    <s v="RFE"/>
    <n v="-61214.879999999997"/>
    <n v="-61214.879999999997"/>
    <n v="267961.81"/>
    <n v="267961.8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1638099999999999"/>
    <m/>
    <n v="0"/>
    <n v="-219173.26"/>
    <m/>
    <m/>
    <m/>
    <n v="1355558.46"/>
    <n v="0"/>
    <n v="2520.3126550000002"/>
    <n v="52555.483399999997"/>
    <n v="-296353.43"/>
    <n v="92570020.519999996"/>
    <n v="-473.8"/>
    <n v="394770.09"/>
    <n v="0.29803809999999997"/>
    <m/>
    <n v="0"/>
    <n v="0"/>
    <n v="-296353.43"/>
    <n v="0"/>
    <n v="0"/>
    <n v="16777215"/>
    <n v="0"/>
    <n v="0"/>
    <n v="0"/>
    <n v="0"/>
    <n v="0"/>
    <n v="267488.01"/>
    <n v="267488.01"/>
    <n v="31345322.399999999"/>
    <n v="-1110160.2399999984"/>
    <n v="92570020.519999966"/>
    <n v="0"/>
    <n v="0"/>
    <s v="S"/>
    <m/>
    <n v="0"/>
    <n v="3"/>
    <n v="0"/>
    <n v="0.28895748999999998"/>
    <n v="0"/>
    <m/>
    <m/>
    <n v="0"/>
    <n v="0"/>
    <n v="1633661.45"/>
    <n v="1.2333592799999999"/>
    <m/>
    <m/>
    <n v="89.312814207648998"/>
    <n v="1"/>
    <n v="5.5516825580000004"/>
    <n v="5.0001677290000002"/>
    <n v="4.2309041465709996"/>
    <n v="5.4438356160000003"/>
    <n v="0.28234958700000001"/>
    <n v="57"/>
    <n v="1987"/>
    <n v="0"/>
    <n v="0"/>
    <n v="1.072522626"/>
    <n v="0"/>
    <n v="0"/>
  </r>
  <r>
    <n v="16975452"/>
    <n v="128"/>
    <n v="9594"/>
    <n v="0"/>
    <n v="0"/>
    <n v="0"/>
    <n v="0"/>
    <n v="0"/>
    <n v="400"/>
    <n v="400"/>
    <n v="400000"/>
    <n v="400000"/>
    <n v="400000"/>
    <n v="400000"/>
    <n v="429602"/>
    <n v="429602"/>
    <n v="429602"/>
    <n v="429602"/>
    <n v="400000"/>
    <n v="400000"/>
    <n v="400000"/>
    <n v="400000"/>
    <n v="0"/>
    <n v="0"/>
    <n v="0"/>
    <n v="0"/>
    <n v="-6187.59"/>
    <n v="-6187.59"/>
    <n v="-6187.59"/>
    <n v="-6187.59"/>
    <s v="26/02/2026 00:00:00"/>
    <s v="MEDIOLANUM PENSIONES II, FONDO DE PENSIONES"/>
    <s v="03/10/2023 00:00:00"/>
    <x v="244"/>
    <n v="4"/>
    <s v="EUR"/>
    <s v="R"/>
    <n v="96.824397500000003"/>
    <n v="96.721999999999994"/>
    <n v="386888"/>
    <n v="386888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9208739"/>
    <s v="ok"/>
    <s v="ok"/>
    <n v="26356083.120000001"/>
    <n v="0"/>
    <n v="-409.59"/>
    <n v="-0.1"/>
    <s v="PA"/>
    <n v="-78038.69"/>
    <s v="RF"/>
    <s v="RFE"/>
    <n v="-36116.82"/>
    <n v="-36116.82"/>
    <n v="387297.59"/>
    <n v="387297.59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1296810000000003"/>
    <m/>
    <n v="0"/>
    <n v="-219173.26"/>
    <m/>
    <m/>
    <m/>
    <n v="1355558.46"/>
    <n v="0"/>
    <n v="2520.3126550000002"/>
    <n v="52555.483399999997"/>
    <n v="-296353.43"/>
    <n v="92570020.519999996"/>
    <n v="-409.59"/>
    <n v="394770.09"/>
    <n v="0.29803809999999997"/>
    <m/>
    <n v="0"/>
    <n v="0"/>
    <n v="-296353.43"/>
    <n v="0"/>
    <n v="0"/>
    <n v="16777215"/>
    <n v="0"/>
    <n v="0"/>
    <n v="0"/>
    <n v="0"/>
    <n v="0"/>
    <n v="386888"/>
    <n v="386888"/>
    <n v="31345322.399999999"/>
    <n v="-1110160.2399999984"/>
    <n v="92570020.519999966"/>
    <n v="0"/>
    <n v="0"/>
    <s v="S"/>
    <m/>
    <n v="0"/>
    <n v="3"/>
    <n v="0"/>
    <n v="0.41794091999999999"/>
    <n v="0"/>
    <m/>
    <m/>
    <n v="0"/>
    <n v="0"/>
    <n v="1633661.45"/>
    <n v="1.2333592799999999"/>
    <m/>
    <m/>
    <n v="96.829965753425995"/>
    <n v="1"/>
    <n v="4.9151195889999997"/>
    <n v="2.3204744960000001"/>
    <n v="2.1416500003349999"/>
    <n v="2.4054794519999998"/>
    <n v="7.1192493999999995E-2"/>
    <n v="27"/>
    <n v="878"/>
    <n v="0"/>
    <n v="0"/>
    <n v="0.33924309600000002"/>
    <n v="0"/>
    <n v="0"/>
  </r>
  <r>
    <n v="16975573"/>
    <n v="128"/>
    <n v="9001"/>
    <n v="0"/>
    <n v="0"/>
    <n v="0"/>
    <n v="0"/>
    <n v="0"/>
    <n v="100"/>
    <n v="100"/>
    <n v="100000"/>
    <n v="100000"/>
    <n v="100000"/>
    <n v="100000"/>
    <n v="97446"/>
    <n v="97446"/>
    <n v="97446"/>
    <n v="97446"/>
    <n v="100000"/>
    <n v="100000"/>
    <n v="100000"/>
    <n v="100000"/>
    <n v="0"/>
    <n v="0"/>
    <n v="0"/>
    <n v="0"/>
    <n v="1359.72"/>
    <n v="1359.72"/>
    <n v="1359.72"/>
    <n v="1359.72"/>
    <s v="10/12/2027 00:00:00"/>
    <s v="MEDIOLANUM PENSIONES II, FONDO DE PENSIONES"/>
    <s v="03/10/2023 00:00:00"/>
    <x v="245"/>
    <n v="4"/>
    <s v="EUR"/>
    <s v="E"/>
    <n v="0"/>
    <n v="0"/>
    <n v="82428.740000000005"/>
    <n v="82428.740000000005"/>
    <s v="N"/>
    <n v="4"/>
    <s v="EUR"/>
    <n v="132534288.59999999"/>
    <s v="S"/>
    <n v="1"/>
    <n v="1"/>
    <s v="Gobierno"/>
    <s v="Deuda del Est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6.2230920000000002E-2"/>
    <s v="ok"/>
    <s v="ok"/>
    <n v="26356083.120000001"/>
    <n v="0"/>
    <n v="0"/>
    <n v="0"/>
    <s v="PA"/>
    <n v="-78038.69"/>
    <s v="RF"/>
    <s v="RFE"/>
    <n v="-16376.98"/>
    <n v="-16376.98"/>
    <n v="82428.740000000005"/>
    <n v="82428.7400000000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6.6679669999999996E-2"/>
    <m/>
    <n v="0"/>
    <n v="-219173.26"/>
    <m/>
    <m/>
    <m/>
    <n v="1355558.46"/>
    <n v="0"/>
    <n v="2520.3126550000002"/>
    <n v="52555.483399999997"/>
    <n v="-296353.43"/>
    <n v="92570020.519999996"/>
    <n v="0"/>
    <n v="394770.09"/>
    <n v="0.29803809999999997"/>
    <m/>
    <n v="0"/>
    <n v="0"/>
    <n v="-296353.43"/>
    <n v="0"/>
    <n v="0"/>
    <n v="16777215"/>
    <n v="0"/>
    <n v="0"/>
    <n v="0"/>
    <n v="0"/>
    <n v="0"/>
    <n v="82428.740000000005"/>
    <n v="82428.740000000005"/>
    <n v="31345322.399999999"/>
    <n v="-1110160.2399999984"/>
    <n v="92570020.519999966"/>
    <n v="0"/>
    <n v="0"/>
    <s v="S"/>
    <m/>
    <n v="0"/>
    <n v="3"/>
    <n v="0"/>
    <n v="8.9044750000000006E-2"/>
    <n v="0"/>
    <m/>
    <m/>
    <n v="0"/>
    <n v="0"/>
    <n v="1633661.45"/>
    <n v="1.2333592799999999"/>
    <m/>
    <m/>
    <n v="0"/>
    <n v="1"/>
    <n v="6.8485526339999998"/>
    <n v="4.026671447"/>
    <n v="0"/>
    <n v="4.1917808220000001"/>
    <n v="0.181140145"/>
    <n v="45"/>
    <n v="1530"/>
    <n v="0"/>
    <n v="0"/>
    <n v="2.5077832510000002"/>
    <n v="0"/>
    <n v="0"/>
  </r>
  <r>
    <n v="16975488"/>
    <n v="128"/>
    <n v="6648"/>
    <n v="0"/>
    <n v="0"/>
    <n v="0"/>
    <n v="0"/>
    <n v="0"/>
    <n v="600"/>
    <n v="600"/>
    <n v="600000"/>
    <n v="600000"/>
    <n v="600000"/>
    <n v="529801.24"/>
    <n v="618444"/>
    <n v="546657.49"/>
    <n v="618444"/>
    <n v="546657.49"/>
    <n v="600000"/>
    <n v="529801.24"/>
    <n v="600000"/>
    <n v="529801.24"/>
    <n v="0"/>
    <n v="0"/>
    <n v="0"/>
    <n v="0"/>
    <n v="-3490.41"/>
    <n v="-3301.25"/>
    <n v="-3490.41"/>
    <n v="-3301.25"/>
    <s v="11/10/2023 00:00:00"/>
    <s v="MEDIOLANUM PENSIONES II, FONDO DE PENSIONES"/>
    <s v="03/10/2023 00:00:00"/>
    <x v="246"/>
    <n v="5"/>
    <s v="USD"/>
    <s v="E"/>
    <n v="102.409583333333"/>
    <n v="102.460333333333"/>
    <n v="614762"/>
    <n v="586381.15"/>
    <s v="N"/>
    <n v="4"/>
    <s v="EUR"/>
    <n v="132534288.59999999"/>
    <s v="S"/>
    <n v="1"/>
    <n v="1"/>
    <s v="Gobierno"/>
    <s v="Multi Nacional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4269798999999999"/>
    <s v="ok"/>
    <s v="ok"/>
    <n v="26356083.120000001"/>
    <n v="0"/>
    <n v="5223.96"/>
    <n v="0.05"/>
    <s v="PA"/>
    <n v="-78038.69"/>
    <s v="RF"/>
    <s v="RFE"/>
    <n v="-496.09"/>
    <n v="37800.949999999997"/>
    <n v="614457.5"/>
    <n v="581157.1899999999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7434553000000002"/>
    <m/>
    <n v="0"/>
    <n v="-219173.26"/>
    <m/>
    <m/>
    <m/>
    <n v="1355558.46"/>
    <n v="0"/>
    <n v="2520.3126550000002"/>
    <n v="52555.483399999997"/>
    <n v="-296353.43"/>
    <n v="92570020.519999996"/>
    <n v="304.5"/>
    <n v="394770.09"/>
    <n v="0.29803809999999997"/>
    <m/>
    <n v="0"/>
    <n v="0"/>
    <n v="-296353.43"/>
    <n v="0"/>
    <n v="0"/>
    <n v="16777215"/>
    <n v="0"/>
    <n v="0"/>
    <n v="0"/>
    <n v="0"/>
    <n v="0"/>
    <n v="614762"/>
    <n v="586381.15"/>
    <n v="31345322.399999999"/>
    <n v="-1110160.2399999984"/>
    <n v="92570020.519999966"/>
    <n v="0"/>
    <n v="0"/>
    <s v="S"/>
    <m/>
    <n v="0"/>
    <n v="3"/>
    <n v="0"/>
    <n v="0.63344606000000003"/>
    <n v="0"/>
    <m/>
    <m/>
    <n v="0"/>
    <n v="0"/>
    <n v="1633661.45"/>
    <n v="1.2333592799999999"/>
    <m/>
    <m/>
    <n v="102.43875"/>
    <n v="1.0572999999999999"/>
    <n v="7.5365228389999999"/>
    <n v="2.5000000000000001E-2"/>
    <n v="2.4679692186E-2"/>
    <n v="2.4657533999999998E-2"/>
    <n v="2.37977E-4"/>
    <n v="0"/>
    <n v="9"/>
    <n v="0"/>
    <n v="0"/>
    <n v="-16.022758970000002"/>
    <n v="0"/>
    <n v="0"/>
  </r>
  <r>
    <n v="16975402"/>
    <n v="128"/>
    <n v="7165"/>
    <n v="0"/>
    <n v="0"/>
    <n v="0"/>
    <n v="0"/>
    <n v="0"/>
    <n v="300"/>
    <n v="300"/>
    <n v="300000"/>
    <n v="300000"/>
    <n v="300000"/>
    <n v="271985.49"/>
    <n v="302430"/>
    <n v="274188.58"/>
    <n v="302430"/>
    <n v="274188.58"/>
    <n v="300000"/>
    <n v="271985.49"/>
    <n v="300000"/>
    <n v="271985.49"/>
    <n v="0"/>
    <n v="0"/>
    <n v="0"/>
    <n v="0"/>
    <n v="-1702.62"/>
    <n v="-1610.34"/>
    <n v="-1702.62"/>
    <n v="-1610.34"/>
    <s v="21/09/2029 00:00:00"/>
    <s v="MEDIOLANUM PENSIONES II, FONDO DE PENSIONES"/>
    <s v="03/10/2023 00:00:00"/>
    <x v="247"/>
    <n v="5"/>
    <s v="USD"/>
    <s v="E"/>
    <n v="82.059849999999997"/>
    <n v="81.814133333333004"/>
    <n v="245442.4"/>
    <n v="234111.41"/>
    <s v="N"/>
    <n v="4"/>
    <s v="EUR"/>
    <n v="132534288.59999999"/>
    <s v="S"/>
    <n v="1"/>
    <n v="1"/>
    <s v="Gobierno"/>
    <s v="Multi Nacional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7674622000000001"/>
    <s v="ok"/>
    <s v="ok"/>
    <n v="26356083.120000001"/>
    <n v="0"/>
    <n v="1273.47"/>
    <n v="-0.3"/>
    <s v="PA"/>
    <n v="-78038.69"/>
    <s v="RF"/>
    <s v="RFE"/>
    <n v="-54547.83"/>
    <n v="-39740.300000000003"/>
    <n v="246179.55"/>
    <n v="232837.9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8938142999999999"/>
    <m/>
    <n v="0"/>
    <n v="-219173.26"/>
    <m/>
    <m/>
    <m/>
    <n v="1355558.46"/>
    <n v="0"/>
    <n v="2520.3126550000002"/>
    <n v="52555.483399999997"/>
    <n v="-296353.43"/>
    <n v="92570020.519999996"/>
    <n v="-737.15"/>
    <n v="394770.09"/>
    <n v="0.29803809999999997"/>
    <m/>
    <n v="0"/>
    <n v="0"/>
    <n v="-296353.43"/>
    <n v="0"/>
    <n v="0"/>
    <n v="16777215"/>
    <n v="0"/>
    <n v="0"/>
    <n v="0"/>
    <n v="0"/>
    <n v="0"/>
    <n v="245442.4"/>
    <n v="234111.41"/>
    <n v="31345322.399999999"/>
    <n v="-1110160.2399999984"/>
    <n v="92570020.519999966"/>
    <n v="0"/>
    <n v="0"/>
    <s v="S"/>
    <m/>
    <n v="0"/>
    <n v="3"/>
    <n v="0"/>
    <n v="0.25290196999999998"/>
    <n v="0"/>
    <m/>
    <m/>
    <n v="0"/>
    <n v="0"/>
    <n v="1633661.45"/>
    <n v="1.2333592799999999"/>
    <m/>
    <m/>
    <n v="82.010538888889002"/>
    <n v="1.0572999999999999"/>
    <n v="8.0062452059999991"/>
    <n v="5.2841920020000002"/>
    <n v="4.1667925235430001"/>
    <n v="5.9753424659999999"/>
    <n v="0.32779550099999999"/>
    <n v="61"/>
    <n v="2181"/>
    <n v="0"/>
    <n v="0"/>
    <n v="3.9009600400000002"/>
    <n v="0"/>
    <n v="0"/>
  </r>
  <r>
    <n v="16975602"/>
    <n v="128"/>
    <n v="9352"/>
    <n v="0"/>
    <n v="0"/>
    <n v="0"/>
    <n v="0"/>
    <n v="0"/>
    <n v="200"/>
    <n v="200"/>
    <n v="200000"/>
    <n v="200000"/>
    <n v="200000"/>
    <n v="167700.82"/>
    <n v="199932"/>
    <n v="167643.79999999999"/>
    <n v="199932"/>
    <n v="167643.79999999999"/>
    <n v="200000"/>
    <n v="167700.82"/>
    <n v="200000"/>
    <n v="167700.82"/>
    <n v="0"/>
    <n v="0"/>
    <n v="0"/>
    <n v="0"/>
    <n v="2074.17"/>
    <n v="1961.76"/>
    <n v="2074.17"/>
    <n v="1961.76"/>
    <s v="30/06/2028 00:00:00"/>
    <s v="MEDIOLANUM PENSIONES II, FONDO DE PENSIONES"/>
    <s v="03/10/2023 00:00:00"/>
    <x v="248"/>
    <n v="5"/>
    <s v="USD"/>
    <s v="E"/>
    <n v="83.258249999998995"/>
    <n v="83.351124999999001"/>
    <n v="166702.25"/>
    <n v="159006.34"/>
    <s v="N"/>
    <n v="4"/>
    <s v="EUR"/>
    <n v="132534288.59999999"/>
    <s v="S"/>
    <n v="1"/>
    <n v="1"/>
    <s v="Gobierno"/>
    <s v="Multi Nacional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2004442"/>
    <s v="ok"/>
    <s v="ok"/>
    <n v="26356083.120000001"/>
    <n v="0"/>
    <n v="1514.14"/>
    <n v="0.11"/>
    <s v="PA"/>
    <n v="-78038.69"/>
    <s v="RF"/>
    <s v="RFE"/>
    <n v="-35489.67"/>
    <n v="-12113.36"/>
    <n v="166516.5"/>
    <n v="157492.2000000000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2862614"/>
    <m/>
    <n v="0"/>
    <n v="-219173.26"/>
    <m/>
    <m/>
    <m/>
    <n v="1355558.46"/>
    <n v="0"/>
    <n v="2520.3126550000002"/>
    <n v="52555.483399999997"/>
    <n v="-296353.43"/>
    <n v="92570020.519999996"/>
    <n v="185.75"/>
    <n v="394770.09"/>
    <n v="0.29803809999999997"/>
    <m/>
    <n v="0"/>
    <n v="0"/>
    <n v="-296353.43"/>
    <n v="0"/>
    <n v="0"/>
    <n v="16777215"/>
    <n v="0"/>
    <n v="0"/>
    <n v="0"/>
    <n v="0"/>
    <n v="0"/>
    <n v="166702.25"/>
    <n v="159006.34"/>
    <n v="31345322.399999999"/>
    <n v="-1110160.2399999984"/>
    <n v="92570020.519999966"/>
    <n v="0"/>
    <n v="0"/>
    <s v="S"/>
    <m/>
    <n v="0"/>
    <n v="3"/>
    <n v="0"/>
    <n v="0.17176872000000001"/>
    <n v="0"/>
    <m/>
    <m/>
    <n v="0"/>
    <n v="0"/>
    <n v="1633661.45"/>
    <n v="1.2333592799999999"/>
    <m/>
    <m/>
    <n v="83.342166666669002"/>
    <n v="1.0572999999999999"/>
    <n v="8.9573765279999993"/>
    <n v="4.2559653910000002"/>
    <n v="3.394963918867"/>
    <n v="4.7479452049999997"/>
    <n v="0.21736596999999999"/>
    <n v="49"/>
    <n v="1733"/>
    <n v="0"/>
    <n v="0"/>
    <n v="4.4281554170000001"/>
    <n v="0"/>
    <n v="0"/>
  </r>
  <r>
    <n v="16975403"/>
    <n v="128"/>
    <n v="9244"/>
    <n v="0"/>
    <n v="0"/>
    <n v="0"/>
    <n v="0"/>
    <n v="0"/>
    <n v="300"/>
    <n v="300"/>
    <n v="300000"/>
    <n v="300000"/>
    <n v="300000"/>
    <n v="300000"/>
    <n v="342187"/>
    <n v="342187"/>
    <n v="342187"/>
    <n v="342187"/>
    <n v="300000"/>
    <n v="300000"/>
    <n v="300000"/>
    <n v="300000"/>
    <n v="0"/>
    <n v="0"/>
    <n v="0"/>
    <n v="0"/>
    <n v="-16592.310000000001"/>
    <n v="-16592.310000000001"/>
    <n v="-16592.310000000001"/>
    <n v="-16592.310000000001"/>
    <s v="24/03/2025 00:00:00"/>
    <s v="MEDIOLANUM PENSIONES II, FONDO DE PENSIONES"/>
    <s v="03/10/2023 00:00:00"/>
    <x v="249"/>
    <n v="4"/>
    <s v="EUR"/>
    <s v="E"/>
    <n v="103.04573672133699"/>
    <n v="103.001696721314"/>
    <n v="309005.09000000003"/>
    <n v="309005.09000000003"/>
    <s v="N"/>
    <n v="4"/>
    <s v="EUR"/>
    <n v="132534288.59999999"/>
    <s v="S"/>
    <n v="1"/>
    <n v="1"/>
    <s v="Industrial"/>
    <s v="Aeroespacial y defe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3328842"/>
    <s v="ok"/>
    <s v="ok"/>
    <n v="26356083.120000001"/>
    <n v="0"/>
    <n v="-132.12"/>
    <n v="-0.04"/>
    <s v="PA"/>
    <n v="-78038.69"/>
    <s v="RF"/>
    <s v="RFE"/>
    <n v="-16457.48"/>
    <n v="-16457.48"/>
    <n v="309137.21000000002"/>
    <n v="309137.2100000000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996571000000001"/>
    <m/>
    <n v="0"/>
    <n v="-219173.26"/>
    <m/>
    <m/>
    <m/>
    <n v="1355558.46"/>
    <n v="0"/>
    <n v="2520.3126550000002"/>
    <n v="52555.483399999997"/>
    <n v="-296353.43"/>
    <n v="92570020.519999996"/>
    <n v="-132.12"/>
    <n v="394770.09"/>
    <n v="0.29803809999999997"/>
    <m/>
    <n v="0"/>
    <n v="0"/>
    <n v="-296353.43"/>
    <n v="0"/>
    <n v="0"/>
    <n v="16777215"/>
    <n v="0"/>
    <n v="0"/>
    <n v="0"/>
    <n v="0"/>
    <n v="0"/>
    <n v="309005.09000000003"/>
    <n v="309005.09000000003"/>
    <n v="31345322.399999999"/>
    <n v="-1110160.2399999984"/>
    <n v="92570020.519999966"/>
    <n v="0"/>
    <n v="0"/>
    <s v="S"/>
    <m/>
    <n v="0"/>
    <n v="3"/>
    <n v="0"/>
    <n v="0.33380686999999998"/>
    <n v="0"/>
    <m/>
    <m/>
    <n v="0"/>
    <n v="0"/>
    <n v="1633661.45"/>
    <n v="1.2333592799999999"/>
    <m/>
    <m/>
    <n v="103.00787704917801"/>
    <n v="1"/>
    <n v="4.533168098"/>
    <n v="1.4290704160000001"/>
    <n v="1.408218199499"/>
    <n v="1.4767123289999999"/>
    <n v="3.2172104E-2"/>
    <n v="16"/>
    <n v="539"/>
    <n v="0"/>
    <n v="0"/>
    <n v="-2.6562589810000001"/>
    <n v="0"/>
    <n v="0"/>
  </r>
  <r>
    <n v="16975355"/>
    <n v="128"/>
    <n v="8899"/>
    <n v="0"/>
    <n v="0"/>
    <n v="0"/>
    <n v="0"/>
    <n v="0"/>
    <n v="200"/>
    <n v="200"/>
    <n v="200000"/>
    <n v="200000"/>
    <n v="200000"/>
    <n v="200000"/>
    <n v="203590"/>
    <n v="203590"/>
    <n v="203590"/>
    <n v="203590"/>
    <n v="200000"/>
    <n v="200000"/>
    <n v="200000"/>
    <n v="200000"/>
    <n v="0"/>
    <n v="0"/>
    <n v="0"/>
    <n v="0"/>
    <n v="-3772.87"/>
    <n v="-3772.87"/>
    <n v="-3772.87"/>
    <n v="-3772.87"/>
    <s v="07/03/2024 00:00:00"/>
    <s v="MEDIOLANUM PENSIONES II, FONDO DE PENSIONES"/>
    <s v="03/10/2023 00:00:00"/>
    <x v="250"/>
    <n v="4"/>
    <s v="EUR"/>
    <s v="E"/>
    <n v="98.556311556867996"/>
    <n v="98.588606557378"/>
    <n v="197177.21"/>
    <n v="197177.21"/>
    <s v="N"/>
    <n v="4"/>
    <s v="EUR"/>
    <n v="132534288.59999999"/>
    <s v="S"/>
    <n v="1"/>
    <n v="1"/>
    <s v="Industrial"/>
    <s v="Aeroespacial y defe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886214"/>
    <s v="ok"/>
    <s v="ok"/>
    <n v="26356083.120000001"/>
    <n v="0"/>
    <n v="64.59"/>
    <n v="0.03"/>
    <s v="PA"/>
    <n v="-78038.69"/>
    <s v="RF"/>
    <s v="RFE"/>
    <n v="-2704.51"/>
    <n v="-2704.51"/>
    <n v="197112.62"/>
    <n v="197112.62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950397999999999"/>
    <m/>
    <n v="0"/>
    <n v="-219173.26"/>
    <m/>
    <m/>
    <m/>
    <n v="1355558.46"/>
    <n v="0"/>
    <n v="2520.3126550000002"/>
    <n v="52555.483399999997"/>
    <n v="-296353.43"/>
    <n v="92570020.519999996"/>
    <n v="64.59"/>
    <n v="394770.09"/>
    <n v="0.29803809999999997"/>
    <m/>
    <n v="0"/>
    <n v="0"/>
    <n v="-296353.43"/>
    <n v="0"/>
    <n v="0"/>
    <n v="16777215"/>
    <n v="0"/>
    <n v="0"/>
    <n v="0"/>
    <n v="0"/>
    <n v="0"/>
    <n v="197177.21"/>
    <n v="197177.21"/>
    <n v="31345322.399999999"/>
    <n v="-1110160.2399999984"/>
    <n v="92570020.519999966"/>
    <n v="0"/>
    <n v="0"/>
    <s v="S"/>
    <m/>
    <n v="0"/>
    <n v="3"/>
    <n v="0"/>
    <n v="0.21300331"/>
    <n v="0"/>
    <m/>
    <m/>
    <n v="0"/>
    <n v="0"/>
    <n v="1633661.45"/>
    <n v="1.2333592799999999"/>
    <m/>
    <m/>
    <n v="98.558008196721005"/>
    <n v="1"/>
    <n v="6.1722927429999999"/>
    <n v="0.428961749"/>
    <n v="0.39819819725400002"/>
    <n v="0.430136986"/>
    <n v="5.4377189999999997E-3"/>
    <n v="5"/>
    <n v="157"/>
    <n v="0"/>
    <n v="0"/>
    <n v="-1.5323035519999999"/>
    <n v="0"/>
    <n v="0"/>
  </r>
  <r>
    <n v="16975431"/>
    <n v="128"/>
    <n v="9461"/>
    <n v="0"/>
    <n v="0"/>
    <n v="0"/>
    <n v="0"/>
    <n v="0"/>
    <n v="1"/>
    <n v="1"/>
    <n v="100000"/>
    <n v="100000"/>
    <n v="100000"/>
    <n v="100000"/>
    <n v="100388"/>
    <n v="100388"/>
    <n v="100388"/>
    <n v="100388"/>
    <n v="100000"/>
    <n v="100000"/>
    <n v="100000"/>
    <n v="100000"/>
    <n v="0"/>
    <n v="0"/>
    <n v="0"/>
    <n v="0"/>
    <n v="610.82000000000005"/>
    <n v="610.82000000000005"/>
    <n v="610.82000000000005"/>
    <n v="610.82000000000005"/>
    <s v="14/01/2025 00:00:00"/>
    <s v="MEDIOLANUM PENSIONES II, FONDO DE PENSIONES"/>
    <s v="03/10/2023 00:00:00"/>
    <x v="251"/>
    <n v="4"/>
    <s v="EUR"/>
    <s v="S"/>
    <n v="95.717509863065999"/>
    <n v="95.753969863014007"/>
    <n v="95753.97"/>
    <n v="95753.97"/>
    <s v="N"/>
    <n v="4"/>
    <s v="EUR"/>
    <n v="132534288.59999999"/>
    <s v="S"/>
    <n v="1"/>
    <n v="1"/>
    <s v="Industrial"/>
    <s v="Construcción y Engin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2291019999999998E-2"/>
    <s v="ok"/>
    <s v="ok"/>
    <n v="26356083.120000001"/>
    <n v="0"/>
    <n v="36.46"/>
    <n v="0.04"/>
    <s v="PA"/>
    <n v="-78038.69"/>
    <s v="RF"/>
    <s v="RFE"/>
    <n v="-5281.31"/>
    <n v="-5281.31"/>
    <n v="95717.51"/>
    <n v="95717.5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7458949999999999E-2"/>
    <m/>
    <n v="0"/>
    <n v="-219173.26"/>
    <m/>
    <m/>
    <m/>
    <n v="1355558.46"/>
    <n v="0"/>
    <n v="2520.3126550000002"/>
    <n v="52555.483399999997"/>
    <n v="-296353.43"/>
    <n v="92570020.519999996"/>
    <n v="36.46"/>
    <n v="394770.09"/>
    <n v="0.29803809999999997"/>
    <m/>
    <n v="0"/>
    <n v="0"/>
    <n v="-296353.43"/>
    <n v="0"/>
    <n v="0"/>
    <n v="16777215"/>
    <n v="0"/>
    <n v="0"/>
    <n v="0"/>
    <n v="0"/>
    <n v="0"/>
    <n v="95753.97"/>
    <n v="95753.97"/>
    <n v="31345322.399999999"/>
    <n v="-1110160.2399999984"/>
    <n v="92570020.519999966"/>
    <n v="0"/>
    <n v="0"/>
    <s v="S"/>
    <m/>
    <n v="0"/>
    <n v="3"/>
    <n v="0"/>
    <n v="0.1034395"/>
    <n v="0"/>
    <m/>
    <m/>
    <n v="0"/>
    <n v="0"/>
    <n v="1633661.45"/>
    <n v="1.2333592799999999"/>
    <m/>
    <m/>
    <n v="95.794482191781"/>
    <n v="1"/>
    <n v="5.3781837489999997"/>
    <n v="1.2725902790000001"/>
    <n v="1.1568535585969999"/>
    <n v="1.287671233"/>
    <n v="2.6153803E-2"/>
    <n v="14"/>
    <n v="470"/>
    <n v="0"/>
    <n v="0"/>
    <n v="1.570901613"/>
    <n v="0"/>
    <n v="0"/>
  </r>
  <r>
    <n v="16975559"/>
    <n v="128"/>
    <n v="7282"/>
    <n v="0"/>
    <n v="0"/>
    <n v="0"/>
    <n v="0"/>
    <n v="0"/>
    <n v="1016"/>
    <n v="1016"/>
    <n v="1016000"/>
    <n v="1016000"/>
    <n v="1016000"/>
    <n v="1016000"/>
    <n v="992398.28"/>
    <n v="992398.28"/>
    <n v="992398.28"/>
    <n v="992398.28"/>
    <n v="1016000"/>
    <n v="1016000"/>
    <n v="1016000"/>
    <n v="1016000"/>
    <n v="808.39"/>
    <n v="808.39"/>
    <n v="808.39"/>
    <n v="808.39"/>
    <n v="25143.23"/>
    <n v="25143.23"/>
    <n v="25143.23"/>
    <n v="25143.23"/>
    <s v="04/12/2023 00:00:00"/>
    <s v="MEDIOLANUM PENSIONES II, FONDO DE PENSIONES"/>
    <s v="03/10/2023 00:00:00"/>
    <x v="252"/>
    <n v="4"/>
    <s v="EUR"/>
    <s v="S"/>
    <n v="100.086862824956"/>
    <n v="100.092061643835"/>
    <n v="1016935.35"/>
    <n v="1016935.35"/>
    <s v="N"/>
    <n v="4"/>
    <s v="EUR"/>
    <n v="132534288.59999999"/>
    <s v="S"/>
    <n v="1"/>
    <n v="1"/>
    <s v="Industrial"/>
    <s v="Control Medi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6775188000000005"/>
    <s v="ok"/>
    <s v="ok"/>
    <n v="26356083.120000001"/>
    <n v="0"/>
    <n v="52.82"/>
    <n v="0.01"/>
    <s v="PA"/>
    <n v="-78038.69"/>
    <s v="RF"/>
    <s v="RFE"/>
    <n v="-1467.37"/>
    <n v="-1467.37"/>
    <n v="1016882.53"/>
    <n v="1016882.53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82263684000000004"/>
    <m/>
    <n v="0"/>
    <n v="-219173.26"/>
    <m/>
    <m/>
    <m/>
    <n v="1355558.46"/>
    <n v="0"/>
    <n v="2520.3126550000002"/>
    <n v="52555.483399999997"/>
    <n v="-296353.43"/>
    <n v="92570020.519999996"/>
    <n v="52.82"/>
    <n v="394770.09"/>
    <n v="0.29803809999999997"/>
    <m/>
    <n v="0"/>
    <n v="0"/>
    <n v="-296353.43"/>
    <n v="0"/>
    <n v="0"/>
    <n v="16777215"/>
    <n v="0"/>
    <n v="0"/>
    <n v="0"/>
    <n v="0"/>
    <n v="0"/>
    <n v="1016935.35"/>
    <n v="1016935.35"/>
    <n v="31345322.399999999"/>
    <n v="-1110160.2399999984"/>
    <n v="92570020.519999966"/>
    <n v="0"/>
    <n v="0"/>
    <s v="S"/>
    <m/>
    <n v="0"/>
    <n v="3"/>
    <n v="0"/>
    <n v="1.09855798"/>
    <n v="0"/>
    <m/>
    <m/>
    <n v="0"/>
    <n v="0"/>
    <n v="1633661.45"/>
    <n v="1.2333592799999999"/>
    <m/>
    <m/>
    <n v="100.07732876712301"/>
    <n v="1"/>
    <n v="4.3466614080000001"/>
    <n v="0.17260274"/>
    <n v="0.16554071668299999"/>
    <n v="0.17260274"/>
    <n v="1.858838E-3"/>
    <n v="2"/>
    <n v="63"/>
    <n v="0"/>
    <n v="0"/>
    <n v="20.105637412"/>
    <n v="0"/>
    <n v="0"/>
  </r>
  <r>
    <n v="16975374"/>
    <n v="128"/>
    <n v="7283"/>
    <n v="0"/>
    <n v="0"/>
    <n v="0"/>
    <n v="0"/>
    <n v="0"/>
    <n v="200"/>
    <n v="200"/>
    <n v="200000"/>
    <n v="200000"/>
    <n v="200000"/>
    <n v="200000"/>
    <n v="200188"/>
    <n v="200188"/>
    <n v="200188"/>
    <n v="200188"/>
    <n v="200000"/>
    <n v="200000"/>
    <n v="200000"/>
    <n v="200000"/>
    <n v="0"/>
    <n v="0"/>
    <n v="0"/>
    <n v="0"/>
    <n v="1158.8800000000001"/>
    <n v="1158.8800000000001"/>
    <n v="1158.8800000000001"/>
    <n v="1158.8800000000001"/>
    <s v="23/09/2026 00:00:00"/>
    <s v="MEDIOLANUM PENSIONES II, FONDO DE PENSIONES"/>
    <s v="03/10/2023 00:00:00"/>
    <x v="253"/>
    <n v="4"/>
    <s v="EUR"/>
    <s v="S"/>
    <n v="93.244202532225003"/>
    <n v="93.167857534245996"/>
    <n v="186335.72"/>
    <n v="186335.72"/>
    <s v="N"/>
    <n v="4"/>
    <s v="EUR"/>
    <n v="132534288.59999999"/>
    <s v="S"/>
    <n v="1"/>
    <n v="1"/>
    <s v="Industrial"/>
    <s v="Control Medi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4067718000000001"/>
    <s v="ok"/>
    <s v="ok"/>
    <n v="26356083.120000001"/>
    <n v="0"/>
    <n v="-152.69"/>
    <n v="-0.09"/>
    <s v="PA"/>
    <n v="-78038.69"/>
    <s v="RF"/>
    <s v="RFE"/>
    <n v="-14858.47"/>
    <n v="-14858.47"/>
    <n v="186488.41"/>
    <n v="186488.4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1507339"/>
    <m/>
    <n v="0"/>
    <n v="-219173.26"/>
    <m/>
    <m/>
    <m/>
    <n v="1355558.46"/>
    <n v="0"/>
    <n v="2520.3126550000002"/>
    <n v="52555.483399999997"/>
    <n v="-296353.43"/>
    <n v="92570020.519999996"/>
    <n v="-152.69"/>
    <n v="394770.09"/>
    <n v="0.29803809999999997"/>
    <m/>
    <n v="0"/>
    <n v="0"/>
    <n v="-296353.43"/>
    <n v="0"/>
    <n v="0"/>
    <n v="16777215"/>
    <n v="0"/>
    <n v="0"/>
    <n v="0"/>
    <n v="0"/>
    <n v="0"/>
    <n v="186335.72"/>
    <n v="186335.72"/>
    <n v="31345322.399999999"/>
    <n v="-1110160.2399999984"/>
    <n v="92570020.519999966"/>
    <n v="0"/>
    <n v="0"/>
    <s v="S"/>
    <m/>
    <n v="0"/>
    <n v="3"/>
    <n v="0"/>
    <n v="0.20129164999999999"/>
    <n v="0"/>
    <m/>
    <m/>
    <n v="0"/>
    <n v="0"/>
    <n v="1633661.45"/>
    <n v="1.2333592799999999"/>
    <m/>
    <m/>
    <n v="93.283806849314999"/>
    <n v="1"/>
    <n v="4.6342288869999999"/>
    <n v="2.8824973840000001"/>
    <n v="2.569812307426"/>
    <n v="2.978082192"/>
    <n v="0.104004268"/>
    <n v="33"/>
    <n v="1087"/>
    <n v="0"/>
    <n v="0"/>
    <n v="2.1094615160000001"/>
    <n v="0"/>
    <n v="0"/>
  </r>
  <r>
    <n v="16975407"/>
    <n v="128"/>
    <n v="9616"/>
    <n v="0"/>
    <n v="0"/>
    <n v="0"/>
    <n v="0"/>
    <n v="0"/>
    <n v="300"/>
    <n v="300"/>
    <n v="300000"/>
    <n v="300000"/>
    <n v="300000"/>
    <n v="300000"/>
    <n v="291252"/>
    <n v="291252"/>
    <n v="291252"/>
    <n v="291252"/>
    <n v="300000"/>
    <n v="300000"/>
    <n v="300000"/>
    <n v="300000"/>
    <n v="0"/>
    <n v="0"/>
    <n v="0"/>
    <n v="0"/>
    <n v="5114.71"/>
    <n v="5114.71"/>
    <n v="5114.71"/>
    <n v="5114.71"/>
    <s v="15/10/2024 00:00:00"/>
    <s v="MEDIOLANUM PENSIONES II, FONDO DE PENSIONES"/>
    <s v="03/10/2023 00:00:00"/>
    <x v="254"/>
    <n v="4"/>
    <s v="EUR"/>
    <s v="U"/>
    <n v="95.864241304190003"/>
    <n v="95.875891304348002"/>
    <n v="287627.67"/>
    <n v="287627.67"/>
    <s v="N"/>
    <n v="4"/>
    <s v="EUR"/>
    <n v="132534288.59999999"/>
    <s v="S"/>
    <n v="1"/>
    <n v="1"/>
    <s v="Industrial"/>
    <s v="Envases y embalaj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1714918999999999"/>
    <s v="ok"/>
    <s v="ok"/>
    <n v="26356083.120000001"/>
    <n v="0"/>
    <n v="34.950000000000003"/>
    <n v="0.01"/>
    <s v="PA"/>
    <n v="-78038.69"/>
    <s v="RF"/>
    <s v="RFE"/>
    <n v="-8773.99"/>
    <n v="-8773.99"/>
    <n v="287592.71999999997"/>
    <n v="287592.7199999999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3267272"/>
    <m/>
    <n v="0"/>
    <n v="-219173.26"/>
    <m/>
    <m/>
    <m/>
    <n v="1355558.46"/>
    <n v="0"/>
    <n v="2520.3126550000002"/>
    <n v="52555.483399999997"/>
    <n v="-296353.43"/>
    <n v="92570020.519999996"/>
    <n v="34.950000000000003"/>
    <n v="394770.09"/>
    <n v="0.29803809999999997"/>
    <m/>
    <n v="0"/>
    <n v="0"/>
    <n v="-296353.43"/>
    <n v="0"/>
    <n v="0"/>
    <n v="16777215"/>
    <n v="0"/>
    <n v="0"/>
    <n v="0"/>
    <n v="0"/>
    <n v="0"/>
    <n v="287627.67"/>
    <n v="287627.67"/>
    <n v="31345322.399999999"/>
    <n v="-1110160.2399999984"/>
    <n v="92570020.519999966"/>
    <n v="0"/>
    <n v="0"/>
    <s v="S"/>
    <m/>
    <n v="0"/>
    <n v="3"/>
    <n v="0"/>
    <n v="0.31071363000000002"/>
    <n v="0"/>
    <m/>
    <m/>
    <n v="0"/>
    <n v="0"/>
    <n v="1633661.45"/>
    <n v="1.2333592799999999"/>
    <m/>
    <m/>
    <n v="95.863173913042999"/>
    <n v="1"/>
    <n v="5.4500593500000001"/>
    <n v="1.0305163159999999"/>
    <n v="0.96167959370900002"/>
    <n v="1.0383561640000001"/>
    <n v="1.9859347999999999E-2"/>
    <n v="12"/>
    <n v="379"/>
    <n v="0"/>
    <n v="0"/>
    <n v="4.1630805510000002"/>
    <n v="0"/>
    <n v="0"/>
  </r>
  <r>
    <n v="16975576"/>
    <n v="128"/>
    <n v="9577"/>
    <n v="0"/>
    <n v="0"/>
    <n v="0"/>
    <n v="0"/>
    <n v="0"/>
    <n v="100"/>
    <n v="100"/>
    <n v="100000"/>
    <n v="100000"/>
    <n v="100000"/>
    <n v="100000"/>
    <n v="104815"/>
    <n v="104815"/>
    <n v="104815"/>
    <n v="104815"/>
    <n v="100000"/>
    <n v="100000"/>
    <n v="100000"/>
    <n v="100000"/>
    <n v="0"/>
    <n v="0"/>
    <n v="0"/>
    <n v="0"/>
    <n v="-2646.05"/>
    <n v="-2646.05"/>
    <n v="-2646.05"/>
    <n v="-2646.05"/>
    <s v="18/03/2025 00:00:00"/>
    <s v="MEDIOLANUM PENSIONES II, FONDO DE PENSIONES"/>
    <s v="03/10/2023 00:00:00"/>
    <x v="255"/>
    <n v="4"/>
    <s v="EUR"/>
    <s v="E"/>
    <n v="96.060998342735004"/>
    <n v="96.605958333333007"/>
    <n v="96605.96"/>
    <n v="96605.96"/>
    <s v="N"/>
    <n v="4"/>
    <s v="EUR"/>
    <n v="132534288.59999999"/>
    <s v="S"/>
    <n v="1"/>
    <n v="1"/>
    <s v="Industrial"/>
    <s v="Envases y embalaj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2934239999999997E-2"/>
    <s v="ok"/>
    <s v="ok"/>
    <n v="26356083.120000001"/>
    <n v="0"/>
    <n v="544.96"/>
    <n v="0.56000000000000005"/>
    <s v="PA"/>
    <n v="-78038.69"/>
    <s v="RF"/>
    <s v="RFE"/>
    <n v="-6107.95"/>
    <n v="-6107.95"/>
    <n v="96061"/>
    <n v="9606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8148159999999994E-2"/>
    <m/>
    <n v="0"/>
    <n v="-219173.26"/>
    <m/>
    <m/>
    <m/>
    <n v="1355558.46"/>
    <n v="0"/>
    <n v="2520.3126550000002"/>
    <n v="52555.483399999997"/>
    <n v="-296353.43"/>
    <n v="92570020.519999996"/>
    <n v="544.96"/>
    <n v="394770.09"/>
    <n v="0.29803809999999997"/>
    <m/>
    <n v="0"/>
    <n v="0"/>
    <n v="-296353.43"/>
    <n v="0"/>
    <n v="0"/>
    <n v="16777215"/>
    <n v="0"/>
    <n v="0"/>
    <n v="0"/>
    <n v="0"/>
    <n v="0"/>
    <n v="96605.96"/>
    <n v="96605.96"/>
    <n v="31345322.399999999"/>
    <n v="-1110160.2399999984"/>
    <n v="92570020.519999966"/>
    <n v="0"/>
    <n v="0"/>
    <s v="S"/>
    <m/>
    <n v="0"/>
    <n v="3"/>
    <n v="0"/>
    <n v="0.10435988"/>
    <n v="0"/>
    <m/>
    <m/>
    <n v="0"/>
    <n v="0"/>
    <n v="1633661.45"/>
    <n v="1.2333592799999999"/>
    <m/>
    <m/>
    <n v="96.582055555555996"/>
    <n v="1"/>
    <n v="5.0305933510000003"/>
    <n v="1.4380426690000001"/>
    <n v="1.35481358776"/>
    <n v="1.4602739730000001"/>
    <n v="3.3565243000000002E-2"/>
    <n v="17"/>
    <n v="533"/>
    <n v="0"/>
    <n v="0"/>
    <n v="-0.77502005600000001"/>
    <n v="0"/>
    <n v="0"/>
  </r>
  <r>
    <n v="16975524"/>
    <n v="128"/>
    <n v="9136"/>
    <n v="0"/>
    <n v="0"/>
    <n v="0"/>
    <n v="0"/>
    <n v="0"/>
    <n v="900"/>
    <n v="900"/>
    <n v="900000"/>
    <n v="900000"/>
    <n v="900000"/>
    <n v="900000"/>
    <n v="918138"/>
    <n v="918138"/>
    <n v="918138"/>
    <n v="918138"/>
    <n v="900000"/>
    <n v="900000"/>
    <n v="900000"/>
    <n v="900000"/>
    <n v="0"/>
    <n v="0"/>
    <n v="0"/>
    <n v="0"/>
    <n v="17988.14"/>
    <n v="17988.14"/>
    <n v="17988.14"/>
    <n v="17988.14"/>
    <s v="15/04/2024 00:00:00"/>
    <s v="MEDIOLANUM PENSIONES II, FONDO DE PENSIONES"/>
    <s v="03/10/2023 00:00:00"/>
    <x v="256"/>
    <n v="4"/>
    <s v="EUR"/>
    <s v="E"/>
    <n v="80.563083333335001"/>
    <n v="80.577166666668006"/>
    <n v="725194.5"/>
    <n v="725194.5"/>
    <s v="N"/>
    <n v="4"/>
    <s v="EUR"/>
    <n v="132534288.59999999"/>
    <s v="S"/>
    <n v="1"/>
    <n v="1"/>
    <s v="Industrial"/>
    <s v="Materiales construc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54749738000000003"/>
    <s v="ok"/>
    <s v="ok"/>
    <n v="26356083.120000001"/>
    <n v="0"/>
    <n v="126.75"/>
    <n v="0.01"/>
    <s v="PA"/>
    <n v="-78038.69"/>
    <s v="RF"/>
    <s v="RFE"/>
    <n v="-211058.39"/>
    <n v="-211058.39"/>
    <n v="725067.75"/>
    <n v="725067.7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8663681000000001"/>
    <m/>
    <n v="0"/>
    <n v="-219173.26"/>
    <m/>
    <m/>
    <m/>
    <n v="1355558.46"/>
    <n v="0"/>
    <n v="2520.3126550000002"/>
    <n v="52555.483399999997"/>
    <n v="-296353.43"/>
    <n v="92570020.519999996"/>
    <n v="126.75"/>
    <n v="394770.09"/>
    <n v="0.29803809999999997"/>
    <m/>
    <n v="0"/>
    <n v="0"/>
    <n v="-296353.43"/>
    <n v="0"/>
    <n v="0"/>
    <n v="16777215"/>
    <n v="0"/>
    <n v="0"/>
    <n v="0"/>
    <n v="0"/>
    <n v="0"/>
    <n v="725194.5"/>
    <n v="725194.5"/>
    <n v="31345322.399999999"/>
    <n v="-1110160.2399999984"/>
    <n v="92570020.519999966"/>
    <n v="0"/>
    <n v="0"/>
    <s v="S"/>
    <m/>
    <n v="0"/>
    <n v="3"/>
    <n v="0"/>
    <n v="0.78340103999999999"/>
    <n v="0"/>
    <m/>
    <m/>
    <n v="0"/>
    <n v="0"/>
    <n v="1633661.45"/>
    <n v="1.2333592799999999"/>
    <m/>
    <m/>
    <n v="80.572972222223001"/>
    <n v="1"/>
    <n v="68.702552560000001"/>
    <n v="0.521648636"/>
    <n v="0.31284243976699999"/>
    <n v="0.536986301"/>
    <n v="4.436433E-3"/>
    <n v="5"/>
    <n v="196"/>
    <n v="0"/>
    <n v="0"/>
    <n v="7.4557677260000004"/>
    <n v="0"/>
    <n v="0"/>
  </r>
  <r>
    <n v="16975509"/>
    <n v="128"/>
    <n v="9406"/>
    <n v="0"/>
    <n v="0"/>
    <n v="0"/>
    <n v="0"/>
    <n v="0"/>
    <n v="4"/>
    <n v="4"/>
    <n v="400000"/>
    <n v="400000"/>
    <n v="400000"/>
    <n v="400000"/>
    <n v="406944.57"/>
    <n v="406944.57"/>
    <n v="406944.57"/>
    <n v="406944.57"/>
    <n v="400000"/>
    <n v="400000"/>
    <n v="400000"/>
    <n v="400000"/>
    <n v="0"/>
    <n v="0"/>
    <n v="0"/>
    <n v="0"/>
    <n v="-4066.3"/>
    <n v="-4066.3"/>
    <n v="-4066.3"/>
    <n v="-4066.3"/>
    <s v="22/04/2026 00:00:00"/>
    <s v="MEDIOLANUM PENSIONES II, FONDO DE PENSIONES"/>
    <s v="03/10/2023 00:00:00"/>
    <x v="257"/>
    <n v="4"/>
    <s v="EUR"/>
    <s v="S"/>
    <n v="88.242701215196007"/>
    <n v="88.290043715848"/>
    <n v="353160.17"/>
    <n v="353160.17"/>
    <s v="N"/>
    <n v="4"/>
    <s v="EUR"/>
    <n v="132534288.59999999"/>
    <s v="S"/>
    <n v="1"/>
    <n v="1"/>
    <s v="Inv. Inmobiliarias"/>
    <s v="REIT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6662401000000002"/>
    <s v="ok"/>
    <s v="ok"/>
    <n v="26356083.120000001"/>
    <n v="0"/>
    <n v="189.37"/>
    <n v="0.06"/>
    <s v="PA"/>
    <n v="-78038.69"/>
    <s v="RF"/>
    <s v="RFE"/>
    <n v="-49907.47"/>
    <n v="-49907.47"/>
    <n v="352970.8"/>
    <n v="352970.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8568440000000001"/>
    <m/>
    <n v="0"/>
    <n v="-219173.26"/>
    <m/>
    <m/>
    <m/>
    <n v="1355558.46"/>
    <n v="0"/>
    <n v="2520.3126550000002"/>
    <n v="52555.483399999997"/>
    <n v="-296353.43"/>
    <n v="92570020.519999996"/>
    <n v="189.37"/>
    <n v="394770.09"/>
    <n v="0.29803809999999997"/>
    <m/>
    <n v="0"/>
    <n v="0"/>
    <n v="-296353.43"/>
    <n v="0"/>
    <n v="0"/>
    <n v="16777215"/>
    <n v="0"/>
    <n v="0"/>
    <n v="0"/>
    <n v="0"/>
    <n v="0"/>
    <n v="353160.17"/>
    <n v="353160.17"/>
    <n v="31345322.399999999"/>
    <n v="-1110160.2399999984"/>
    <n v="92570020.519999966"/>
    <n v="0"/>
    <n v="0"/>
    <s v="S"/>
    <m/>
    <n v="0"/>
    <n v="3"/>
    <n v="0"/>
    <n v="0.38150599000000002"/>
    <n v="0"/>
    <m/>
    <m/>
    <n v="0"/>
    <n v="0"/>
    <n v="1633661.45"/>
    <n v="1.2333592799999999"/>
    <m/>
    <m/>
    <n v="88.347262295080995"/>
    <n v="1"/>
    <n v="7.0440341169999998"/>
    <n v="2.5086353959999999"/>
    <n v="2.0704663383250002"/>
    <n v="2.5561643840000001"/>
    <n v="7.7385725000000002E-2"/>
    <n v="28"/>
    <n v="933"/>
    <n v="0"/>
    <n v="0"/>
    <n v="1.1932025559999999"/>
    <n v="0"/>
    <n v="0"/>
  </r>
  <r>
    <n v="16975451"/>
    <n v="128"/>
    <n v="7239"/>
    <n v="0"/>
    <n v="0"/>
    <n v="0"/>
    <n v="0"/>
    <n v="0"/>
    <n v="400"/>
    <n v="400"/>
    <n v="400000"/>
    <n v="400000"/>
    <n v="400000"/>
    <n v="400000"/>
    <n v="398218"/>
    <n v="398218"/>
    <n v="398218"/>
    <n v="398218"/>
    <n v="400000"/>
    <n v="400000"/>
    <n v="400000"/>
    <n v="400000"/>
    <n v="0"/>
    <n v="0"/>
    <n v="0"/>
    <n v="0"/>
    <n v="3883.62"/>
    <n v="3883.62"/>
    <n v="3883.62"/>
    <n v="3883.62"/>
    <s v="19/08/2025 00:00:00"/>
    <s v="MEDIOLANUM PENSIONES II, FONDO DE PENSIONES"/>
    <s v="03/10/2023 00:00:00"/>
    <x v="258"/>
    <n v="4"/>
    <s v="EUR"/>
    <s v="E"/>
    <n v="96.315275034251997"/>
    <n v="96.297157534245997"/>
    <n v="385188.63"/>
    <n v="385188.63"/>
    <s v="N"/>
    <n v="4"/>
    <s v="EUR"/>
    <n v="132534288.59999999"/>
    <s v="S"/>
    <n v="1"/>
    <n v="1"/>
    <s v="Recursos Basicos"/>
    <s v="Hierro/Acer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9080442000000001"/>
    <s v="ok"/>
    <s v="ok"/>
    <n v="26356083.120000001"/>
    <n v="0"/>
    <n v="-72.47"/>
    <n v="-0.02"/>
    <s v="PA"/>
    <n v="-78038.69"/>
    <s v="RF"/>
    <s v="RFE"/>
    <n v="-16840.52"/>
    <n v="-16840.52"/>
    <n v="385261.1"/>
    <n v="385261.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1159341000000002"/>
    <m/>
    <n v="0"/>
    <n v="-219173.26"/>
    <m/>
    <m/>
    <m/>
    <n v="1355558.46"/>
    <n v="0"/>
    <n v="2520.3126550000002"/>
    <n v="52555.483399999997"/>
    <n v="-296353.43"/>
    <n v="92570020.519999996"/>
    <n v="-72.47"/>
    <n v="394770.09"/>
    <n v="0.29803809999999997"/>
    <m/>
    <n v="0"/>
    <n v="0"/>
    <n v="-296353.43"/>
    <n v="0"/>
    <n v="0"/>
    <n v="16777215"/>
    <n v="0"/>
    <n v="0"/>
    <n v="0"/>
    <n v="0"/>
    <n v="0"/>
    <n v="385188.63"/>
    <n v="385188.63"/>
    <n v="31345322.399999999"/>
    <n v="-1110160.2399999984"/>
    <n v="92570020.519999966"/>
    <n v="0"/>
    <n v="0"/>
    <s v="S"/>
    <m/>
    <n v="0"/>
    <n v="3"/>
    <n v="0"/>
    <n v="0.41610515999999997"/>
    <n v="0"/>
    <m/>
    <m/>
    <n v="0"/>
    <n v="0"/>
    <n v="1633661.45"/>
    <n v="1.2333592799999999"/>
    <m/>
    <m/>
    <n v="96.315863013699001"/>
    <n v="1"/>
    <n v="4.7083987020000002"/>
    <n v="1.835301952"/>
    <n v="1.688199738996"/>
    <n v="1.882191781"/>
    <n v="4.8035258999999997E-2"/>
    <n v="21"/>
    <n v="687"/>
    <n v="0"/>
    <n v="0"/>
    <n v="2.8390149569999998"/>
    <n v="0"/>
    <n v="0"/>
  </r>
  <r>
    <n v="16975408"/>
    <n v="128"/>
    <n v="7349"/>
    <n v="0"/>
    <n v="0"/>
    <n v="0"/>
    <n v="0"/>
    <n v="0"/>
    <n v="300"/>
    <n v="300"/>
    <n v="300000"/>
    <n v="300000"/>
    <n v="300000"/>
    <n v="300000"/>
    <n v="297567"/>
    <n v="297567"/>
    <n v="297567"/>
    <n v="297567"/>
    <n v="300000"/>
    <n v="300000"/>
    <n v="300000"/>
    <n v="300000"/>
    <n v="0"/>
    <n v="0"/>
    <n v="0"/>
    <n v="0"/>
    <n v="3259.01"/>
    <n v="3259.01"/>
    <n v="3259.01"/>
    <n v="3259.01"/>
    <s v="17/01/2024 00:00:00"/>
    <s v="MEDIOLANUM PENSIONES II, FONDO DE PENSIONES"/>
    <s v="03/10/2023 00:00:00"/>
    <x v="259"/>
    <n v="4"/>
    <s v="EUR"/>
    <s v="A"/>
    <n v="99.110684519721005"/>
    <n v="99.179794520548"/>
    <n v="297539.38"/>
    <n v="297539.38"/>
    <s v="N"/>
    <n v="4"/>
    <s v="EUR"/>
    <n v="132534288.59999999"/>
    <s v="S"/>
    <n v="1"/>
    <n v="1"/>
    <s v="Recursos Basicos"/>
    <s v="Hierro/Acer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463219000000001"/>
    <s v="ok"/>
    <s v="ok"/>
    <n v="26356083.120000001"/>
    <n v="0"/>
    <n v="207.33"/>
    <n v="7.0000000000000007E-2"/>
    <s v="PA"/>
    <n v="-78038.69"/>
    <s v="RF"/>
    <s v="RFE"/>
    <n v="-3493.96"/>
    <n v="-3493.96"/>
    <n v="297332.05"/>
    <n v="297332.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4069067"/>
    <m/>
    <n v="0"/>
    <n v="-219173.26"/>
    <m/>
    <m/>
    <m/>
    <n v="1355558.46"/>
    <n v="0"/>
    <n v="2520.3126550000002"/>
    <n v="52555.483399999997"/>
    <n v="-296353.43"/>
    <n v="92570020.519999996"/>
    <n v="207.33"/>
    <n v="394770.09"/>
    <n v="0.29803809999999997"/>
    <m/>
    <n v="0"/>
    <n v="0"/>
    <n v="-296353.43"/>
    <n v="0"/>
    <n v="0"/>
    <n v="16777215"/>
    <n v="0"/>
    <n v="0"/>
    <n v="0"/>
    <n v="0"/>
    <n v="0"/>
    <n v="297539.38"/>
    <n v="297539.38"/>
    <n v="31345322.399999999"/>
    <n v="-1110160.2399999984"/>
    <n v="92570020.519999966"/>
    <n v="0"/>
    <n v="0"/>
    <s v="S"/>
    <m/>
    <n v="0"/>
    <n v="3"/>
    <n v="0"/>
    <n v="0.32142089000000001"/>
    <n v="0"/>
    <m/>
    <m/>
    <n v="0"/>
    <n v="0"/>
    <n v="1633661.45"/>
    <n v="1.2333592799999999"/>
    <m/>
    <m/>
    <n v="99.180924657534007"/>
    <n v="1"/>
    <n v="4.6100140339999998"/>
    <n v="0.29315068500000002"/>
    <n v="0.277936642171"/>
    <n v="0.29315068500000002"/>
    <n v="3.4641250000000002E-3"/>
    <n v="3"/>
    <n v="107"/>
    <n v="0"/>
    <n v="0"/>
    <n v="4.5809598720000002"/>
    <n v="0"/>
    <n v="0"/>
  </r>
  <r>
    <n v="16975537"/>
    <n v="128"/>
    <n v="7286"/>
    <n v="0"/>
    <n v="0"/>
    <n v="0"/>
    <n v="0"/>
    <n v="0"/>
    <n v="900"/>
    <n v="900"/>
    <n v="900000"/>
    <n v="900000"/>
    <n v="900000"/>
    <n v="900000"/>
    <n v="900028.64"/>
    <n v="900028.64"/>
    <n v="900028.64"/>
    <n v="900028.64"/>
    <n v="900000"/>
    <n v="900000"/>
    <n v="900000"/>
    <n v="900000"/>
    <n v="0"/>
    <n v="0"/>
    <n v="0"/>
    <n v="0"/>
    <n v="15334.17"/>
    <n v="15334.17"/>
    <n v="15334.17"/>
    <n v="15334.17"/>
    <s v="15/12/2023 00:00:00"/>
    <s v="MEDIOLANUM PENSIONES II, FONDO DE PENSIONES"/>
    <s v="03/10/2023 00:00:00"/>
    <x v="260"/>
    <n v="4"/>
    <s v="EUR"/>
    <s v="E"/>
    <n v="88.923505555556005"/>
    <n v="88.736000000000004"/>
    <n v="798624"/>
    <n v="798624"/>
    <s v="N"/>
    <n v="4"/>
    <s v="EUR"/>
    <n v="132534288.59999999"/>
    <s v="S"/>
    <n v="1"/>
    <n v="1"/>
    <s v="Recursos Basicos"/>
    <s v="Papel y serv fore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0293417999999999"/>
    <s v="ok"/>
    <s v="ok"/>
    <n v="26356083.120000001"/>
    <n v="0"/>
    <n v="-1687.55"/>
    <n v="-0.21"/>
    <s v="PA"/>
    <n v="-78038.69"/>
    <s v="RF"/>
    <s v="RFE"/>
    <n v="-115051.26"/>
    <n v="-115051.26"/>
    <n v="800311.55"/>
    <n v="800311.5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64603666999999998"/>
    <m/>
    <n v="0"/>
    <n v="-219173.26"/>
    <m/>
    <m/>
    <m/>
    <n v="1355558.46"/>
    <n v="0"/>
    <n v="2520.3126550000002"/>
    <n v="52555.483399999997"/>
    <n v="-296353.43"/>
    <n v="92570020.519999996"/>
    <n v="-1687.55"/>
    <n v="394770.09"/>
    <n v="0.29803809999999997"/>
    <m/>
    <n v="0"/>
    <n v="0"/>
    <n v="-296353.43"/>
    <n v="0"/>
    <n v="0"/>
    <n v="16777215"/>
    <n v="0"/>
    <n v="0"/>
    <n v="0"/>
    <n v="0"/>
    <n v="0"/>
    <n v="798624"/>
    <n v="798624"/>
    <n v="31345322.399999999"/>
    <n v="-1110160.2399999984"/>
    <n v="92570020.519999966"/>
    <n v="0"/>
    <n v="0"/>
    <s v="S"/>
    <m/>
    <n v="0"/>
    <n v="3"/>
    <n v="0"/>
    <n v="0.86272422999999998"/>
    <n v="0"/>
    <m/>
    <m/>
    <n v="0"/>
    <n v="0"/>
    <n v="1633661.45"/>
    <n v="1.2333592799999999"/>
    <m/>
    <m/>
    <n v="88.728013888888"/>
    <n v="1"/>
    <n v="100.37064556200001"/>
    <n v="0.20277777799999999"/>
    <n v="0.119799119861"/>
    <n v="0.20273972600000001"/>
    <n v="1.0813109999999999E-3"/>
    <n v="2"/>
    <n v="74"/>
    <n v="0"/>
    <n v="0"/>
    <n v="11.077785818000001"/>
    <n v="0"/>
    <n v="0"/>
  </r>
  <r>
    <n v="16975381"/>
    <n v="128"/>
    <n v="1034"/>
    <n v="0"/>
    <n v="0"/>
    <n v="0"/>
    <n v="0"/>
    <n v="0"/>
    <n v="250"/>
    <n v="250"/>
    <n v="250000"/>
    <n v="250000"/>
    <n v="250000"/>
    <n v="189165.88"/>
    <n v="252771.82"/>
    <n v="192521.42"/>
    <n v="252771.82"/>
    <n v="192521.42"/>
    <n v="250000"/>
    <n v="189165.88"/>
    <n v="250000"/>
    <n v="189165.88"/>
    <n v="0"/>
    <n v="0"/>
    <n v="0"/>
    <n v="0"/>
    <n v="8458.24"/>
    <n v="7999.85"/>
    <n v="8458.24"/>
    <n v="7999.85"/>
    <s v="15/04/2036 00:00:00"/>
    <s v="MEDIOLANUM PENSIONES II, FONDO DE PENSIONES"/>
    <s v="03/10/2023 00:00:00"/>
    <x v="261"/>
    <n v="5"/>
    <s v="USD"/>
    <s v="E"/>
    <n v="105.201917347728"/>
    <n v="104.078233333333"/>
    <n v="260195.58"/>
    <n v="248183.5"/>
    <s v="N"/>
    <n v="4"/>
    <s v="EUR"/>
    <n v="132534288.59999999"/>
    <s v="S"/>
    <n v="1"/>
    <n v="1"/>
    <s v="Recursos Basicos"/>
    <s v="Papel y serv fores"/>
    <n v="0"/>
    <m/>
    <n v="8205251.6799999997"/>
    <n v="1.0484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18737017"/>
    <s v="ok"/>
    <s v="ok"/>
    <n v="26356083.120000001"/>
    <n v="0"/>
    <n v="-567.84"/>
    <n v="-1.06"/>
    <s v="PA"/>
    <n v="-78038.69"/>
    <s v="RF"/>
    <s v="RFE"/>
    <n v="1774.73"/>
    <n v="48230.07"/>
    <n v="263004.78999999998"/>
    <n v="248751.34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20076487000000001"/>
    <m/>
    <n v="0"/>
    <n v="-219173.26"/>
    <m/>
    <m/>
    <m/>
    <n v="1355558.46"/>
    <n v="0"/>
    <n v="2520.3126550000002"/>
    <n v="52555.483399999997"/>
    <n v="-296353.43"/>
    <n v="92570020.519999996"/>
    <n v="-2809.21"/>
    <n v="394770.09"/>
    <n v="0.29803809999999997"/>
    <m/>
    <n v="0"/>
    <n v="0"/>
    <n v="-296353.43"/>
    <n v="0"/>
    <n v="0"/>
    <n v="16777215"/>
    <n v="0"/>
    <n v="0"/>
    <n v="0"/>
    <n v="0"/>
    <n v="0"/>
    <n v="260195.58"/>
    <n v="248183.5"/>
    <n v="31345322.399999999"/>
    <n v="-1110160.2399999984"/>
    <n v="92570020.519999966"/>
    <n v="0"/>
    <n v="0"/>
    <s v="S"/>
    <m/>
    <n v="0"/>
    <n v="3"/>
    <n v="0"/>
    <n v="0.26810353999999997"/>
    <n v="0"/>
    <m/>
    <m/>
    <n v="0"/>
    <n v="0"/>
    <n v="1633661.45"/>
    <n v="1.2333592799999999"/>
    <m/>
    <m/>
    <n v="104.854794444444"/>
    <n v="1.0572999999999999"/>
    <n v="7.1930368280000003"/>
    <n v="8.202415963"/>
    <n v="8.3020419309579996"/>
    <n v="12.545205479"/>
    <n v="0.89522206199999999"/>
    <n v="95"/>
    <n v="4579"/>
    <n v="0"/>
    <n v="0"/>
    <n v="7.6722216960000003"/>
    <n v="0"/>
    <n v="0"/>
  </r>
  <r>
    <n v="16975528"/>
    <n v="128"/>
    <n v="10668"/>
    <n v="0"/>
    <n v="0"/>
    <n v="0"/>
    <n v="0"/>
    <n v="0"/>
    <n v="6"/>
    <n v="6"/>
    <n v="600000"/>
    <n v="600000"/>
    <n v="600000"/>
    <n v="600000"/>
    <n v="600408"/>
    <n v="600408"/>
    <n v="600408"/>
    <n v="600408"/>
    <n v="600000"/>
    <n v="600000"/>
    <n v="600000"/>
    <n v="600000"/>
    <n v="0"/>
    <n v="0"/>
    <n v="0"/>
    <n v="0"/>
    <n v="5975.42"/>
    <n v="5975.42"/>
    <n v="5975.42"/>
    <n v="5975.42"/>
    <s v="03/04/2028 00:00:00"/>
    <s v="MEDIOLANUM PENSIONES II, FONDO DE PENSIONES"/>
    <s v="03/10/2023 00:00:00"/>
    <x v="262"/>
    <n v="4"/>
    <s v="EUR"/>
    <s v="E"/>
    <n v="100.38444983578199"/>
    <n v="100.20990983606799"/>
    <n v="601259.46"/>
    <n v="601259.46"/>
    <s v="N"/>
    <n v="4"/>
    <s v="EUR"/>
    <n v="132534288.59999999"/>
    <s v="S"/>
    <n v="1"/>
    <n v="1"/>
    <s v="Utilities"/>
    <s v="Servicio ga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5393061000000001"/>
    <s v="ok"/>
    <s v="ok"/>
    <n v="26356083.120000001"/>
    <n v="0"/>
    <n v="-1047.24"/>
    <n v="-0.17"/>
    <s v="PA"/>
    <n v="-78038.69"/>
    <s v="RF"/>
    <s v="RFE"/>
    <n v="-4076.72"/>
    <n v="-4076.72"/>
    <n v="602306.69999999995"/>
    <n v="602306.6999999999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8638114999999998"/>
    <m/>
    <n v="0"/>
    <n v="-219173.26"/>
    <m/>
    <m/>
    <m/>
    <n v="1355558.46"/>
    <n v="0"/>
    <n v="2520.3126550000002"/>
    <n v="52555.483399999997"/>
    <n v="-296353.43"/>
    <n v="92570020.519999996"/>
    <n v="-1047.24"/>
    <n v="394770.09"/>
    <n v="0.29803809999999997"/>
    <m/>
    <n v="0"/>
    <n v="0"/>
    <n v="-296353.43"/>
    <n v="0"/>
    <n v="0"/>
    <n v="16777215"/>
    <n v="0"/>
    <n v="0"/>
    <n v="0"/>
    <n v="0"/>
    <n v="0"/>
    <n v="601259.46"/>
    <n v="601259.46"/>
    <n v="31345322.399999999"/>
    <n v="-1110160.2399999984"/>
    <n v="92570020.519999966"/>
    <n v="0"/>
    <n v="0"/>
    <s v="S"/>
    <m/>
    <n v="0"/>
    <n v="3"/>
    <n v="0"/>
    <n v="0.64951855999999997"/>
    <n v="0"/>
    <m/>
    <m/>
    <n v="0"/>
    <n v="0"/>
    <n v="1633661.45"/>
    <n v="1.2333592799999999"/>
    <m/>
    <m/>
    <n v="100.413590163932"/>
    <n v="1"/>
    <n v="5.0767205750000004"/>
    <n v="4.100287593"/>
    <n v="3.918323636622"/>
    <n v="4.5068493150000002"/>
    <n v="0.198337228"/>
    <n v="47"/>
    <n v="1645"/>
    <n v="0"/>
    <n v="0"/>
    <n v="5.1651172320000001"/>
    <n v="0"/>
    <n v="0"/>
  </r>
  <r>
    <n v="16975489"/>
    <n v="128"/>
    <n v="4498"/>
    <n v="0"/>
    <n v="0"/>
    <n v="0"/>
    <n v="0"/>
    <n v="0"/>
    <n v="600"/>
    <n v="600"/>
    <n v="600000"/>
    <n v="600000"/>
    <n v="600000"/>
    <n v="600000"/>
    <n v="629512.19999999995"/>
    <n v="629512.19999999995"/>
    <n v="629512.19999999995"/>
    <n v="629512.19999999995"/>
    <n v="600000"/>
    <n v="600000"/>
    <n v="600000"/>
    <n v="600000"/>
    <n v="0"/>
    <n v="0"/>
    <n v="0"/>
    <n v="0"/>
    <n v="-17310.02"/>
    <n v="-17310.02"/>
    <n v="-17310.02"/>
    <n v="-17310.02"/>
    <s v="08/03/2027 00:00:00"/>
    <s v="MEDIOLANUM PENSIONES II, FONDO DE PENSIONES"/>
    <s v="03/10/2023 00:00:00"/>
    <x v="263"/>
    <n v="4"/>
    <s v="EUR"/>
    <s v="S"/>
    <n v="95.356868032782003"/>
    <n v="95.354918032788007"/>
    <n v="572129.51"/>
    <n v="572129.51"/>
    <s v="N"/>
    <n v="4"/>
    <s v="EUR"/>
    <n v="132534288.59999999"/>
    <s v="S"/>
    <n v="1"/>
    <n v="1"/>
    <s v="Utilities"/>
    <s v="Servicios agua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3193848000000001"/>
    <s v="ok"/>
    <s v="ok"/>
    <n v="26356083.120000001"/>
    <n v="0"/>
    <n v="-11.7"/>
    <n v="0"/>
    <s v="PA"/>
    <n v="-78038.69"/>
    <s v="RF"/>
    <s v="RFE"/>
    <n v="-40060.97"/>
    <n v="-40060.97"/>
    <n v="572141.21"/>
    <n v="572141.2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6281685"/>
    <m/>
    <n v="0"/>
    <n v="-219173.26"/>
    <m/>
    <m/>
    <m/>
    <n v="1355558.46"/>
    <n v="0"/>
    <n v="2520.3126550000002"/>
    <n v="52555.483399999997"/>
    <n v="-296353.43"/>
    <n v="92570020.519999996"/>
    <n v="-11.7"/>
    <n v="394770.09"/>
    <n v="0.29803809999999997"/>
    <m/>
    <n v="0"/>
    <n v="0"/>
    <n v="-296353.43"/>
    <n v="0"/>
    <n v="0"/>
    <n v="16777215"/>
    <n v="0"/>
    <n v="0"/>
    <n v="0"/>
    <n v="0"/>
    <n v="0"/>
    <n v="572129.51"/>
    <n v="572129.51"/>
    <n v="31345322.399999999"/>
    <n v="-1110160.2399999984"/>
    <n v="92570020.519999966"/>
    <n v="0"/>
    <n v="0"/>
    <s v="S"/>
    <m/>
    <n v="0"/>
    <n v="3"/>
    <n v="0"/>
    <n v="0.61805054000000004"/>
    <n v="0"/>
    <m/>
    <m/>
    <n v="0"/>
    <n v="0"/>
    <n v="1633661.45"/>
    <n v="1.2333592799999999"/>
    <m/>
    <m/>
    <n v="95.411234972676993"/>
    <n v="1"/>
    <n v="4.3629160389999999"/>
    <n v="3.2948982789999999"/>
    <n v="3.0122798961739998"/>
    <n v="3.4328767120000001"/>
    <n v="0.132458831"/>
    <n v="38"/>
    <n v="1253"/>
    <n v="0"/>
    <n v="0"/>
    <n v="1.400613739"/>
    <n v="0"/>
    <n v="0"/>
  </r>
  <r>
    <n v="16975533"/>
    <n v="128"/>
    <n v="4612"/>
    <n v="0"/>
    <n v="0"/>
    <n v="0"/>
    <n v="0"/>
    <n v="0"/>
    <n v="9"/>
    <n v="9"/>
    <n v="450000"/>
    <n v="450000"/>
    <n v="450000"/>
    <n v="450000"/>
    <n v="506481.83"/>
    <n v="506481.83"/>
    <n v="506481.83"/>
    <n v="506481.83"/>
    <n v="450000"/>
    <n v="450000"/>
    <n v="450000"/>
    <n v="450000"/>
    <n v="0"/>
    <n v="0"/>
    <n v="0"/>
    <n v="0"/>
    <n v="-42839.37"/>
    <n v="-42839.37"/>
    <n v="-42839.37"/>
    <n v="-42839.37"/>
    <s v="23/09/2024 00:00:00"/>
    <s v="MEDIOLANUM PENSIONES II, FONDO DE PENSIONES"/>
    <s v="03/10/2023 00:00:00"/>
    <x v="264"/>
    <n v="4"/>
    <s v="EUR"/>
    <s v="E"/>
    <n v="100.683236721382"/>
    <n v="100.68969672131399"/>
    <n v="453103.64"/>
    <n v="453103.64"/>
    <s v="N"/>
    <n v="4"/>
    <s v="EUR"/>
    <n v="132534288.59999999"/>
    <s v="S"/>
    <n v="1"/>
    <n v="1"/>
    <s v="Utilities"/>
    <s v="Servicios Electri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34207796000000001"/>
    <s v="ok"/>
    <s v="ok"/>
    <n v="26356083.120000001"/>
    <n v="0"/>
    <n v="29.07"/>
    <n v="0.01"/>
    <s v="PA"/>
    <n v="-78038.69"/>
    <s v="RF"/>
    <s v="RFE"/>
    <n v="-10567.89"/>
    <n v="-10567.89"/>
    <n v="453074.57"/>
    <n v="453074.57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36653238999999999"/>
    <m/>
    <n v="0"/>
    <n v="-219173.26"/>
    <m/>
    <m/>
    <m/>
    <n v="1355558.46"/>
    <n v="0"/>
    <n v="2520.3126550000002"/>
    <n v="52555.483399999997"/>
    <n v="-296353.43"/>
    <n v="92570020.519999996"/>
    <n v="29.07"/>
    <n v="394770.09"/>
    <n v="0.29803809999999997"/>
    <m/>
    <n v="0"/>
    <n v="0"/>
    <n v="-296353.43"/>
    <n v="0"/>
    <n v="0"/>
    <n v="16777215"/>
    <n v="0"/>
    <n v="0"/>
    <n v="0"/>
    <n v="0"/>
    <n v="0"/>
    <n v="453103.64"/>
    <n v="453103.64"/>
    <n v="31345322.399999999"/>
    <n v="-1110160.2399999984"/>
    <n v="92570020.519999966"/>
    <n v="0"/>
    <n v="0"/>
    <s v="S"/>
    <m/>
    <n v="0"/>
    <n v="3"/>
    <n v="0"/>
    <n v="0.48947125000000002"/>
    <n v="0"/>
    <m/>
    <m/>
    <n v="0"/>
    <n v="0"/>
    <n v="1633661.45"/>
    <n v="1.2333592799999999"/>
    <m/>
    <m/>
    <n v="100.697877049178"/>
    <n v="1"/>
    <n v="4.2549431350000004"/>
    <n v="0.97540983599999997"/>
    <n v="0.94212990560800003"/>
    <n v="0.97808219200000002"/>
    <n v="1.7727644000000001E-2"/>
    <n v="11"/>
    <n v="357"/>
    <n v="0"/>
    <n v="0"/>
    <n v="-6.9862426949999996"/>
    <n v="0"/>
    <n v="0"/>
  </r>
  <r>
    <n v="16975397"/>
    <n v="128"/>
    <n v="8458"/>
    <n v="0"/>
    <n v="0"/>
    <n v="0"/>
    <n v="0"/>
    <n v="0"/>
    <n v="1"/>
    <n v="1"/>
    <n v="100000"/>
    <n v="100000"/>
    <n v="100000"/>
    <n v="100000"/>
    <n v="106857"/>
    <n v="106857"/>
    <n v="106857"/>
    <n v="106857"/>
    <n v="100000"/>
    <n v="100000"/>
    <n v="100000"/>
    <n v="100000"/>
    <n v="0"/>
    <n v="0"/>
    <n v="0"/>
    <n v="0"/>
    <n v="-3124.33"/>
    <n v="-3124.33"/>
    <n v="-3124.33"/>
    <n v="-3124.33"/>
    <s v="23/01/2026 00:00:00"/>
    <s v="MEDIOLANUM PENSIONES II, FONDO DE PENSIONES"/>
    <s v="03/10/2023 00:00:00"/>
    <x v="265"/>
    <n v="4"/>
    <s v="EUR"/>
    <s v="E"/>
    <n v="98.230413773636002"/>
    <n v="98.148573770492007"/>
    <n v="98148.57"/>
    <n v="98148.57"/>
    <s v="N"/>
    <n v="4"/>
    <s v="EUR"/>
    <n v="132534288.59999999"/>
    <s v="S"/>
    <n v="1"/>
    <n v="1"/>
    <s v="Utilities"/>
    <s v="Servicios Electri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7.4098860000000003E-2"/>
    <s v="ok"/>
    <s v="ok"/>
    <n v="26356083.120000001"/>
    <n v="0"/>
    <n v="-81.84"/>
    <n v="-0.08"/>
    <s v="PA"/>
    <n v="-78038.69"/>
    <s v="RF"/>
    <s v="RFE"/>
    <n v="-5502.26"/>
    <n v="-5502.26"/>
    <n v="98230.41"/>
    <n v="98230.41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7.9396030000000006E-2"/>
    <m/>
    <n v="0"/>
    <n v="-219173.26"/>
    <m/>
    <m/>
    <m/>
    <n v="1355558.46"/>
    <n v="0"/>
    <n v="2520.3126550000002"/>
    <n v="52555.483399999997"/>
    <n v="-296353.43"/>
    <n v="92570020.519999996"/>
    <n v="-81.84"/>
    <n v="394770.09"/>
    <n v="0.29803809999999997"/>
    <m/>
    <n v="0"/>
    <n v="0"/>
    <n v="-296353.43"/>
    <n v="0"/>
    <n v="0"/>
    <n v="16777215"/>
    <n v="0"/>
    <n v="0"/>
    <n v="0"/>
    <n v="0"/>
    <n v="0"/>
    <n v="98148.57"/>
    <n v="98148.57"/>
    <n v="31345322.399999999"/>
    <n v="-1110160.2399999984"/>
    <n v="92570020.519999966"/>
    <n v="0"/>
    <n v="0"/>
    <s v="S"/>
    <m/>
    <n v="0"/>
    <n v="3"/>
    <n v="0"/>
    <n v="0.1060263"/>
    <n v="0"/>
    <m/>
    <m/>
    <n v="0"/>
    <n v="0"/>
    <n v="1633661.45"/>
    <n v="1.2333592799999999"/>
    <m/>
    <m/>
    <n v="98.210352459017997"/>
    <n v="1"/>
    <n v="4.9121783470000002"/>
    <n v="2.2269727640000001"/>
    <n v="2.0847129813060001"/>
    <n v="2.3123287669999999"/>
    <n v="6.632702E-2"/>
    <n v="25"/>
    <n v="844"/>
    <n v="0"/>
    <n v="0"/>
    <n v="1.0150638489999999"/>
    <n v="0"/>
    <n v="0"/>
  </r>
  <r>
    <n v="16975523"/>
    <n v="128"/>
    <n v="7060"/>
    <n v="0"/>
    <n v="0"/>
    <n v="0"/>
    <n v="0"/>
    <n v="0"/>
    <n v="900"/>
    <n v="900"/>
    <n v="900000"/>
    <n v="900000"/>
    <n v="900000"/>
    <n v="900000"/>
    <n v="935963"/>
    <n v="935963"/>
    <n v="935963"/>
    <n v="935963"/>
    <n v="900000"/>
    <n v="900000"/>
    <n v="900000"/>
    <n v="900000"/>
    <n v="0"/>
    <n v="0"/>
    <n v="0"/>
    <n v="0"/>
    <n v="-17675.96"/>
    <n v="-17675.96"/>
    <n v="-17675.96"/>
    <n v="-17675.96"/>
    <s v="28/06/2025 00:00:00"/>
    <s v="MEDIOLANUM PENSIONES II, FONDO DE PENSIONES"/>
    <s v="03/10/2023 00:00:00"/>
    <x v="266"/>
    <n v="4"/>
    <s v="EUR"/>
    <s v="R"/>
    <n v="97.118906739617998"/>
    <n v="96.994595628414004"/>
    <n v="872951.36"/>
    <n v="872951.36"/>
    <s v="N"/>
    <n v="4"/>
    <s v="EUR"/>
    <n v="132534288.59999999"/>
    <s v="S"/>
    <n v="1"/>
    <n v="1"/>
    <s v="Utilities"/>
    <s v="Servicios Electri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65904883000000003"/>
    <s v="ok"/>
    <s v="ok"/>
    <n v="26356083.120000001"/>
    <n v="0"/>
    <n v="-1118.8"/>
    <n v="-0.12"/>
    <s v="PA"/>
    <n v="-78038.69"/>
    <s v="RF"/>
    <s v="RFE"/>
    <n v="-44216.88"/>
    <n v="-44216.88"/>
    <n v="874070.16"/>
    <n v="874070.16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70616283000000002"/>
    <m/>
    <n v="0"/>
    <n v="-219173.26"/>
    <m/>
    <m/>
    <m/>
    <n v="1355558.46"/>
    <n v="0"/>
    <n v="2520.3126550000002"/>
    <n v="52555.483399999997"/>
    <n v="-296353.43"/>
    <n v="92570020.519999996"/>
    <n v="-1118.8"/>
    <n v="394770.09"/>
    <n v="0.29803809999999997"/>
    <m/>
    <n v="0"/>
    <n v="0"/>
    <n v="-296353.43"/>
    <n v="0"/>
    <n v="0"/>
    <n v="16777215"/>
    <n v="0"/>
    <n v="0"/>
    <n v="0"/>
    <n v="0"/>
    <n v="0"/>
    <n v="872951.36"/>
    <n v="872951.36"/>
    <n v="31345322.399999999"/>
    <n v="-1110160.2399999984"/>
    <n v="92570020.519999966"/>
    <n v="0"/>
    <n v="0"/>
    <s v="S"/>
    <m/>
    <n v="0"/>
    <n v="3"/>
    <n v="0"/>
    <n v="0.94301736000000003"/>
    <n v="0"/>
    <m/>
    <m/>
    <n v="0"/>
    <n v="0"/>
    <n v="1633661.45"/>
    <n v="1.2333592799999999"/>
    <m/>
    <m/>
    <n v="97.113532786885003"/>
    <n v="1"/>
    <n v="5.8541272070000003"/>
    <n v="1.703145913"/>
    <n v="1.5625136289879999"/>
    <n v="1.7397260269999999"/>
    <n v="4.1384889000000001E-2"/>
    <n v="19"/>
    <n v="635"/>
    <n v="0"/>
    <n v="0"/>
    <n v="1.684528984"/>
    <n v="0"/>
    <n v="0"/>
  </r>
  <r>
    <n v="16975520"/>
    <n v="128"/>
    <n v="7137"/>
    <n v="0"/>
    <n v="0"/>
    <n v="0"/>
    <n v="0"/>
    <n v="0"/>
    <n v="800"/>
    <n v="800"/>
    <n v="800000"/>
    <n v="800000"/>
    <n v="800000"/>
    <n v="800000"/>
    <n v="798225.7"/>
    <n v="798225.7"/>
    <n v="798225.7"/>
    <n v="798225.7"/>
    <n v="800000"/>
    <n v="800000"/>
    <n v="800000"/>
    <n v="800000"/>
    <n v="0"/>
    <n v="0"/>
    <n v="0"/>
    <n v="0"/>
    <n v="6360.96"/>
    <n v="6360.96"/>
    <n v="6360.96"/>
    <n v="6360.96"/>
    <s v="09/12/2025 00:00:00"/>
    <s v="MEDIOLANUM PENSIONES II, FONDO DE PENSIONES"/>
    <s v="03/10/2023 00:00:00"/>
    <x v="267"/>
    <n v="4"/>
    <s v="EUR"/>
    <s v="E"/>
    <n v="92.501123013061999"/>
    <n v="92.362844262294999"/>
    <n v="738902.75"/>
    <n v="738902.75"/>
    <s v="N"/>
    <n v="4"/>
    <s v="EUR"/>
    <n v="132534288.59999999"/>
    <s v="S"/>
    <n v="1"/>
    <n v="1"/>
    <s v="Utilities"/>
    <s v="Servicios Electri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55784665"/>
    <s v="ok"/>
    <s v="ok"/>
    <n v="26356083.120000001"/>
    <n v="0"/>
    <n v="-1106.23"/>
    <n v="-0.15"/>
    <s v="PA"/>
    <n v="-78038.69"/>
    <s v="RF"/>
    <s v="RFE"/>
    <n v="-64577.68"/>
    <n v="-64577.68"/>
    <n v="740008.98"/>
    <n v="740008.98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59772592999999996"/>
    <m/>
    <n v="0"/>
    <n v="-219173.26"/>
    <m/>
    <m/>
    <m/>
    <n v="1355558.46"/>
    <n v="0"/>
    <n v="2520.3126550000002"/>
    <n v="52555.483399999997"/>
    <n v="-296353.43"/>
    <n v="92570020.519999996"/>
    <n v="-1106.23"/>
    <n v="394770.09"/>
    <n v="0.29803809999999997"/>
    <m/>
    <n v="0"/>
    <n v="0"/>
    <n v="-296353.43"/>
    <n v="0"/>
    <n v="0"/>
    <n v="16777215"/>
    <n v="0"/>
    <n v="0"/>
    <n v="0"/>
    <n v="0"/>
    <n v="0"/>
    <n v="738902.75"/>
    <n v="738902.75"/>
    <n v="31345322.399999999"/>
    <n v="-1110160.2399999984"/>
    <n v="92570020.519999966"/>
    <n v="0"/>
    <n v="0"/>
    <s v="S"/>
    <m/>
    <n v="0"/>
    <n v="3"/>
    <n v="0"/>
    <n v="0.79820955999999998"/>
    <n v="0"/>
    <m/>
    <m/>
    <n v="0"/>
    <n v="0"/>
    <n v="1633661.45"/>
    <n v="1.2333592799999999"/>
    <m/>
    <m/>
    <n v="92.469270491803002"/>
    <n v="1"/>
    <n v="5.1710158599999998"/>
    <n v="2.1569401770000001"/>
    <n v="1.896441553177"/>
    <n v="2.189041096"/>
    <n v="6.1942252000000003E-2"/>
    <n v="25"/>
    <n v="799"/>
    <n v="0"/>
    <n v="0"/>
    <n v="1.52758032"/>
    <n v="0"/>
    <n v="0"/>
  </r>
  <r>
    <n v="16975519"/>
    <n v="128"/>
    <n v="9407"/>
    <n v="0"/>
    <n v="0"/>
    <n v="0"/>
    <n v="0"/>
    <n v="0"/>
    <n v="700"/>
    <n v="700"/>
    <n v="700000"/>
    <n v="700000"/>
    <n v="700000"/>
    <n v="700000"/>
    <n v="695899"/>
    <n v="695899"/>
    <n v="695899"/>
    <n v="695899"/>
    <n v="700000"/>
    <n v="700000"/>
    <n v="700000"/>
    <n v="700000"/>
    <n v="0"/>
    <n v="0"/>
    <n v="0"/>
    <n v="0"/>
    <n v="560.32000000000005"/>
    <n v="560.32000000000005"/>
    <n v="560.32000000000005"/>
    <n v="560.32000000000005"/>
    <s v="22/04/2028 00:00:00"/>
    <s v="MEDIOLANUM PENSIONES II, FONDO DE PENSIONES"/>
    <s v="03/10/2023 00:00:00"/>
    <x v="268"/>
    <n v="4"/>
    <s v="EUR"/>
    <s v="R"/>
    <n v="84.393578344182998"/>
    <n v="84.073661202186997"/>
    <n v="588515.63"/>
    <n v="588515.63"/>
    <s v="N"/>
    <n v="4"/>
    <s v="EUR"/>
    <n v="132534288.59999999"/>
    <s v="S"/>
    <n v="1"/>
    <n v="1"/>
    <s v="Utilities"/>
    <s v="Servicios Electri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44430944999999999"/>
    <s v="ok"/>
    <s v="ok"/>
    <n v="26356083.120000001"/>
    <n v="0"/>
    <n v="-2239.42"/>
    <n v="-0.38"/>
    <s v="PA"/>
    <n v="-78038.69"/>
    <s v="RF"/>
    <s v="RFE"/>
    <n v="-105704.27"/>
    <n v="-105704.27"/>
    <n v="590755.05000000005"/>
    <n v="590755.05000000005"/>
    <n v="0"/>
    <n v="1.4438757900000001"/>
    <n v="13.27863496"/>
    <n v="17588381.91"/>
    <n v="1912503.72"/>
    <n v="6269233.6699999999"/>
    <s v="N"/>
    <s v="N"/>
    <s v="CONTADO"/>
    <s v="29/09/2023 00:00:00"/>
    <x v="6"/>
    <n v="0"/>
    <s v="29/09/2023 00:00:00"/>
    <n v="0.47607219000000001"/>
    <m/>
    <n v="0"/>
    <n v="-219173.26"/>
    <m/>
    <m/>
    <m/>
    <n v="1355558.46"/>
    <n v="0"/>
    <n v="2520.3126550000002"/>
    <n v="52555.483399999997"/>
    <n v="-296353.43"/>
    <n v="92570020.519999996"/>
    <n v="-2239.42"/>
    <n v="394770.09"/>
    <n v="0.29803809999999997"/>
    <m/>
    <n v="0"/>
    <n v="0"/>
    <n v="-296353.43"/>
    <n v="0"/>
    <n v="0"/>
    <n v="16777215"/>
    <n v="0"/>
    <n v="0"/>
    <n v="0"/>
    <n v="0"/>
    <n v="0"/>
    <n v="588515.63"/>
    <n v="588515.63"/>
    <n v="31345322.399999999"/>
    <n v="-1110160.2399999984"/>
    <n v="92570020.519999966"/>
    <n v="0"/>
    <n v="0"/>
    <s v="S"/>
    <m/>
    <n v="0"/>
    <n v="3"/>
    <n v="0"/>
    <n v="0.63575185999999995"/>
    <n v="0"/>
    <m/>
    <m/>
    <n v="0"/>
    <n v="0"/>
    <n v="1633661.45"/>
    <n v="1.2333592799999999"/>
    <m/>
    <m/>
    <n v="84.312467213114004"/>
    <n v="1"/>
    <n v="6.6840112109999996"/>
    <n v="4.320488879"/>
    <n v="3.4144861336310002"/>
    <n v="4.5589041100000003"/>
    <n v="0.20738456499999999"/>
    <n v="49"/>
    <n v="1664"/>
    <n v="0"/>
    <n v="0"/>
    <n v="2.7023849119999999"/>
    <n v="0"/>
    <n v="0"/>
  </r>
  <r>
    <n v="16975493"/>
    <n v="128"/>
    <n v="10788"/>
    <n v="0"/>
    <n v="0"/>
    <n v="0"/>
    <n v="0"/>
    <n v="0"/>
    <n v="3"/>
    <n v="3"/>
    <n v="300000"/>
    <n v="300000"/>
    <n v="300000"/>
    <n v="299475"/>
    <n v="299475"/>
    <n v="299475"/>
    <n v="299475"/>
    <n v="299475"/>
    <n v="300000"/>
    <n v="300000"/>
    <n v="300000"/>
    <n v="300000"/>
    <n v="0"/>
    <n v="0"/>
    <n v="0"/>
    <n v="0"/>
    <n v="0"/>
    <n v="0"/>
    <n v="0"/>
    <n v="0"/>
    <s v="02/10/2025 00:00:00"/>
    <s v="MEDIOLANUM PENSIONES II, FONDO DE PENSIONES"/>
    <s v="03/10/2023 00:00:00"/>
    <x v="269"/>
    <n v="4"/>
    <s v="EUR"/>
    <s v="E"/>
    <n v="100.063998851883"/>
    <n v="100.013868852458"/>
    <n v="300041.61"/>
    <n v="300041.61"/>
    <s v="N"/>
    <n v="4"/>
    <s v="EUR"/>
    <n v="132534288.59999999"/>
    <s v="N"/>
    <n v="2"/>
    <n v="3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22652128999999999"/>
    <s v="ok"/>
    <s v="ok"/>
    <n v="26356083.120000001"/>
    <n v="0"/>
    <n v="-150.38999999999999"/>
    <n v="-0.05"/>
    <s v="PA"/>
    <n v="-78038.69"/>
    <s v="RF"/>
    <s v="RFE"/>
    <n v="717"/>
    <n v="717"/>
    <n v="300192"/>
    <n v="300192"/>
    <n v="0"/>
    <n v="1.4438757900000001"/>
    <n v="13.27863496"/>
    <n v="17588381.91"/>
    <n v="1912503.72"/>
    <n v="6269233.6699999999"/>
    <s v="N"/>
    <s v="N"/>
    <s v="COMPRAS A PLAZO"/>
    <s v="29/09/2023 00:00:00"/>
    <x v="6"/>
    <n v="0"/>
    <s v="29/09/2023 00:00:00"/>
    <n v="0"/>
    <n v="12639424"/>
    <n v="0"/>
    <n v="-219173.26"/>
    <m/>
    <m/>
    <m/>
    <n v="1355558.46"/>
    <n v="0"/>
    <n v="2520.3126550000002"/>
    <n v="52555.483399999997"/>
    <n v="-296353.43"/>
    <n v="92570020.519999996"/>
    <n v="-150.38999999999999"/>
    <n v="394770.09"/>
    <n v="0.29803809999999997"/>
    <m/>
    <n v="0"/>
    <n v="0"/>
    <n v="-296353.43"/>
    <n v="0"/>
    <n v="0"/>
    <n v="16777215"/>
    <n v="0"/>
    <n v="0"/>
    <n v="0"/>
    <n v="0"/>
    <n v="0"/>
    <n v="300041.61"/>
    <n v="300041.61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100.039"/>
    <n v="1"/>
    <n v="5.6038459830000003"/>
    <n v="1.94675566"/>
    <n v="1.844170424076"/>
    <n v="2.0027397260000002"/>
    <n v="5.1891438999999998E-2"/>
    <n v="22"/>
    <n v="731"/>
    <n v="0"/>
    <n v="0"/>
    <n v="5.7200771850000001"/>
    <n v="0"/>
    <n v="0"/>
  </r>
  <r>
    <n v="16975605"/>
    <n v="128"/>
    <n v="10632"/>
    <n v="0"/>
    <n v="0"/>
    <n v="0"/>
    <n v="0"/>
    <n v="3741"/>
    <n v="0"/>
    <n v="1000"/>
    <n v="0"/>
    <n v="0"/>
    <n v="1000000"/>
    <n v="1000000"/>
    <n v="0"/>
    <n v="0"/>
    <n v="953995"/>
    <n v="953995"/>
    <n v="0"/>
    <n v="0"/>
    <n v="1000000"/>
    <n v="1000000"/>
    <n v="0"/>
    <n v="0"/>
    <n v="8449.32"/>
    <n v="8449.32"/>
    <n v="0"/>
    <n v="0"/>
    <n v="0"/>
    <n v="0"/>
    <s v="20/01/2025 00:00:00"/>
    <s v="MEDIOLANUM PENSIONES II, FONDO DE PENSIONES"/>
    <s v="03/10/2023 00:00:00"/>
    <x v="270"/>
    <n v="4"/>
    <s v="EUR"/>
    <s v="E"/>
    <n v="96.244431835449006"/>
    <n v="96.146143835616996"/>
    <n v="961461.44"/>
    <n v="961461.44"/>
    <s v="N"/>
    <n v="4"/>
    <s v="EUR"/>
    <n v="132534288.59999999"/>
    <s v="N"/>
    <n v="5"/>
    <n v="5"/>
    <s v="Financiero"/>
    <s v="Bancos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2587095000000001"/>
    <s v="ok"/>
    <s v="ok"/>
    <n v="26356083.120000001"/>
    <n v="0"/>
    <n v="-982.88"/>
    <n v="-0.1"/>
    <s v="PA"/>
    <n v="-78038.69"/>
    <s v="RF"/>
    <s v="RFE"/>
    <n v="0"/>
    <n v="0"/>
    <n v="962444.32"/>
    <n v="962444.32"/>
    <n v="0"/>
    <n v="1.4438757900000001"/>
    <n v="13.27863496"/>
    <n v="17588381.91"/>
    <n v="1912503.72"/>
    <n v="6269233.6699999999"/>
    <s v="N"/>
    <s v="N"/>
    <s v="COMPRAS COMPROMISO"/>
    <s v="29/09/2023 00:00:00"/>
    <x v="6"/>
    <n v="0"/>
    <s v="29/09/2023 00:00:00"/>
    <n v="0"/>
    <n v="12639424"/>
    <n v="0"/>
    <n v="-219173.26"/>
    <m/>
    <s v="T"/>
    <m/>
    <n v="1355558.46"/>
    <n v="0"/>
    <n v="2520.3126550000002"/>
    <n v="52555.483399999997"/>
    <n v="-296353.43"/>
    <n v="92570020.519999996"/>
    <n v="-982.88"/>
    <n v="394770.09"/>
    <n v="0.29803809999999997"/>
    <m/>
    <n v="0"/>
    <n v="0"/>
    <n v="-296353.43"/>
    <n v="0"/>
    <n v="0"/>
    <n v="16777215"/>
    <n v="0"/>
    <n v="0"/>
    <n v="0"/>
    <n v="0"/>
    <n v="0"/>
    <n v="961461.44"/>
    <n v="961461.44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96.242931506849004"/>
    <n v="1"/>
    <n v="4.2233815210000003"/>
    <n v="1.289162227"/>
    <n v="1.190450262733"/>
    <n v="1.3041095890000001"/>
    <n v="2.7278771E-2"/>
    <n v="15"/>
    <n v="476"/>
    <n v="0"/>
    <n v="0"/>
    <n v="4.9312457910000003"/>
    <n v="0"/>
    <n v="0"/>
  </r>
  <r>
    <n v="16975606"/>
    <n v="128"/>
    <n v="8771"/>
    <n v="0"/>
    <n v="0"/>
    <n v="0"/>
    <n v="0"/>
    <n v="3742"/>
    <n v="0"/>
    <n v="1000"/>
    <n v="0"/>
    <n v="0"/>
    <n v="1000000"/>
    <n v="1000000"/>
    <n v="0"/>
    <n v="0"/>
    <n v="975615"/>
    <n v="975615"/>
    <n v="0"/>
    <n v="0"/>
    <n v="1000000"/>
    <n v="1000000"/>
    <n v="0"/>
    <n v="0"/>
    <n v="1793.03"/>
    <n v="1793.03"/>
    <n v="0"/>
    <n v="0"/>
    <n v="0"/>
    <n v="0"/>
    <s v="21/06/2024 00:00:00"/>
    <s v="MEDIOLANUM PENSIONES II, FONDO DE PENSIONES"/>
    <s v="03/10/2023 00:00:00"/>
    <x v="271"/>
    <n v="4"/>
    <s v="EUR"/>
    <s v="E"/>
    <n v="97.740802628333995"/>
    <n v="97.719595628414993"/>
    <n v="977195.96"/>
    <n v="977195.96"/>
    <s v="N"/>
    <n v="4"/>
    <s v="EUR"/>
    <n v="132534288.59999999"/>
    <s v="N"/>
    <n v="5"/>
    <n v="5"/>
    <s v="Financiero"/>
    <s v="Fin.Diversificado"/>
    <n v="0"/>
    <m/>
    <n v="8205251.6799999997"/>
    <n v="1"/>
    <m/>
    <s v="03/10/2023 23:59:59"/>
    <n v="1"/>
    <n v="1"/>
    <s v="B"/>
    <n v="0"/>
    <n v="31345322.399999999"/>
    <n v="0"/>
    <n v="123618989.48999999"/>
    <n v="132456249.91"/>
    <n v="596150.00000000012"/>
    <n v="9219855.2300000004"/>
    <n v="23.664660909999998"/>
    <n v="0.45007313999999998"/>
    <n v="6.9606796500000003"/>
    <n v="0.73774998000000003"/>
    <s v="ok"/>
    <s v="ok"/>
    <n v="26356083.120000001"/>
    <n v="0"/>
    <n v="-212.07"/>
    <n v="-0.02"/>
    <s v="PA"/>
    <n v="-78038.69"/>
    <s v="RF"/>
    <s v="RFE"/>
    <n v="0"/>
    <n v="0"/>
    <n v="977408.03"/>
    <n v="977408.03"/>
    <n v="0"/>
    <n v="1.4438757900000001"/>
    <n v="13.27863496"/>
    <n v="17588381.91"/>
    <n v="1912503.72"/>
    <n v="6269233.6699999999"/>
    <s v="N"/>
    <s v="N"/>
    <s v="COMPRAS COMPROMISO"/>
    <s v="29/09/2023 00:00:00"/>
    <x v="6"/>
    <n v="0"/>
    <s v="29/09/2023 00:00:00"/>
    <n v="0"/>
    <n v="12639424"/>
    <n v="0"/>
    <n v="-219173.26"/>
    <m/>
    <s v="T"/>
    <m/>
    <n v="1355558.46"/>
    <n v="0"/>
    <n v="2520.3126550000002"/>
    <n v="52555.483399999997"/>
    <n v="-296353.43"/>
    <n v="92570020.519999996"/>
    <n v="-212.07"/>
    <n v="394770.09"/>
    <n v="0.29803809999999997"/>
    <m/>
    <n v="0"/>
    <n v="0"/>
    <n v="-296353.43"/>
    <n v="0"/>
    <n v="0"/>
    <n v="16777215"/>
    <n v="0"/>
    <n v="0"/>
    <n v="0"/>
    <n v="0"/>
    <n v="0"/>
    <n v="977195.96"/>
    <n v="977195.96"/>
    <n v="31345322.399999999"/>
    <n v="-1110160.2399999984"/>
    <n v="92570020.519999966"/>
    <n v="0"/>
    <n v="0"/>
    <s v="S"/>
    <m/>
    <n v="0"/>
    <n v="3"/>
    <n v="0"/>
    <n v="0"/>
    <n v="0"/>
    <m/>
    <m/>
    <n v="0"/>
    <n v="0"/>
    <n v="1633661.45"/>
    <n v="1.2333592799999999"/>
    <m/>
    <m/>
    <n v="97.739303278688993"/>
    <n v="1"/>
    <n v="3.8721141640000001"/>
    <n v="0.71857923499999998"/>
    <n v="0.67615292430899998"/>
    <n v="0.72054794499999997"/>
    <n v="1.1445802999999999E-2"/>
    <n v="8"/>
    <n v="263"/>
    <n v="0"/>
    <n v="0"/>
    <n v="4.135175662"/>
    <n v="0"/>
    <n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428A3-D284-46CF-9D3A-091E3E10AAF8}" name="TablaDinámica1" cacheId="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TICKER">
  <location ref="B15:G210" firstHeaderRow="0" firstDataRow="1" firstDataCol="1" rowPageCount="1" colPageCount="1"/>
  <pivotFields count="161"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63">
        <item x="1"/>
        <item x="2"/>
        <item x="66"/>
        <item m="1" x="292"/>
        <item x="62"/>
        <item x="52"/>
        <item x="42"/>
        <item sd="0" m="1" x="340"/>
        <item m="1" x="306"/>
        <item m="1" x="289"/>
        <item m="1" x="325"/>
        <item x="13"/>
        <item x="263"/>
        <item x="182"/>
        <item x="43"/>
        <item x="112"/>
        <item m="1" x="308"/>
        <item x="205"/>
        <item x="4"/>
        <item x="40"/>
        <item m="1" x="283"/>
        <item x="111"/>
        <item x="55"/>
        <item x="15"/>
        <item m="1" x="305"/>
        <item m="1" x="339"/>
        <item x="63"/>
        <item x="260"/>
        <item x="206"/>
        <item m="1" x="338"/>
        <item m="1" x="293"/>
        <item x="118"/>
        <item x="210"/>
        <item x="211"/>
        <item x="212"/>
        <item x="213"/>
        <item x="214"/>
        <item x="215"/>
        <item m="1" x="300"/>
        <item x="122"/>
        <item x="123"/>
        <item m="1" x="303"/>
        <item x="124"/>
        <item x="125"/>
        <item x="170"/>
        <item x="171"/>
        <item x="127"/>
        <item x="130"/>
        <item x="131"/>
        <item m="1" x="273"/>
        <item x="132"/>
        <item m="1" x="350"/>
        <item x="133"/>
        <item x="134"/>
        <item x="219"/>
        <item m="1" x="296"/>
        <item x="264"/>
        <item x="81"/>
        <item m="1" x="353"/>
        <item m="1" x="316"/>
        <item x="98"/>
        <item x="99"/>
        <item m="1" x="317"/>
        <item x="102"/>
        <item x="188"/>
        <item m="1" x="310"/>
        <item x="265"/>
        <item x="189"/>
        <item m="1" x="329"/>
        <item m="1" x="320"/>
        <item x="174"/>
        <item m="1" x="335"/>
        <item x="6"/>
        <item x="222"/>
        <item m="1" x="360"/>
        <item x="223"/>
        <item x="224"/>
        <item m="1" x="359"/>
        <item x="57"/>
        <item x="21"/>
        <item m="1" x="318"/>
        <item m="1" x="294"/>
        <item m="1" x="345"/>
        <item m="1" x="285"/>
        <item x="23"/>
        <item m="1" x="348"/>
        <item x="14"/>
        <item m="1" x="313"/>
        <item x="67"/>
        <item m="1" x="297"/>
        <item x="59"/>
        <item x="68"/>
        <item x="7"/>
        <item m="1" x="322"/>
        <item x="9"/>
        <item x="136"/>
        <item x="137"/>
        <item m="1" x="282"/>
        <item x="138"/>
        <item x="172"/>
        <item x="139"/>
        <item x="183"/>
        <item m="1" x="275"/>
        <item m="1" x="326"/>
        <item x="27"/>
        <item x="140"/>
        <item x="33"/>
        <item m="1" x="333"/>
        <item m="1" x="330"/>
        <item x="190"/>
        <item x="191"/>
        <item x="109"/>
        <item m="1" x="337"/>
        <item m="1" x="295"/>
        <item x="83"/>
        <item x="8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m="1" x="299"/>
        <item m="1" x="357"/>
        <item m="1" x="290"/>
        <item x="110"/>
        <item x="261"/>
        <item x="10"/>
        <item x="113"/>
        <item x="249"/>
        <item x="114"/>
        <item x="184"/>
        <item m="1" x="315"/>
        <item x="185"/>
        <item m="1" x="286"/>
        <item x="85"/>
        <item x="115"/>
        <item x="241"/>
        <item m="1" x="281"/>
        <item m="1" x="287"/>
        <item x="78"/>
        <item m="1" x="277"/>
        <item x="90"/>
        <item x="100"/>
        <item m="1" x="351"/>
        <item x="176"/>
        <item x="250"/>
        <item m="1" x="301"/>
        <item x="141"/>
        <item m="1" x="344"/>
        <item x="192"/>
        <item m="1" x="341"/>
        <item x="106"/>
        <item x="242"/>
        <item x="142"/>
        <item x="86"/>
        <item m="1" x="332"/>
        <item m="1" x="361"/>
        <item x="103"/>
        <item m="1" x="342"/>
        <item x="266"/>
        <item x="143"/>
        <item m="1" x="356"/>
        <item x="144"/>
        <item x="243"/>
        <item x="246"/>
        <item x="145"/>
        <item x="87"/>
        <item m="1" x="307"/>
        <item m="1" x="323"/>
        <item m="1" x="278"/>
        <item x="116"/>
        <item x="91"/>
        <item x="147"/>
        <item x="173"/>
        <item m="1" x="288"/>
        <item x="92"/>
        <item x="148"/>
        <item m="1" x="279"/>
        <item x="267"/>
        <item m="1" x="334"/>
        <item x="247"/>
        <item x="149"/>
        <item x="193"/>
        <item x="150"/>
        <item x="151"/>
        <item x="194"/>
        <item x="152"/>
        <item x="153"/>
        <item m="1" x="343"/>
        <item x="88"/>
        <item x="252"/>
        <item x="253"/>
        <item m="1" x="302"/>
        <item x="258"/>
        <item x="177"/>
        <item x="178"/>
        <item x="254"/>
        <item m="1" x="336"/>
        <item x="259"/>
        <item x="82"/>
        <item x="154"/>
        <item x="155"/>
        <item m="1" x="304"/>
        <item m="1" x="347"/>
        <item m="1" x="328"/>
        <item x="244"/>
        <item x="255"/>
        <item x="119"/>
        <item m="1" x="309"/>
        <item m="1" x="346"/>
        <item x="179"/>
        <item m="1" x="331"/>
        <item m="1" x="358"/>
        <item x="180"/>
        <item x="195"/>
        <item x="104"/>
        <item x="186"/>
        <item x="196"/>
        <item x="79"/>
        <item m="1" x="311"/>
        <item m="1" x="324"/>
        <item x="108"/>
        <item x="117"/>
        <item x="197"/>
        <item x="89"/>
        <item x="93"/>
        <item x="156"/>
        <item x="245"/>
        <item x="198"/>
        <item x="94"/>
        <item x="95"/>
        <item x="256"/>
        <item x="120"/>
        <item m="1" x="314"/>
        <item x="251"/>
        <item m="1" x="312"/>
        <item m="1" x="349"/>
        <item x="181"/>
        <item m="1" x="284"/>
        <item x="199"/>
        <item x="248"/>
        <item x="107"/>
        <item x="200"/>
        <item x="105"/>
        <item x="96"/>
        <item x="257"/>
        <item x="157"/>
        <item x="268"/>
        <item x="187"/>
        <item x="80"/>
        <item x="158"/>
        <item x="201"/>
        <item x="97"/>
        <item x="202"/>
        <item m="1" x="354"/>
        <item x="203"/>
        <item x="204"/>
        <item x="101"/>
        <item x="159"/>
        <item x="160"/>
        <item m="1" x="291"/>
        <item x="162"/>
        <item m="1" x="352"/>
        <item x="163"/>
        <item x="164"/>
        <item x="69"/>
        <item m="1" x="274"/>
        <item x="165"/>
        <item x="166"/>
        <item x="272"/>
        <item m="1" x="327"/>
        <item x="239"/>
        <item x="220"/>
        <item x="135"/>
        <item x="207"/>
        <item x="221"/>
        <item x="218"/>
        <item x="72"/>
        <item m="1" x="298"/>
        <item m="1" x="321"/>
        <item x="75"/>
        <item m="1" x="319"/>
        <item m="1" x="355"/>
        <item x="73"/>
        <item x="74"/>
        <item x="76"/>
        <item x="77"/>
        <item m="1" x="280"/>
        <item x="129"/>
        <item x="168"/>
        <item x="169"/>
        <item x="121"/>
        <item x="128"/>
        <item x="167"/>
        <item m="1" x="276"/>
        <item x="126"/>
        <item x="216"/>
        <item x="262"/>
        <item x="146"/>
        <item x="209"/>
        <item x="3"/>
        <item x="5"/>
        <item x="8"/>
        <item x="11"/>
        <item x="12"/>
        <item x="16"/>
        <item x="17"/>
        <item x="18"/>
        <item x="19"/>
        <item x="20"/>
        <item x="22"/>
        <item x="24"/>
        <item x="25"/>
        <item x="26"/>
        <item x="28"/>
        <item x="29"/>
        <item x="30"/>
        <item x="31"/>
        <item x="32"/>
        <item x="34"/>
        <item x="35"/>
        <item x="36"/>
        <item x="37"/>
        <item x="38"/>
        <item x="39"/>
        <item x="41"/>
        <item x="44"/>
        <item x="45"/>
        <item x="46"/>
        <item x="47"/>
        <item x="48"/>
        <item x="49"/>
        <item x="50"/>
        <item x="51"/>
        <item x="53"/>
        <item x="54"/>
        <item x="56"/>
        <item x="58"/>
        <item x="60"/>
        <item x="61"/>
        <item x="64"/>
        <item x="65"/>
        <item x="71"/>
        <item x="161"/>
        <item x="175"/>
        <item x="217"/>
        <item x="229"/>
        <item x="240"/>
        <item x="0"/>
        <item x="70"/>
        <item x="208"/>
        <item x="238"/>
        <item x="269"/>
        <item x="270"/>
        <item x="27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1"/>
        <item h="1" x="2"/>
        <item h="1" x="0"/>
        <item h="1" x="3"/>
        <item x="6"/>
        <item h="1" x="7"/>
        <item h="1" x="4"/>
        <item h="1" x="5"/>
        <item h="1" m="1" x="8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3"/>
  </rowFields>
  <rowItems count="195">
    <i>
      <x v="12"/>
    </i>
    <i>
      <x v="13"/>
    </i>
    <i>
      <x v="15"/>
    </i>
    <i>
      <x v="17"/>
    </i>
    <i>
      <x v="21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2"/>
    </i>
    <i>
      <x v="53"/>
    </i>
    <i>
      <x v="54"/>
    </i>
    <i>
      <x v="56"/>
    </i>
    <i>
      <x v="57"/>
    </i>
    <i>
      <x v="60"/>
    </i>
    <i>
      <x v="61"/>
    </i>
    <i>
      <x v="63"/>
    </i>
    <i>
      <x v="64"/>
    </i>
    <i>
      <x v="66"/>
    </i>
    <i>
      <x v="67"/>
    </i>
    <i>
      <x v="70"/>
    </i>
    <i>
      <x v="73"/>
    </i>
    <i>
      <x v="75"/>
    </i>
    <i>
      <x v="76"/>
    </i>
    <i>
      <x v="95"/>
    </i>
    <i>
      <x v="96"/>
    </i>
    <i>
      <x v="98"/>
    </i>
    <i>
      <x v="99"/>
    </i>
    <i>
      <x v="100"/>
    </i>
    <i>
      <x v="101"/>
    </i>
    <i>
      <x v="105"/>
    </i>
    <i>
      <x v="109"/>
    </i>
    <i>
      <x v="110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31"/>
    </i>
    <i>
      <x v="132"/>
    </i>
    <i>
      <x v="134"/>
    </i>
    <i>
      <x v="135"/>
    </i>
    <i>
      <x v="136"/>
    </i>
    <i>
      <x v="137"/>
    </i>
    <i>
      <x v="139"/>
    </i>
    <i>
      <x v="141"/>
    </i>
    <i>
      <x v="142"/>
    </i>
    <i>
      <x v="143"/>
    </i>
    <i>
      <x v="146"/>
    </i>
    <i>
      <x v="148"/>
    </i>
    <i>
      <x v="149"/>
    </i>
    <i>
      <x v="151"/>
    </i>
    <i>
      <x v="152"/>
    </i>
    <i>
      <x v="154"/>
    </i>
    <i>
      <x v="156"/>
    </i>
    <i>
      <x v="158"/>
    </i>
    <i>
      <x v="159"/>
    </i>
    <i>
      <x v="160"/>
    </i>
    <i>
      <x v="161"/>
    </i>
    <i>
      <x v="164"/>
    </i>
    <i>
      <x v="166"/>
    </i>
    <i>
      <x v="167"/>
    </i>
    <i>
      <x v="169"/>
    </i>
    <i>
      <x v="170"/>
    </i>
    <i>
      <x v="171"/>
    </i>
    <i>
      <x v="172"/>
    </i>
    <i>
      <x v="173"/>
    </i>
    <i>
      <x v="177"/>
    </i>
    <i>
      <x v="178"/>
    </i>
    <i>
      <x v="179"/>
    </i>
    <i>
      <x v="180"/>
    </i>
    <i>
      <x v="182"/>
    </i>
    <i>
      <x v="183"/>
    </i>
    <i>
      <x v="185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12"/>
    </i>
    <i>
      <x v="213"/>
    </i>
    <i>
      <x v="214"/>
    </i>
    <i>
      <x v="217"/>
    </i>
    <i>
      <x v="220"/>
    </i>
    <i>
      <x v="221"/>
    </i>
    <i>
      <x v="222"/>
    </i>
    <i>
      <x v="223"/>
    </i>
    <i>
      <x v="224"/>
    </i>
    <i>
      <x v="225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1"/>
    </i>
    <i>
      <x v="244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2"/>
    </i>
    <i>
      <x v="263"/>
    </i>
    <i>
      <x v="264"/>
    </i>
    <i>
      <x v="265"/>
    </i>
    <i>
      <x v="266"/>
    </i>
    <i>
      <x v="268"/>
    </i>
    <i>
      <x v="270"/>
    </i>
    <i>
      <x v="271"/>
    </i>
    <i>
      <x v="274"/>
    </i>
    <i>
      <x v="275"/>
    </i>
    <i>
      <x v="278"/>
    </i>
    <i>
      <x v="279"/>
    </i>
    <i>
      <x v="280"/>
    </i>
    <i>
      <x v="281"/>
    </i>
    <i>
      <x v="282"/>
    </i>
    <i>
      <x v="283"/>
    </i>
    <i>
      <x v="295"/>
    </i>
    <i>
      <x v="296"/>
    </i>
    <i>
      <x v="297"/>
    </i>
    <i>
      <x v="298"/>
    </i>
    <i>
      <x v="299"/>
    </i>
    <i>
      <x v="300"/>
    </i>
    <i>
      <x v="302"/>
    </i>
    <i>
      <x v="303"/>
    </i>
    <i>
      <x v="304"/>
    </i>
    <i>
      <x v="305"/>
    </i>
    <i>
      <x v="306"/>
    </i>
    <i>
      <x v="350"/>
    </i>
    <i>
      <x v="351"/>
    </i>
    <i>
      <x v="352"/>
    </i>
    <i>
      <x v="353"/>
    </i>
    <i>
      <x v="354"/>
    </i>
    <i>
      <x v="357"/>
    </i>
    <i>
      <x v="358"/>
    </i>
    <i>
      <x v="359"/>
    </i>
    <i>
      <x v="360"/>
    </i>
    <i>
      <x v="36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94" hier="-1"/>
  </pageFields>
  <dataFields count="5">
    <dataField name="Suma de instrumento" fld="2" baseField="0" baseItem="0"/>
    <dataField name="Suma de cartera" fld="1" baseField="0" baseItem="0"/>
    <dataField name="Suma de nominal_dis" fld="13" baseField="0" baseItem="0"/>
    <dataField name="Suma de porcentaje_contado" fld="97" baseField="0" baseItem="0" numFmtId="2"/>
    <dataField name="Suma de coste_ini_div" fld="14" baseField="0" baseItem="0" numFmtId="1"/>
  </dataFields>
  <formats count="18">
    <format dxfId="18">
      <pivotArea field="94" type="button" dataOnly="0" labelOnly="1" outline="0" axis="axisPage" fieldPosition="0"/>
    </format>
    <format dxfId="17">
      <pivotArea collapsedLevelsAreSubtotals="1" fieldPosition="0">
        <references count="2">
          <reference field="4294967294" count="1" selected="0">
            <x v="3"/>
          </reference>
          <reference field="33" count="1">
            <x v="12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4">
      <pivotArea collapsedLevelsAreSubtotals="1" fieldPosition="0">
        <references count="1">
          <reference field="33" count="1">
            <x v="15"/>
          </reference>
        </references>
      </pivotArea>
    </format>
    <format dxfId="13">
      <pivotArea dataOnly="0" labelOnly="1" fieldPosition="0">
        <references count="1">
          <reference field="33" count="1">
            <x v="15"/>
          </reference>
        </references>
      </pivotArea>
    </format>
    <format dxfId="12">
      <pivotArea collapsedLevelsAreSubtotals="1" fieldPosition="0">
        <references count="1">
          <reference field="33" count="2">
            <x v="27"/>
            <x v="28"/>
          </reference>
        </references>
      </pivotArea>
    </format>
    <format dxfId="11">
      <pivotArea dataOnly="0" labelOnly="1" fieldPosition="0">
        <references count="1">
          <reference field="33" count="2">
            <x v="27"/>
            <x v="28"/>
          </reference>
        </references>
      </pivotArea>
    </format>
    <format dxfId="10">
      <pivotArea collapsedLevelsAreSubtotals="1" fieldPosition="0">
        <references count="1">
          <reference field="33" count="18">
            <x v="32"/>
            <x v="33"/>
            <x v="34"/>
            <x v="35"/>
            <x v="36"/>
            <x v="37"/>
            <x v="39"/>
            <x v="40"/>
            <x v="42"/>
            <x v="43"/>
            <x v="44"/>
            <x v="45"/>
            <x v="46"/>
            <x v="47"/>
            <x v="48"/>
            <x v="50"/>
            <x v="52"/>
            <x v="53"/>
          </reference>
        </references>
      </pivotArea>
    </format>
    <format dxfId="9">
      <pivotArea dataOnly="0" labelOnly="1" fieldPosition="0">
        <references count="1">
          <reference field="33" count="18">
            <x v="32"/>
            <x v="33"/>
            <x v="34"/>
            <x v="35"/>
            <x v="36"/>
            <x v="37"/>
            <x v="39"/>
            <x v="40"/>
            <x v="42"/>
            <x v="43"/>
            <x v="44"/>
            <x v="45"/>
            <x v="46"/>
            <x v="47"/>
            <x v="48"/>
            <x v="50"/>
            <x v="52"/>
            <x v="53"/>
          </reference>
        </references>
      </pivotArea>
    </format>
    <format dxfId="8">
      <pivotArea collapsedLevelsAreSubtotals="1" fieldPosition="0">
        <references count="1">
          <reference field="33" count="21">
            <x v="56"/>
            <x v="57"/>
            <x v="60"/>
            <x v="61"/>
            <x v="63"/>
            <x v="64"/>
            <x v="66"/>
            <x v="67"/>
            <x v="70"/>
            <x v="73"/>
            <x v="75"/>
            <x v="76"/>
            <x v="95"/>
            <x v="96"/>
            <x v="98"/>
            <x v="99"/>
            <x v="100"/>
            <x v="101"/>
            <x v="105"/>
            <x v="109"/>
            <x v="110"/>
          </reference>
        </references>
      </pivotArea>
    </format>
    <format dxfId="7">
      <pivotArea dataOnly="0" labelOnly="1" fieldPosition="0">
        <references count="1">
          <reference field="33" count="21">
            <x v="56"/>
            <x v="57"/>
            <x v="60"/>
            <x v="61"/>
            <x v="63"/>
            <x v="64"/>
            <x v="66"/>
            <x v="67"/>
            <x v="70"/>
            <x v="73"/>
            <x v="75"/>
            <x v="76"/>
            <x v="95"/>
            <x v="96"/>
            <x v="98"/>
            <x v="99"/>
            <x v="100"/>
            <x v="101"/>
            <x v="105"/>
            <x v="109"/>
            <x v="110"/>
          </reference>
        </references>
      </pivotArea>
    </format>
    <format dxfId="6">
      <pivotArea collapsedLevelsAreSubtotals="1" fieldPosition="0">
        <references count="1">
          <reference field="33" count="2">
            <x v="114"/>
            <x v="115"/>
          </reference>
        </references>
      </pivotArea>
    </format>
    <format dxfId="5">
      <pivotArea dataOnly="0" labelOnly="1" fieldPosition="0">
        <references count="1">
          <reference field="33" count="2">
            <x v="114"/>
            <x v="115"/>
          </reference>
        </references>
      </pivotArea>
    </format>
    <format dxfId="4">
      <pivotArea collapsedLevelsAreSubtotals="1" fieldPosition="0">
        <references count="1">
          <reference field="33" count="142"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31"/>
            <x v="132"/>
            <x v="134"/>
            <x v="135"/>
            <x v="136"/>
            <x v="137"/>
            <x v="139"/>
            <x v="141"/>
            <x v="142"/>
            <x v="143"/>
            <x v="146"/>
            <x v="148"/>
            <x v="149"/>
            <x v="151"/>
            <x v="152"/>
            <x v="154"/>
            <x v="156"/>
            <x v="158"/>
            <x v="159"/>
            <x v="160"/>
            <x v="161"/>
            <x v="164"/>
            <x v="166"/>
            <x v="167"/>
            <x v="169"/>
            <x v="170"/>
            <x v="171"/>
            <x v="172"/>
            <x v="173"/>
            <x v="177"/>
            <x v="178"/>
            <x v="179"/>
            <x v="180"/>
            <x v="182"/>
            <x v="183"/>
            <x v="185"/>
            <x v="187"/>
            <x v="188"/>
            <x v="189"/>
            <x v="190"/>
            <x v="191"/>
            <x v="192"/>
            <x v="193"/>
            <x v="194"/>
            <x v="196"/>
            <x v="197"/>
            <x v="198"/>
            <x v="200"/>
            <x v="201"/>
            <x v="202"/>
            <x v="203"/>
            <x v="205"/>
            <x v="206"/>
            <x v="207"/>
            <x v="208"/>
            <x v="212"/>
            <x v="213"/>
            <x v="214"/>
            <x v="217"/>
            <x v="220"/>
            <x v="221"/>
            <x v="222"/>
            <x v="223"/>
            <x v="224"/>
            <x v="225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1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8"/>
            <x v="270"/>
            <x v="271"/>
            <x v="274"/>
            <x v="275"/>
            <x v="278"/>
            <x v="279"/>
            <x v="280"/>
            <x v="281"/>
            <x v="282"/>
            <x v="283"/>
            <x v="295"/>
            <x v="296"/>
            <x v="297"/>
            <x v="298"/>
            <x v="299"/>
            <x v="300"/>
            <x v="302"/>
            <x v="303"/>
            <x v="304"/>
            <x v="305"/>
            <x v="306"/>
            <x v="350"/>
            <x v="351"/>
            <x v="352"/>
            <x v="353"/>
            <x v="354"/>
            <x v="357"/>
            <x v="358"/>
            <x v="359"/>
            <x v="360"/>
            <x v="361"/>
          </reference>
        </references>
      </pivotArea>
    </format>
    <format dxfId="3">
      <pivotArea dataOnly="0" labelOnly="1" fieldPosition="0">
        <references count="1">
          <reference field="33" count="50"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31"/>
            <x v="132"/>
            <x v="134"/>
            <x v="135"/>
            <x v="136"/>
            <x v="137"/>
            <x v="139"/>
            <x v="141"/>
            <x v="142"/>
            <x v="143"/>
            <x v="146"/>
            <x v="148"/>
            <x v="149"/>
            <x v="151"/>
            <x v="152"/>
            <x v="154"/>
            <x v="156"/>
            <x v="158"/>
            <x v="159"/>
            <x v="160"/>
            <x v="161"/>
            <x v="164"/>
            <x v="166"/>
            <x v="167"/>
            <x v="169"/>
            <x v="170"/>
            <x v="171"/>
            <x v="172"/>
            <x v="173"/>
            <x v="177"/>
            <x v="178"/>
            <x v="179"/>
            <x v="180"/>
            <x v="182"/>
            <x v="183"/>
            <x v="185"/>
            <x v="187"/>
            <x v="188"/>
            <x v="189"/>
          </reference>
        </references>
      </pivotArea>
    </format>
    <format dxfId="2">
      <pivotArea dataOnly="0" labelOnly="1" fieldPosition="0">
        <references count="1">
          <reference field="33" count="50">
            <x v="190"/>
            <x v="191"/>
            <x v="192"/>
            <x v="193"/>
            <x v="194"/>
            <x v="196"/>
            <x v="197"/>
            <x v="198"/>
            <x v="200"/>
            <x v="201"/>
            <x v="202"/>
            <x v="203"/>
            <x v="205"/>
            <x v="206"/>
            <x v="207"/>
            <x v="208"/>
            <x v="212"/>
            <x v="213"/>
            <x v="214"/>
            <x v="217"/>
            <x v="220"/>
            <x v="221"/>
            <x v="222"/>
            <x v="223"/>
            <x v="224"/>
            <x v="225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1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</reference>
        </references>
      </pivotArea>
    </format>
    <format dxfId="1">
      <pivotArea dataOnly="0" labelOnly="1" fieldPosition="0">
        <references count="1">
          <reference field="33" count="42">
            <x v="256"/>
            <x v="257"/>
            <x v="258"/>
            <x v="259"/>
            <x v="260"/>
            <x v="262"/>
            <x v="263"/>
            <x v="264"/>
            <x v="265"/>
            <x v="266"/>
            <x v="268"/>
            <x v="270"/>
            <x v="271"/>
            <x v="274"/>
            <x v="275"/>
            <x v="278"/>
            <x v="279"/>
            <x v="280"/>
            <x v="281"/>
            <x v="282"/>
            <x v="283"/>
            <x v="295"/>
            <x v="296"/>
            <x v="297"/>
            <x v="298"/>
            <x v="299"/>
            <x v="300"/>
            <x v="302"/>
            <x v="303"/>
            <x v="304"/>
            <x v="305"/>
            <x v="306"/>
            <x v="350"/>
            <x v="351"/>
            <x v="352"/>
            <x v="353"/>
            <x v="354"/>
            <x v="357"/>
            <x v="358"/>
            <x v="359"/>
            <x v="360"/>
            <x v="36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8D6A-673C-4119-8872-CAC5E726328C}" name="TablaDinámica5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1">
  <location ref="A3:B25" firstHeaderRow="1" firstDataRow="1" firstDataCol="1"/>
  <pivotFields count="4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x="16"/>
        <item x="18"/>
        <item x="11"/>
        <item x="2"/>
        <item x="10"/>
        <item x="7"/>
        <item x="6"/>
        <item x="0"/>
        <item x="1"/>
        <item x="8"/>
        <item x="15"/>
        <item x="3"/>
        <item x="4"/>
        <item x="5"/>
        <item x="20"/>
        <item x="19"/>
        <item x="13"/>
        <item x="12"/>
        <item m="1" x="22"/>
        <item x="14"/>
        <item x="21"/>
        <item x="9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>
      <x v="22"/>
    </i>
  </rowItems>
  <colItems count="1">
    <i/>
  </colItems>
  <dataFields count="1">
    <dataField name="Suma de Suma de nominal_dis" fld="4" baseField="0" baseItem="0" numFmtId="164"/>
  </dataFields>
  <formats count="1">
    <format dxfId="0">
      <pivotArea outline="0" collapsedLevelsAreSubtotals="1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V284"/>
  <sheetViews>
    <sheetView workbookViewId="0">
      <selection sqref="A1:FE273"/>
    </sheetView>
  </sheetViews>
  <sheetFormatPr baseColWidth="10" defaultRowHeight="16.5" x14ac:dyDescent="0.3"/>
  <cols>
    <col min="1" max="2" width="8" customWidth="1"/>
    <col min="3" max="3" width="11" customWidth="1"/>
    <col min="4" max="5" width="8" customWidth="1"/>
    <col min="6" max="6" width="9" customWidth="1"/>
    <col min="7" max="7" width="8" customWidth="1"/>
    <col min="8" max="8" width="14" customWidth="1"/>
    <col min="9" max="9" width="11" customWidth="1"/>
    <col min="10" max="10" width="11" style="2" customWidth="1"/>
    <col min="11" max="11" width="15" customWidth="1"/>
    <col min="12" max="12" width="11" customWidth="1"/>
    <col min="13" max="13" width="15" customWidth="1"/>
    <col min="14" max="14" width="11" style="2" customWidth="1"/>
    <col min="15" max="15" width="13" customWidth="1"/>
    <col min="16" max="16" width="9" customWidth="1"/>
    <col min="17" max="17" width="13" customWidth="1"/>
    <col min="18" max="18" width="9" customWidth="1"/>
    <col min="19" max="19" width="20" customWidth="1"/>
    <col min="20" max="20" width="16" customWidth="1"/>
    <col min="21" max="21" width="20" customWidth="1"/>
    <col min="22" max="22" width="16" customWidth="1"/>
    <col min="23" max="23" width="20" customWidth="1"/>
    <col min="24" max="24" width="16" customWidth="1"/>
    <col min="25" max="25" width="20" customWidth="1"/>
    <col min="26" max="26" width="16" customWidth="1"/>
    <col min="27" max="27" width="17" customWidth="1"/>
    <col min="28" max="28" width="13" customWidth="1"/>
    <col min="29" max="29" width="17" customWidth="1"/>
    <col min="30" max="30" width="13" customWidth="1"/>
    <col min="31" max="31" width="17.77734375" style="2" bestFit="1" customWidth="1"/>
    <col min="32" max="32" width="43.21875" style="2" customWidth="1"/>
    <col min="33" max="33" width="17.77734375" bestFit="1" customWidth="1"/>
    <col min="34" max="34" width="18" style="2" customWidth="1"/>
    <col min="35" max="35" width="8" customWidth="1"/>
    <col min="36" max="36" width="13" style="2" customWidth="1"/>
    <col min="37" max="37" width="18" customWidth="1"/>
    <col min="38" max="38" width="14" style="2" customWidth="1"/>
    <col min="39" max="39" width="10" style="2" customWidth="1"/>
    <col min="40" max="40" width="12" style="2" customWidth="1"/>
    <col min="41" max="41" width="8" style="2" customWidth="1"/>
    <col min="42" max="42" width="9" customWidth="1"/>
    <col min="43" max="43" width="10" customWidth="1"/>
    <col min="44" max="44" width="17" customWidth="1"/>
    <col min="45" max="45" width="14" style="2" customWidth="1"/>
    <col min="46" max="48" width="10" customWidth="1"/>
    <col min="49" max="49" width="15" style="2" customWidth="1"/>
    <col min="50" max="50" width="18.33203125" style="2" bestFit="1" customWidth="1"/>
    <col min="51" max="51" width="14" customWidth="1"/>
    <col min="52" max="52" width="16.33203125" customWidth="1"/>
    <col min="53" max="53" width="19" style="2" customWidth="1"/>
    <col min="54" max="54" width="10" customWidth="1"/>
    <col min="55" max="55" width="15" customWidth="1"/>
    <col min="56" max="56" width="12" customWidth="1"/>
    <col min="57" max="57" width="10" customWidth="1"/>
    <col min="58" max="58" width="9" customWidth="1"/>
    <col min="59" max="59" width="5" customWidth="1"/>
    <col min="60" max="60" width="8" customWidth="1"/>
    <col min="61" max="61" width="17" customWidth="1"/>
    <col min="62" max="63" width="13" customWidth="1"/>
    <col min="64" max="64" width="10" customWidth="1"/>
    <col min="65" max="65" width="25" customWidth="1"/>
    <col min="66" max="66" width="24" customWidth="1"/>
    <col min="67" max="67" width="19" customWidth="1"/>
    <col min="68" max="68" width="27" customWidth="1"/>
    <col min="69" max="69" width="26" customWidth="1"/>
    <col min="70" max="70" width="21" customWidth="1"/>
    <col min="71" max="72" width="10" customWidth="1"/>
    <col min="73" max="73" width="18" customWidth="1"/>
    <col min="74" max="74" width="17" customWidth="1"/>
    <col min="75" max="75" width="9" customWidth="1"/>
    <col min="76" max="76" width="19" customWidth="1"/>
    <col min="77" max="77" width="22" customWidth="1"/>
    <col min="78" max="78" width="16" customWidth="1"/>
    <col min="79" max="80" width="10" customWidth="1"/>
    <col min="81" max="81" width="13" customWidth="1"/>
    <col min="82" max="82" width="9" customWidth="1"/>
    <col min="83" max="83" width="17" customWidth="1"/>
    <col min="84" max="84" width="13" customWidth="1"/>
    <col min="85" max="85" width="14" customWidth="1"/>
    <col min="86" max="86" width="25" customWidth="1"/>
    <col min="87" max="87" width="23" customWidth="1"/>
    <col min="88" max="88" width="21" customWidth="1"/>
    <col min="89" max="89" width="23" customWidth="1"/>
    <col min="90" max="90" width="8" customWidth="1"/>
    <col min="91" max="91" width="12" customWidth="1"/>
    <col min="92" max="92" width="11" customWidth="1"/>
    <col min="93" max="93" width="17" customWidth="1"/>
    <col min="94" max="94" width="12" customWidth="1"/>
    <col min="95" max="95" width="16.109375" style="2" customWidth="1"/>
    <col min="96" max="96" width="20" customWidth="1"/>
    <col min="97" max="97" width="15" customWidth="1"/>
    <col min="98" max="98" width="18" customWidth="1"/>
    <col min="99" max="100" width="17" customWidth="1"/>
    <col min="101" max="102" width="20" customWidth="1"/>
    <col min="103" max="103" width="25" customWidth="1"/>
    <col min="104" max="105" width="13" customWidth="1"/>
    <col min="106" max="106" width="19" customWidth="1"/>
    <col min="107" max="107" width="11" customWidth="1"/>
    <col min="108" max="108" width="15" customWidth="1"/>
    <col min="109" max="109" width="18" customWidth="1"/>
    <col min="110" max="110" width="17" customWidth="1"/>
    <col min="111" max="111" width="13" customWidth="1"/>
    <col min="112" max="112" width="23" customWidth="1"/>
    <col min="113" max="113" width="25" customWidth="1"/>
    <col min="114" max="114" width="15" customWidth="1"/>
    <col min="115" max="118" width="21" customWidth="1"/>
    <col min="119" max="119" width="19" customWidth="1"/>
    <col min="120" max="120" width="16" customWidth="1"/>
    <col min="121" max="121" width="14" customWidth="1"/>
    <col min="122" max="122" width="19" customWidth="1"/>
    <col min="123" max="123" width="15" customWidth="1"/>
    <col min="124" max="124" width="21" customWidth="1"/>
    <col min="125" max="125" width="24" customWidth="1"/>
    <col min="126" max="126" width="20" customWidth="1"/>
    <col min="127" max="127" width="16" customWidth="1"/>
    <col min="128" max="128" width="25" customWidth="1"/>
    <col min="129" max="129" width="29" customWidth="1"/>
    <col min="130" max="130" width="25" customWidth="1"/>
    <col min="131" max="131" width="29" customWidth="1"/>
    <col min="132" max="132" width="8" customWidth="1"/>
    <col min="133" max="133" width="24" customWidth="1"/>
    <col min="134" max="134" width="16" customWidth="1"/>
    <col min="135" max="135" width="21" customWidth="1"/>
    <col min="136" max="136" width="8" customWidth="1"/>
    <col min="137" max="137" width="24" customWidth="1"/>
    <col min="138" max="138" width="14.6640625" style="2" bestFit="1" customWidth="1"/>
    <col min="139" max="139" width="11" customWidth="1"/>
    <col min="140" max="141" width="22" customWidth="1"/>
    <col min="142" max="142" width="23" customWidth="1"/>
    <col min="143" max="143" width="25" customWidth="1"/>
    <col min="144" max="144" width="22" customWidth="1"/>
    <col min="145" max="145" width="24" customWidth="1"/>
    <col min="146" max="146" width="18" customWidth="1"/>
    <col min="147" max="147" width="14" customWidth="1"/>
    <col min="148" max="148" width="20" customWidth="1"/>
    <col min="149" max="149" width="14" customWidth="1"/>
    <col min="150" max="150" width="11" style="2" customWidth="1"/>
    <col min="151" max="151" width="8" style="2" customWidth="1"/>
    <col min="152" max="152" width="12" style="2" customWidth="1"/>
    <col min="153" max="154" width="10" style="2" customWidth="1"/>
    <col min="155" max="155" width="14" style="2" customWidth="1"/>
    <col min="156" max="156" width="13" style="2" customWidth="1"/>
    <col min="157" max="157" width="10" customWidth="1"/>
    <col min="158" max="158" width="23" customWidth="1"/>
    <col min="159" max="159" width="9" style="2" customWidth="1"/>
    <col min="160" max="160" width="12" customWidth="1"/>
    <col min="161" max="161" width="8" customWidth="1"/>
    <col min="162" max="256" width="11.5546875" style="2"/>
  </cols>
  <sheetData>
    <row r="1" spans="1:25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t="s">
        <v>98</v>
      </c>
      <c r="CV1" s="1" t="s">
        <v>99</v>
      </c>
      <c r="CW1" s="1" t="s">
        <v>100</v>
      </c>
      <c r="CX1" t="s">
        <v>101</v>
      </c>
      <c r="CY1" t="s">
        <v>102</v>
      </c>
      <c r="CZ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t="s">
        <v>139</v>
      </c>
      <c r="EK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t="s">
        <v>145</v>
      </c>
      <c r="EQ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x14ac:dyDescent="0.3">
      <c r="A2" s="1">
        <v>16975377</v>
      </c>
      <c r="B2" s="1">
        <v>128</v>
      </c>
      <c r="C2" s="1">
        <v>10749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215</v>
      </c>
      <c r="J2" s="1">
        <v>215</v>
      </c>
      <c r="K2" s="1">
        <v>215</v>
      </c>
      <c r="L2" s="1">
        <v>215</v>
      </c>
      <c r="M2" s="1">
        <v>215</v>
      </c>
      <c r="N2" s="1">
        <v>200.37</v>
      </c>
      <c r="O2" s="1">
        <v>28967218.75</v>
      </c>
      <c r="P2" s="1">
        <v>26996476</v>
      </c>
      <c r="Q2" s="1">
        <v>28967218.75</v>
      </c>
      <c r="R2" s="1">
        <v>26996476</v>
      </c>
      <c r="S2" s="1">
        <v>28967218.75</v>
      </c>
      <c r="T2" s="1">
        <v>27415501.370000001</v>
      </c>
      <c r="U2" s="1">
        <v>28967218.75</v>
      </c>
      <c r="V2" s="1">
        <v>27415501.370000001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/>
      <c r="AF2" s="1" t="s">
        <v>161</v>
      </c>
      <c r="AG2" s="1" t="s">
        <v>970</v>
      </c>
      <c r="AH2" s="1" t="s">
        <v>952</v>
      </c>
      <c r="AI2" s="1">
        <v>5</v>
      </c>
      <c r="AJ2" s="1" t="s">
        <v>162</v>
      </c>
      <c r="AK2" s="1" t="s">
        <v>163</v>
      </c>
      <c r="AL2" s="1">
        <v>1.06125</v>
      </c>
      <c r="AM2" s="1">
        <v>1.0527</v>
      </c>
      <c r="AN2" s="1">
        <v>28291312.5</v>
      </c>
      <c r="AO2" s="1">
        <v>26356083.120000001</v>
      </c>
      <c r="AP2" s="1" t="s">
        <v>164</v>
      </c>
      <c r="AQ2" s="1">
        <v>4</v>
      </c>
      <c r="AR2" s="1" t="s">
        <v>165</v>
      </c>
      <c r="AS2" s="1">
        <v>132534288.59999999</v>
      </c>
      <c r="AT2" s="1" t="s">
        <v>164</v>
      </c>
      <c r="AU2" s="1">
        <v>1</v>
      </c>
      <c r="AV2" s="1">
        <v>0</v>
      </c>
      <c r="AW2" s="1" t="s">
        <v>166</v>
      </c>
      <c r="AX2" s="1" t="s">
        <v>167</v>
      </c>
      <c r="AY2" s="1">
        <v>0</v>
      </c>
      <c r="AZ2">
        <v>999999999</v>
      </c>
      <c r="BA2" s="1">
        <v>8205251.6799999997</v>
      </c>
      <c r="BB2" s="1">
        <v>1.0484</v>
      </c>
      <c r="BD2" s="1" t="s">
        <v>971</v>
      </c>
      <c r="BE2" s="1">
        <v>1</v>
      </c>
      <c r="BF2" s="1">
        <v>1</v>
      </c>
      <c r="BG2" s="1" t="s">
        <v>168</v>
      </c>
      <c r="BH2" s="1">
        <v>0</v>
      </c>
      <c r="BI2" s="1">
        <v>31345322.399999999</v>
      </c>
      <c r="BJ2" s="1">
        <v>0</v>
      </c>
      <c r="BK2" s="1">
        <v>123618989.48999999</v>
      </c>
      <c r="BL2" s="1">
        <v>132456249.91</v>
      </c>
      <c r="BM2" s="1">
        <v>596150.00000000012</v>
      </c>
      <c r="BN2" s="1">
        <v>9219855.2300000004</v>
      </c>
      <c r="BO2" s="1">
        <v>23.664660909999998</v>
      </c>
      <c r="BP2" s="1">
        <v>0.45007313999999998</v>
      </c>
      <c r="BQ2" s="1">
        <v>6.9606796500000003</v>
      </c>
      <c r="BR2" s="1">
        <v>19.897953579999999</v>
      </c>
      <c r="BS2" s="1" t="s">
        <v>169</v>
      </c>
      <c r="BT2" s="1" t="s">
        <v>169</v>
      </c>
      <c r="BU2" s="1">
        <v>26356083.120000001</v>
      </c>
      <c r="BV2" s="1">
        <v>0</v>
      </c>
      <c r="BW2" s="1">
        <v>-219173.26</v>
      </c>
      <c r="BX2" s="1">
        <v>-0.94</v>
      </c>
      <c r="BY2" s="1" t="s">
        <v>170</v>
      </c>
      <c r="BZ2" s="1">
        <v>-78038.69</v>
      </c>
      <c r="CA2" s="1" t="s">
        <v>171</v>
      </c>
      <c r="CB2" s="1" t="s">
        <v>172</v>
      </c>
      <c r="CC2" s="1">
        <v>-446125</v>
      </c>
      <c r="CD2" s="1">
        <v>-421219.62</v>
      </c>
      <c r="CE2" s="1">
        <v>28521093.75</v>
      </c>
      <c r="CF2" s="1">
        <v>26575256.379999999</v>
      </c>
      <c r="CG2" s="1">
        <v>0</v>
      </c>
      <c r="CH2" s="1">
        <v>1.4438757900000001</v>
      </c>
      <c r="CI2" s="1">
        <v>13.27863496</v>
      </c>
      <c r="CJ2" s="1">
        <v>17588381.91</v>
      </c>
      <c r="CK2" s="1">
        <v>1912503.72</v>
      </c>
      <c r="CL2" s="1">
        <v>6269233.6699999999</v>
      </c>
      <c r="CM2" s="1" t="s">
        <v>164</v>
      </c>
      <c r="CN2" s="1" t="s">
        <v>164</v>
      </c>
      <c r="CO2" s="1" t="s">
        <v>173</v>
      </c>
      <c r="CP2" s="1" t="s">
        <v>243</v>
      </c>
      <c r="CQ2" s="1" t="s">
        <v>174</v>
      </c>
      <c r="CR2" s="1">
        <v>0</v>
      </c>
      <c r="CS2" s="1" t="s">
        <v>243</v>
      </c>
      <c r="CT2" s="1">
        <v>0</v>
      </c>
      <c r="CV2" s="1">
        <v>0</v>
      </c>
      <c r="CW2" s="1">
        <v>-219173.26</v>
      </c>
      <c r="DA2" s="1">
        <v>1355558.46</v>
      </c>
      <c r="DB2" s="1">
        <v>0</v>
      </c>
      <c r="DC2" s="1">
        <v>2520.3126550000002</v>
      </c>
      <c r="DD2" s="1">
        <v>52555.483399999997</v>
      </c>
      <c r="DE2" s="1">
        <v>-296353.43</v>
      </c>
      <c r="DF2" s="1">
        <v>92570020.519999996</v>
      </c>
      <c r="DG2" s="1">
        <v>-229781.25</v>
      </c>
      <c r="DH2" s="1">
        <v>394770.09</v>
      </c>
      <c r="DI2" s="1">
        <v>0.29803809999999997</v>
      </c>
      <c r="DJ2" t="s">
        <v>175</v>
      </c>
      <c r="DK2" s="1">
        <v>0</v>
      </c>
      <c r="DL2" s="1">
        <v>0</v>
      </c>
      <c r="DM2" s="1">
        <v>-296353.43</v>
      </c>
      <c r="DN2" s="1">
        <v>0</v>
      </c>
      <c r="DO2" s="1">
        <v>0</v>
      </c>
      <c r="DP2" s="1">
        <v>16777215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28291312.5</v>
      </c>
      <c r="DW2" s="1">
        <v>26356083.120000001</v>
      </c>
      <c r="DX2" s="1">
        <v>31345322.399999999</v>
      </c>
      <c r="DY2" s="1">
        <v>-1110160.2399999984</v>
      </c>
      <c r="DZ2" s="1">
        <v>92570020.519999966</v>
      </c>
      <c r="EA2" s="1">
        <v>0</v>
      </c>
      <c r="EB2" s="1">
        <v>0</v>
      </c>
      <c r="EC2" s="1" t="s">
        <v>176</v>
      </c>
      <c r="EE2" s="1">
        <v>0</v>
      </c>
      <c r="EF2" s="1">
        <v>3</v>
      </c>
      <c r="EG2" s="1">
        <v>0</v>
      </c>
      <c r="EH2" s="1">
        <v>0</v>
      </c>
      <c r="EI2" s="1">
        <v>0</v>
      </c>
      <c r="EL2" s="1">
        <v>0</v>
      </c>
      <c r="EM2" s="1">
        <v>0</v>
      </c>
      <c r="EN2" s="1">
        <v>1633661.45</v>
      </c>
      <c r="EO2" s="1">
        <v>1.2333592799999999</v>
      </c>
      <c r="ER2" s="1">
        <v>1.06125</v>
      </c>
      <c r="ES2" s="1">
        <v>1.0572999999999999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/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</row>
    <row r="3" spans="1:256" x14ac:dyDescent="0.3">
      <c r="A3" s="1">
        <v>16975460</v>
      </c>
      <c r="B3" s="1">
        <v>128</v>
      </c>
      <c r="C3" s="1">
        <v>9949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25000</v>
      </c>
      <c r="J3" s="1">
        <v>25000</v>
      </c>
      <c r="K3" s="1">
        <v>0.5</v>
      </c>
      <c r="L3" s="1">
        <v>0.5</v>
      </c>
      <c r="M3" s="1">
        <v>0.5</v>
      </c>
      <c r="N3" s="1">
        <v>0.04</v>
      </c>
      <c r="O3" s="1">
        <v>4213954.92</v>
      </c>
      <c r="P3" s="1">
        <v>502475.39</v>
      </c>
      <c r="Q3" s="1">
        <v>4213954.92</v>
      </c>
      <c r="R3" s="1">
        <v>502475.39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/>
      <c r="AF3" s="1" t="s">
        <v>161</v>
      </c>
      <c r="AG3" s="1" t="s">
        <v>970</v>
      </c>
      <c r="AH3" s="1" t="s">
        <v>177</v>
      </c>
      <c r="AI3" s="1">
        <v>59</v>
      </c>
      <c r="AJ3" s="1" t="s">
        <v>178</v>
      </c>
      <c r="AK3" s="1" t="s">
        <v>179</v>
      </c>
      <c r="AL3" s="1">
        <v>115.1</v>
      </c>
      <c r="AM3" s="1">
        <v>115.10000000000001</v>
      </c>
      <c r="AN3" s="1">
        <v>2877500</v>
      </c>
      <c r="AO3" s="1">
        <v>350410.39</v>
      </c>
      <c r="AP3" s="1" t="s">
        <v>176</v>
      </c>
      <c r="AQ3" s="1">
        <v>4</v>
      </c>
      <c r="AR3" s="1" t="s">
        <v>165</v>
      </c>
      <c r="AS3" s="1">
        <v>132534288.59999999</v>
      </c>
      <c r="AT3" s="1" t="s">
        <v>176</v>
      </c>
      <c r="AU3" s="1">
        <v>1</v>
      </c>
      <c r="AV3" s="1">
        <v>1</v>
      </c>
      <c r="AW3" s="1" t="s">
        <v>180</v>
      </c>
      <c r="AX3" s="1" t="s">
        <v>181</v>
      </c>
      <c r="AY3" s="1">
        <v>0</v>
      </c>
      <c r="BA3" s="1">
        <v>8205251.6799999997</v>
      </c>
      <c r="BB3" s="1">
        <v>8.2118000000000002</v>
      </c>
      <c r="BD3" s="1" t="s">
        <v>971</v>
      </c>
      <c r="BE3" s="1">
        <v>1</v>
      </c>
      <c r="BF3" s="1">
        <v>1</v>
      </c>
      <c r="BG3" s="1" t="s">
        <v>168</v>
      </c>
      <c r="BH3" s="1">
        <v>0</v>
      </c>
      <c r="BI3" s="1">
        <v>31345322.399999999</v>
      </c>
      <c r="BJ3" s="1">
        <v>1.1179032900000001</v>
      </c>
      <c r="BK3" s="1">
        <v>123618989.48999999</v>
      </c>
      <c r="BL3" s="1">
        <v>132456249.91</v>
      </c>
      <c r="BM3" s="1">
        <v>596150.00000000012</v>
      </c>
      <c r="BN3" s="1">
        <v>9219855.2300000004</v>
      </c>
      <c r="BO3" s="1">
        <v>23.664660909999998</v>
      </c>
      <c r="BP3" s="1">
        <v>0.45007313999999998</v>
      </c>
      <c r="BQ3" s="1">
        <v>6.9606796500000003</v>
      </c>
      <c r="BR3" s="1">
        <v>0.26454801999999999</v>
      </c>
      <c r="BS3" s="1" t="s">
        <v>169</v>
      </c>
      <c r="BT3" s="1" t="s">
        <v>169</v>
      </c>
      <c r="BU3" s="1">
        <v>26356083.120000001</v>
      </c>
      <c r="BV3" s="1">
        <v>1.1179032900000001</v>
      </c>
      <c r="BW3" s="1">
        <v>2831.66</v>
      </c>
      <c r="BX3" s="1">
        <v>0</v>
      </c>
      <c r="BY3" s="1" t="s">
        <v>170</v>
      </c>
      <c r="BZ3" s="1">
        <v>-78038.69</v>
      </c>
      <c r="CA3" s="1" t="s">
        <v>182</v>
      </c>
      <c r="CB3" s="1" t="s">
        <v>183</v>
      </c>
      <c r="CC3" s="1">
        <v>-1336454.92</v>
      </c>
      <c r="CD3" s="1">
        <v>-154896.66</v>
      </c>
      <c r="CE3" s="1">
        <v>2877500</v>
      </c>
      <c r="CF3" s="1">
        <v>347578.73</v>
      </c>
      <c r="CG3" s="1">
        <v>0</v>
      </c>
      <c r="CH3" s="1">
        <v>1.4438757900000001</v>
      </c>
      <c r="CI3" s="1">
        <v>13.27863496</v>
      </c>
      <c r="CJ3" s="1">
        <v>17588381.91</v>
      </c>
      <c r="CK3" s="1">
        <v>1912503.72</v>
      </c>
      <c r="CL3" s="1">
        <v>6269233.6699999999</v>
      </c>
      <c r="CM3" s="1" t="s">
        <v>164</v>
      </c>
      <c r="CN3" s="1" t="s">
        <v>164</v>
      </c>
      <c r="CO3" s="1" t="s">
        <v>184</v>
      </c>
      <c r="CP3" s="1" t="s">
        <v>243</v>
      </c>
      <c r="CQ3" s="1" t="s">
        <v>185</v>
      </c>
      <c r="CR3" s="1">
        <v>0</v>
      </c>
      <c r="CS3" s="1" t="s">
        <v>243</v>
      </c>
      <c r="CT3" s="1">
        <v>0.28345999999999999</v>
      </c>
      <c r="CV3" s="1">
        <v>0</v>
      </c>
      <c r="CW3" s="1">
        <v>-219173.26</v>
      </c>
      <c r="DA3" s="1">
        <v>1355558.46</v>
      </c>
      <c r="DB3" s="1">
        <v>0</v>
      </c>
      <c r="DC3" s="1">
        <v>2520.3126550000002</v>
      </c>
      <c r="DD3" s="1">
        <v>52555.483399999997</v>
      </c>
      <c r="DE3" s="1">
        <v>-296353.43</v>
      </c>
      <c r="DF3" s="1">
        <v>92570020.519999996</v>
      </c>
      <c r="DG3" s="1">
        <v>0</v>
      </c>
      <c r="DH3" s="1">
        <v>394770.09</v>
      </c>
      <c r="DI3" s="1">
        <v>0.29803809999999997</v>
      </c>
      <c r="DK3" s="1">
        <v>0</v>
      </c>
      <c r="DL3" s="1">
        <v>0</v>
      </c>
      <c r="DM3" s="1">
        <v>-296353.43</v>
      </c>
      <c r="DN3" s="1">
        <v>0</v>
      </c>
      <c r="DO3" s="1">
        <v>0</v>
      </c>
      <c r="DP3" s="1">
        <v>16777215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2877500</v>
      </c>
      <c r="DW3" s="1">
        <v>350410.39</v>
      </c>
      <c r="DX3" s="1">
        <v>31345322.399999999</v>
      </c>
      <c r="DY3" s="1">
        <v>-1110160.2399999984</v>
      </c>
      <c r="DZ3" s="1">
        <v>92570020.519999966</v>
      </c>
      <c r="EA3" s="1">
        <v>0</v>
      </c>
      <c r="EB3" s="1">
        <v>0</v>
      </c>
      <c r="EC3" s="1" t="s">
        <v>176</v>
      </c>
      <c r="EE3" s="1">
        <v>0</v>
      </c>
      <c r="EF3" s="1">
        <v>3</v>
      </c>
      <c r="EG3" s="1">
        <v>0</v>
      </c>
      <c r="EH3" s="1">
        <v>0</v>
      </c>
      <c r="EI3" s="1">
        <v>0</v>
      </c>
      <c r="EL3" s="1">
        <v>0</v>
      </c>
      <c r="EM3" s="1">
        <v>0</v>
      </c>
      <c r="EN3" s="1">
        <v>1633661.45</v>
      </c>
      <c r="EO3" s="1">
        <v>1.2333592799999999</v>
      </c>
      <c r="ER3" s="1">
        <v>115.1</v>
      </c>
      <c r="ES3" s="1">
        <v>8.2797999999999998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  <row r="4" spans="1:256" x14ac:dyDescent="0.3">
      <c r="A4" s="1">
        <v>16975465</v>
      </c>
      <c r="B4" s="1">
        <v>128</v>
      </c>
      <c r="C4" s="1">
        <v>9937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41000</v>
      </c>
      <c r="J4" s="1">
        <v>41000</v>
      </c>
      <c r="K4" s="1">
        <v>0.13</v>
      </c>
      <c r="L4" s="1">
        <v>0.13</v>
      </c>
      <c r="M4" s="1">
        <v>0.13</v>
      </c>
      <c r="N4" s="1">
        <v>0</v>
      </c>
      <c r="O4" s="1">
        <v>3889829.57</v>
      </c>
      <c r="P4" s="1">
        <v>474232.39</v>
      </c>
      <c r="Q4" s="1">
        <v>3889829.57</v>
      </c>
      <c r="R4" s="1">
        <v>474232.39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/>
      <c r="AF4" s="1" t="s">
        <v>161</v>
      </c>
      <c r="AG4" s="1" t="s">
        <v>970</v>
      </c>
      <c r="AH4" s="1" t="s">
        <v>186</v>
      </c>
      <c r="AI4" s="1">
        <v>59</v>
      </c>
      <c r="AJ4" s="1" t="s">
        <v>178</v>
      </c>
      <c r="AK4" s="1" t="s">
        <v>179</v>
      </c>
      <c r="AL4" s="1">
        <v>85.6</v>
      </c>
      <c r="AM4" s="1">
        <v>85.600000000000009</v>
      </c>
      <c r="AN4" s="1">
        <v>3509600.0000000005</v>
      </c>
      <c r="AO4" s="1">
        <v>427384.98</v>
      </c>
      <c r="AP4" s="1" t="s">
        <v>176</v>
      </c>
      <c r="AQ4" s="1">
        <v>4</v>
      </c>
      <c r="AR4" s="1" t="s">
        <v>165</v>
      </c>
      <c r="AS4" s="1">
        <v>132534288.59999999</v>
      </c>
      <c r="AT4" s="1" t="s">
        <v>176</v>
      </c>
      <c r="AU4" s="1">
        <v>1</v>
      </c>
      <c r="AV4" s="1">
        <v>1</v>
      </c>
      <c r="AW4" s="1" t="s">
        <v>180</v>
      </c>
      <c r="AX4" s="1" t="s">
        <v>181</v>
      </c>
      <c r="AY4" s="1">
        <v>0</v>
      </c>
      <c r="BA4" s="1">
        <v>8205251.6799999997</v>
      </c>
      <c r="BB4" s="1">
        <v>8.2118000000000002</v>
      </c>
      <c r="BD4" s="1" t="s">
        <v>971</v>
      </c>
      <c r="BE4" s="1">
        <v>1</v>
      </c>
      <c r="BF4" s="1">
        <v>1</v>
      </c>
      <c r="BG4" s="1" t="s">
        <v>168</v>
      </c>
      <c r="BH4" s="1">
        <v>0</v>
      </c>
      <c r="BI4" s="1">
        <v>31345322.399999999</v>
      </c>
      <c r="BJ4" s="1">
        <v>1.36347291</v>
      </c>
      <c r="BK4" s="1">
        <v>123618989.48999999</v>
      </c>
      <c r="BL4" s="1">
        <v>132456249.91</v>
      </c>
      <c r="BM4" s="1">
        <v>596150.00000000012</v>
      </c>
      <c r="BN4" s="1">
        <v>9219855.2300000004</v>
      </c>
      <c r="BO4" s="1">
        <v>23.664660909999998</v>
      </c>
      <c r="BP4" s="1">
        <v>0.45007313999999998</v>
      </c>
      <c r="BQ4" s="1">
        <v>6.9606796500000003</v>
      </c>
      <c r="BR4" s="1">
        <v>0.32266124000000002</v>
      </c>
      <c r="BS4" s="1" t="s">
        <v>169</v>
      </c>
      <c r="BT4" s="1" t="s">
        <v>169</v>
      </c>
      <c r="BU4" s="1">
        <v>26356083.120000001</v>
      </c>
      <c r="BV4" s="1">
        <v>1.36347291</v>
      </c>
      <c r="BW4" s="1">
        <v>3453.69</v>
      </c>
      <c r="BX4" s="1">
        <v>0</v>
      </c>
      <c r="BY4" s="1" t="s">
        <v>170</v>
      </c>
      <c r="BZ4" s="1">
        <v>-78038.69</v>
      </c>
      <c r="CA4" s="1" t="s">
        <v>182</v>
      </c>
      <c r="CB4" s="1" t="s">
        <v>183</v>
      </c>
      <c r="CC4" s="1">
        <v>-380229.57</v>
      </c>
      <c r="CD4" s="1">
        <v>-50301.1</v>
      </c>
      <c r="CE4" s="1">
        <v>3509600</v>
      </c>
      <c r="CF4" s="1">
        <v>423931.29</v>
      </c>
      <c r="CG4" s="1">
        <v>0</v>
      </c>
      <c r="CH4" s="1">
        <v>1.4438757900000001</v>
      </c>
      <c r="CI4" s="1">
        <v>13.27863496</v>
      </c>
      <c r="CJ4" s="1">
        <v>17588381.91</v>
      </c>
      <c r="CK4" s="1">
        <v>1912503.72</v>
      </c>
      <c r="CL4" s="1">
        <v>6269233.6699999999</v>
      </c>
      <c r="CM4" s="1" t="s">
        <v>164</v>
      </c>
      <c r="CN4" s="1" t="s">
        <v>164</v>
      </c>
      <c r="CO4" s="1" t="s">
        <v>184</v>
      </c>
      <c r="CP4" s="1" t="s">
        <v>243</v>
      </c>
      <c r="CQ4" s="1" t="s">
        <v>185</v>
      </c>
      <c r="CR4" s="1">
        <v>0</v>
      </c>
      <c r="CS4" s="1" t="s">
        <v>243</v>
      </c>
      <c r="CT4" s="1">
        <v>0.34572761000000002</v>
      </c>
      <c r="CV4" s="1">
        <v>0</v>
      </c>
      <c r="CW4" s="1">
        <v>-219173.26</v>
      </c>
      <c r="DA4" s="1">
        <v>1355558.46</v>
      </c>
      <c r="DB4" s="1">
        <v>0</v>
      </c>
      <c r="DC4" s="1">
        <v>2520.3126550000002</v>
      </c>
      <c r="DD4" s="1">
        <v>52555.483399999997</v>
      </c>
      <c r="DE4" s="1">
        <v>-296353.43</v>
      </c>
      <c r="DF4" s="1">
        <v>92570020.519999996</v>
      </c>
      <c r="DG4" s="1">
        <v>0</v>
      </c>
      <c r="DH4" s="1">
        <v>394770.09</v>
      </c>
      <c r="DI4" s="1">
        <v>0.29803809999999997</v>
      </c>
      <c r="DK4" s="1">
        <v>0</v>
      </c>
      <c r="DL4" s="1">
        <v>0</v>
      </c>
      <c r="DM4" s="1">
        <v>-296353.43</v>
      </c>
      <c r="DN4" s="1">
        <v>0</v>
      </c>
      <c r="DO4" s="1">
        <v>0</v>
      </c>
      <c r="DP4" s="1">
        <v>16777215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3509600.0000000005</v>
      </c>
      <c r="DW4" s="1">
        <v>427384.98</v>
      </c>
      <c r="DX4" s="1">
        <v>31345322.399999999</v>
      </c>
      <c r="DY4" s="1">
        <v>-1110160.2399999984</v>
      </c>
      <c r="DZ4" s="1">
        <v>92570020.519999966</v>
      </c>
      <c r="EA4" s="1">
        <v>0</v>
      </c>
      <c r="EB4" s="1">
        <v>0</v>
      </c>
      <c r="EC4" s="1" t="s">
        <v>176</v>
      </c>
      <c r="EE4" s="1">
        <v>0</v>
      </c>
      <c r="EF4" s="1">
        <v>3</v>
      </c>
      <c r="EG4" s="1">
        <v>0</v>
      </c>
      <c r="EH4" s="1">
        <v>0</v>
      </c>
      <c r="EI4" s="1">
        <v>0</v>
      </c>
      <c r="EL4" s="1">
        <v>0</v>
      </c>
      <c r="EM4" s="1">
        <v>0</v>
      </c>
      <c r="EN4" s="1">
        <v>1633661.45</v>
      </c>
      <c r="EO4" s="1">
        <v>1.2333592799999999</v>
      </c>
      <c r="ER4" s="1">
        <v>85.6</v>
      </c>
      <c r="ES4" s="1">
        <v>8.2797999999999998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</row>
    <row r="5" spans="1:256" x14ac:dyDescent="0.3">
      <c r="A5" s="1">
        <v>16975342</v>
      </c>
      <c r="B5" s="1">
        <v>128</v>
      </c>
      <c r="C5" s="1">
        <v>10672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3500</v>
      </c>
      <c r="J5" s="1">
        <v>3500</v>
      </c>
      <c r="K5" s="1">
        <v>0.35</v>
      </c>
      <c r="L5" s="1">
        <v>0.35</v>
      </c>
      <c r="M5" s="1">
        <v>0.35</v>
      </c>
      <c r="N5" s="1">
        <v>0.32</v>
      </c>
      <c r="O5" s="1">
        <v>446390</v>
      </c>
      <c r="P5" s="1">
        <v>410851.36</v>
      </c>
      <c r="Q5" s="1">
        <v>446390</v>
      </c>
      <c r="R5" s="1">
        <v>410851.36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/>
      <c r="AF5" s="1" t="s">
        <v>161</v>
      </c>
      <c r="AG5" s="1" t="s">
        <v>970</v>
      </c>
      <c r="AH5" s="1" t="s">
        <v>705</v>
      </c>
      <c r="AI5" s="1">
        <v>5</v>
      </c>
      <c r="AJ5" s="1" t="s">
        <v>162</v>
      </c>
      <c r="AK5" s="1" t="s">
        <v>163</v>
      </c>
      <c r="AL5" s="1">
        <v>137.21</v>
      </c>
      <c r="AM5" s="1">
        <v>136.56</v>
      </c>
      <c r="AN5" s="1">
        <v>477960</v>
      </c>
      <c r="AO5" s="1">
        <v>455894.7</v>
      </c>
      <c r="AP5" s="1" t="s">
        <v>176</v>
      </c>
      <c r="AQ5" s="1">
        <v>4</v>
      </c>
      <c r="AR5" s="1" t="s">
        <v>165</v>
      </c>
      <c r="AS5" s="1">
        <v>132534288.59999999</v>
      </c>
      <c r="AT5" s="1" t="s">
        <v>176</v>
      </c>
      <c r="AU5" s="1">
        <v>1</v>
      </c>
      <c r="AV5" s="1">
        <v>1</v>
      </c>
      <c r="AW5" s="1" t="s">
        <v>180</v>
      </c>
      <c r="AX5" s="1" t="s">
        <v>181</v>
      </c>
      <c r="AY5" s="1">
        <v>0</v>
      </c>
      <c r="BA5" s="1">
        <v>8205251.6799999997</v>
      </c>
      <c r="BB5" s="1">
        <v>1.0484</v>
      </c>
      <c r="BD5" s="1" t="s">
        <v>971</v>
      </c>
      <c r="BE5" s="1">
        <v>1</v>
      </c>
      <c r="BF5" s="1">
        <v>1</v>
      </c>
      <c r="BG5" s="1" t="s">
        <v>168</v>
      </c>
      <c r="BH5" s="1">
        <v>0</v>
      </c>
      <c r="BI5" s="1">
        <v>31345322.399999999</v>
      </c>
      <c r="BJ5" s="1">
        <v>1.45442658</v>
      </c>
      <c r="BK5" s="1">
        <v>123618989.48999999</v>
      </c>
      <c r="BL5" s="1">
        <v>132456249.91</v>
      </c>
      <c r="BM5" s="1">
        <v>596150.00000000012</v>
      </c>
      <c r="BN5" s="1">
        <v>9219855.2300000004</v>
      </c>
      <c r="BO5" s="1">
        <v>23.664660909999998</v>
      </c>
      <c r="BP5" s="1">
        <v>0.45007313999999998</v>
      </c>
      <c r="BQ5" s="1">
        <v>6.9606796500000003</v>
      </c>
      <c r="BR5" s="1">
        <v>0.34418512000000001</v>
      </c>
      <c r="BS5" s="1" t="s">
        <v>169</v>
      </c>
      <c r="BT5" s="1" t="s">
        <v>169</v>
      </c>
      <c r="BU5" s="1">
        <v>26356083.120000001</v>
      </c>
      <c r="BV5" s="1">
        <v>1.45442658</v>
      </c>
      <c r="BW5" s="1">
        <v>1685.87</v>
      </c>
      <c r="BX5" s="1">
        <v>-0.47</v>
      </c>
      <c r="BY5" s="1" t="s">
        <v>170</v>
      </c>
      <c r="BZ5" s="1">
        <v>-78038.69</v>
      </c>
      <c r="CA5" s="1" t="s">
        <v>182</v>
      </c>
      <c r="CB5" s="1" t="s">
        <v>183</v>
      </c>
      <c r="CC5" s="1">
        <v>33845</v>
      </c>
      <c r="CD5" s="1">
        <v>43357.47</v>
      </c>
      <c r="CE5" s="1">
        <v>480235</v>
      </c>
      <c r="CF5" s="1">
        <v>454208.83</v>
      </c>
      <c r="CG5" s="1">
        <v>0</v>
      </c>
      <c r="CH5" s="1">
        <v>1.4438757900000001</v>
      </c>
      <c r="CI5" s="1">
        <v>13.27863496</v>
      </c>
      <c r="CJ5" s="1">
        <v>17588381.91</v>
      </c>
      <c r="CK5" s="1">
        <v>1912503.72</v>
      </c>
      <c r="CL5" s="1">
        <v>6269233.6699999999</v>
      </c>
      <c r="CM5" s="1" t="s">
        <v>164</v>
      </c>
      <c r="CN5" s="1" t="s">
        <v>164</v>
      </c>
      <c r="CO5" s="1" t="s">
        <v>184</v>
      </c>
      <c r="CP5" s="1" t="s">
        <v>243</v>
      </c>
      <c r="CQ5" s="1" t="s">
        <v>185</v>
      </c>
      <c r="CR5" s="1">
        <v>0</v>
      </c>
      <c r="CS5" s="1" t="s">
        <v>243</v>
      </c>
      <c r="CT5" s="1">
        <v>0.36879018000000002</v>
      </c>
      <c r="CV5" s="1">
        <v>0</v>
      </c>
      <c r="CW5" s="1">
        <v>-219173.26</v>
      </c>
      <c r="DA5" s="1">
        <v>1355558.46</v>
      </c>
      <c r="DB5" s="1">
        <v>0</v>
      </c>
      <c r="DC5" s="1">
        <v>2520.3126550000002</v>
      </c>
      <c r="DD5" s="1">
        <v>52555.483399999997</v>
      </c>
      <c r="DE5" s="1">
        <v>-296353.43</v>
      </c>
      <c r="DF5" s="1">
        <v>92570020.519999996</v>
      </c>
      <c r="DG5" s="1">
        <v>-2275</v>
      </c>
      <c r="DH5" s="1">
        <v>394770.09</v>
      </c>
      <c r="DI5" s="1">
        <v>0.29803809999999997</v>
      </c>
      <c r="DK5" s="1">
        <v>0</v>
      </c>
      <c r="DL5" s="1">
        <v>0</v>
      </c>
      <c r="DM5" s="1">
        <v>-296353.43</v>
      </c>
      <c r="DN5" s="1">
        <v>0</v>
      </c>
      <c r="DO5" s="1">
        <v>0</v>
      </c>
      <c r="DP5" s="1">
        <v>16777215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477960</v>
      </c>
      <c r="DW5" s="1">
        <v>455894.7</v>
      </c>
      <c r="DX5" s="1">
        <v>31345322.399999999</v>
      </c>
      <c r="DY5" s="1">
        <v>-1110160.2399999984</v>
      </c>
      <c r="DZ5" s="1">
        <v>92570020.519999966</v>
      </c>
      <c r="EA5" s="1">
        <v>0</v>
      </c>
      <c r="EB5" s="1">
        <v>0</v>
      </c>
      <c r="EC5" s="1" t="s">
        <v>176</v>
      </c>
      <c r="EE5" s="1">
        <v>0</v>
      </c>
      <c r="EF5" s="1">
        <v>3</v>
      </c>
      <c r="EG5" s="1">
        <v>0</v>
      </c>
      <c r="EH5" s="1">
        <v>0</v>
      </c>
      <c r="EI5" s="1">
        <v>0</v>
      </c>
      <c r="EL5" s="1">
        <v>0</v>
      </c>
      <c r="EM5" s="1">
        <v>0</v>
      </c>
      <c r="EN5" s="1">
        <v>1633661.45</v>
      </c>
      <c r="EO5" s="1">
        <v>1.2333592799999999</v>
      </c>
      <c r="ER5" s="1">
        <v>137.21</v>
      </c>
      <c r="ES5" s="1">
        <v>1.0572999999999999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3">
      <c r="A6" s="1">
        <v>16975599</v>
      </c>
      <c r="B6" s="1">
        <v>128</v>
      </c>
      <c r="C6" s="1">
        <v>8074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170</v>
      </c>
      <c r="J6" s="1">
        <v>170</v>
      </c>
      <c r="K6" s="1">
        <v>1.36</v>
      </c>
      <c r="L6" s="1">
        <v>1.36</v>
      </c>
      <c r="M6" s="1">
        <v>1.36</v>
      </c>
      <c r="N6" s="1">
        <v>1.25</v>
      </c>
      <c r="O6" s="1">
        <v>373135.73</v>
      </c>
      <c r="P6" s="1">
        <v>342095.69</v>
      </c>
      <c r="Q6" s="1">
        <v>373135.73</v>
      </c>
      <c r="R6" s="1">
        <v>342095.69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/>
      <c r="AF6" s="1" t="s">
        <v>161</v>
      </c>
      <c r="AG6" s="1" t="s">
        <v>970</v>
      </c>
      <c r="AH6" s="1" t="s">
        <v>187</v>
      </c>
      <c r="AI6" s="1">
        <v>5</v>
      </c>
      <c r="AJ6" s="1" t="s">
        <v>162</v>
      </c>
      <c r="AK6" s="1" t="s">
        <v>163</v>
      </c>
      <c r="AL6" s="1">
        <v>3083.95</v>
      </c>
      <c r="AM6" s="1">
        <v>3093.76</v>
      </c>
      <c r="AN6" s="1">
        <v>525939.19999999995</v>
      </c>
      <c r="AO6" s="1">
        <v>501658.91</v>
      </c>
      <c r="AP6" s="1" t="s">
        <v>176</v>
      </c>
      <c r="AQ6" s="1">
        <v>4</v>
      </c>
      <c r="AR6" s="1" t="s">
        <v>165</v>
      </c>
      <c r="AS6" s="1">
        <v>132534288.59999999</v>
      </c>
      <c r="AT6" s="1" t="s">
        <v>176</v>
      </c>
      <c r="AU6" s="1">
        <v>1</v>
      </c>
      <c r="AV6" s="1">
        <v>1</v>
      </c>
      <c r="AW6" s="1" t="s">
        <v>180</v>
      </c>
      <c r="AX6" s="1" t="s">
        <v>181</v>
      </c>
      <c r="AY6" s="1">
        <v>0</v>
      </c>
      <c r="BA6" s="1">
        <v>8205251.6799999997</v>
      </c>
      <c r="BB6" s="1">
        <v>1.0484</v>
      </c>
      <c r="BD6" s="1" t="s">
        <v>971</v>
      </c>
      <c r="BE6" s="1">
        <v>1</v>
      </c>
      <c r="BF6" s="1">
        <v>1</v>
      </c>
      <c r="BG6" s="1" t="s">
        <v>168</v>
      </c>
      <c r="BH6" s="1">
        <v>0</v>
      </c>
      <c r="BI6" s="1">
        <v>31345322.399999999</v>
      </c>
      <c r="BJ6" s="1">
        <v>1.6004267000000001</v>
      </c>
      <c r="BK6" s="1">
        <v>123618989.48999999</v>
      </c>
      <c r="BL6" s="1">
        <v>132456249.91</v>
      </c>
      <c r="BM6" s="1">
        <v>596150.00000000012</v>
      </c>
      <c r="BN6" s="1">
        <v>9219855.2300000004</v>
      </c>
      <c r="BO6" s="1">
        <v>23.664660909999998</v>
      </c>
      <c r="BP6" s="1">
        <v>0.45007313999999998</v>
      </c>
      <c r="BQ6" s="1">
        <v>6.9606796500000003</v>
      </c>
      <c r="BR6" s="1">
        <v>0.37873554999999998</v>
      </c>
      <c r="BS6" s="1" t="s">
        <v>169</v>
      </c>
      <c r="BT6" s="1" t="s">
        <v>169</v>
      </c>
      <c r="BU6" s="1">
        <v>26356083.120000001</v>
      </c>
      <c r="BV6" s="1">
        <v>1.6004267000000001</v>
      </c>
      <c r="BW6" s="1">
        <v>5800.12</v>
      </c>
      <c r="BX6" s="1">
        <v>0.32</v>
      </c>
      <c r="BY6" s="1" t="s">
        <v>170</v>
      </c>
      <c r="BZ6" s="1">
        <v>-78038.69</v>
      </c>
      <c r="CA6" s="1" t="s">
        <v>182</v>
      </c>
      <c r="CB6" s="1" t="s">
        <v>183</v>
      </c>
      <c r="CC6" s="1">
        <v>151135.76999999999</v>
      </c>
      <c r="CD6" s="1">
        <v>153763.1</v>
      </c>
      <c r="CE6" s="1">
        <v>524271.5</v>
      </c>
      <c r="CF6" s="1">
        <v>495858.79</v>
      </c>
      <c r="CG6" s="1">
        <v>0</v>
      </c>
      <c r="CH6" s="1">
        <v>1.4438757900000001</v>
      </c>
      <c r="CI6" s="1">
        <v>13.27863496</v>
      </c>
      <c r="CJ6" s="1">
        <v>17588381.91</v>
      </c>
      <c r="CK6" s="1">
        <v>1912503.72</v>
      </c>
      <c r="CL6" s="1">
        <v>6269233.6699999999</v>
      </c>
      <c r="CM6" s="1" t="s">
        <v>164</v>
      </c>
      <c r="CN6" s="1" t="s">
        <v>164</v>
      </c>
      <c r="CO6" s="1" t="s">
        <v>184</v>
      </c>
      <c r="CP6" s="1" t="s">
        <v>243</v>
      </c>
      <c r="CQ6" s="1" t="s">
        <v>185</v>
      </c>
      <c r="CR6" s="1">
        <v>0</v>
      </c>
      <c r="CS6" s="1" t="s">
        <v>243</v>
      </c>
      <c r="CT6" s="1">
        <v>0.40581055999999999</v>
      </c>
      <c r="CV6" s="1">
        <v>0</v>
      </c>
      <c r="CW6" s="1">
        <v>-219173.26</v>
      </c>
      <c r="DA6" s="1">
        <v>1355558.46</v>
      </c>
      <c r="DB6" s="1">
        <v>0</v>
      </c>
      <c r="DC6" s="1">
        <v>2520.3126550000002</v>
      </c>
      <c r="DD6" s="1">
        <v>52555.483399999997</v>
      </c>
      <c r="DE6" s="1">
        <v>-296353.43</v>
      </c>
      <c r="DF6" s="1">
        <v>92570020.519999996</v>
      </c>
      <c r="DG6" s="1">
        <v>1667.7</v>
      </c>
      <c r="DH6" s="1">
        <v>394770.09</v>
      </c>
      <c r="DI6" s="1">
        <v>0.29803809999999997</v>
      </c>
      <c r="DK6" s="1">
        <v>0</v>
      </c>
      <c r="DL6" s="1">
        <v>0</v>
      </c>
      <c r="DM6" s="1">
        <v>-296353.43</v>
      </c>
      <c r="DN6" s="1">
        <v>0</v>
      </c>
      <c r="DO6" s="1">
        <v>0</v>
      </c>
      <c r="DP6" s="1">
        <v>16777215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525939.19999999995</v>
      </c>
      <c r="DW6" s="1">
        <v>501658.91</v>
      </c>
      <c r="DX6" s="1">
        <v>31345322.399999999</v>
      </c>
      <c r="DY6" s="1">
        <v>-1110160.2399999984</v>
      </c>
      <c r="DZ6" s="1">
        <v>92570020.519999966</v>
      </c>
      <c r="EA6" s="1">
        <v>0</v>
      </c>
      <c r="EB6" s="1">
        <v>0</v>
      </c>
      <c r="EC6" s="1" t="s">
        <v>176</v>
      </c>
      <c r="EE6" s="1">
        <v>0</v>
      </c>
      <c r="EF6" s="1">
        <v>3</v>
      </c>
      <c r="EG6" s="1">
        <v>0</v>
      </c>
      <c r="EH6" s="1">
        <v>0</v>
      </c>
      <c r="EI6" s="1">
        <v>0</v>
      </c>
      <c r="EL6" s="1">
        <v>0</v>
      </c>
      <c r="EM6" s="1">
        <v>0</v>
      </c>
      <c r="EN6" s="1">
        <v>1633661.45</v>
      </c>
      <c r="EO6" s="1">
        <v>1.2333592799999999</v>
      </c>
      <c r="ER6" s="1">
        <v>3083.95</v>
      </c>
      <c r="ES6" s="1">
        <v>1.0572999999999999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3">
      <c r="A7" s="1">
        <v>16975367</v>
      </c>
      <c r="B7" s="1">
        <v>128</v>
      </c>
      <c r="C7" s="1">
        <v>8167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5000</v>
      </c>
      <c r="J7" s="1">
        <v>5000</v>
      </c>
      <c r="K7" s="1">
        <v>5</v>
      </c>
      <c r="L7" s="1">
        <v>5</v>
      </c>
      <c r="M7" s="1">
        <v>5</v>
      </c>
      <c r="N7" s="1">
        <v>4.5999999999999996</v>
      </c>
      <c r="O7" s="1">
        <v>437450</v>
      </c>
      <c r="P7" s="1">
        <v>402623.1</v>
      </c>
      <c r="Q7" s="1">
        <v>437450</v>
      </c>
      <c r="R7" s="1">
        <v>402623.1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/>
      <c r="AF7" s="1" t="s">
        <v>161</v>
      </c>
      <c r="AG7" s="1" t="s">
        <v>970</v>
      </c>
      <c r="AH7" s="1" t="s">
        <v>706</v>
      </c>
      <c r="AI7" s="1">
        <v>5</v>
      </c>
      <c r="AJ7" s="1" t="s">
        <v>162</v>
      </c>
      <c r="AK7" s="1" t="s">
        <v>163</v>
      </c>
      <c r="AL7" s="1">
        <v>64.58</v>
      </c>
      <c r="AM7" s="1">
        <v>64.650000000000006</v>
      </c>
      <c r="AN7" s="1">
        <v>323250</v>
      </c>
      <c r="AO7" s="1">
        <v>308326.96999999997</v>
      </c>
      <c r="AP7" s="1" t="s">
        <v>176</v>
      </c>
      <c r="AQ7" s="1">
        <v>4</v>
      </c>
      <c r="AR7" s="1" t="s">
        <v>165</v>
      </c>
      <c r="AS7" s="1">
        <v>132534288.59999999</v>
      </c>
      <c r="AT7" s="1" t="s">
        <v>176</v>
      </c>
      <c r="AU7" s="1">
        <v>1</v>
      </c>
      <c r="AV7" s="1">
        <v>1</v>
      </c>
      <c r="AW7" s="1" t="s">
        <v>180</v>
      </c>
      <c r="AX7" s="1" t="s">
        <v>181</v>
      </c>
      <c r="AY7" s="1">
        <v>0</v>
      </c>
      <c r="BA7" s="1">
        <v>8205251.6799999997</v>
      </c>
      <c r="BB7" s="1">
        <v>1.0484</v>
      </c>
      <c r="BD7" s="1" t="s">
        <v>971</v>
      </c>
      <c r="BE7" s="1">
        <v>1</v>
      </c>
      <c r="BF7" s="1">
        <v>1</v>
      </c>
      <c r="BG7" s="1" t="s">
        <v>168</v>
      </c>
      <c r="BH7" s="1">
        <v>0</v>
      </c>
      <c r="BI7" s="1">
        <v>31345322.399999999</v>
      </c>
      <c r="BJ7" s="1">
        <v>0.98364587000000003</v>
      </c>
      <c r="BK7" s="1">
        <v>123618989.48999999</v>
      </c>
      <c r="BL7" s="1">
        <v>132456249.91</v>
      </c>
      <c r="BM7" s="1">
        <v>596150.00000000012</v>
      </c>
      <c r="BN7" s="1">
        <v>9219855.2300000004</v>
      </c>
      <c r="BO7" s="1">
        <v>23.664660909999998</v>
      </c>
      <c r="BP7" s="1">
        <v>0.45007313999999998</v>
      </c>
      <c r="BQ7" s="1">
        <v>6.9606796500000003</v>
      </c>
      <c r="BR7" s="1">
        <v>0.23277645999999999</v>
      </c>
      <c r="BS7" s="1" t="s">
        <v>169</v>
      </c>
      <c r="BT7" s="1" t="s">
        <v>169</v>
      </c>
      <c r="BU7" s="1">
        <v>26356083.120000001</v>
      </c>
      <c r="BV7" s="1">
        <v>0.98364587000000003</v>
      </c>
      <c r="BW7" s="1">
        <v>2926.42</v>
      </c>
      <c r="BX7" s="1">
        <v>0.11</v>
      </c>
      <c r="BY7" s="1" t="s">
        <v>170</v>
      </c>
      <c r="BZ7" s="1">
        <v>-78038.69</v>
      </c>
      <c r="CA7" s="1" t="s">
        <v>182</v>
      </c>
      <c r="CB7" s="1" t="s">
        <v>183</v>
      </c>
      <c r="CC7" s="1">
        <v>-114550</v>
      </c>
      <c r="CD7" s="1">
        <v>-97222.55</v>
      </c>
      <c r="CE7" s="1">
        <v>322900</v>
      </c>
      <c r="CF7" s="1">
        <v>305400.55</v>
      </c>
      <c r="CG7" s="1">
        <v>0</v>
      </c>
      <c r="CH7" s="1">
        <v>1.4438757900000001</v>
      </c>
      <c r="CI7" s="1">
        <v>13.27863496</v>
      </c>
      <c r="CJ7" s="1">
        <v>17588381.91</v>
      </c>
      <c r="CK7" s="1">
        <v>1912503.72</v>
      </c>
      <c r="CL7" s="1">
        <v>6269233.6699999999</v>
      </c>
      <c r="CM7" s="1" t="s">
        <v>164</v>
      </c>
      <c r="CN7" s="1" t="s">
        <v>164</v>
      </c>
      <c r="CO7" s="1" t="s">
        <v>184</v>
      </c>
      <c r="CP7" s="1" t="s">
        <v>243</v>
      </c>
      <c r="CQ7" s="1" t="s">
        <v>185</v>
      </c>
      <c r="CR7" s="1">
        <v>0</v>
      </c>
      <c r="CS7" s="1" t="s">
        <v>243</v>
      </c>
      <c r="CT7" s="1">
        <v>0.24941716</v>
      </c>
      <c r="CV7" s="1">
        <v>0</v>
      </c>
      <c r="CW7" s="1">
        <v>-219173.26</v>
      </c>
      <c r="DA7" s="1">
        <v>1355558.46</v>
      </c>
      <c r="DB7" s="1">
        <v>0</v>
      </c>
      <c r="DC7" s="1">
        <v>2520.3126550000002</v>
      </c>
      <c r="DD7" s="1">
        <v>52555.483399999997</v>
      </c>
      <c r="DE7" s="1">
        <v>-296353.43</v>
      </c>
      <c r="DF7" s="1">
        <v>92570020.519999996</v>
      </c>
      <c r="DG7" s="1">
        <v>350</v>
      </c>
      <c r="DH7" s="1">
        <v>394770.09</v>
      </c>
      <c r="DI7" s="1">
        <v>0.29803809999999997</v>
      </c>
      <c r="DK7" s="1">
        <v>0</v>
      </c>
      <c r="DL7" s="1">
        <v>0</v>
      </c>
      <c r="DM7" s="1">
        <v>-296353.43</v>
      </c>
      <c r="DN7" s="1">
        <v>0</v>
      </c>
      <c r="DO7" s="1">
        <v>0</v>
      </c>
      <c r="DP7" s="1">
        <v>16777215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323250</v>
      </c>
      <c r="DW7" s="1">
        <v>308326.96999999997</v>
      </c>
      <c r="DX7" s="1">
        <v>31345322.399999999</v>
      </c>
      <c r="DY7" s="1">
        <v>-1110160.2399999984</v>
      </c>
      <c r="DZ7" s="1">
        <v>92570020.519999966</v>
      </c>
      <c r="EA7" s="1">
        <v>0</v>
      </c>
      <c r="EB7" s="1">
        <v>0</v>
      </c>
      <c r="EC7" s="1" t="s">
        <v>176</v>
      </c>
      <c r="EE7" s="1">
        <v>0</v>
      </c>
      <c r="EF7" s="1">
        <v>3</v>
      </c>
      <c r="EG7" s="1">
        <v>0</v>
      </c>
      <c r="EH7" s="1">
        <v>0</v>
      </c>
      <c r="EI7" s="1">
        <v>0</v>
      </c>
      <c r="EL7" s="1">
        <v>0</v>
      </c>
      <c r="EM7" s="1">
        <v>0</v>
      </c>
      <c r="EN7" s="1">
        <v>1633661.45</v>
      </c>
      <c r="EO7" s="1">
        <v>1.2333592799999999</v>
      </c>
      <c r="ER7" s="1">
        <v>64.58</v>
      </c>
      <c r="ES7" s="1">
        <v>1.0572999999999999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3">
      <c r="A8" s="1">
        <v>16975413</v>
      </c>
      <c r="B8" s="1">
        <v>128</v>
      </c>
      <c r="C8" s="1">
        <v>3856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12000</v>
      </c>
      <c r="J8" s="1">
        <v>12000</v>
      </c>
      <c r="K8" s="1">
        <v>12</v>
      </c>
      <c r="L8" s="1">
        <v>12</v>
      </c>
      <c r="M8" s="1">
        <v>12</v>
      </c>
      <c r="N8" s="1">
        <v>11.67</v>
      </c>
      <c r="O8" s="1">
        <v>1432144.15</v>
      </c>
      <c r="P8" s="1">
        <v>1311330.8799999999</v>
      </c>
      <c r="Q8" s="1">
        <v>1432144.15</v>
      </c>
      <c r="R8" s="1">
        <v>1311330.8799999999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/>
      <c r="AF8" s="1" t="s">
        <v>161</v>
      </c>
      <c r="AG8" s="1" t="s">
        <v>970</v>
      </c>
      <c r="AH8" s="1" t="s">
        <v>188</v>
      </c>
      <c r="AI8" s="1">
        <v>5</v>
      </c>
      <c r="AJ8" s="1" t="s">
        <v>162</v>
      </c>
      <c r="AK8" s="1" t="s">
        <v>163</v>
      </c>
      <c r="AL8" s="1">
        <v>130.86000000000001</v>
      </c>
      <c r="AM8" s="1">
        <v>134.17000000000002</v>
      </c>
      <c r="AN8" s="1">
        <v>1610040.0000000002</v>
      </c>
      <c r="AO8" s="1">
        <v>1535711.56</v>
      </c>
      <c r="AP8" s="1" t="s">
        <v>176</v>
      </c>
      <c r="AQ8" s="1">
        <v>4</v>
      </c>
      <c r="AR8" s="1" t="s">
        <v>165</v>
      </c>
      <c r="AS8" s="1">
        <v>132534288.59999999</v>
      </c>
      <c r="AT8" s="1" t="s">
        <v>176</v>
      </c>
      <c r="AU8" s="1">
        <v>1</v>
      </c>
      <c r="AV8" s="1">
        <v>1</v>
      </c>
      <c r="AW8" s="1" t="s">
        <v>180</v>
      </c>
      <c r="AX8" s="1" t="s">
        <v>181</v>
      </c>
      <c r="AY8" s="1">
        <v>0</v>
      </c>
      <c r="BA8" s="1">
        <v>8205251.6799999997</v>
      </c>
      <c r="BB8" s="1">
        <v>1.0484</v>
      </c>
      <c r="BD8" s="1" t="s">
        <v>971</v>
      </c>
      <c r="BE8" s="1">
        <v>1</v>
      </c>
      <c r="BF8" s="1">
        <v>1</v>
      </c>
      <c r="BG8" s="1" t="s">
        <v>168</v>
      </c>
      <c r="BH8" s="1">
        <v>0</v>
      </c>
      <c r="BI8" s="1">
        <v>31345322.399999999</v>
      </c>
      <c r="BJ8" s="1">
        <v>4.89933248</v>
      </c>
      <c r="BK8" s="1">
        <v>123618989.48999999</v>
      </c>
      <c r="BL8" s="1">
        <v>132456249.91</v>
      </c>
      <c r="BM8" s="1">
        <v>596150.00000000012</v>
      </c>
      <c r="BN8" s="1">
        <v>9219855.2300000004</v>
      </c>
      <c r="BO8" s="1">
        <v>23.664660909999998</v>
      </c>
      <c r="BP8" s="1">
        <v>0.45007313999999998</v>
      </c>
      <c r="BQ8" s="1">
        <v>6.9606796500000003</v>
      </c>
      <c r="BR8" s="1">
        <v>1.1594104199999999</v>
      </c>
      <c r="BS8" s="1" t="s">
        <v>169</v>
      </c>
      <c r="BT8" s="1" t="s">
        <v>169</v>
      </c>
      <c r="BU8" s="1">
        <v>26356083.120000001</v>
      </c>
      <c r="BV8" s="1">
        <v>4.89933248</v>
      </c>
      <c r="BW8" s="1">
        <v>50494.5</v>
      </c>
      <c r="BX8" s="1">
        <v>2.5299999999999998</v>
      </c>
      <c r="BY8" s="1" t="s">
        <v>170</v>
      </c>
      <c r="BZ8" s="1">
        <v>-78038.69</v>
      </c>
      <c r="CA8" s="1" t="s">
        <v>182</v>
      </c>
      <c r="CB8" s="1" t="s">
        <v>183</v>
      </c>
      <c r="CC8" s="1">
        <v>138175.85</v>
      </c>
      <c r="CD8" s="1">
        <v>173886.18</v>
      </c>
      <c r="CE8" s="1">
        <v>1570320</v>
      </c>
      <c r="CF8" s="1">
        <v>1485217.06</v>
      </c>
      <c r="CG8" s="1">
        <v>0</v>
      </c>
      <c r="CH8" s="1">
        <v>1.4438757900000001</v>
      </c>
      <c r="CI8" s="1">
        <v>13.27863496</v>
      </c>
      <c r="CJ8" s="1">
        <v>17588381.91</v>
      </c>
      <c r="CK8" s="1">
        <v>1912503.72</v>
      </c>
      <c r="CL8" s="1">
        <v>6269233.6699999999</v>
      </c>
      <c r="CM8" s="1" t="s">
        <v>164</v>
      </c>
      <c r="CN8" s="1" t="s">
        <v>164</v>
      </c>
      <c r="CO8" s="1" t="s">
        <v>184</v>
      </c>
      <c r="CP8" s="1" t="s">
        <v>243</v>
      </c>
      <c r="CQ8" s="1" t="s">
        <v>185</v>
      </c>
      <c r="CR8" s="1">
        <v>0</v>
      </c>
      <c r="CS8" s="1" t="s">
        <v>243</v>
      </c>
      <c r="CT8" s="1">
        <v>1.24229422</v>
      </c>
      <c r="CV8" s="1">
        <v>0</v>
      </c>
      <c r="CW8" s="1">
        <v>-219173.26</v>
      </c>
      <c r="DA8" s="1">
        <v>1355558.46</v>
      </c>
      <c r="DB8" s="1">
        <v>0</v>
      </c>
      <c r="DC8" s="1">
        <v>2520.3126550000002</v>
      </c>
      <c r="DD8" s="1">
        <v>52555.483399999997</v>
      </c>
      <c r="DE8" s="1">
        <v>-296353.43</v>
      </c>
      <c r="DF8" s="1">
        <v>92570020.519999996</v>
      </c>
      <c r="DG8" s="1">
        <v>39720</v>
      </c>
      <c r="DH8" s="1">
        <v>394770.09</v>
      </c>
      <c r="DI8" s="1">
        <v>0.29803809999999997</v>
      </c>
      <c r="DK8" s="1">
        <v>0</v>
      </c>
      <c r="DL8" s="1">
        <v>0</v>
      </c>
      <c r="DM8" s="1">
        <v>-296353.43</v>
      </c>
      <c r="DN8" s="1">
        <v>0</v>
      </c>
      <c r="DO8" s="1">
        <v>0</v>
      </c>
      <c r="DP8" s="1">
        <v>16777215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1610040.0000000002</v>
      </c>
      <c r="DW8" s="1">
        <v>1535711.56</v>
      </c>
      <c r="DX8" s="1">
        <v>31345322.399999999</v>
      </c>
      <c r="DY8" s="1">
        <v>-1110160.2399999984</v>
      </c>
      <c r="DZ8" s="1">
        <v>92570020.519999966</v>
      </c>
      <c r="EA8" s="1">
        <v>0</v>
      </c>
      <c r="EB8" s="1">
        <v>0</v>
      </c>
      <c r="EC8" s="1" t="s">
        <v>176</v>
      </c>
      <c r="EE8" s="1">
        <v>0</v>
      </c>
      <c r="EF8" s="1">
        <v>3</v>
      </c>
      <c r="EG8" s="1">
        <v>0</v>
      </c>
      <c r="EH8" s="1">
        <v>0</v>
      </c>
      <c r="EI8" s="1">
        <v>0</v>
      </c>
      <c r="EL8" s="1">
        <v>0</v>
      </c>
      <c r="EM8" s="1">
        <v>0</v>
      </c>
      <c r="EN8" s="1">
        <v>1633661.45</v>
      </c>
      <c r="EO8" s="1">
        <v>1.2333592799999999</v>
      </c>
      <c r="ER8" s="1">
        <v>130.86000000000001</v>
      </c>
      <c r="ES8" s="1">
        <v>1.0572999999999999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3">
      <c r="A9" s="1">
        <v>16975335</v>
      </c>
      <c r="B9" s="1">
        <v>128</v>
      </c>
      <c r="C9" s="1">
        <v>7736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2600</v>
      </c>
      <c r="J9" s="1">
        <v>2600</v>
      </c>
      <c r="K9" s="1">
        <v>0.26</v>
      </c>
      <c r="L9" s="1">
        <v>0.26</v>
      </c>
      <c r="M9" s="1">
        <v>0.26</v>
      </c>
      <c r="N9" s="1">
        <v>0.25</v>
      </c>
      <c r="O9" s="1">
        <v>442905.03</v>
      </c>
      <c r="P9" s="1">
        <v>407094.8</v>
      </c>
      <c r="Q9" s="1">
        <v>442905.03</v>
      </c>
      <c r="R9" s="1">
        <v>407094.8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/>
      <c r="AF9" s="1" t="s">
        <v>161</v>
      </c>
      <c r="AG9" s="1" t="s">
        <v>970</v>
      </c>
      <c r="AH9" s="1" t="s">
        <v>189</v>
      </c>
      <c r="AI9" s="1">
        <v>5</v>
      </c>
      <c r="AJ9" s="1" t="s">
        <v>162</v>
      </c>
      <c r="AK9" s="1" t="s">
        <v>163</v>
      </c>
      <c r="AL9" s="1">
        <v>234.44</v>
      </c>
      <c r="AM9" s="1">
        <v>236.77</v>
      </c>
      <c r="AN9" s="1">
        <v>615602</v>
      </c>
      <c r="AO9" s="1">
        <v>587182.37</v>
      </c>
      <c r="AP9" s="1" t="s">
        <v>176</v>
      </c>
      <c r="AQ9" s="1">
        <v>4</v>
      </c>
      <c r="AR9" s="1" t="s">
        <v>165</v>
      </c>
      <c r="AS9" s="1">
        <v>132534288.59999999</v>
      </c>
      <c r="AT9" s="1" t="s">
        <v>176</v>
      </c>
      <c r="AU9" s="1">
        <v>1</v>
      </c>
      <c r="AV9" s="1">
        <v>1</v>
      </c>
      <c r="AW9" s="1" t="s">
        <v>180</v>
      </c>
      <c r="AX9" s="1" t="s">
        <v>181</v>
      </c>
      <c r="AY9" s="1">
        <v>0</v>
      </c>
      <c r="BA9" s="1">
        <v>8205251.6799999997</v>
      </c>
      <c r="BB9" s="1">
        <v>1.0484</v>
      </c>
      <c r="BD9" s="1" t="s">
        <v>971</v>
      </c>
      <c r="BE9" s="1">
        <v>1</v>
      </c>
      <c r="BF9" s="1">
        <v>1</v>
      </c>
      <c r="BG9" s="1" t="s">
        <v>168</v>
      </c>
      <c r="BH9" s="1">
        <v>0</v>
      </c>
      <c r="BI9" s="1">
        <v>31345322.399999999</v>
      </c>
      <c r="BJ9" s="1">
        <v>1.87326952</v>
      </c>
      <c r="BK9" s="1">
        <v>123618989.48999999</v>
      </c>
      <c r="BL9" s="1">
        <v>132456249.91</v>
      </c>
      <c r="BM9" s="1">
        <v>596150.00000000012</v>
      </c>
      <c r="BN9" s="1">
        <v>9219855.2300000004</v>
      </c>
      <c r="BO9" s="1">
        <v>23.664660909999998</v>
      </c>
      <c r="BP9" s="1">
        <v>0.45007313999999998</v>
      </c>
      <c r="BQ9" s="1">
        <v>6.9606796500000003</v>
      </c>
      <c r="BR9" s="1">
        <v>0.44330288000000001</v>
      </c>
      <c r="BS9" s="1" t="s">
        <v>169</v>
      </c>
      <c r="BT9" s="1" t="s">
        <v>169</v>
      </c>
      <c r="BU9" s="1">
        <v>26356083.120000001</v>
      </c>
      <c r="BV9" s="1">
        <v>1.87326952</v>
      </c>
      <c r="BW9" s="1">
        <v>10672.39</v>
      </c>
      <c r="BX9" s="1">
        <v>0.99</v>
      </c>
      <c r="BY9" s="1" t="s">
        <v>170</v>
      </c>
      <c r="BZ9" s="1">
        <v>-78038.69</v>
      </c>
      <c r="CA9" s="1" t="s">
        <v>182</v>
      </c>
      <c r="CB9" s="1" t="s">
        <v>183</v>
      </c>
      <c r="CC9" s="1">
        <v>166638.97</v>
      </c>
      <c r="CD9" s="1">
        <v>169415.18</v>
      </c>
      <c r="CE9" s="1">
        <v>609544</v>
      </c>
      <c r="CF9" s="1">
        <v>576509.98</v>
      </c>
      <c r="CG9" s="1">
        <v>0</v>
      </c>
      <c r="CH9" s="1">
        <v>1.4438757900000001</v>
      </c>
      <c r="CI9" s="1">
        <v>13.27863496</v>
      </c>
      <c r="CJ9" s="1">
        <v>17588381.91</v>
      </c>
      <c r="CK9" s="1">
        <v>1912503.72</v>
      </c>
      <c r="CL9" s="1">
        <v>6269233.6699999999</v>
      </c>
      <c r="CM9" s="1" t="s">
        <v>164</v>
      </c>
      <c r="CN9" s="1" t="s">
        <v>164</v>
      </c>
      <c r="CO9" s="1" t="s">
        <v>184</v>
      </c>
      <c r="CP9" s="1" t="s">
        <v>243</v>
      </c>
      <c r="CQ9" s="1" t="s">
        <v>185</v>
      </c>
      <c r="CR9" s="1">
        <v>0</v>
      </c>
      <c r="CS9" s="1" t="s">
        <v>243</v>
      </c>
      <c r="CT9" s="1">
        <v>0.47499366999999998</v>
      </c>
      <c r="CV9" s="1">
        <v>0</v>
      </c>
      <c r="CW9" s="1">
        <v>-219173.26</v>
      </c>
      <c r="DA9" s="1">
        <v>1355558.46</v>
      </c>
      <c r="DB9" s="1">
        <v>0</v>
      </c>
      <c r="DC9" s="1">
        <v>2520.3126550000002</v>
      </c>
      <c r="DD9" s="1">
        <v>52555.483399999997</v>
      </c>
      <c r="DE9" s="1">
        <v>-296353.43</v>
      </c>
      <c r="DF9" s="1">
        <v>92570020.519999996</v>
      </c>
      <c r="DG9" s="1">
        <v>6058</v>
      </c>
      <c r="DH9" s="1">
        <v>394770.09</v>
      </c>
      <c r="DI9" s="1">
        <v>0.29803809999999997</v>
      </c>
      <c r="DK9" s="1">
        <v>0</v>
      </c>
      <c r="DL9" s="1">
        <v>0</v>
      </c>
      <c r="DM9" s="1">
        <v>-296353.43</v>
      </c>
      <c r="DN9" s="1">
        <v>0</v>
      </c>
      <c r="DO9" s="1">
        <v>0</v>
      </c>
      <c r="DP9" s="1">
        <v>16777215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615602</v>
      </c>
      <c r="DW9" s="1">
        <v>587182.37</v>
      </c>
      <c r="DX9" s="1">
        <v>31345322.399999999</v>
      </c>
      <c r="DY9" s="1">
        <v>-1110160.2399999984</v>
      </c>
      <c r="DZ9" s="1">
        <v>92570020.519999966</v>
      </c>
      <c r="EA9" s="1">
        <v>0</v>
      </c>
      <c r="EB9" s="1">
        <v>0</v>
      </c>
      <c r="EC9" s="1" t="s">
        <v>176</v>
      </c>
      <c r="EE9" s="1">
        <v>0</v>
      </c>
      <c r="EF9" s="1">
        <v>3</v>
      </c>
      <c r="EG9" s="1">
        <v>0</v>
      </c>
      <c r="EH9" s="1">
        <v>0</v>
      </c>
      <c r="EI9" s="1">
        <v>0</v>
      </c>
      <c r="EL9" s="1">
        <v>0</v>
      </c>
      <c r="EM9" s="1">
        <v>0</v>
      </c>
      <c r="EN9" s="1">
        <v>1633661.45</v>
      </c>
      <c r="EO9" s="1">
        <v>1.2333592799999999</v>
      </c>
      <c r="ER9" s="1">
        <v>234.44</v>
      </c>
      <c r="ES9" s="1">
        <v>1.0572999999999999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3">
      <c r="A10" s="1">
        <v>16975368</v>
      </c>
      <c r="B10" s="1">
        <v>128</v>
      </c>
      <c r="C10" s="1">
        <v>10680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5500</v>
      </c>
      <c r="J10" s="1">
        <v>5500</v>
      </c>
      <c r="K10" s="1">
        <v>5.5</v>
      </c>
      <c r="L10" s="1">
        <v>5.5</v>
      </c>
      <c r="M10" s="1">
        <v>5.5</v>
      </c>
      <c r="N10" s="1">
        <v>5.0599999999999996</v>
      </c>
      <c r="O10" s="1">
        <v>450450</v>
      </c>
      <c r="P10" s="1">
        <v>414588.13</v>
      </c>
      <c r="Q10" s="1">
        <v>450450</v>
      </c>
      <c r="R10" s="1">
        <v>414588.13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/>
      <c r="AF10" s="1" t="s">
        <v>161</v>
      </c>
      <c r="AG10" s="1" t="s">
        <v>970</v>
      </c>
      <c r="AH10" s="1" t="s">
        <v>707</v>
      </c>
      <c r="AI10" s="1">
        <v>5</v>
      </c>
      <c r="AJ10" s="1" t="s">
        <v>162</v>
      </c>
      <c r="AK10" s="1" t="s">
        <v>163</v>
      </c>
      <c r="AL10" s="1">
        <v>57.86</v>
      </c>
      <c r="AM10" s="1">
        <v>57.17</v>
      </c>
      <c r="AN10" s="1">
        <v>314435</v>
      </c>
      <c r="AO10" s="1">
        <v>299918.92</v>
      </c>
      <c r="AP10" s="1" t="s">
        <v>176</v>
      </c>
      <c r="AQ10" s="1">
        <v>4</v>
      </c>
      <c r="AR10" s="1" t="s">
        <v>165</v>
      </c>
      <c r="AS10" s="1">
        <v>132534288.59999999</v>
      </c>
      <c r="AT10" s="1" t="s">
        <v>176</v>
      </c>
      <c r="AU10" s="1">
        <v>1</v>
      </c>
      <c r="AV10" s="1">
        <v>1</v>
      </c>
      <c r="AW10" s="1" t="s">
        <v>180</v>
      </c>
      <c r="AX10" s="1" t="s">
        <v>181</v>
      </c>
      <c r="AY10" s="1">
        <v>0</v>
      </c>
      <c r="AZ10" s="1"/>
      <c r="BA10" s="1">
        <v>8205251.6799999997</v>
      </c>
      <c r="BB10" s="1">
        <v>1.0484</v>
      </c>
      <c r="BD10" s="1" t="s">
        <v>971</v>
      </c>
      <c r="BE10" s="1">
        <v>1</v>
      </c>
      <c r="BF10" s="1">
        <v>1</v>
      </c>
      <c r="BG10" s="1" t="s">
        <v>168</v>
      </c>
      <c r="BH10" s="1">
        <v>0</v>
      </c>
      <c r="BI10" s="1">
        <v>31345322.399999999</v>
      </c>
      <c r="BJ10" s="1">
        <v>0.95682193000000004</v>
      </c>
      <c r="BK10" s="1">
        <v>123618989.48999999</v>
      </c>
      <c r="BL10" s="1">
        <v>132456249.91</v>
      </c>
      <c r="BM10" s="1">
        <v>596150.00000000012</v>
      </c>
      <c r="BN10" s="1">
        <v>9219855.2300000004</v>
      </c>
      <c r="BO10" s="1">
        <v>23.664660909999998</v>
      </c>
      <c r="BP10" s="1">
        <v>0.45007313999999998</v>
      </c>
      <c r="BQ10" s="1">
        <v>6.9606796500000003</v>
      </c>
      <c r="BR10" s="1">
        <v>0.22642867</v>
      </c>
      <c r="BS10" s="1" t="s">
        <v>169</v>
      </c>
      <c r="BT10" s="1" t="s">
        <v>169</v>
      </c>
      <c r="BU10" s="1">
        <v>26356083.120000001</v>
      </c>
      <c r="BV10" s="1">
        <v>0.95682193000000004</v>
      </c>
      <c r="BW10" s="1">
        <v>-1064.72</v>
      </c>
      <c r="BX10" s="1">
        <v>-1.19</v>
      </c>
      <c r="BY10" s="1" t="s">
        <v>170</v>
      </c>
      <c r="BZ10" s="1">
        <v>-78038.69</v>
      </c>
      <c r="CA10" s="1" t="s">
        <v>182</v>
      </c>
      <c r="CB10" s="1" t="s">
        <v>183</v>
      </c>
      <c r="CC10" s="1">
        <v>-132220</v>
      </c>
      <c r="CD10" s="1">
        <v>-113604.49</v>
      </c>
      <c r="CE10" s="1">
        <v>318230</v>
      </c>
      <c r="CF10" s="1">
        <v>300983.64</v>
      </c>
      <c r="CG10" s="1">
        <v>0</v>
      </c>
      <c r="CH10" s="1">
        <v>1.4438757900000001</v>
      </c>
      <c r="CI10" s="1">
        <v>13.27863496</v>
      </c>
      <c r="CJ10" s="1">
        <v>17588381.91</v>
      </c>
      <c r="CK10" s="1">
        <v>1912503.72</v>
      </c>
      <c r="CL10" s="1">
        <v>6269233.6699999999</v>
      </c>
      <c r="CM10" s="1" t="s">
        <v>164</v>
      </c>
      <c r="CN10" s="1" t="s">
        <v>164</v>
      </c>
      <c r="CO10" s="1" t="s">
        <v>184</v>
      </c>
      <c r="CP10" s="1" t="s">
        <v>243</v>
      </c>
      <c r="CQ10" s="1" t="s">
        <v>185</v>
      </c>
      <c r="CR10" s="1">
        <v>0</v>
      </c>
      <c r="CS10" s="1" t="s">
        <v>243</v>
      </c>
      <c r="CT10" s="1">
        <v>0.24261557</v>
      </c>
      <c r="CV10" s="1">
        <v>0</v>
      </c>
      <c r="CW10" s="1">
        <v>-219173.26</v>
      </c>
      <c r="DA10" s="1">
        <v>1355558.46</v>
      </c>
      <c r="DB10" s="1">
        <v>0</v>
      </c>
      <c r="DC10" s="1">
        <v>2520.3126550000002</v>
      </c>
      <c r="DD10" s="1">
        <v>52555.483399999997</v>
      </c>
      <c r="DE10" s="1">
        <v>-296353.43</v>
      </c>
      <c r="DF10" s="1">
        <v>92570020.519999996</v>
      </c>
      <c r="DG10" s="1">
        <v>-3795</v>
      </c>
      <c r="DH10" s="1">
        <v>394770.09</v>
      </c>
      <c r="DI10" s="1">
        <v>0.29803809999999997</v>
      </c>
      <c r="DK10" s="1">
        <v>0</v>
      </c>
      <c r="DL10" s="1">
        <v>0</v>
      </c>
      <c r="DM10" s="1">
        <v>-296353.43</v>
      </c>
      <c r="DN10" s="1">
        <v>0</v>
      </c>
      <c r="DO10" s="1">
        <v>0</v>
      </c>
      <c r="DP10" s="1">
        <v>16777215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314435</v>
      </c>
      <c r="DW10" s="1">
        <v>299918.92</v>
      </c>
      <c r="DX10" s="1">
        <v>31345322.399999999</v>
      </c>
      <c r="DY10" s="1">
        <v>-1110160.2399999984</v>
      </c>
      <c r="DZ10" s="1">
        <v>92570020.519999966</v>
      </c>
      <c r="EA10" s="1">
        <v>0</v>
      </c>
      <c r="EB10" s="1">
        <v>0</v>
      </c>
      <c r="EC10" s="1" t="s">
        <v>176</v>
      </c>
      <c r="EE10" s="1">
        <v>0</v>
      </c>
      <c r="EF10" s="1">
        <v>3</v>
      </c>
      <c r="EG10" s="1">
        <v>0</v>
      </c>
      <c r="EH10" s="1">
        <v>0</v>
      </c>
      <c r="EI10" s="1">
        <v>0</v>
      </c>
      <c r="EL10" s="1">
        <v>0</v>
      </c>
      <c r="EM10" s="1">
        <v>0</v>
      </c>
      <c r="EN10" s="1">
        <v>1633661.45</v>
      </c>
      <c r="EO10" s="1">
        <v>1.2333592799999999</v>
      </c>
      <c r="ER10" s="1">
        <v>57.86</v>
      </c>
      <c r="ES10" s="1">
        <v>1.0572999999999999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3">
      <c r="A11" s="1">
        <v>16975416</v>
      </c>
      <c r="B11" s="1">
        <v>128</v>
      </c>
      <c r="C11" s="1">
        <v>8611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13077</v>
      </c>
      <c r="J11" s="1">
        <v>13077</v>
      </c>
      <c r="K11" s="1">
        <v>205.31</v>
      </c>
      <c r="L11" s="1">
        <v>205.31</v>
      </c>
      <c r="M11" s="1">
        <v>205.31</v>
      </c>
      <c r="N11" s="1">
        <v>267.77999999999997</v>
      </c>
      <c r="O11" s="1">
        <v>337539.16</v>
      </c>
      <c r="P11" s="1">
        <v>337539.16</v>
      </c>
      <c r="Q11" s="1">
        <v>337539.16</v>
      </c>
      <c r="R11" s="1">
        <v>337539.16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/>
      <c r="AF11" s="1" t="s">
        <v>161</v>
      </c>
      <c r="AG11" s="1" t="s">
        <v>970</v>
      </c>
      <c r="AH11" s="1" t="s">
        <v>190</v>
      </c>
      <c r="AI11" s="1">
        <v>4</v>
      </c>
      <c r="AJ11" s="1" t="s">
        <v>165</v>
      </c>
      <c r="AK11" s="1" t="s">
        <v>191</v>
      </c>
      <c r="AL11" s="1">
        <v>27.919999616895002</v>
      </c>
      <c r="AM11" s="1">
        <v>27.865000000000002</v>
      </c>
      <c r="AN11" s="1">
        <v>364390.61</v>
      </c>
      <c r="AO11" s="1">
        <v>364390.61</v>
      </c>
      <c r="AP11" s="1" t="s">
        <v>176</v>
      </c>
      <c r="AQ11" s="1">
        <v>4</v>
      </c>
      <c r="AR11" s="1" t="s">
        <v>165</v>
      </c>
      <c r="AS11" s="1">
        <v>132534288.59999999</v>
      </c>
      <c r="AT11" s="1" t="s">
        <v>176</v>
      </c>
      <c r="AU11" s="1">
        <v>1</v>
      </c>
      <c r="AV11" s="1">
        <v>1</v>
      </c>
      <c r="AW11" s="1" t="s">
        <v>180</v>
      </c>
      <c r="AX11" s="1" t="s">
        <v>181</v>
      </c>
      <c r="AY11" s="1">
        <v>0</v>
      </c>
      <c r="AZ11" s="1"/>
      <c r="BA11" s="1">
        <v>8205251.6799999997</v>
      </c>
      <c r="BB11" s="1">
        <v>1</v>
      </c>
      <c r="BD11" s="1" t="s">
        <v>971</v>
      </c>
      <c r="BE11" s="1">
        <v>1</v>
      </c>
      <c r="BF11" s="1">
        <v>1</v>
      </c>
      <c r="BG11" s="1" t="s">
        <v>168</v>
      </c>
      <c r="BH11" s="1">
        <v>0</v>
      </c>
      <c r="BI11" s="1">
        <v>31345322.399999999</v>
      </c>
      <c r="BJ11" s="1">
        <v>1.1625039500000001</v>
      </c>
      <c r="BK11" s="1">
        <v>123618989.48999999</v>
      </c>
      <c r="BL11" s="1">
        <v>132456249.91</v>
      </c>
      <c r="BM11" s="1">
        <v>596150.00000000012</v>
      </c>
      <c r="BN11" s="1">
        <v>9219855.2300000004</v>
      </c>
      <c r="BO11" s="1">
        <v>23.664660909999998</v>
      </c>
      <c r="BP11" s="1">
        <v>0.45007313999999998</v>
      </c>
      <c r="BQ11" s="1">
        <v>6.9606796500000003</v>
      </c>
      <c r="BR11" s="1">
        <v>0.27510262000000002</v>
      </c>
      <c r="BS11" s="1" t="s">
        <v>169</v>
      </c>
      <c r="BT11" s="1" t="s">
        <v>169</v>
      </c>
      <c r="BU11" s="1">
        <v>26356083.120000001</v>
      </c>
      <c r="BV11" s="1">
        <v>1.1625039500000001</v>
      </c>
      <c r="BW11" s="1">
        <v>-719.23</v>
      </c>
      <c r="BX11" s="1">
        <v>-0.18</v>
      </c>
      <c r="BY11" s="1" t="s">
        <v>170</v>
      </c>
      <c r="BZ11" s="1">
        <v>-78038.69</v>
      </c>
      <c r="CA11" s="1" t="s">
        <v>182</v>
      </c>
      <c r="CB11" s="1" t="s">
        <v>183</v>
      </c>
      <c r="CC11" s="1">
        <v>27570.68</v>
      </c>
      <c r="CD11" s="1">
        <v>27570.68</v>
      </c>
      <c r="CE11" s="1">
        <v>365109.84</v>
      </c>
      <c r="CF11" s="1">
        <v>365109.84</v>
      </c>
      <c r="CG11" s="1">
        <v>0</v>
      </c>
      <c r="CH11" s="1">
        <v>1.4438757900000001</v>
      </c>
      <c r="CI11" s="1">
        <v>13.27863496</v>
      </c>
      <c r="CJ11" s="1">
        <v>17588381.91</v>
      </c>
      <c r="CK11" s="1">
        <v>1912503.72</v>
      </c>
      <c r="CL11" s="1">
        <v>6269233.6699999999</v>
      </c>
      <c r="CM11" s="1" t="s">
        <v>164</v>
      </c>
      <c r="CN11" s="1" t="s">
        <v>164</v>
      </c>
      <c r="CO11" s="1" t="s">
        <v>184</v>
      </c>
      <c r="CP11" s="1" t="s">
        <v>243</v>
      </c>
      <c r="CQ11" s="1" t="s">
        <v>185</v>
      </c>
      <c r="CR11" s="1">
        <v>0</v>
      </c>
      <c r="CS11" s="1" t="s">
        <v>243</v>
      </c>
      <c r="CT11" s="1">
        <v>0.29476912</v>
      </c>
      <c r="CV11" s="1">
        <v>0</v>
      </c>
      <c r="CW11" s="1">
        <v>-219173.26</v>
      </c>
      <c r="DA11" s="1">
        <v>1355558.46</v>
      </c>
      <c r="DB11" s="1">
        <v>0</v>
      </c>
      <c r="DC11" s="1">
        <v>2520.3126550000002</v>
      </c>
      <c r="DD11" s="1">
        <v>52555.483399999997</v>
      </c>
      <c r="DE11" s="1">
        <v>-296353.43</v>
      </c>
      <c r="DF11" s="1">
        <v>92570020.519999996</v>
      </c>
      <c r="DG11" s="1">
        <v>-719.23</v>
      </c>
      <c r="DH11" s="1">
        <v>394770.09</v>
      </c>
      <c r="DI11" s="1">
        <v>0.29803809999999997</v>
      </c>
      <c r="DK11" s="1">
        <v>0</v>
      </c>
      <c r="DL11" s="1">
        <v>0</v>
      </c>
      <c r="DM11" s="1">
        <v>-296353.43</v>
      </c>
      <c r="DN11" s="1">
        <v>0</v>
      </c>
      <c r="DO11" s="1">
        <v>0</v>
      </c>
      <c r="DP11" s="1">
        <v>16777215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364390.61</v>
      </c>
      <c r="DW11" s="1">
        <v>364390.61</v>
      </c>
      <c r="DX11" s="1">
        <v>31345322.399999999</v>
      </c>
      <c r="DY11" s="1">
        <v>-1110160.2399999984</v>
      </c>
      <c r="DZ11" s="1">
        <v>92570020.519999966</v>
      </c>
      <c r="EA11" s="1">
        <v>0</v>
      </c>
      <c r="EB11" s="1">
        <v>0</v>
      </c>
      <c r="EC11" s="1" t="s">
        <v>176</v>
      </c>
      <c r="EE11" s="1">
        <v>0</v>
      </c>
      <c r="EF11" s="1">
        <v>3</v>
      </c>
      <c r="EG11" s="1">
        <v>0</v>
      </c>
      <c r="EH11" s="1">
        <v>0</v>
      </c>
      <c r="EI11" s="1">
        <v>0</v>
      </c>
      <c r="EL11" s="1">
        <v>0</v>
      </c>
      <c r="EM11" s="1">
        <v>0</v>
      </c>
      <c r="EN11" s="1">
        <v>1633661.45</v>
      </c>
      <c r="EO11" s="1">
        <v>1.2333592799999999</v>
      </c>
      <c r="ER11" s="1">
        <v>27.92</v>
      </c>
      <c r="ES11" s="1">
        <v>1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3">
      <c r="A12" s="1">
        <v>16975463</v>
      </c>
      <c r="B12" s="1">
        <v>128</v>
      </c>
      <c r="C12" s="1">
        <v>7796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27000</v>
      </c>
      <c r="J12" s="1">
        <v>27000</v>
      </c>
      <c r="K12" s="1">
        <v>3002.4</v>
      </c>
      <c r="L12" s="1">
        <v>3002.4</v>
      </c>
      <c r="M12" s="1">
        <v>3002.4</v>
      </c>
      <c r="N12" s="1">
        <v>3159.03</v>
      </c>
      <c r="O12" s="1">
        <v>362673.44</v>
      </c>
      <c r="P12" s="1">
        <v>332611.55</v>
      </c>
      <c r="Q12" s="1">
        <v>362673.44</v>
      </c>
      <c r="R12" s="1">
        <v>332611.55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/>
      <c r="AF12" s="1" t="s">
        <v>161</v>
      </c>
      <c r="AG12" s="1" t="s">
        <v>970</v>
      </c>
      <c r="AH12" s="1" t="s">
        <v>192</v>
      </c>
      <c r="AI12" s="1">
        <v>5</v>
      </c>
      <c r="AJ12" s="1" t="s">
        <v>162</v>
      </c>
      <c r="AK12" s="1" t="s">
        <v>179</v>
      </c>
      <c r="AL12" s="1">
        <v>16.010000000000002</v>
      </c>
      <c r="AM12" s="1">
        <v>15.93</v>
      </c>
      <c r="AN12" s="1">
        <v>430110</v>
      </c>
      <c r="AO12" s="1">
        <v>410253.72</v>
      </c>
      <c r="AP12" s="1" t="s">
        <v>176</v>
      </c>
      <c r="AQ12" s="1">
        <v>4</v>
      </c>
      <c r="AR12" s="1" t="s">
        <v>165</v>
      </c>
      <c r="AS12" s="1">
        <v>132534288.59999999</v>
      </c>
      <c r="AT12" s="1" t="s">
        <v>176</v>
      </c>
      <c r="AU12" s="1">
        <v>1</v>
      </c>
      <c r="AV12" s="1">
        <v>1</v>
      </c>
      <c r="AW12" s="1" t="s">
        <v>180</v>
      </c>
      <c r="AX12" s="1" t="s">
        <v>181</v>
      </c>
      <c r="AY12" s="1">
        <v>0</v>
      </c>
      <c r="BA12" s="1">
        <v>8205251.6799999997</v>
      </c>
      <c r="BB12" s="1">
        <v>1.0484</v>
      </c>
      <c r="BD12" s="1" t="s">
        <v>971</v>
      </c>
      <c r="BE12" s="1">
        <v>1</v>
      </c>
      <c r="BF12" s="1">
        <v>1</v>
      </c>
      <c r="BG12" s="1" t="s">
        <v>168</v>
      </c>
      <c r="BH12" s="1">
        <v>0</v>
      </c>
      <c r="BI12" s="1">
        <v>31345322.399999999</v>
      </c>
      <c r="BJ12" s="1">
        <v>1.3088195899999999</v>
      </c>
      <c r="BK12" s="1">
        <v>123618989.48999999</v>
      </c>
      <c r="BL12" s="1">
        <v>132456249.91</v>
      </c>
      <c r="BM12" s="1">
        <v>596150.00000000012</v>
      </c>
      <c r="BN12" s="1">
        <v>9219855.2300000004</v>
      </c>
      <c r="BO12" s="1">
        <v>23.664660909999998</v>
      </c>
      <c r="BP12" s="1">
        <v>0.45007313999999998</v>
      </c>
      <c r="BQ12" s="1">
        <v>6.9606796500000003</v>
      </c>
      <c r="BR12" s="1">
        <v>0.30972771999999998</v>
      </c>
      <c r="BS12" s="1" t="s">
        <v>169</v>
      </c>
      <c r="BT12" s="1" t="s">
        <v>169</v>
      </c>
      <c r="BU12" s="1">
        <v>26356083.120000001</v>
      </c>
      <c r="BV12" s="1">
        <v>1.3088195899999999</v>
      </c>
      <c r="BW12" s="1">
        <v>1410.44</v>
      </c>
      <c r="BX12" s="1">
        <v>-0.5</v>
      </c>
      <c r="BY12" s="1" t="s">
        <v>170</v>
      </c>
      <c r="BZ12" s="1">
        <v>-78038.69</v>
      </c>
      <c r="CA12" s="1" t="s">
        <v>182</v>
      </c>
      <c r="CB12" s="1" t="s">
        <v>183</v>
      </c>
      <c r="CC12" s="1">
        <v>69596.56</v>
      </c>
      <c r="CD12" s="1">
        <v>76231.73</v>
      </c>
      <c r="CE12" s="1">
        <v>432270</v>
      </c>
      <c r="CF12" s="1">
        <v>408843.28</v>
      </c>
      <c r="CG12" s="1">
        <v>0</v>
      </c>
      <c r="CH12" s="1">
        <v>1.4438757900000001</v>
      </c>
      <c r="CI12" s="1">
        <v>13.27863496</v>
      </c>
      <c r="CJ12" s="1">
        <v>17588381.91</v>
      </c>
      <c r="CK12" s="1">
        <v>1912503.72</v>
      </c>
      <c r="CL12" s="1">
        <v>6269233.6699999999</v>
      </c>
      <c r="CM12" s="1" t="s">
        <v>164</v>
      </c>
      <c r="CN12" s="1" t="s">
        <v>164</v>
      </c>
      <c r="CO12" s="1" t="s">
        <v>184</v>
      </c>
      <c r="CP12" s="1" t="s">
        <v>243</v>
      </c>
      <c r="CQ12" s="1" t="s">
        <v>185</v>
      </c>
      <c r="CR12" s="1">
        <v>0</v>
      </c>
      <c r="CS12" s="1" t="s">
        <v>243</v>
      </c>
      <c r="CT12" s="1">
        <v>0.33186949999999998</v>
      </c>
      <c r="CV12" s="1">
        <v>0</v>
      </c>
      <c r="CW12" s="1">
        <v>-219173.26</v>
      </c>
      <c r="DA12" s="1">
        <v>1355558.46</v>
      </c>
      <c r="DB12" s="1">
        <v>0</v>
      </c>
      <c r="DC12" s="1">
        <v>2520.3126550000002</v>
      </c>
      <c r="DD12" s="1">
        <v>52555.483399999997</v>
      </c>
      <c r="DE12" s="1">
        <v>-296353.43</v>
      </c>
      <c r="DF12" s="1">
        <v>92570020.519999996</v>
      </c>
      <c r="DG12" s="1">
        <v>-2160</v>
      </c>
      <c r="DH12" s="1">
        <v>394770.09</v>
      </c>
      <c r="DI12" s="1">
        <v>0.29803809999999997</v>
      </c>
      <c r="DK12" s="1">
        <v>0</v>
      </c>
      <c r="DL12" s="1">
        <v>0</v>
      </c>
      <c r="DM12" s="1">
        <v>-296353.43</v>
      </c>
      <c r="DN12" s="1">
        <v>0</v>
      </c>
      <c r="DO12" s="1">
        <v>0</v>
      </c>
      <c r="DP12" s="1">
        <v>16777215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430110</v>
      </c>
      <c r="DW12" s="1">
        <v>410253.72</v>
      </c>
      <c r="DX12" s="1">
        <v>31345322.399999999</v>
      </c>
      <c r="DY12" s="1">
        <v>-1110160.2399999984</v>
      </c>
      <c r="DZ12" s="1">
        <v>92570020.519999966</v>
      </c>
      <c r="EA12" s="1">
        <v>0</v>
      </c>
      <c r="EB12" s="1">
        <v>0</v>
      </c>
      <c r="EC12" s="1" t="s">
        <v>176</v>
      </c>
      <c r="EE12" s="1">
        <v>0</v>
      </c>
      <c r="EF12" s="1">
        <v>3</v>
      </c>
      <c r="EG12" s="1">
        <v>0</v>
      </c>
      <c r="EH12" s="1">
        <v>0</v>
      </c>
      <c r="EI12" s="1">
        <v>0</v>
      </c>
      <c r="EL12" s="1">
        <v>0</v>
      </c>
      <c r="EM12" s="1">
        <v>0</v>
      </c>
      <c r="EN12" s="1">
        <v>1633661.45</v>
      </c>
      <c r="EO12" s="1">
        <v>1.2333592799999999</v>
      </c>
      <c r="ER12" s="1">
        <v>16.010000000000002</v>
      </c>
      <c r="ES12" s="1">
        <v>1.0572999999999999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3">
      <c r="A13" s="1">
        <v>16975394</v>
      </c>
      <c r="B13" s="1">
        <v>128</v>
      </c>
      <c r="C13" s="1">
        <v>9628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10000</v>
      </c>
      <c r="J13" s="1">
        <v>10000</v>
      </c>
      <c r="K13" s="1">
        <v>10000</v>
      </c>
      <c r="L13" s="1">
        <v>10000</v>
      </c>
      <c r="M13" s="1">
        <v>10000</v>
      </c>
      <c r="N13" s="1">
        <v>63.51</v>
      </c>
      <c r="O13" s="1">
        <v>66950000</v>
      </c>
      <c r="P13" s="1">
        <v>425187.35</v>
      </c>
      <c r="Q13" s="1">
        <v>66950000</v>
      </c>
      <c r="R13" s="1">
        <v>425187.35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/>
      <c r="AF13" s="1" t="s">
        <v>161</v>
      </c>
      <c r="AG13" s="1" t="s">
        <v>970</v>
      </c>
      <c r="AH13" s="1" t="s">
        <v>708</v>
      </c>
      <c r="AI13" s="1">
        <v>12</v>
      </c>
      <c r="AJ13" s="1" t="s">
        <v>709</v>
      </c>
      <c r="AK13" s="1" t="s">
        <v>418</v>
      </c>
      <c r="AL13" s="1">
        <v>6335</v>
      </c>
      <c r="AM13" s="1">
        <v>6250</v>
      </c>
      <c r="AN13" s="1">
        <v>62500000</v>
      </c>
      <c r="AO13" s="1">
        <v>394770.09</v>
      </c>
      <c r="AP13" s="1" t="s">
        <v>176</v>
      </c>
      <c r="AQ13" s="1">
        <v>4</v>
      </c>
      <c r="AR13" s="1" t="s">
        <v>165</v>
      </c>
      <c r="AS13" s="1">
        <v>132534288.59999999</v>
      </c>
      <c r="AT13" s="1" t="s">
        <v>176</v>
      </c>
      <c r="AU13" s="1">
        <v>1</v>
      </c>
      <c r="AV13" s="1">
        <v>1</v>
      </c>
      <c r="AW13" s="1" t="s">
        <v>180</v>
      </c>
      <c r="AX13" s="1" t="s">
        <v>264</v>
      </c>
      <c r="AY13" s="1">
        <v>0</v>
      </c>
      <c r="BA13" s="1">
        <v>8205251.6799999997</v>
      </c>
      <c r="BB13" s="1">
        <v>158.32</v>
      </c>
      <c r="BD13" s="1" t="s">
        <v>971</v>
      </c>
      <c r="BE13" s="1">
        <v>1</v>
      </c>
      <c r="BF13" s="1">
        <v>1</v>
      </c>
      <c r="BG13" s="1" t="s">
        <v>168</v>
      </c>
      <c r="BH13" s="1">
        <v>0</v>
      </c>
      <c r="BI13" s="1">
        <v>31345322.399999999</v>
      </c>
      <c r="BJ13" s="1">
        <v>1.2594226500000001</v>
      </c>
      <c r="BK13" s="1">
        <v>123618989.48999999</v>
      </c>
      <c r="BL13" s="1">
        <v>132456249.91</v>
      </c>
      <c r="BM13" s="1">
        <v>596150.00000000012</v>
      </c>
      <c r="BN13" s="1">
        <v>9219855.2300000004</v>
      </c>
      <c r="BO13" s="1">
        <v>23.664660909999998</v>
      </c>
      <c r="BP13" s="1">
        <v>0.45007313999999998</v>
      </c>
      <c r="BQ13" s="1">
        <v>6.9606796500000003</v>
      </c>
      <c r="BR13" s="1">
        <v>0.29803809999999997</v>
      </c>
      <c r="BS13" s="1" t="s">
        <v>169</v>
      </c>
      <c r="BT13" s="1" t="s">
        <v>169</v>
      </c>
      <c r="BU13" s="1">
        <v>26356083.120000001</v>
      </c>
      <c r="BV13" s="1">
        <v>1.2594226500000001</v>
      </c>
      <c r="BW13" s="1">
        <v>-6407.8</v>
      </c>
      <c r="BX13" s="1">
        <v>-1.34</v>
      </c>
      <c r="BY13" s="1" t="s">
        <v>170</v>
      </c>
      <c r="BZ13" s="1">
        <v>-78038.69</v>
      </c>
      <c r="CA13" s="1" t="s">
        <v>182</v>
      </c>
      <c r="CB13" s="1" t="s">
        <v>183</v>
      </c>
      <c r="CC13" s="1">
        <v>-3600000</v>
      </c>
      <c r="CD13" s="1">
        <v>-24009.46</v>
      </c>
      <c r="CE13" s="1">
        <v>63350000</v>
      </c>
      <c r="CF13" s="1">
        <v>401177.89</v>
      </c>
      <c r="CG13" s="1">
        <v>0</v>
      </c>
      <c r="CH13" s="1">
        <v>1.4438757900000001</v>
      </c>
      <c r="CI13" s="1">
        <v>13.27863496</v>
      </c>
      <c r="CJ13" s="1">
        <v>17588381.91</v>
      </c>
      <c r="CK13" s="1">
        <v>1912503.72</v>
      </c>
      <c r="CL13" s="1">
        <v>6269233.6699999999</v>
      </c>
      <c r="CM13" s="1" t="s">
        <v>164</v>
      </c>
      <c r="CN13" s="1" t="s">
        <v>164</v>
      </c>
      <c r="CO13" s="1" t="s">
        <v>184</v>
      </c>
      <c r="CP13" s="1" t="s">
        <v>243</v>
      </c>
      <c r="CQ13" s="1" t="s">
        <v>185</v>
      </c>
      <c r="CR13" s="1">
        <v>0</v>
      </c>
      <c r="CS13" s="1" t="s">
        <v>243</v>
      </c>
      <c r="CT13" s="1">
        <v>0.31934421000000002</v>
      </c>
      <c r="CV13" s="1">
        <v>0</v>
      </c>
      <c r="CW13" s="1">
        <v>-219173.26</v>
      </c>
      <c r="DA13" s="1">
        <v>1355558.46</v>
      </c>
      <c r="DB13" s="1">
        <v>0</v>
      </c>
      <c r="DC13" s="1">
        <v>2520.3126550000002</v>
      </c>
      <c r="DD13" s="1">
        <v>52555.483399999997</v>
      </c>
      <c r="DE13" s="1">
        <v>-296353.43</v>
      </c>
      <c r="DF13" s="1">
        <v>92570020.519999996</v>
      </c>
      <c r="DG13" s="1">
        <v>-850000</v>
      </c>
      <c r="DH13" s="1">
        <v>394770.09</v>
      </c>
      <c r="DI13" s="1">
        <v>0.29803809999999997</v>
      </c>
      <c r="DK13" s="1">
        <v>0</v>
      </c>
      <c r="DL13" s="1">
        <v>0</v>
      </c>
      <c r="DM13" s="1">
        <v>-296353.43</v>
      </c>
      <c r="DN13" s="1">
        <v>0</v>
      </c>
      <c r="DO13" s="1">
        <v>0</v>
      </c>
      <c r="DP13" s="1">
        <v>16777215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62500000</v>
      </c>
      <c r="DW13" s="1">
        <v>394770.09</v>
      </c>
      <c r="DX13" s="1">
        <v>31345322.399999999</v>
      </c>
      <c r="DY13" s="1">
        <v>-1110160.2399999984</v>
      </c>
      <c r="DZ13" s="1">
        <v>92570020.519999966</v>
      </c>
      <c r="EA13" s="1">
        <v>0</v>
      </c>
      <c r="EB13" s="1">
        <v>0</v>
      </c>
      <c r="EC13" s="1" t="s">
        <v>176</v>
      </c>
      <c r="EE13" s="1">
        <v>0</v>
      </c>
      <c r="EF13" s="1">
        <v>3</v>
      </c>
      <c r="EG13" s="1">
        <v>0</v>
      </c>
      <c r="EH13" s="1">
        <v>0</v>
      </c>
      <c r="EI13" s="1">
        <v>0</v>
      </c>
      <c r="EL13" s="1">
        <v>0</v>
      </c>
      <c r="EM13" s="1">
        <v>0</v>
      </c>
      <c r="EN13" s="1">
        <v>1633661.45</v>
      </c>
      <c r="EO13" s="1">
        <v>1.2333592799999999</v>
      </c>
      <c r="ER13" s="1">
        <v>6335</v>
      </c>
      <c r="ES13" s="1">
        <v>157.80000000000001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3">
      <c r="A14" s="1">
        <v>16975421</v>
      </c>
      <c r="B14" s="1">
        <v>128</v>
      </c>
      <c r="C14" s="1">
        <v>10688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15500</v>
      </c>
      <c r="J14" s="1">
        <v>15500</v>
      </c>
      <c r="K14" s="1">
        <v>3875</v>
      </c>
      <c r="L14" s="1">
        <v>3875</v>
      </c>
      <c r="M14" s="1">
        <v>3875</v>
      </c>
      <c r="N14" s="1">
        <v>4502.32</v>
      </c>
      <c r="O14" s="1">
        <v>178000.01</v>
      </c>
      <c r="P14" s="1">
        <v>206815.39</v>
      </c>
      <c r="Q14" s="1">
        <v>178000.01</v>
      </c>
      <c r="R14" s="1">
        <v>206815.39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/>
      <c r="AF14" s="1" t="s">
        <v>161</v>
      </c>
      <c r="AG14" s="1" t="s">
        <v>970</v>
      </c>
      <c r="AH14" s="1" t="s">
        <v>710</v>
      </c>
      <c r="AI14" s="1">
        <v>11</v>
      </c>
      <c r="AJ14" s="1" t="s">
        <v>711</v>
      </c>
      <c r="AK14" s="1" t="s">
        <v>191</v>
      </c>
      <c r="AL14" s="1">
        <v>1092</v>
      </c>
      <c r="AM14" s="1">
        <v>1074</v>
      </c>
      <c r="AN14" s="1">
        <v>166470</v>
      </c>
      <c r="AO14" s="1">
        <v>192266.38</v>
      </c>
      <c r="AP14" s="1" t="s">
        <v>176</v>
      </c>
      <c r="AQ14" s="1">
        <v>4</v>
      </c>
      <c r="AR14" s="1" t="s">
        <v>165</v>
      </c>
      <c r="AS14" s="1">
        <v>132534288.59999999</v>
      </c>
      <c r="AT14" s="1" t="s">
        <v>176</v>
      </c>
      <c r="AU14" s="1">
        <v>1</v>
      </c>
      <c r="AV14" s="1">
        <v>1</v>
      </c>
      <c r="AW14" s="1" t="s">
        <v>180</v>
      </c>
      <c r="AX14" s="1" t="s">
        <v>264</v>
      </c>
      <c r="AY14" s="1">
        <v>0</v>
      </c>
      <c r="AZ14" s="1"/>
      <c r="BA14" s="1">
        <v>8205251.6799999997</v>
      </c>
      <c r="BB14" s="1">
        <v>0.86582999999999999</v>
      </c>
      <c r="BD14" s="1" t="s">
        <v>971</v>
      </c>
      <c r="BE14" s="1">
        <v>1</v>
      </c>
      <c r="BF14" s="1">
        <v>1</v>
      </c>
      <c r="BG14" s="1" t="s">
        <v>168</v>
      </c>
      <c r="BH14" s="1">
        <v>0</v>
      </c>
      <c r="BI14" s="1">
        <v>31345322.399999999</v>
      </c>
      <c r="BJ14" s="1">
        <v>0.61338141000000002</v>
      </c>
      <c r="BK14" s="1">
        <v>123618989.48999999</v>
      </c>
      <c r="BL14" s="1">
        <v>132456249.91</v>
      </c>
      <c r="BM14" s="1">
        <v>596150.00000000012</v>
      </c>
      <c r="BN14" s="1">
        <v>9219855.2300000004</v>
      </c>
      <c r="BO14" s="1">
        <v>23.664660909999998</v>
      </c>
      <c r="BP14" s="1">
        <v>0.45007313999999998</v>
      </c>
      <c r="BQ14" s="1">
        <v>6.9606796500000003</v>
      </c>
      <c r="BR14" s="1">
        <v>0.14515463000000001</v>
      </c>
      <c r="BS14" s="1" t="s">
        <v>169</v>
      </c>
      <c r="BT14" s="1" t="s">
        <v>169</v>
      </c>
      <c r="BU14" s="1">
        <v>26356083.120000001</v>
      </c>
      <c r="BV14" s="1">
        <v>0.61338141000000002</v>
      </c>
      <c r="BW14" s="1">
        <v>-3059.91</v>
      </c>
      <c r="BX14" s="1">
        <v>-1.65</v>
      </c>
      <c r="BY14" s="1" t="s">
        <v>170</v>
      </c>
      <c r="BZ14" s="1">
        <v>-78038.69</v>
      </c>
      <c r="CA14" s="1" t="s">
        <v>182</v>
      </c>
      <c r="CB14" s="1" t="s">
        <v>183</v>
      </c>
      <c r="CC14" s="1">
        <v>-8740.01</v>
      </c>
      <c r="CD14" s="1">
        <v>-11489.1</v>
      </c>
      <c r="CE14" s="1">
        <v>169260</v>
      </c>
      <c r="CF14" s="1">
        <v>195326.29</v>
      </c>
      <c r="CG14" s="1">
        <v>0</v>
      </c>
      <c r="CH14" s="1">
        <v>1.4438757900000001</v>
      </c>
      <c r="CI14" s="1">
        <v>13.27863496</v>
      </c>
      <c r="CJ14" s="1">
        <v>17588381.91</v>
      </c>
      <c r="CK14" s="1">
        <v>1912503.72</v>
      </c>
      <c r="CL14" s="1">
        <v>6269233.6699999999</v>
      </c>
      <c r="CM14" s="1" t="s">
        <v>164</v>
      </c>
      <c r="CN14" s="1" t="s">
        <v>164</v>
      </c>
      <c r="CO14" s="1" t="s">
        <v>184</v>
      </c>
      <c r="CP14" s="1" t="s">
        <v>243</v>
      </c>
      <c r="CQ14" s="1" t="s">
        <v>185</v>
      </c>
      <c r="CR14" s="1">
        <v>0</v>
      </c>
      <c r="CS14" s="1" t="s">
        <v>243</v>
      </c>
      <c r="CT14" s="1">
        <v>0.15553143</v>
      </c>
      <c r="CV14" s="1">
        <v>0</v>
      </c>
      <c r="CW14" s="1">
        <v>-219173.26</v>
      </c>
      <c r="DA14" s="1">
        <v>1355558.46</v>
      </c>
      <c r="DB14" s="1">
        <v>0</v>
      </c>
      <c r="DC14" s="1">
        <v>2520.3126550000002</v>
      </c>
      <c r="DD14" s="1">
        <v>52555.483399999997</v>
      </c>
      <c r="DE14" s="1">
        <v>-296353.43</v>
      </c>
      <c r="DF14" s="1">
        <v>92570020.519999996</v>
      </c>
      <c r="DG14" s="1">
        <v>-2790</v>
      </c>
      <c r="DH14" s="1">
        <v>394770.09</v>
      </c>
      <c r="DI14" s="1">
        <v>0.29803809999999997</v>
      </c>
      <c r="DK14" s="1">
        <v>0</v>
      </c>
      <c r="DL14" s="1">
        <v>0</v>
      </c>
      <c r="DM14" s="1">
        <v>-296353.43</v>
      </c>
      <c r="DN14" s="1">
        <v>0</v>
      </c>
      <c r="DO14" s="1">
        <v>0</v>
      </c>
      <c r="DP14" s="1">
        <v>16777215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166470</v>
      </c>
      <c r="DW14" s="1">
        <v>192266.38</v>
      </c>
      <c r="DX14" s="1">
        <v>31345322.399999999</v>
      </c>
      <c r="DY14" s="1">
        <v>-1110160.2399999984</v>
      </c>
      <c r="DZ14" s="1">
        <v>92570020.519999966</v>
      </c>
      <c r="EA14" s="1">
        <v>0</v>
      </c>
      <c r="EB14" s="1">
        <v>0</v>
      </c>
      <c r="EC14" s="1" t="s">
        <v>176</v>
      </c>
      <c r="EE14" s="1">
        <v>0</v>
      </c>
      <c r="EF14" s="1">
        <v>3</v>
      </c>
      <c r="EG14" s="1">
        <v>0</v>
      </c>
      <c r="EH14" s="1">
        <v>0</v>
      </c>
      <c r="EI14" s="1">
        <v>0</v>
      </c>
      <c r="EL14" s="1">
        <v>0</v>
      </c>
      <c r="EM14" s="1">
        <v>0</v>
      </c>
      <c r="EN14" s="1">
        <v>1633661.45</v>
      </c>
      <c r="EO14" s="1">
        <v>1.2333592799999999</v>
      </c>
      <c r="ER14" s="1">
        <v>1092</v>
      </c>
      <c r="ES14" s="1">
        <v>0.86770000000000003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3">
      <c r="A15" s="1">
        <v>16975391</v>
      </c>
      <c r="B15" s="1">
        <v>128</v>
      </c>
      <c r="C15" s="1">
        <v>2039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10000</v>
      </c>
      <c r="J15" s="1">
        <v>10000</v>
      </c>
      <c r="K15" s="1">
        <v>100</v>
      </c>
      <c r="L15" s="1">
        <v>100</v>
      </c>
      <c r="M15" s="1">
        <v>100</v>
      </c>
      <c r="N15" s="1">
        <v>94.78</v>
      </c>
      <c r="O15" s="1">
        <v>1196492.9099999999</v>
      </c>
      <c r="P15" s="1">
        <v>1108601.7</v>
      </c>
      <c r="Q15" s="1">
        <v>1196492.9099999999</v>
      </c>
      <c r="R15" s="1">
        <v>1108601.7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/>
      <c r="AF15" s="1" t="s">
        <v>161</v>
      </c>
      <c r="AG15" s="1" t="s">
        <v>970</v>
      </c>
      <c r="AH15" s="1" t="s">
        <v>193</v>
      </c>
      <c r="AI15" s="1">
        <v>5</v>
      </c>
      <c r="AJ15" s="1" t="s">
        <v>162</v>
      </c>
      <c r="AK15" s="1" t="s">
        <v>163</v>
      </c>
      <c r="AL15" s="1">
        <v>127.12</v>
      </c>
      <c r="AM15" s="1">
        <v>129.46</v>
      </c>
      <c r="AN15" s="1">
        <v>1294600</v>
      </c>
      <c r="AO15" s="1">
        <v>1234834.03</v>
      </c>
      <c r="AP15" s="1" t="s">
        <v>176</v>
      </c>
      <c r="AQ15" s="1">
        <v>4</v>
      </c>
      <c r="AR15" s="1" t="s">
        <v>165</v>
      </c>
      <c r="AS15" s="1">
        <v>132534288.59999999</v>
      </c>
      <c r="AT15" s="1" t="s">
        <v>176</v>
      </c>
      <c r="AU15" s="1">
        <v>1</v>
      </c>
      <c r="AV15" s="1">
        <v>1</v>
      </c>
      <c r="AW15" s="1" t="s">
        <v>180</v>
      </c>
      <c r="AX15" s="1" t="s">
        <v>167</v>
      </c>
      <c r="AY15" s="1">
        <v>0</v>
      </c>
      <c r="AZ15" s="1">
        <v>999999999</v>
      </c>
      <c r="BA15" s="1">
        <v>8205251.6799999997</v>
      </c>
      <c r="BB15" s="1">
        <v>1.0484</v>
      </c>
      <c r="BD15" s="1" t="s">
        <v>971</v>
      </c>
      <c r="BE15" s="1">
        <v>1</v>
      </c>
      <c r="BF15" s="1">
        <v>1</v>
      </c>
      <c r="BG15" s="1" t="s">
        <v>168</v>
      </c>
      <c r="BH15" s="1">
        <v>0</v>
      </c>
      <c r="BI15" s="1">
        <v>31345322.399999999</v>
      </c>
      <c r="BJ15" s="1">
        <v>3.93945232</v>
      </c>
      <c r="BK15" s="1">
        <v>123618989.48999999</v>
      </c>
      <c r="BL15" s="1">
        <v>132456249.91</v>
      </c>
      <c r="BM15" s="1">
        <v>596150.00000000012</v>
      </c>
      <c r="BN15" s="1">
        <v>9219855.2300000004</v>
      </c>
      <c r="BO15" s="1">
        <v>23.664660909999998</v>
      </c>
      <c r="BP15" s="1">
        <v>0.45007313999999998</v>
      </c>
      <c r="BQ15" s="1">
        <v>6.9606796500000003</v>
      </c>
      <c r="BR15" s="1">
        <v>0.93225802999999996</v>
      </c>
      <c r="BS15" s="1" t="s">
        <v>169</v>
      </c>
      <c r="BT15" s="1" t="s">
        <v>169</v>
      </c>
      <c r="BU15" s="1">
        <v>26356083.120000001</v>
      </c>
      <c r="BV15" s="1">
        <v>3.93945232</v>
      </c>
      <c r="BW15" s="1">
        <v>32526.26</v>
      </c>
      <c r="BX15" s="1">
        <v>1.84</v>
      </c>
      <c r="BY15" s="1" t="s">
        <v>170</v>
      </c>
      <c r="BZ15" s="1">
        <v>-78038.69</v>
      </c>
      <c r="CA15" s="1" t="s">
        <v>182</v>
      </c>
      <c r="CB15" s="1" t="s">
        <v>183</v>
      </c>
      <c r="CC15" s="1">
        <v>74707.09</v>
      </c>
      <c r="CD15" s="1">
        <v>93706.07</v>
      </c>
      <c r="CE15" s="1">
        <v>1271200</v>
      </c>
      <c r="CF15" s="1">
        <v>1202307.77</v>
      </c>
      <c r="CG15" s="1">
        <v>0</v>
      </c>
      <c r="CH15" s="1">
        <v>1.4438757900000001</v>
      </c>
      <c r="CI15" s="1">
        <v>13.27863496</v>
      </c>
      <c r="CJ15" s="1">
        <v>17588381.91</v>
      </c>
      <c r="CK15" s="1">
        <v>1912503.72</v>
      </c>
      <c r="CL15" s="1">
        <v>6269233.6699999999</v>
      </c>
      <c r="CM15" s="1" t="s">
        <v>164</v>
      </c>
      <c r="CN15" s="1" t="s">
        <v>164</v>
      </c>
      <c r="CO15" s="1" t="s">
        <v>184</v>
      </c>
      <c r="CP15" s="1" t="s">
        <v>243</v>
      </c>
      <c r="CQ15" s="1" t="s">
        <v>185</v>
      </c>
      <c r="CR15" s="1">
        <v>0</v>
      </c>
      <c r="CS15" s="1" t="s">
        <v>243</v>
      </c>
      <c r="CT15" s="1">
        <v>0.99890319000000005</v>
      </c>
      <c r="CV15" s="1">
        <v>0</v>
      </c>
      <c r="CW15" s="1">
        <v>-219173.26</v>
      </c>
      <c r="DA15" s="1">
        <v>1355558.46</v>
      </c>
      <c r="DB15" s="1">
        <v>0</v>
      </c>
      <c r="DC15" s="1">
        <v>2520.3126550000002</v>
      </c>
      <c r="DD15" s="1">
        <v>52555.483399999997</v>
      </c>
      <c r="DE15" s="1">
        <v>-296353.43</v>
      </c>
      <c r="DF15" s="1">
        <v>92570020.519999996</v>
      </c>
      <c r="DG15" s="1">
        <v>23400</v>
      </c>
      <c r="DH15" s="1">
        <v>394770.09</v>
      </c>
      <c r="DI15" s="1">
        <v>0.29803809999999997</v>
      </c>
      <c r="DK15" s="1">
        <v>0</v>
      </c>
      <c r="DL15" s="1">
        <v>0</v>
      </c>
      <c r="DM15" s="1">
        <v>-296353.43</v>
      </c>
      <c r="DN15" s="1">
        <v>0</v>
      </c>
      <c r="DO15" s="1">
        <v>0</v>
      </c>
      <c r="DP15" s="1">
        <v>16777215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1294600</v>
      </c>
      <c r="DW15" s="1">
        <v>1234834.03</v>
      </c>
      <c r="DX15" s="1">
        <v>31345322.399999999</v>
      </c>
      <c r="DY15" s="1">
        <v>-1110160.2399999984</v>
      </c>
      <c r="DZ15" s="1">
        <v>92570020.519999966</v>
      </c>
      <c r="EA15" s="1">
        <v>0</v>
      </c>
      <c r="EB15" s="1">
        <v>0</v>
      </c>
      <c r="EC15" s="1" t="s">
        <v>176</v>
      </c>
      <c r="EE15" s="1">
        <v>0</v>
      </c>
      <c r="EF15" s="1">
        <v>3</v>
      </c>
      <c r="EG15" s="1">
        <v>0</v>
      </c>
      <c r="EH15" s="1">
        <v>0</v>
      </c>
      <c r="EI15" s="1">
        <v>0</v>
      </c>
      <c r="EL15" s="1">
        <v>0</v>
      </c>
      <c r="EM15" s="1">
        <v>0</v>
      </c>
      <c r="EN15" s="1">
        <v>1633661.45</v>
      </c>
      <c r="EO15" s="1">
        <v>1.2333592799999999</v>
      </c>
      <c r="ER15" s="1">
        <v>127.12</v>
      </c>
      <c r="ES15" s="1">
        <v>1.0572999999999999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3">
      <c r="A16" s="1">
        <v>16975345</v>
      </c>
      <c r="B16" s="1">
        <v>128</v>
      </c>
      <c r="C16" s="1">
        <v>2042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4000</v>
      </c>
      <c r="J16" s="1">
        <v>4000</v>
      </c>
      <c r="K16" s="1">
        <v>4000</v>
      </c>
      <c r="L16" s="1">
        <v>4000</v>
      </c>
      <c r="M16" s="1">
        <v>4000</v>
      </c>
      <c r="N16" s="1">
        <v>3724.12</v>
      </c>
      <c r="O16" s="1">
        <v>775780.23</v>
      </c>
      <c r="P16" s="1">
        <v>709890.75</v>
      </c>
      <c r="Q16" s="1">
        <v>775780.23</v>
      </c>
      <c r="R16" s="1">
        <v>709890.75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/>
      <c r="AF16" s="1" t="s">
        <v>161</v>
      </c>
      <c r="AG16" s="1" t="s">
        <v>970</v>
      </c>
      <c r="AH16" s="1" t="s">
        <v>194</v>
      </c>
      <c r="AI16" s="1">
        <v>5</v>
      </c>
      <c r="AJ16" s="1" t="s">
        <v>162</v>
      </c>
      <c r="AK16" s="1" t="s">
        <v>163</v>
      </c>
      <c r="AL16" s="1">
        <v>300.20999999999998</v>
      </c>
      <c r="AM16" s="1">
        <v>306.82</v>
      </c>
      <c r="AN16" s="1">
        <v>1227280</v>
      </c>
      <c r="AO16" s="1">
        <v>1170621.8999999999</v>
      </c>
      <c r="AP16" s="1" t="s">
        <v>176</v>
      </c>
      <c r="AQ16" s="1">
        <v>4</v>
      </c>
      <c r="AR16" s="1" t="s">
        <v>165</v>
      </c>
      <c r="AS16" s="1">
        <v>132534288.59999999</v>
      </c>
      <c r="AT16" s="1" t="s">
        <v>176</v>
      </c>
      <c r="AU16" s="1">
        <v>1</v>
      </c>
      <c r="AV16" s="1">
        <v>1</v>
      </c>
      <c r="AW16" s="1" t="s">
        <v>180</v>
      </c>
      <c r="AX16" s="1" t="s">
        <v>167</v>
      </c>
      <c r="AY16" s="1">
        <v>0</v>
      </c>
      <c r="AZ16">
        <v>999999999</v>
      </c>
      <c r="BA16" s="1">
        <v>8205251.6799999997</v>
      </c>
      <c r="BB16" s="1">
        <v>1.0484</v>
      </c>
      <c r="BD16" s="1" t="s">
        <v>971</v>
      </c>
      <c r="BE16" s="1">
        <v>1</v>
      </c>
      <c r="BF16" s="1">
        <v>1</v>
      </c>
      <c r="BG16" s="1" t="s">
        <v>168</v>
      </c>
      <c r="BH16" s="1">
        <v>0</v>
      </c>
      <c r="BI16" s="1">
        <v>31345322.399999999</v>
      </c>
      <c r="BJ16" s="1">
        <v>3.7345983700000001</v>
      </c>
      <c r="BK16" s="1">
        <v>123618989.48999999</v>
      </c>
      <c r="BL16" s="1">
        <v>132456249.91</v>
      </c>
      <c r="BM16" s="1">
        <v>596150.00000000012</v>
      </c>
      <c r="BN16" s="1">
        <v>9219855.2300000004</v>
      </c>
      <c r="BO16" s="1">
        <v>23.664660909999998</v>
      </c>
      <c r="BP16" s="1">
        <v>0.45007313999999998</v>
      </c>
      <c r="BQ16" s="1">
        <v>6.9606796500000003</v>
      </c>
      <c r="BR16" s="1">
        <v>0.88378003999999999</v>
      </c>
      <c r="BS16" s="1" t="s">
        <v>169</v>
      </c>
      <c r="BT16" s="1" t="s">
        <v>169</v>
      </c>
      <c r="BU16" s="1">
        <v>26356083.120000001</v>
      </c>
      <c r="BV16" s="1">
        <v>3.7345983700000001</v>
      </c>
      <c r="BW16" s="1">
        <v>34861</v>
      </c>
      <c r="BX16" s="1">
        <v>2.2000000000000002</v>
      </c>
      <c r="BY16" s="1" t="s">
        <v>170</v>
      </c>
      <c r="BZ16" s="1">
        <v>-78038.69</v>
      </c>
      <c r="CA16" s="1" t="s">
        <v>182</v>
      </c>
      <c r="CB16" s="1" t="s">
        <v>183</v>
      </c>
      <c r="CC16" s="1">
        <v>425059.77</v>
      </c>
      <c r="CD16" s="1">
        <v>425870.15</v>
      </c>
      <c r="CE16" s="1">
        <v>1200840</v>
      </c>
      <c r="CF16" s="1">
        <v>1135760.8999999999</v>
      </c>
      <c r="CG16" s="1">
        <v>0</v>
      </c>
      <c r="CH16" s="1">
        <v>1.4438757900000001</v>
      </c>
      <c r="CI16" s="1">
        <v>13.27863496</v>
      </c>
      <c r="CJ16" s="1">
        <v>17588381.91</v>
      </c>
      <c r="CK16" s="1">
        <v>1912503.72</v>
      </c>
      <c r="CL16" s="1">
        <v>6269233.6699999999</v>
      </c>
      <c r="CM16" s="1" t="s">
        <v>164</v>
      </c>
      <c r="CN16" s="1" t="s">
        <v>164</v>
      </c>
      <c r="CO16" s="1" t="s">
        <v>184</v>
      </c>
      <c r="CP16" s="1" t="s">
        <v>243</v>
      </c>
      <c r="CQ16" s="1" t="s">
        <v>185</v>
      </c>
      <c r="CR16" s="1">
        <v>0</v>
      </c>
      <c r="CS16" s="1" t="s">
        <v>243</v>
      </c>
      <c r="CT16" s="1">
        <v>0.94695960999999995</v>
      </c>
      <c r="CV16" s="1">
        <v>0</v>
      </c>
      <c r="CW16" s="1">
        <v>-219173.26</v>
      </c>
      <c r="DA16" s="1">
        <v>1355558.46</v>
      </c>
      <c r="DB16" s="1">
        <v>0</v>
      </c>
      <c r="DC16" s="1">
        <v>2520.3126550000002</v>
      </c>
      <c r="DD16" s="1">
        <v>52555.483399999997</v>
      </c>
      <c r="DE16" s="1">
        <v>-296353.43</v>
      </c>
      <c r="DF16" s="1">
        <v>92570020.519999996</v>
      </c>
      <c r="DG16" s="1">
        <v>26440</v>
      </c>
      <c r="DH16" s="1">
        <v>394770.09</v>
      </c>
      <c r="DI16" s="1">
        <v>0.29803809999999997</v>
      </c>
      <c r="DK16" s="1">
        <v>0</v>
      </c>
      <c r="DL16" s="1">
        <v>0</v>
      </c>
      <c r="DM16" s="1">
        <v>-296353.43</v>
      </c>
      <c r="DN16" s="1">
        <v>0</v>
      </c>
      <c r="DO16" s="1">
        <v>0</v>
      </c>
      <c r="DP16" s="1">
        <v>16777215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1227280</v>
      </c>
      <c r="DW16" s="1">
        <v>1170621.8999999999</v>
      </c>
      <c r="DX16" s="1">
        <v>31345322.399999999</v>
      </c>
      <c r="DY16" s="1">
        <v>-1110160.2399999984</v>
      </c>
      <c r="DZ16" s="1">
        <v>92570020.519999966</v>
      </c>
      <c r="EA16" s="1">
        <v>0</v>
      </c>
      <c r="EB16" s="1">
        <v>0</v>
      </c>
      <c r="EC16" s="1" t="s">
        <v>176</v>
      </c>
      <c r="EE16" s="1">
        <v>0</v>
      </c>
      <c r="EF16" s="1">
        <v>3</v>
      </c>
      <c r="EG16" s="1">
        <v>0</v>
      </c>
      <c r="EH16" s="1">
        <v>0</v>
      </c>
      <c r="EI16" s="1">
        <v>0</v>
      </c>
      <c r="EL16" s="1">
        <v>0</v>
      </c>
      <c r="EM16" s="1">
        <v>0</v>
      </c>
      <c r="EN16" s="1">
        <v>1633661.45</v>
      </c>
      <c r="EO16" s="1">
        <v>1.2333592799999999</v>
      </c>
      <c r="ER16" s="1">
        <v>300.20999999999998</v>
      </c>
      <c r="ES16" s="1">
        <v>1.0572999999999999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3">
      <c r="A17" s="1">
        <v>16975420</v>
      </c>
      <c r="B17" s="1">
        <v>128</v>
      </c>
      <c r="C17" s="1">
        <v>1467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15000</v>
      </c>
      <c r="J17" s="1">
        <v>15000</v>
      </c>
      <c r="K17" s="1">
        <v>5250</v>
      </c>
      <c r="L17" s="1">
        <v>5250</v>
      </c>
      <c r="M17" s="1">
        <v>5250</v>
      </c>
      <c r="N17" s="1">
        <v>3852.25</v>
      </c>
      <c r="O17" s="1">
        <v>369901.64</v>
      </c>
      <c r="P17" s="1">
        <v>369901.64</v>
      </c>
      <c r="Q17" s="1">
        <v>369901.64</v>
      </c>
      <c r="R17" s="1">
        <v>369901.64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/>
      <c r="AF17" s="1" t="s">
        <v>161</v>
      </c>
      <c r="AG17" s="1" t="s">
        <v>970</v>
      </c>
      <c r="AH17" s="1" t="s">
        <v>195</v>
      </c>
      <c r="AI17" s="1">
        <v>4</v>
      </c>
      <c r="AJ17" s="1" t="s">
        <v>165</v>
      </c>
      <c r="AK17" s="1" t="s">
        <v>176</v>
      </c>
      <c r="AL17" s="1">
        <v>25.64</v>
      </c>
      <c r="AM17" s="1">
        <v>26.060000000000002</v>
      </c>
      <c r="AN17" s="1">
        <v>390900.00000000006</v>
      </c>
      <c r="AO17" s="1">
        <v>390900.00000000006</v>
      </c>
      <c r="AP17" s="1" t="s">
        <v>176</v>
      </c>
      <c r="AQ17" s="1">
        <v>4</v>
      </c>
      <c r="AR17" s="1" t="s">
        <v>165</v>
      </c>
      <c r="AS17" s="1">
        <v>132534288.59999999</v>
      </c>
      <c r="AT17" s="1" t="s">
        <v>176</v>
      </c>
      <c r="AU17" s="1">
        <v>1</v>
      </c>
      <c r="AV17" s="1">
        <v>1</v>
      </c>
      <c r="AW17" s="1" t="s">
        <v>196</v>
      </c>
      <c r="AX17" s="1" t="s">
        <v>197</v>
      </c>
      <c r="AY17" s="1">
        <v>0</v>
      </c>
      <c r="BA17" s="1">
        <v>8205251.6799999997</v>
      </c>
      <c r="BB17" s="1">
        <v>1</v>
      </c>
      <c r="BD17" s="1" t="s">
        <v>971</v>
      </c>
      <c r="BE17" s="1">
        <v>1</v>
      </c>
      <c r="BF17" s="1">
        <v>1</v>
      </c>
      <c r="BG17" s="1" t="s">
        <v>168</v>
      </c>
      <c r="BH17" s="1">
        <v>0</v>
      </c>
      <c r="BI17" s="1">
        <v>31345322.399999999</v>
      </c>
      <c r="BJ17" s="1">
        <v>1.24707602</v>
      </c>
      <c r="BK17" s="1">
        <v>123618989.48999999</v>
      </c>
      <c r="BL17" s="1">
        <v>132456249.91</v>
      </c>
      <c r="BM17" s="1">
        <v>596150.00000000012</v>
      </c>
      <c r="BN17" s="1">
        <v>9219855.2300000004</v>
      </c>
      <c r="BO17" s="1">
        <v>23.664660909999998</v>
      </c>
      <c r="BP17" s="1">
        <v>0.45007313999999998</v>
      </c>
      <c r="BQ17" s="1">
        <v>6.9606796500000003</v>
      </c>
      <c r="BR17" s="1">
        <v>0.29511630999999999</v>
      </c>
      <c r="BS17" s="1" t="s">
        <v>169</v>
      </c>
      <c r="BT17" s="1" t="s">
        <v>169</v>
      </c>
      <c r="BU17" s="1">
        <v>26356083.120000001</v>
      </c>
      <c r="BV17" s="1">
        <v>1.24707602</v>
      </c>
      <c r="BW17" s="1">
        <v>6300</v>
      </c>
      <c r="BX17" s="1">
        <v>1.64</v>
      </c>
      <c r="BY17" s="1" t="s">
        <v>170</v>
      </c>
      <c r="BZ17" s="1">
        <v>-78038.69</v>
      </c>
      <c r="CA17" s="1" t="s">
        <v>182</v>
      </c>
      <c r="CB17" s="1" t="s">
        <v>198</v>
      </c>
      <c r="CC17" s="1">
        <v>14698.36</v>
      </c>
      <c r="CD17" s="1">
        <v>14698.36</v>
      </c>
      <c r="CE17" s="1">
        <v>384600</v>
      </c>
      <c r="CF17" s="1">
        <v>384600</v>
      </c>
      <c r="CG17" s="1">
        <v>0</v>
      </c>
      <c r="CH17" s="1">
        <v>1.4438757900000001</v>
      </c>
      <c r="CI17" s="1">
        <v>13.27863496</v>
      </c>
      <c r="CJ17" s="1">
        <v>17588381.91</v>
      </c>
      <c r="CK17" s="1">
        <v>1912503.72</v>
      </c>
      <c r="CL17" s="1">
        <v>6269233.6699999999</v>
      </c>
      <c r="CM17" s="1" t="s">
        <v>164</v>
      </c>
      <c r="CN17" s="1" t="s">
        <v>164</v>
      </c>
      <c r="CO17" s="1" t="s">
        <v>184</v>
      </c>
      <c r="CP17" s="1" t="s">
        <v>243</v>
      </c>
      <c r="CQ17" s="1" t="s">
        <v>185</v>
      </c>
      <c r="CR17" s="1">
        <v>0</v>
      </c>
      <c r="CS17" s="1" t="s">
        <v>243</v>
      </c>
      <c r="CT17" s="1">
        <v>0.31621355000000001</v>
      </c>
      <c r="CV17" s="1">
        <v>0</v>
      </c>
      <c r="CW17" s="1">
        <v>-219173.26</v>
      </c>
      <c r="DA17" s="1">
        <v>1355558.46</v>
      </c>
      <c r="DB17" s="1">
        <v>0</v>
      </c>
      <c r="DC17" s="1">
        <v>2520.3126550000002</v>
      </c>
      <c r="DD17" s="1">
        <v>52555.483399999997</v>
      </c>
      <c r="DE17" s="1">
        <v>-296353.43</v>
      </c>
      <c r="DF17" s="1">
        <v>92570020.519999996</v>
      </c>
      <c r="DG17" s="1">
        <v>6300</v>
      </c>
      <c r="DH17" s="1">
        <v>394770.09</v>
      </c>
      <c r="DI17" s="1">
        <v>0.29803809999999997</v>
      </c>
      <c r="DK17" s="1">
        <v>0</v>
      </c>
      <c r="DL17" s="1">
        <v>0</v>
      </c>
      <c r="DM17" s="1">
        <v>-296353.43</v>
      </c>
      <c r="DN17" s="1">
        <v>0</v>
      </c>
      <c r="DO17" s="1">
        <v>0</v>
      </c>
      <c r="DP17" s="1">
        <v>16777215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390900.00000000006</v>
      </c>
      <c r="DW17" s="1">
        <v>390900.00000000006</v>
      </c>
      <c r="DX17" s="1">
        <v>31345322.399999999</v>
      </c>
      <c r="DY17" s="1">
        <v>-1110160.2399999984</v>
      </c>
      <c r="DZ17" s="1">
        <v>92570020.519999966</v>
      </c>
      <c r="EA17" s="1">
        <v>0</v>
      </c>
      <c r="EB17" s="1">
        <v>0</v>
      </c>
      <c r="EC17" s="1" t="s">
        <v>176</v>
      </c>
      <c r="EE17" s="1">
        <v>0</v>
      </c>
      <c r="EF17" s="1">
        <v>3</v>
      </c>
      <c r="EG17" s="1">
        <v>0</v>
      </c>
      <c r="EH17" s="1">
        <v>0</v>
      </c>
      <c r="EI17" s="1">
        <v>0</v>
      </c>
      <c r="EL17" s="1">
        <v>0</v>
      </c>
      <c r="EM17" s="1">
        <v>0</v>
      </c>
      <c r="EN17" s="1">
        <v>1633661.45</v>
      </c>
      <c r="EO17" s="1">
        <v>1.2333592799999999</v>
      </c>
      <c r="ER17" s="1">
        <v>25.64</v>
      </c>
      <c r="ES17" s="1">
        <v>1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3">
      <c r="A18" s="1">
        <v>16975586</v>
      </c>
      <c r="B18" s="1">
        <v>128</v>
      </c>
      <c r="C18" s="1">
        <v>10676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2000</v>
      </c>
      <c r="J18" s="1">
        <v>2000</v>
      </c>
      <c r="K18" s="1">
        <v>2</v>
      </c>
      <c r="L18" s="1">
        <v>2</v>
      </c>
      <c r="M18" s="1">
        <v>2</v>
      </c>
      <c r="N18" s="1">
        <v>1.84</v>
      </c>
      <c r="O18" s="1">
        <v>212320</v>
      </c>
      <c r="P18" s="1">
        <v>195416.47</v>
      </c>
      <c r="Q18" s="1">
        <v>212320</v>
      </c>
      <c r="R18" s="1">
        <v>195416.47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/>
      <c r="AF18" s="1" t="s">
        <v>161</v>
      </c>
      <c r="AG18" s="1" t="s">
        <v>970</v>
      </c>
      <c r="AH18" s="1" t="s">
        <v>712</v>
      </c>
      <c r="AI18" s="1">
        <v>5</v>
      </c>
      <c r="AJ18" s="1" t="s">
        <v>162</v>
      </c>
      <c r="AK18" s="1" t="s">
        <v>163</v>
      </c>
      <c r="AL18" s="1">
        <v>99.08</v>
      </c>
      <c r="AM18" s="1">
        <v>97.8</v>
      </c>
      <c r="AN18" s="1">
        <v>195600</v>
      </c>
      <c r="AO18" s="1">
        <v>186570.01</v>
      </c>
      <c r="AP18" s="1" t="s">
        <v>176</v>
      </c>
      <c r="AQ18" s="1">
        <v>4</v>
      </c>
      <c r="AR18" s="1" t="s">
        <v>165</v>
      </c>
      <c r="AS18" s="1">
        <v>132534288.59999999</v>
      </c>
      <c r="AT18" s="1" t="s">
        <v>176</v>
      </c>
      <c r="AU18" s="1">
        <v>1</v>
      </c>
      <c r="AV18" s="1">
        <v>1</v>
      </c>
      <c r="AW18" s="1" t="s">
        <v>196</v>
      </c>
      <c r="AX18" s="1" t="s">
        <v>197</v>
      </c>
      <c r="AY18" s="1">
        <v>0</v>
      </c>
      <c r="BA18" s="1">
        <v>8205251.6799999997</v>
      </c>
      <c r="BB18" s="1">
        <v>1.0484</v>
      </c>
      <c r="BD18" s="1" t="s">
        <v>971</v>
      </c>
      <c r="BE18" s="1">
        <v>1</v>
      </c>
      <c r="BF18" s="1">
        <v>1</v>
      </c>
      <c r="BG18" s="1" t="s">
        <v>168</v>
      </c>
      <c r="BH18" s="1">
        <v>0</v>
      </c>
      <c r="BI18" s="1">
        <v>31345322.399999999</v>
      </c>
      <c r="BJ18" s="1">
        <v>0.59520846000000005</v>
      </c>
      <c r="BK18" s="1">
        <v>123618989.48999999</v>
      </c>
      <c r="BL18" s="1">
        <v>132456249.91</v>
      </c>
      <c r="BM18" s="1">
        <v>596150.00000000012</v>
      </c>
      <c r="BN18" s="1">
        <v>9219855.2300000004</v>
      </c>
      <c r="BO18" s="1">
        <v>23.664660909999998</v>
      </c>
      <c r="BP18" s="1">
        <v>0.45007313999999998</v>
      </c>
      <c r="BQ18" s="1">
        <v>6.9606796500000003</v>
      </c>
      <c r="BR18" s="1">
        <v>0.14085406</v>
      </c>
      <c r="BS18" s="1" t="s">
        <v>169</v>
      </c>
      <c r="BT18" s="1" t="s">
        <v>169</v>
      </c>
      <c r="BU18" s="1">
        <v>26356083.120000001</v>
      </c>
      <c r="BV18" s="1">
        <v>0.59520846000000005</v>
      </c>
      <c r="BW18" s="1">
        <v>-850.78</v>
      </c>
      <c r="BX18" s="1">
        <v>-1.29</v>
      </c>
      <c r="BY18" s="1" t="s">
        <v>170</v>
      </c>
      <c r="BZ18" s="1">
        <v>-78038.69</v>
      </c>
      <c r="CA18" s="1" t="s">
        <v>182</v>
      </c>
      <c r="CB18" s="1" t="s">
        <v>183</v>
      </c>
      <c r="CC18" s="1">
        <v>-14160</v>
      </c>
      <c r="CD18" s="1">
        <v>-7995.68</v>
      </c>
      <c r="CE18" s="1">
        <v>198160</v>
      </c>
      <c r="CF18" s="1">
        <v>187420.79</v>
      </c>
      <c r="CG18" s="1">
        <v>0</v>
      </c>
      <c r="CH18" s="1">
        <v>1.4438757900000001</v>
      </c>
      <c r="CI18" s="1">
        <v>13.27863496</v>
      </c>
      <c r="CJ18" s="1">
        <v>17588381.91</v>
      </c>
      <c r="CK18" s="1">
        <v>1912503.72</v>
      </c>
      <c r="CL18" s="1">
        <v>6269233.6699999999</v>
      </c>
      <c r="CM18" s="1" t="s">
        <v>164</v>
      </c>
      <c r="CN18" s="1" t="s">
        <v>164</v>
      </c>
      <c r="CO18" s="1" t="s">
        <v>184</v>
      </c>
      <c r="CP18" s="1" t="s">
        <v>243</v>
      </c>
      <c r="CQ18" s="1" t="s">
        <v>185</v>
      </c>
      <c r="CR18" s="1">
        <v>0</v>
      </c>
      <c r="CS18" s="1" t="s">
        <v>243</v>
      </c>
      <c r="CT18" s="1">
        <v>0.15092342</v>
      </c>
      <c r="CV18" s="1">
        <v>0</v>
      </c>
      <c r="CW18" s="1">
        <v>-219173.26</v>
      </c>
      <c r="DA18" s="1">
        <v>1355558.46</v>
      </c>
      <c r="DB18" s="1">
        <v>0</v>
      </c>
      <c r="DC18" s="1">
        <v>2520.3126550000002</v>
      </c>
      <c r="DD18" s="1">
        <v>52555.483399999997</v>
      </c>
      <c r="DE18" s="1">
        <v>-296353.43</v>
      </c>
      <c r="DF18" s="1">
        <v>92570020.519999996</v>
      </c>
      <c r="DG18" s="1">
        <v>-2560</v>
      </c>
      <c r="DH18" s="1">
        <v>394770.09</v>
      </c>
      <c r="DI18" s="1">
        <v>0.29803809999999997</v>
      </c>
      <c r="DK18" s="1">
        <v>0</v>
      </c>
      <c r="DL18" s="1">
        <v>0</v>
      </c>
      <c r="DM18" s="1">
        <v>-296353.43</v>
      </c>
      <c r="DN18" s="1">
        <v>0</v>
      </c>
      <c r="DO18" s="1">
        <v>0</v>
      </c>
      <c r="DP18" s="1">
        <v>16777215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195600</v>
      </c>
      <c r="DW18" s="1">
        <v>186570.01</v>
      </c>
      <c r="DX18" s="1">
        <v>31345322.399999999</v>
      </c>
      <c r="DY18" s="1">
        <v>-1110160.2399999984</v>
      </c>
      <c r="DZ18" s="1">
        <v>92570020.519999966</v>
      </c>
      <c r="EA18" s="1">
        <v>0</v>
      </c>
      <c r="EB18" s="1">
        <v>0</v>
      </c>
      <c r="EC18" s="1" t="s">
        <v>176</v>
      </c>
      <c r="EE18" s="1">
        <v>0</v>
      </c>
      <c r="EF18" s="1">
        <v>3</v>
      </c>
      <c r="EG18" s="1">
        <v>0</v>
      </c>
      <c r="EH18" s="1">
        <v>0</v>
      </c>
      <c r="EI18" s="1">
        <v>0</v>
      </c>
      <c r="EL18" s="1">
        <v>0</v>
      </c>
      <c r="EM18" s="1">
        <v>0</v>
      </c>
      <c r="EN18" s="1">
        <v>1633661.45</v>
      </c>
      <c r="EO18" s="1">
        <v>1.2333592799999999</v>
      </c>
      <c r="ER18" s="1">
        <v>99.08</v>
      </c>
      <c r="ES18" s="1">
        <v>1.0572999999999999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3">
      <c r="A19" s="1">
        <v>16975384</v>
      </c>
      <c r="B19" s="1">
        <v>128</v>
      </c>
      <c r="C19" s="1">
        <v>6786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6500</v>
      </c>
      <c r="J19" s="1">
        <v>6500</v>
      </c>
      <c r="K19" s="1">
        <v>128761.88</v>
      </c>
      <c r="L19" s="1">
        <v>128761.88</v>
      </c>
      <c r="M19" s="1">
        <v>128761.88</v>
      </c>
      <c r="N19" s="1">
        <v>149486.72</v>
      </c>
      <c r="O19" s="1">
        <v>349501.11</v>
      </c>
      <c r="P19" s="1">
        <v>405754.99</v>
      </c>
      <c r="Q19" s="1">
        <v>349501.11</v>
      </c>
      <c r="R19" s="1">
        <v>405754.99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/>
      <c r="AF19" s="1" t="s">
        <v>161</v>
      </c>
      <c r="AG19" s="1" t="s">
        <v>970</v>
      </c>
      <c r="AH19" s="1" t="s">
        <v>713</v>
      </c>
      <c r="AI19" s="1">
        <v>11</v>
      </c>
      <c r="AJ19" s="1" t="s">
        <v>711</v>
      </c>
      <c r="AK19" s="1" t="s">
        <v>191</v>
      </c>
      <c r="AL19" s="1">
        <v>6074</v>
      </c>
      <c r="AM19" s="1">
        <v>6156</v>
      </c>
      <c r="AN19" s="1">
        <v>400140</v>
      </c>
      <c r="AO19" s="1">
        <v>462146.15</v>
      </c>
      <c r="AP19" s="1" t="s">
        <v>176</v>
      </c>
      <c r="AQ19" s="1">
        <v>4</v>
      </c>
      <c r="AR19" s="1" t="s">
        <v>165</v>
      </c>
      <c r="AS19" s="1">
        <v>132534288.59999999</v>
      </c>
      <c r="AT19" s="1" t="s">
        <v>176</v>
      </c>
      <c r="AU19" s="1">
        <v>1</v>
      </c>
      <c r="AV19" s="1">
        <v>1</v>
      </c>
      <c r="AW19" s="1" t="s">
        <v>196</v>
      </c>
      <c r="AX19" s="1" t="s">
        <v>312</v>
      </c>
      <c r="AY19" s="1">
        <v>0</v>
      </c>
      <c r="BA19" s="1">
        <v>8205251.6799999997</v>
      </c>
      <c r="BB19" s="1">
        <v>0.86582999999999999</v>
      </c>
      <c r="BD19" s="1" t="s">
        <v>971</v>
      </c>
      <c r="BE19" s="1">
        <v>1</v>
      </c>
      <c r="BF19" s="1">
        <v>1</v>
      </c>
      <c r="BG19" s="1" t="s">
        <v>168</v>
      </c>
      <c r="BH19" s="1">
        <v>0</v>
      </c>
      <c r="BI19" s="1">
        <v>31345322.399999999</v>
      </c>
      <c r="BJ19" s="1">
        <v>1.4743703800000001</v>
      </c>
      <c r="BK19" s="1">
        <v>123618989.48999999</v>
      </c>
      <c r="BL19" s="1">
        <v>132456249.91</v>
      </c>
      <c r="BM19" s="1">
        <v>596150.00000000012</v>
      </c>
      <c r="BN19" s="1">
        <v>9219855.2300000004</v>
      </c>
      <c r="BO19" s="1">
        <v>23.664660909999998</v>
      </c>
      <c r="BP19" s="1">
        <v>0.45007313999999998</v>
      </c>
      <c r="BQ19" s="1">
        <v>6.9606796500000003</v>
      </c>
      <c r="BR19" s="1">
        <v>0.34890474999999999</v>
      </c>
      <c r="BS19" s="1" t="s">
        <v>169</v>
      </c>
      <c r="BT19" s="1" t="s">
        <v>169</v>
      </c>
      <c r="BU19" s="1">
        <v>26356083.120000001</v>
      </c>
      <c r="BV19" s="1">
        <v>1.4743703800000001</v>
      </c>
      <c r="BW19" s="1">
        <v>6534.82</v>
      </c>
      <c r="BX19" s="1">
        <v>1.35</v>
      </c>
      <c r="BY19" s="1" t="s">
        <v>170</v>
      </c>
      <c r="BZ19" s="1">
        <v>-78038.69</v>
      </c>
      <c r="CA19" s="1" t="s">
        <v>182</v>
      </c>
      <c r="CB19" s="1" t="s">
        <v>183</v>
      </c>
      <c r="CC19" s="1">
        <v>45308.89</v>
      </c>
      <c r="CD19" s="1">
        <v>49856.34</v>
      </c>
      <c r="CE19" s="1">
        <v>394810</v>
      </c>
      <c r="CF19" s="1">
        <v>455611.33</v>
      </c>
      <c r="CG19" s="1">
        <v>0</v>
      </c>
      <c r="CH19" s="1">
        <v>1.4438757900000001</v>
      </c>
      <c r="CI19" s="1">
        <v>13.27863496</v>
      </c>
      <c r="CJ19" s="1">
        <v>17588381.91</v>
      </c>
      <c r="CK19" s="1">
        <v>1912503.72</v>
      </c>
      <c r="CL19" s="1">
        <v>6269233.6699999999</v>
      </c>
      <c r="CM19" s="1" t="s">
        <v>164</v>
      </c>
      <c r="CN19" s="1" t="s">
        <v>164</v>
      </c>
      <c r="CO19" s="1" t="s">
        <v>184</v>
      </c>
      <c r="CP19" s="1" t="s">
        <v>243</v>
      </c>
      <c r="CQ19" s="1" t="s">
        <v>185</v>
      </c>
      <c r="CR19" s="1">
        <v>0</v>
      </c>
      <c r="CS19" s="1" t="s">
        <v>243</v>
      </c>
      <c r="CT19" s="1">
        <v>0.37384721999999998</v>
      </c>
      <c r="CV19" s="1">
        <v>0</v>
      </c>
      <c r="CW19" s="1">
        <v>-219173.26</v>
      </c>
      <c r="DA19" s="1">
        <v>1355558.46</v>
      </c>
      <c r="DB19" s="1">
        <v>0</v>
      </c>
      <c r="DC19" s="1">
        <v>2520.3126550000002</v>
      </c>
      <c r="DD19" s="1">
        <v>52555.483399999997</v>
      </c>
      <c r="DE19" s="1">
        <v>-296353.43</v>
      </c>
      <c r="DF19" s="1">
        <v>92570020.519999996</v>
      </c>
      <c r="DG19" s="1">
        <v>5330</v>
      </c>
      <c r="DH19" s="1">
        <v>394770.09</v>
      </c>
      <c r="DI19" s="1">
        <v>0.29803809999999997</v>
      </c>
      <c r="DK19" s="1">
        <v>0</v>
      </c>
      <c r="DL19" s="1">
        <v>0</v>
      </c>
      <c r="DM19" s="1">
        <v>-296353.43</v>
      </c>
      <c r="DN19" s="1">
        <v>0</v>
      </c>
      <c r="DO19" s="1">
        <v>0</v>
      </c>
      <c r="DP19" s="1">
        <v>16777215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400140</v>
      </c>
      <c r="DW19" s="1">
        <v>462146.15</v>
      </c>
      <c r="DX19" s="1">
        <v>31345322.399999999</v>
      </c>
      <c r="DY19" s="1">
        <v>-1110160.2399999984</v>
      </c>
      <c r="DZ19" s="1">
        <v>92570020.519999966</v>
      </c>
      <c r="EA19" s="1">
        <v>0</v>
      </c>
      <c r="EB19" s="1">
        <v>0</v>
      </c>
      <c r="EC19" s="1" t="s">
        <v>176</v>
      </c>
      <c r="EE19" s="1">
        <v>0</v>
      </c>
      <c r="EF19" s="1">
        <v>3</v>
      </c>
      <c r="EG19" s="1">
        <v>0</v>
      </c>
      <c r="EH19" s="1">
        <v>0</v>
      </c>
      <c r="EI19" s="1">
        <v>0</v>
      </c>
      <c r="EL19" s="1">
        <v>0</v>
      </c>
      <c r="EM19" s="1">
        <v>0</v>
      </c>
      <c r="EN19" s="1">
        <v>1633661.45</v>
      </c>
      <c r="EO19" s="1">
        <v>1.2333592799999999</v>
      </c>
      <c r="ER19" s="1">
        <v>6074</v>
      </c>
      <c r="ES19" s="1">
        <v>0.86770000000000003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3">
      <c r="A20" s="1">
        <v>16975340</v>
      </c>
      <c r="B20" s="1">
        <v>128</v>
      </c>
      <c r="C20" s="1">
        <v>10675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3000</v>
      </c>
      <c r="J20" s="1">
        <v>3000</v>
      </c>
      <c r="K20" s="1">
        <v>30</v>
      </c>
      <c r="L20" s="1">
        <v>30</v>
      </c>
      <c r="M20" s="1">
        <v>30</v>
      </c>
      <c r="N20" s="1">
        <v>27.61</v>
      </c>
      <c r="O20" s="1">
        <v>405720</v>
      </c>
      <c r="P20" s="1">
        <v>373419.24</v>
      </c>
      <c r="Q20" s="1">
        <v>405720</v>
      </c>
      <c r="R20" s="1">
        <v>373419.24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/>
      <c r="AF20" s="1" t="s">
        <v>161</v>
      </c>
      <c r="AG20" s="1" t="s">
        <v>970</v>
      </c>
      <c r="AH20" s="1" t="s">
        <v>714</v>
      </c>
      <c r="AI20" s="1">
        <v>5</v>
      </c>
      <c r="AJ20" s="1" t="s">
        <v>162</v>
      </c>
      <c r="AK20" s="1" t="s">
        <v>163</v>
      </c>
      <c r="AL20" s="1">
        <v>108.58</v>
      </c>
      <c r="AM20" s="1">
        <v>106.3</v>
      </c>
      <c r="AN20" s="1">
        <v>318900</v>
      </c>
      <c r="AO20" s="1">
        <v>304177.78999999998</v>
      </c>
      <c r="AP20" s="1" t="s">
        <v>176</v>
      </c>
      <c r="AQ20" s="1">
        <v>4</v>
      </c>
      <c r="AR20" s="1" t="s">
        <v>165</v>
      </c>
      <c r="AS20" s="1">
        <v>132534288.59999999</v>
      </c>
      <c r="AT20" s="1" t="s">
        <v>176</v>
      </c>
      <c r="AU20" s="1">
        <v>1</v>
      </c>
      <c r="AV20" s="1">
        <v>1</v>
      </c>
      <c r="AW20" s="1" t="s">
        <v>196</v>
      </c>
      <c r="AX20" s="1" t="s">
        <v>200</v>
      </c>
      <c r="AY20" s="1">
        <v>0</v>
      </c>
      <c r="BA20" s="1">
        <v>8205251.6799999997</v>
      </c>
      <c r="BB20" s="1">
        <v>1.0484</v>
      </c>
      <c r="BD20" s="1" t="s">
        <v>971</v>
      </c>
      <c r="BE20" s="1">
        <v>1</v>
      </c>
      <c r="BF20" s="1">
        <v>1</v>
      </c>
      <c r="BG20" s="1" t="s">
        <v>168</v>
      </c>
      <c r="BH20" s="1">
        <v>0</v>
      </c>
      <c r="BI20" s="1">
        <v>31345322.399999999</v>
      </c>
      <c r="BJ20" s="1">
        <v>0.97040886999999998</v>
      </c>
      <c r="BK20" s="1">
        <v>123618989.48999999</v>
      </c>
      <c r="BL20" s="1">
        <v>132456249.91</v>
      </c>
      <c r="BM20" s="1">
        <v>596150.00000000012</v>
      </c>
      <c r="BN20" s="1">
        <v>9219855.2300000004</v>
      </c>
      <c r="BO20" s="1">
        <v>23.664660909999998</v>
      </c>
      <c r="BP20" s="1">
        <v>0.45007313999999998</v>
      </c>
      <c r="BQ20" s="1">
        <v>6.9606796500000003</v>
      </c>
      <c r="BR20" s="1">
        <v>0.22964397</v>
      </c>
      <c r="BS20" s="1" t="s">
        <v>169</v>
      </c>
      <c r="BT20" s="1" t="s">
        <v>169</v>
      </c>
      <c r="BU20" s="1">
        <v>26356083.120000001</v>
      </c>
      <c r="BV20" s="1">
        <v>0.97040886999999998</v>
      </c>
      <c r="BW20" s="1">
        <v>-3908.85</v>
      </c>
      <c r="BX20" s="1">
        <v>-2.1</v>
      </c>
      <c r="BY20" s="1" t="s">
        <v>170</v>
      </c>
      <c r="BZ20" s="1">
        <v>-78038.69</v>
      </c>
      <c r="CA20" s="1" t="s">
        <v>182</v>
      </c>
      <c r="CB20" s="1" t="s">
        <v>183</v>
      </c>
      <c r="CC20" s="1">
        <v>-79980</v>
      </c>
      <c r="CD20" s="1">
        <v>-65332.6</v>
      </c>
      <c r="CE20" s="1">
        <v>325740</v>
      </c>
      <c r="CF20" s="1">
        <v>308086.64</v>
      </c>
      <c r="CG20" s="1">
        <v>0</v>
      </c>
      <c r="CH20" s="1">
        <v>1.4438757900000001</v>
      </c>
      <c r="CI20" s="1">
        <v>13.27863496</v>
      </c>
      <c r="CJ20" s="1">
        <v>17588381.91</v>
      </c>
      <c r="CK20" s="1">
        <v>1912503.72</v>
      </c>
      <c r="CL20" s="1">
        <v>6269233.6699999999</v>
      </c>
      <c r="CM20" s="1" t="s">
        <v>164</v>
      </c>
      <c r="CN20" s="1" t="s">
        <v>164</v>
      </c>
      <c r="CO20" s="1" t="s">
        <v>184</v>
      </c>
      <c r="CP20" s="1" t="s">
        <v>243</v>
      </c>
      <c r="CQ20" s="1" t="s">
        <v>185</v>
      </c>
      <c r="CR20" s="1">
        <v>0</v>
      </c>
      <c r="CS20" s="1" t="s">
        <v>243</v>
      </c>
      <c r="CT20" s="1">
        <v>0.24606073000000001</v>
      </c>
      <c r="CV20" s="1">
        <v>0</v>
      </c>
      <c r="CW20" s="1">
        <v>-219173.26</v>
      </c>
      <c r="DA20" s="1">
        <v>1355558.46</v>
      </c>
      <c r="DB20" s="1">
        <v>0</v>
      </c>
      <c r="DC20" s="1">
        <v>2520.3126550000002</v>
      </c>
      <c r="DD20" s="1">
        <v>52555.483399999997</v>
      </c>
      <c r="DE20" s="1">
        <v>-296353.43</v>
      </c>
      <c r="DF20" s="1">
        <v>92570020.519999996</v>
      </c>
      <c r="DG20" s="1">
        <v>-6840</v>
      </c>
      <c r="DH20" s="1">
        <v>394770.09</v>
      </c>
      <c r="DI20" s="1">
        <v>0.29803809999999997</v>
      </c>
      <c r="DK20" s="1">
        <v>0</v>
      </c>
      <c r="DL20" s="1">
        <v>0</v>
      </c>
      <c r="DM20" s="1">
        <v>-296353.43</v>
      </c>
      <c r="DN20" s="1">
        <v>0</v>
      </c>
      <c r="DO20" s="1">
        <v>0</v>
      </c>
      <c r="DP20" s="1">
        <v>16777215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318900</v>
      </c>
      <c r="DW20" s="1">
        <v>304177.78999999998</v>
      </c>
      <c r="DX20" s="1">
        <v>31345322.399999999</v>
      </c>
      <c r="DY20" s="1">
        <v>-1110160.2399999984</v>
      </c>
      <c r="DZ20" s="1">
        <v>92570020.519999966</v>
      </c>
      <c r="EA20" s="1">
        <v>0</v>
      </c>
      <c r="EB20" s="1">
        <v>0</v>
      </c>
      <c r="EC20" s="1" t="s">
        <v>176</v>
      </c>
      <c r="EE20" s="1">
        <v>0</v>
      </c>
      <c r="EF20" s="1">
        <v>3</v>
      </c>
      <c r="EG20" s="1">
        <v>0</v>
      </c>
      <c r="EH20" s="1">
        <v>0</v>
      </c>
      <c r="EI20" s="1">
        <v>0</v>
      </c>
      <c r="EL20" s="1">
        <v>0</v>
      </c>
      <c r="EM20" s="1">
        <v>0</v>
      </c>
      <c r="EN20" s="1">
        <v>1633661.45</v>
      </c>
      <c r="EO20" s="1">
        <v>1.2333592799999999</v>
      </c>
      <c r="ER20" s="1">
        <v>108.58</v>
      </c>
      <c r="ES20" s="1">
        <v>1.0572999999999999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3">
      <c r="A21" s="1">
        <v>16975422</v>
      </c>
      <c r="B21" s="1">
        <v>128</v>
      </c>
      <c r="C21" s="1">
        <v>10690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16000</v>
      </c>
      <c r="J21" s="1">
        <v>16000</v>
      </c>
      <c r="K21" s="1">
        <v>16000</v>
      </c>
      <c r="L21" s="1">
        <v>16000</v>
      </c>
      <c r="M21" s="1">
        <v>16000</v>
      </c>
      <c r="N21" s="1">
        <v>9774.34</v>
      </c>
      <c r="O21" s="1">
        <v>709920</v>
      </c>
      <c r="P21" s="1">
        <v>433687.24</v>
      </c>
      <c r="Q21" s="1">
        <v>709920</v>
      </c>
      <c r="R21" s="1">
        <v>433687.24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/>
      <c r="AF21" s="1" t="s">
        <v>161</v>
      </c>
      <c r="AG21" s="1" t="s">
        <v>970</v>
      </c>
      <c r="AH21" s="1" t="s">
        <v>715</v>
      </c>
      <c r="AI21" s="1">
        <v>13</v>
      </c>
      <c r="AJ21" s="1" t="s">
        <v>716</v>
      </c>
      <c r="AK21" s="1" t="s">
        <v>217</v>
      </c>
      <c r="AL21" s="1">
        <v>45.42</v>
      </c>
      <c r="AM21" s="1">
        <v>45.15</v>
      </c>
      <c r="AN21" s="1">
        <v>722400</v>
      </c>
      <c r="AO21" s="1">
        <v>437502.65</v>
      </c>
      <c r="AP21" s="1" t="s">
        <v>176</v>
      </c>
      <c r="AQ21" s="1">
        <v>4</v>
      </c>
      <c r="AR21" s="1" t="s">
        <v>165</v>
      </c>
      <c r="AS21" s="1">
        <v>132534288.59999999</v>
      </c>
      <c r="AT21" s="1" t="s">
        <v>176</v>
      </c>
      <c r="AU21" s="1">
        <v>1</v>
      </c>
      <c r="AV21" s="1">
        <v>1</v>
      </c>
      <c r="AW21" s="1" t="s">
        <v>196</v>
      </c>
      <c r="AX21" s="1" t="s">
        <v>200</v>
      </c>
      <c r="AY21" s="1">
        <v>0</v>
      </c>
      <c r="BA21" s="1">
        <v>8205251.6799999997</v>
      </c>
      <c r="BB21" s="1">
        <v>1.6511899999999999</v>
      </c>
      <c r="BD21" s="1" t="s">
        <v>971</v>
      </c>
      <c r="BE21" s="1">
        <v>1</v>
      </c>
      <c r="BF21" s="1">
        <v>1</v>
      </c>
      <c r="BG21" s="1" t="s">
        <v>168</v>
      </c>
      <c r="BH21" s="1">
        <v>0</v>
      </c>
      <c r="BI21" s="1">
        <v>31345322.399999999</v>
      </c>
      <c r="BJ21" s="1">
        <v>1.395751</v>
      </c>
      <c r="BK21" s="1">
        <v>123618989.48999999</v>
      </c>
      <c r="BL21" s="1">
        <v>132456249.91</v>
      </c>
      <c r="BM21" s="1">
        <v>596150.00000000012</v>
      </c>
      <c r="BN21" s="1">
        <v>9219855.2300000004</v>
      </c>
      <c r="BO21" s="1">
        <v>23.664660909999998</v>
      </c>
      <c r="BP21" s="1">
        <v>0.45007313999999998</v>
      </c>
      <c r="BQ21" s="1">
        <v>6.9606796500000003</v>
      </c>
      <c r="BR21" s="1">
        <v>0.33029974000000001</v>
      </c>
      <c r="BS21" s="1" t="s">
        <v>169</v>
      </c>
      <c r="BT21" s="1" t="s">
        <v>169</v>
      </c>
      <c r="BU21" s="1">
        <v>26356083.120000001</v>
      </c>
      <c r="BV21" s="1">
        <v>1.395751</v>
      </c>
      <c r="BW21" s="1">
        <v>-4794.04</v>
      </c>
      <c r="BX21" s="1">
        <v>-0.59</v>
      </c>
      <c r="BY21" s="1" t="s">
        <v>170</v>
      </c>
      <c r="BZ21" s="1">
        <v>-78038.69</v>
      </c>
      <c r="CA21" s="1" t="s">
        <v>182</v>
      </c>
      <c r="CB21" s="1" t="s">
        <v>183</v>
      </c>
      <c r="CC21" s="1">
        <v>16800</v>
      </c>
      <c r="CD21" s="1">
        <v>8609.4500000000007</v>
      </c>
      <c r="CE21" s="1">
        <v>726720</v>
      </c>
      <c r="CF21" s="1">
        <v>442296.69</v>
      </c>
      <c r="CG21" s="1">
        <v>0</v>
      </c>
      <c r="CH21" s="1">
        <v>1.4438757900000001</v>
      </c>
      <c r="CI21" s="1">
        <v>13.27863496</v>
      </c>
      <c r="CJ21" s="1">
        <v>17588381.91</v>
      </c>
      <c r="CK21" s="1">
        <v>1912503.72</v>
      </c>
      <c r="CL21" s="1">
        <v>6269233.6699999999</v>
      </c>
      <c r="CM21" s="1" t="s">
        <v>164</v>
      </c>
      <c r="CN21" s="1" t="s">
        <v>164</v>
      </c>
      <c r="CO21" s="1" t="s">
        <v>184</v>
      </c>
      <c r="CP21" s="1" t="s">
        <v>243</v>
      </c>
      <c r="CQ21" s="1" t="s">
        <v>185</v>
      </c>
      <c r="CR21" s="1">
        <v>0</v>
      </c>
      <c r="CS21" s="1" t="s">
        <v>243</v>
      </c>
      <c r="CT21" s="1">
        <v>0.35391217000000003</v>
      </c>
      <c r="CV21" s="1">
        <v>0</v>
      </c>
      <c r="CW21" s="1">
        <v>-219173.26</v>
      </c>
      <c r="DA21" s="1">
        <v>1355558.46</v>
      </c>
      <c r="DB21" s="1">
        <v>0</v>
      </c>
      <c r="DC21" s="1">
        <v>2520.3126550000002</v>
      </c>
      <c r="DD21" s="1">
        <v>52555.483399999997</v>
      </c>
      <c r="DE21" s="1">
        <v>-296353.43</v>
      </c>
      <c r="DF21" s="1">
        <v>92570020.519999996</v>
      </c>
      <c r="DG21" s="1">
        <v>-4320</v>
      </c>
      <c r="DH21" s="1">
        <v>394770.09</v>
      </c>
      <c r="DI21" s="1">
        <v>0.29803809999999997</v>
      </c>
      <c r="DK21" s="1">
        <v>0</v>
      </c>
      <c r="DL21" s="1">
        <v>0</v>
      </c>
      <c r="DM21" s="1">
        <v>-296353.43</v>
      </c>
      <c r="DN21" s="1">
        <v>0</v>
      </c>
      <c r="DO21" s="1">
        <v>0</v>
      </c>
      <c r="DP21" s="1">
        <v>16777215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722400</v>
      </c>
      <c r="DW21" s="1">
        <v>437502.65</v>
      </c>
      <c r="DX21" s="1">
        <v>31345322.399999999</v>
      </c>
      <c r="DY21" s="1">
        <v>-1110160.2399999984</v>
      </c>
      <c r="DZ21" s="1">
        <v>92570020.519999966</v>
      </c>
      <c r="EA21" s="1">
        <v>0</v>
      </c>
      <c r="EB21" s="1">
        <v>0</v>
      </c>
      <c r="EC21" s="1" t="s">
        <v>176</v>
      </c>
      <c r="EE21" s="1">
        <v>0</v>
      </c>
      <c r="EF21" s="1">
        <v>3</v>
      </c>
      <c r="EG21" s="1">
        <v>0</v>
      </c>
      <c r="EH21" s="1">
        <v>0</v>
      </c>
      <c r="EI21" s="1">
        <v>0</v>
      </c>
      <c r="EL21" s="1">
        <v>0</v>
      </c>
      <c r="EM21" s="1">
        <v>0</v>
      </c>
      <c r="EN21" s="1">
        <v>1633661.45</v>
      </c>
      <c r="EO21" s="1">
        <v>1.2333592799999999</v>
      </c>
      <c r="ER21" s="1">
        <v>45.42</v>
      </c>
      <c r="ES21" s="1">
        <v>1.6381300000000001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3">
      <c r="A22" s="1">
        <v>16975467</v>
      </c>
      <c r="B22" s="1">
        <v>128</v>
      </c>
      <c r="C22" s="1">
        <v>10691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250000</v>
      </c>
      <c r="J22" s="1">
        <v>250000</v>
      </c>
      <c r="K22" s="1">
        <v>62500</v>
      </c>
      <c r="L22" s="1">
        <v>62500</v>
      </c>
      <c r="M22" s="1">
        <v>62500</v>
      </c>
      <c r="N22" s="1">
        <v>72559.67</v>
      </c>
      <c r="O22" s="1">
        <v>362561</v>
      </c>
      <c r="P22" s="1">
        <v>420916.92</v>
      </c>
      <c r="Q22" s="1">
        <v>362561</v>
      </c>
      <c r="R22" s="1">
        <v>420916.92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/>
      <c r="AF22" s="1" t="s">
        <v>161</v>
      </c>
      <c r="AG22" s="1" t="s">
        <v>970</v>
      </c>
      <c r="AH22" s="1" t="s">
        <v>717</v>
      </c>
      <c r="AI22" s="1">
        <v>11</v>
      </c>
      <c r="AJ22" s="1" t="s">
        <v>711</v>
      </c>
      <c r="AK22" s="1" t="s">
        <v>191</v>
      </c>
      <c r="AL22" s="1">
        <v>149.69999999999999</v>
      </c>
      <c r="AM22" s="1">
        <v>149.1</v>
      </c>
      <c r="AN22" s="1">
        <v>372750</v>
      </c>
      <c r="AO22" s="1">
        <v>430511.76</v>
      </c>
      <c r="AP22" s="1" t="s">
        <v>176</v>
      </c>
      <c r="AQ22" s="1">
        <v>4</v>
      </c>
      <c r="AR22" s="1" t="s">
        <v>165</v>
      </c>
      <c r="AS22" s="1">
        <v>132534288.59999999</v>
      </c>
      <c r="AT22" s="1" t="s">
        <v>176</v>
      </c>
      <c r="AU22" s="1">
        <v>1</v>
      </c>
      <c r="AV22" s="1">
        <v>1</v>
      </c>
      <c r="AW22" s="1" t="s">
        <v>196</v>
      </c>
      <c r="AX22" s="1" t="s">
        <v>200</v>
      </c>
      <c r="AY22" s="1">
        <v>0</v>
      </c>
      <c r="BA22" s="1">
        <v>8205251.6799999997</v>
      </c>
      <c r="BB22" s="1">
        <v>0.86582999999999999</v>
      </c>
      <c r="BD22" s="1" t="s">
        <v>971</v>
      </c>
      <c r="BE22" s="1">
        <v>1</v>
      </c>
      <c r="BF22" s="1">
        <v>1</v>
      </c>
      <c r="BG22" s="1" t="s">
        <v>168</v>
      </c>
      <c r="BH22" s="1">
        <v>0</v>
      </c>
      <c r="BI22" s="1">
        <v>31345322.399999999</v>
      </c>
      <c r="BJ22" s="1">
        <v>1.37344818</v>
      </c>
      <c r="BK22" s="1">
        <v>123618989.48999999</v>
      </c>
      <c r="BL22" s="1">
        <v>132456249.91</v>
      </c>
      <c r="BM22" s="1">
        <v>596150.00000000012</v>
      </c>
      <c r="BN22" s="1">
        <v>9219855.2300000004</v>
      </c>
      <c r="BO22" s="1">
        <v>23.664660909999998</v>
      </c>
      <c r="BP22" s="1">
        <v>0.45007313999999998</v>
      </c>
      <c r="BQ22" s="1">
        <v>6.9606796500000003</v>
      </c>
      <c r="BR22" s="1">
        <v>0.32502185</v>
      </c>
      <c r="BS22" s="1" t="s">
        <v>169</v>
      </c>
      <c r="BT22" s="1" t="s">
        <v>169</v>
      </c>
      <c r="BU22" s="1">
        <v>26356083.120000001</v>
      </c>
      <c r="BV22" s="1">
        <v>1.37344818</v>
      </c>
      <c r="BW22" s="1">
        <v>-1373.3</v>
      </c>
      <c r="BX22" s="1">
        <v>-0.4</v>
      </c>
      <c r="BY22" s="1" t="s">
        <v>170</v>
      </c>
      <c r="BZ22" s="1">
        <v>-78038.69</v>
      </c>
      <c r="CA22" s="1" t="s">
        <v>182</v>
      </c>
      <c r="CB22" s="1" t="s">
        <v>183</v>
      </c>
      <c r="CC22" s="1">
        <v>11689</v>
      </c>
      <c r="CD22" s="1">
        <v>10968.14</v>
      </c>
      <c r="CE22" s="1">
        <v>374250</v>
      </c>
      <c r="CF22" s="1">
        <v>431885.06</v>
      </c>
      <c r="CG22" s="1">
        <v>0</v>
      </c>
      <c r="CH22" s="1">
        <v>1.4438757900000001</v>
      </c>
      <c r="CI22" s="1">
        <v>13.27863496</v>
      </c>
      <c r="CJ22" s="1">
        <v>17588381.91</v>
      </c>
      <c r="CK22" s="1">
        <v>1912503.72</v>
      </c>
      <c r="CL22" s="1">
        <v>6269233.6699999999</v>
      </c>
      <c r="CM22" s="1" t="s">
        <v>164</v>
      </c>
      <c r="CN22" s="1" t="s">
        <v>164</v>
      </c>
      <c r="CO22" s="1" t="s">
        <v>184</v>
      </c>
      <c r="CP22" s="1" t="s">
        <v>243</v>
      </c>
      <c r="CQ22" s="1" t="s">
        <v>185</v>
      </c>
      <c r="CR22" s="1">
        <v>0</v>
      </c>
      <c r="CS22" s="1" t="s">
        <v>243</v>
      </c>
      <c r="CT22" s="1">
        <v>0.34825697999999999</v>
      </c>
      <c r="CV22" s="1">
        <v>0</v>
      </c>
      <c r="CW22" s="1">
        <v>-219173.26</v>
      </c>
      <c r="DA22" s="1">
        <v>1355558.46</v>
      </c>
      <c r="DB22" s="1">
        <v>0</v>
      </c>
      <c r="DC22" s="1">
        <v>2520.3126550000002</v>
      </c>
      <c r="DD22" s="1">
        <v>52555.483399999997</v>
      </c>
      <c r="DE22" s="1">
        <v>-296353.43</v>
      </c>
      <c r="DF22" s="1">
        <v>92570020.519999996</v>
      </c>
      <c r="DG22" s="1">
        <v>-1500</v>
      </c>
      <c r="DH22" s="1">
        <v>394770.09</v>
      </c>
      <c r="DI22" s="1">
        <v>0.29803809999999997</v>
      </c>
      <c r="DK22" s="1">
        <v>0</v>
      </c>
      <c r="DL22" s="1">
        <v>0</v>
      </c>
      <c r="DM22" s="1">
        <v>-296353.43</v>
      </c>
      <c r="DN22" s="1">
        <v>0</v>
      </c>
      <c r="DO22" s="1">
        <v>0</v>
      </c>
      <c r="DP22" s="1">
        <v>16777215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372750</v>
      </c>
      <c r="DW22" s="1">
        <v>430511.76</v>
      </c>
      <c r="DX22" s="1">
        <v>31345322.399999999</v>
      </c>
      <c r="DY22" s="1">
        <v>-1110160.2399999984</v>
      </c>
      <c r="DZ22" s="1">
        <v>92570020.519999966</v>
      </c>
      <c r="EA22" s="1">
        <v>0</v>
      </c>
      <c r="EB22" s="1">
        <v>0</v>
      </c>
      <c r="EC22" s="1" t="s">
        <v>176</v>
      </c>
      <c r="EE22" s="1">
        <v>0</v>
      </c>
      <c r="EF22" s="1">
        <v>3</v>
      </c>
      <c r="EG22" s="1">
        <v>0</v>
      </c>
      <c r="EH22" s="1">
        <v>0</v>
      </c>
      <c r="EI22" s="1">
        <v>0</v>
      </c>
      <c r="EL22" s="1">
        <v>0</v>
      </c>
      <c r="EM22" s="1">
        <v>0</v>
      </c>
      <c r="EN22" s="1">
        <v>1633661.45</v>
      </c>
      <c r="EO22" s="1">
        <v>1.2333592799999999</v>
      </c>
      <c r="ER22" s="1">
        <v>149.69999999999999</v>
      </c>
      <c r="ES22" s="1">
        <v>0.86770000000000003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3">
      <c r="A23" s="1">
        <v>16975563</v>
      </c>
      <c r="B23" s="1">
        <v>128</v>
      </c>
      <c r="C23" s="1">
        <v>2164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1200</v>
      </c>
      <c r="J23" s="1">
        <v>1200</v>
      </c>
      <c r="K23" s="1">
        <v>4800</v>
      </c>
      <c r="L23" s="1">
        <v>4800</v>
      </c>
      <c r="M23" s="1">
        <v>4800</v>
      </c>
      <c r="N23" s="1">
        <v>4264.29</v>
      </c>
      <c r="O23" s="1">
        <v>620345.36</v>
      </c>
      <c r="P23" s="1">
        <v>620345.36</v>
      </c>
      <c r="Q23" s="1">
        <v>620345.36</v>
      </c>
      <c r="R23" s="1">
        <v>620345.36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/>
      <c r="AF23" s="1" t="s">
        <v>161</v>
      </c>
      <c r="AG23" s="1" t="s">
        <v>970</v>
      </c>
      <c r="AH23" s="1" t="s">
        <v>199</v>
      </c>
      <c r="AI23" s="1">
        <v>4</v>
      </c>
      <c r="AJ23" s="1" t="s">
        <v>165</v>
      </c>
      <c r="AK23" s="1" t="s">
        <v>191</v>
      </c>
      <c r="AL23" s="1">
        <v>431.9</v>
      </c>
      <c r="AM23" s="1">
        <v>429.3</v>
      </c>
      <c r="AN23" s="1">
        <v>515160</v>
      </c>
      <c r="AO23" s="1">
        <v>515160</v>
      </c>
      <c r="AP23" s="1" t="s">
        <v>176</v>
      </c>
      <c r="AQ23" s="1">
        <v>4</v>
      </c>
      <c r="AR23" s="1" t="s">
        <v>165</v>
      </c>
      <c r="AS23" s="1">
        <v>132534288.59999999</v>
      </c>
      <c r="AT23" s="1" t="s">
        <v>176</v>
      </c>
      <c r="AU23" s="1">
        <v>1</v>
      </c>
      <c r="AV23" s="1">
        <v>1</v>
      </c>
      <c r="AW23" s="1" t="s">
        <v>196</v>
      </c>
      <c r="AX23" s="1" t="s">
        <v>200</v>
      </c>
      <c r="AY23" s="1">
        <v>0</v>
      </c>
      <c r="BA23" s="1">
        <v>8205251.6799999997</v>
      </c>
      <c r="BB23" s="1">
        <v>1</v>
      </c>
      <c r="BD23" s="1" t="s">
        <v>971</v>
      </c>
      <c r="BE23" s="1">
        <v>1</v>
      </c>
      <c r="BF23" s="1">
        <v>1</v>
      </c>
      <c r="BG23" s="1" t="s">
        <v>168</v>
      </c>
      <c r="BH23" s="1">
        <v>0</v>
      </c>
      <c r="BI23" s="1">
        <v>31345322.399999999</v>
      </c>
      <c r="BJ23" s="1">
        <v>1.6434988100000001</v>
      </c>
      <c r="BK23" s="1">
        <v>123618989.48999999</v>
      </c>
      <c r="BL23" s="1">
        <v>132456249.91</v>
      </c>
      <c r="BM23" s="1">
        <v>596150.00000000012</v>
      </c>
      <c r="BN23" s="1">
        <v>9219855.2300000004</v>
      </c>
      <c r="BO23" s="1">
        <v>23.664660909999998</v>
      </c>
      <c r="BP23" s="1">
        <v>0.45007313999999998</v>
      </c>
      <c r="BQ23" s="1">
        <v>6.9606796500000003</v>
      </c>
      <c r="BR23" s="1">
        <v>0.38892842</v>
      </c>
      <c r="BS23" s="1" t="s">
        <v>169</v>
      </c>
      <c r="BT23" s="1" t="s">
        <v>169</v>
      </c>
      <c r="BU23" s="1">
        <v>26356083.120000001</v>
      </c>
      <c r="BV23" s="1">
        <v>1.6434988100000001</v>
      </c>
      <c r="BW23" s="1">
        <v>-3120</v>
      </c>
      <c r="BX23" s="1">
        <v>-0.6</v>
      </c>
      <c r="BY23" s="1" t="s">
        <v>170</v>
      </c>
      <c r="BZ23" s="1">
        <v>-78038.69</v>
      </c>
      <c r="CA23" s="1" t="s">
        <v>182</v>
      </c>
      <c r="CB23" s="1" t="s">
        <v>183</v>
      </c>
      <c r="CC23" s="1">
        <v>-102065.36</v>
      </c>
      <c r="CD23" s="1">
        <v>-102065.36</v>
      </c>
      <c r="CE23" s="1">
        <v>518280</v>
      </c>
      <c r="CF23" s="1">
        <v>518280</v>
      </c>
      <c r="CG23" s="1">
        <v>0</v>
      </c>
      <c r="CH23" s="1">
        <v>1.4438757900000001</v>
      </c>
      <c r="CI23" s="1">
        <v>13.27863496</v>
      </c>
      <c r="CJ23" s="1">
        <v>17588381.91</v>
      </c>
      <c r="CK23" s="1">
        <v>1912503.72</v>
      </c>
      <c r="CL23" s="1">
        <v>6269233.6699999999</v>
      </c>
      <c r="CM23" s="1" t="s">
        <v>164</v>
      </c>
      <c r="CN23" s="1" t="s">
        <v>164</v>
      </c>
      <c r="CO23" s="1" t="s">
        <v>184</v>
      </c>
      <c r="CP23" s="1" t="s">
        <v>243</v>
      </c>
      <c r="CQ23" s="1" t="s">
        <v>185</v>
      </c>
      <c r="CR23" s="1">
        <v>0</v>
      </c>
      <c r="CS23" s="1" t="s">
        <v>243</v>
      </c>
      <c r="CT23" s="1">
        <v>0.41673209</v>
      </c>
      <c r="CV23" s="1">
        <v>0</v>
      </c>
      <c r="CW23" s="1">
        <v>-219173.26</v>
      </c>
      <c r="DA23" s="1">
        <v>1355558.46</v>
      </c>
      <c r="DB23" s="1">
        <v>0</v>
      </c>
      <c r="DC23" s="1">
        <v>2520.3126550000002</v>
      </c>
      <c r="DD23" s="1">
        <v>52555.483399999997</v>
      </c>
      <c r="DE23" s="1">
        <v>-296353.43</v>
      </c>
      <c r="DF23" s="1">
        <v>92570020.519999996</v>
      </c>
      <c r="DG23" s="1">
        <v>-3120</v>
      </c>
      <c r="DH23" s="1">
        <v>394770.09</v>
      </c>
      <c r="DI23" s="1">
        <v>0.29803809999999997</v>
      </c>
      <c r="DK23" s="1">
        <v>0</v>
      </c>
      <c r="DL23" s="1">
        <v>0</v>
      </c>
      <c r="DM23" s="1">
        <v>-296353.43</v>
      </c>
      <c r="DN23" s="1">
        <v>0</v>
      </c>
      <c r="DO23" s="1">
        <v>0</v>
      </c>
      <c r="DP23" s="1">
        <v>16777215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515160</v>
      </c>
      <c r="DW23" s="1">
        <v>515160</v>
      </c>
      <c r="DX23" s="1">
        <v>31345322.399999999</v>
      </c>
      <c r="DY23" s="1">
        <v>-1110160.2399999984</v>
      </c>
      <c r="DZ23" s="1">
        <v>92570020.519999966</v>
      </c>
      <c r="EA23" s="1">
        <v>0</v>
      </c>
      <c r="EB23" s="1">
        <v>0</v>
      </c>
      <c r="EC23" s="1" t="s">
        <v>176</v>
      </c>
      <c r="EE23" s="1">
        <v>0</v>
      </c>
      <c r="EF23" s="1">
        <v>3</v>
      </c>
      <c r="EG23" s="1">
        <v>0</v>
      </c>
      <c r="EH23" s="1">
        <v>0</v>
      </c>
      <c r="EI23" s="1">
        <v>0</v>
      </c>
      <c r="EL23" s="1">
        <v>0</v>
      </c>
      <c r="EM23" s="1">
        <v>0</v>
      </c>
      <c r="EN23" s="1">
        <v>1633661.45</v>
      </c>
      <c r="EO23" s="1">
        <v>1.2333592799999999</v>
      </c>
      <c r="ER23" s="1">
        <v>431.9</v>
      </c>
      <c r="ES23" s="1">
        <v>1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3">
      <c r="A24" s="1">
        <v>16975567</v>
      </c>
      <c r="B24" s="1">
        <v>128</v>
      </c>
      <c r="C24" s="1">
        <v>6105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2000</v>
      </c>
      <c r="J24" s="1">
        <v>2000</v>
      </c>
      <c r="K24" s="1">
        <v>1000</v>
      </c>
      <c r="L24" s="1">
        <v>1000</v>
      </c>
      <c r="M24" s="1">
        <v>1000</v>
      </c>
      <c r="N24" s="1">
        <v>920.39</v>
      </c>
      <c r="O24" s="1">
        <v>446460</v>
      </c>
      <c r="P24" s="1">
        <v>410915.78</v>
      </c>
      <c r="Q24" s="1">
        <v>446460</v>
      </c>
      <c r="R24" s="1">
        <v>410915.78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/>
      <c r="AF24" s="1" t="s">
        <v>161</v>
      </c>
      <c r="AG24" s="1" t="s">
        <v>970</v>
      </c>
      <c r="AH24" s="1" t="s">
        <v>718</v>
      </c>
      <c r="AI24" s="1">
        <v>5</v>
      </c>
      <c r="AJ24" s="1" t="s">
        <v>162</v>
      </c>
      <c r="AK24" s="1" t="s">
        <v>163</v>
      </c>
      <c r="AL24" s="1">
        <v>207.84</v>
      </c>
      <c r="AM24" s="1">
        <v>205.74</v>
      </c>
      <c r="AN24" s="1">
        <v>411480</v>
      </c>
      <c r="AO24" s="1">
        <v>392483.78</v>
      </c>
      <c r="AP24" s="1" t="s">
        <v>176</v>
      </c>
      <c r="AQ24" s="1">
        <v>4</v>
      </c>
      <c r="AR24" s="1" t="s">
        <v>165</v>
      </c>
      <c r="AS24" s="1">
        <v>132534288.59999999</v>
      </c>
      <c r="AT24" s="1" t="s">
        <v>176</v>
      </c>
      <c r="AU24" s="1">
        <v>1</v>
      </c>
      <c r="AV24" s="1">
        <v>1</v>
      </c>
      <c r="AW24" s="1" t="s">
        <v>196</v>
      </c>
      <c r="AX24" s="1" t="s">
        <v>200</v>
      </c>
      <c r="AY24" s="1">
        <v>0</v>
      </c>
      <c r="BA24" s="1">
        <v>8205251.6799999997</v>
      </c>
      <c r="BB24" s="1">
        <v>1.0484</v>
      </c>
      <c r="BD24" s="1" t="s">
        <v>971</v>
      </c>
      <c r="BE24" s="1">
        <v>1</v>
      </c>
      <c r="BF24" s="1">
        <v>1</v>
      </c>
      <c r="BG24" s="1" t="s">
        <v>168</v>
      </c>
      <c r="BH24" s="1">
        <v>0</v>
      </c>
      <c r="BI24" s="1">
        <v>31345322.399999999</v>
      </c>
      <c r="BJ24" s="1">
        <v>1.25212871</v>
      </c>
      <c r="BK24" s="1">
        <v>123618989.48999999</v>
      </c>
      <c r="BL24" s="1">
        <v>132456249.91</v>
      </c>
      <c r="BM24" s="1">
        <v>596150.00000000012</v>
      </c>
      <c r="BN24" s="1">
        <v>9219855.2300000004</v>
      </c>
      <c r="BO24" s="1">
        <v>23.664660909999998</v>
      </c>
      <c r="BP24" s="1">
        <v>0.45007313999999998</v>
      </c>
      <c r="BQ24" s="1">
        <v>6.9606796500000003</v>
      </c>
      <c r="BR24" s="1">
        <v>0.29631201000000001</v>
      </c>
      <c r="BS24" s="1" t="s">
        <v>169</v>
      </c>
      <c r="BT24" s="1" t="s">
        <v>169</v>
      </c>
      <c r="BU24" s="1">
        <v>26356083.120000001</v>
      </c>
      <c r="BV24" s="1">
        <v>1.25212871</v>
      </c>
      <c r="BW24" s="1">
        <v>-668.59</v>
      </c>
      <c r="BX24" s="1">
        <v>-1.01</v>
      </c>
      <c r="BY24" s="1" t="s">
        <v>170</v>
      </c>
      <c r="BZ24" s="1">
        <v>-78038.69</v>
      </c>
      <c r="CA24" s="1" t="s">
        <v>182</v>
      </c>
      <c r="CB24" s="1" t="s">
        <v>183</v>
      </c>
      <c r="CC24" s="1">
        <v>-30780</v>
      </c>
      <c r="CD24" s="1">
        <v>-17763.41</v>
      </c>
      <c r="CE24" s="1">
        <v>415680</v>
      </c>
      <c r="CF24" s="1">
        <v>393152.37</v>
      </c>
      <c r="CG24" s="1">
        <v>0</v>
      </c>
      <c r="CH24" s="1">
        <v>1.4438757900000001</v>
      </c>
      <c r="CI24" s="1">
        <v>13.27863496</v>
      </c>
      <c r="CJ24" s="1">
        <v>17588381.91</v>
      </c>
      <c r="CK24" s="1">
        <v>1912503.72</v>
      </c>
      <c r="CL24" s="1">
        <v>6269233.6699999999</v>
      </c>
      <c r="CM24" s="1" t="s">
        <v>164</v>
      </c>
      <c r="CN24" s="1" t="s">
        <v>164</v>
      </c>
      <c r="CO24" s="1" t="s">
        <v>184</v>
      </c>
      <c r="CP24" s="1" t="s">
        <v>243</v>
      </c>
      <c r="CQ24" s="1" t="s">
        <v>185</v>
      </c>
      <c r="CR24" s="1">
        <v>0</v>
      </c>
      <c r="CS24" s="1" t="s">
        <v>243</v>
      </c>
      <c r="CT24" s="1">
        <v>0.31749473</v>
      </c>
      <c r="CV24" s="1">
        <v>0</v>
      </c>
      <c r="CW24" s="1">
        <v>-219173.26</v>
      </c>
      <c r="DA24" s="1">
        <v>1355558.46</v>
      </c>
      <c r="DB24" s="1">
        <v>0</v>
      </c>
      <c r="DC24" s="1">
        <v>2520.3126550000002</v>
      </c>
      <c r="DD24" s="1">
        <v>52555.483399999997</v>
      </c>
      <c r="DE24" s="1">
        <v>-296353.43</v>
      </c>
      <c r="DF24" s="1">
        <v>92570020.519999996</v>
      </c>
      <c r="DG24" s="1">
        <v>-4200</v>
      </c>
      <c r="DH24" s="1">
        <v>394770.09</v>
      </c>
      <c r="DI24" s="1">
        <v>0.29803809999999997</v>
      </c>
      <c r="DK24" s="1">
        <v>0</v>
      </c>
      <c r="DL24" s="1">
        <v>0</v>
      </c>
      <c r="DM24" s="1">
        <v>-296353.43</v>
      </c>
      <c r="DN24" s="1">
        <v>0</v>
      </c>
      <c r="DO24" s="1">
        <v>0</v>
      </c>
      <c r="DP24" s="1">
        <v>16777215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411480</v>
      </c>
      <c r="DW24" s="1">
        <v>392483.78</v>
      </c>
      <c r="DX24" s="1">
        <v>31345322.399999999</v>
      </c>
      <c r="DY24" s="1">
        <v>-1110160.2399999984</v>
      </c>
      <c r="DZ24" s="1">
        <v>92570020.519999966</v>
      </c>
      <c r="EA24" s="1">
        <v>0</v>
      </c>
      <c r="EB24" s="1">
        <v>0</v>
      </c>
      <c r="EC24" s="1" t="s">
        <v>176</v>
      </c>
      <c r="EE24" s="1">
        <v>0</v>
      </c>
      <c r="EF24" s="1">
        <v>3</v>
      </c>
      <c r="EG24" s="1">
        <v>0</v>
      </c>
      <c r="EH24" s="1">
        <v>0</v>
      </c>
      <c r="EI24" s="1">
        <v>0</v>
      </c>
      <c r="EL24" s="1">
        <v>0</v>
      </c>
      <c r="EM24" s="1">
        <v>0</v>
      </c>
      <c r="EN24" s="1">
        <v>1633661.45</v>
      </c>
      <c r="EO24" s="1">
        <v>1.2333592799999999</v>
      </c>
      <c r="ER24" s="1">
        <v>207.84</v>
      </c>
      <c r="ES24" s="1">
        <v>1.0572999999999999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3">
      <c r="A25" s="1">
        <v>16975485</v>
      </c>
      <c r="B25" s="1">
        <v>128</v>
      </c>
      <c r="C25" s="1">
        <v>1192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500</v>
      </c>
      <c r="J25" s="1">
        <v>500</v>
      </c>
      <c r="K25" s="1">
        <v>150</v>
      </c>
      <c r="L25" s="1">
        <v>150</v>
      </c>
      <c r="M25" s="1">
        <v>150</v>
      </c>
      <c r="N25" s="1">
        <v>150</v>
      </c>
      <c r="O25" s="1">
        <v>325816.95</v>
      </c>
      <c r="P25" s="1">
        <v>325816.95</v>
      </c>
      <c r="Q25" s="1">
        <v>325816.95</v>
      </c>
      <c r="R25" s="1">
        <v>325816.95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/>
      <c r="AF25" s="1" t="s">
        <v>161</v>
      </c>
      <c r="AG25" s="1" t="s">
        <v>970</v>
      </c>
      <c r="AH25" s="1" t="s">
        <v>201</v>
      </c>
      <c r="AI25" s="1">
        <v>4</v>
      </c>
      <c r="AJ25" s="1" t="s">
        <v>165</v>
      </c>
      <c r="AK25" s="1" t="s">
        <v>191</v>
      </c>
      <c r="AL25" s="1">
        <v>716.4</v>
      </c>
      <c r="AM25" s="1">
        <v>714.9</v>
      </c>
      <c r="AN25" s="1">
        <v>357450</v>
      </c>
      <c r="AO25" s="1">
        <v>357450</v>
      </c>
      <c r="AP25" s="1" t="s">
        <v>176</v>
      </c>
      <c r="AQ25" s="1">
        <v>4</v>
      </c>
      <c r="AR25" s="1" t="s">
        <v>165</v>
      </c>
      <c r="AS25" s="1">
        <v>132534288.59999999</v>
      </c>
      <c r="AT25" s="1" t="s">
        <v>176</v>
      </c>
      <c r="AU25" s="1">
        <v>1</v>
      </c>
      <c r="AV25" s="1">
        <v>1</v>
      </c>
      <c r="AW25" s="1" t="s">
        <v>196</v>
      </c>
      <c r="AX25" s="1" t="s">
        <v>167</v>
      </c>
      <c r="AY25" s="1">
        <v>0</v>
      </c>
      <c r="AZ25" s="1">
        <v>999999999</v>
      </c>
      <c r="BA25" s="1">
        <v>8205251.6799999997</v>
      </c>
      <c r="BB25" s="1">
        <v>1</v>
      </c>
      <c r="BD25" s="1" t="s">
        <v>971</v>
      </c>
      <c r="BE25" s="1">
        <v>1</v>
      </c>
      <c r="BF25" s="1">
        <v>1</v>
      </c>
      <c r="BG25" s="1" t="s">
        <v>168</v>
      </c>
      <c r="BH25" s="1">
        <v>0</v>
      </c>
      <c r="BI25" s="1">
        <v>31345322.399999999</v>
      </c>
      <c r="BJ25" s="1">
        <v>1.14036154</v>
      </c>
      <c r="BK25" s="1">
        <v>123618989.48999999</v>
      </c>
      <c r="BL25" s="1">
        <v>132456249.91</v>
      </c>
      <c r="BM25" s="1">
        <v>596150.00000000012</v>
      </c>
      <c r="BN25" s="1">
        <v>9219855.2300000004</v>
      </c>
      <c r="BO25" s="1">
        <v>23.664660909999998</v>
      </c>
      <c r="BP25" s="1">
        <v>0.45007313999999998</v>
      </c>
      <c r="BQ25" s="1">
        <v>6.9606796500000003</v>
      </c>
      <c r="BR25" s="1">
        <v>0.26986269000000002</v>
      </c>
      <c r="BS25" s="1" t="s">
        <v>169</v>
      </c>
      <c r="BT25" s="1" t="s">
        <v>169</v>
      </c>
      <c r="BU25" s="1">
        <v>26356083.120000001</v>
      </c>
      <c r="BV25" s="1">
        <v>1.14036154</v>
      </c>
      <c r="BW25" s="1">
        <v>-750</v>
      </c>
      <c r="BX25" s="1">
        <v>-0.21</v>
      </c>
      <c r="BY25" s="1" t="s">
        <v>170</v>
      </c>
      <c r="BZ25" s="1">
        <v>-78038.69</v>
      </c>
      <c r="CA25" s="1" t="s">
        <v>182</v>
      </c>
      <c r="CB25" s="1" t="s">
        <v>183</v>
      </c>
      <c r="CC25" s="1">
        <v>32383.05</v>
      </c>
      <c r="CD25" s="1">
        <v>32383.05</v>
      </c>
      <c r="CE25" s="1">
        <v>358200</v>
      </c>
      <c r="CF25" s="1">
        <v>358200</v>
      </c>
      <c r="CG25" s="1">
        <v>0</v>
      </c>
      <c r="CH25" s="1">
        <v>1.4438757900000001</v>
      </c>
      <c r="CI25" s="1">
        <v>13.27863496</v>
      </c>
      <c r="CJ25" s="1">
        <v>17588381.91</v>
      </c>
      <c r="CK25" s="1">
        <v>1912503.72</v>
      </c>
      <c r="CL25" s="1">
        <v>6269233.6699999999</v>
      </c>
      <c r="CM25" s="1" t="s">
        <v>164</v>
      </c>
      <c r="CN25" s="1" t="s">
        <v>164</v>
      </c>
      <c r="CO25" s="1" t="s">
        <v>184</v>
      </c>
      <c r="CP25" s="1" t="s">
        <v>243</v>
      </c>
      <c r="CQ25" s="1" t="s">
        <v>185</v>
      </c>
      <c r="CR25" s="1">
        <v>0</v>
      </c>
      <c r="CS25" s="1" t="s">
        <v>243</v>
      </c>
      <c r="CT25" s="1">
        <v>0.28915459999999998</v>
      </c>
      <c r="CV25" s="1">
        <v>0</v>
      </c>
      <c r="CW25" s="1">
        <v>-219173.26</v>
      </c>
      <c r="DA25" s="1">
        <v>1355558.46</v>
      </c>
      <c r="DB25" s="1">
        <v>0</v>
      </c>
      <c r="DC25" s="1">
        <v>2520.3126550000002</v>
      </c>
      <c r="DD25" s="1">
        <v>52555.483399999997</v>
      </c>
      <c r="DE25" s="1">
        <v>-296353.43</v>
      </c>
      <c r="DF25" s="1">
        <v>92570020.519999996</v>
      </c>
      <c r="DG25" s="1">
        <v>-750</v>
      </c>
      <c r="DH25" s="1">
        <v>394770.09</v>
      </c>
      <c r="DI25" s="1">
        <v>0.29803809999999997</v>
      </c>
      <c r="DK25" s="1">
        <v>0</v>
      </c>
      <c r="DL25" s="1">
        <v>0</v>
      </c>
      <c r="DM25" s="1">
        <v>-296353.43</v>
      </c>
      <c r="DN25" s="1">
        <v>0</v>
      </c>
      <c r="DO25" s="1">
        <v>0</v>
      </c>
      <c r="DP25" s="1">
        <v>16777215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357450</v>
      </c>
      <c r="DW25" s="1">
        <v>357450</v>
      </c>
      <c r="DX25" s="1">
        <v>31345322.399999999</v>
      </c>
      <c r="DY25" s="1">
        <v>-1110160.2399999984</v>
      </c>
      <c r="DZ25" s="1">
        <v>92570020.519999966</v>
      </c>
      <c r="EA25" s="1">
        <v>0</v>
      </c>
      <c r="EB25" s="1">
        <v>0</v>
      </c>
      <c r="EC25" s="1" t="s">
        <v>176</v>
      </c>
      <c r="EE25" s="1">
        <v>0</v>
      </c>
      <c r="EF25" s="1">
        <v>3</v>
      </c>
      <c r="EG25" s="1">
        <v>0</v>
      </c>
      <c r="EH25" s="1">
        <v>0</v>
      </c>
      <c r="EI25" s="1">
        <v>0</v>
      </c>
      <c r="EL25" s="1">
        <v>0</v>
      </c>
      <c r="EM25" s="1">
        <v>0</v>
      </c>
      <c r="EN25" s="1">
        <v>1633661.45</v>
      </c>
      <c r="EO25" s="1">
        <v>1.2333592799999999</v>
      </c>
      <c r="ER25" s="1">
        <v>716.4</v>
      </c>
      <c r="ES25" s="1">
        <v>1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3">
      <c r="A26" s="1">
        <v>16975461</v>
      </c>
      <c r="B26" s="1">
        <v>128</v>
      </c>
      <c r="C26" s="1">
        <v>2245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25000</v>
      </c>
      <c r="J26" s="1">
        <v>25000</v>
      </c>
      <c r="K26" s="1">
        <v>150</v>
      </c>
      <c r="L26" s="1">
        <v>150</v>
      </c>
      <c r="M26" s="1">
        <v>150</v>
      </c>
      <c r="N26" s="1">
        <v>150</v>
      </c>
      <c r="O26" s="1">
        <v>430709.08</v>
      </c>
      <c r="P26" s="1">
        <v>430709.08</v>
      </c>
      <c r="Q26" s="1">
        <v>430709.08</v>
      </c>
      <c r="R26" s="1">
        <v>430709.08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/>
      <c r="AF26" s="1" t="s">
        <v>161</v>
      </c>
      <c r="AG26" s="1" t="s">
        <v>970</v>
      </c>
      <c r="AH26" s="1" t="s">
        <v>719</v>
      </c>
      <c r="AI26" s="1">
        <v>4</v>
      </c>
      <c r="AJ26" s="1" t="s">
        <v>165</v>
      </c>
      <c r="AK26" s="1" t="s">
        <v>191</v>
      </c>
      <c r="AL26" s="1">
        <v>15.914999999999999</v>
      </c>
      <c r="AM26" s="1">
        <v>15.790000000000001</v>
      </c>
      <c r="AN26" s="1">
        <v>394750</v>
      </c>
      <c r="AO26" s="1">
        <v>394750</v>
      </c>
      <c r="AP26" s="1" t="s">
        <v>176</v>
      </c>
      <c r="AQ26" s="1">
        <v>4</v>
      </c>
      <c r="AR26" s="1" t="s">
        <v>165</v>
      </c>
      <c r="AS26" s="1">
        <v>132534288.59999999</v>
      </c>
      <c r="AT26" s="1" t="s">
        <v>176</v>
      </c>
      <c r="AU26" s="1">
        <v>1</v>
      </c>
      <c r="AV26" s="1">
        <v>1</v>
      </c>
      <c r="AW26" s="1" t="s">
        <v>196</v>
      </c>
      <c r="AX26" s="1" t="s">
        <v>167</v>
      </c>
      <c r="AY26" s="1">
        <v>0</v>
      </c>
      <c r="AZ26" s="1">
        <v>999999999</v>
      </c>
      <c r="BA26" s="1">
        <v>8205251.6799999997</v>
      </c>
      <c r="BB26" s="1">
        <v>1</v>
      </c>
      <c r="BD26" s="1" t="s">
        <v>971</v>
      </c>
      <c r="BE26" s="1">
        <v>1</v>
      </c>
      <c r="BF26" s="1">
        <v>1</v>
      </c>
      <c r="BG26" s="1" t="s">
        <v>168</v>
      </c>
      <c r="BH26" s="1">
        <v>0</v>
      </c>
      <c r="BI26" s="1">
        <v>31345322.399999999</v>
      </c>
      <c r="BJ26" s="1">
        <v>1.2593585599999999</v>
      </c>
      <c r="BK26" s="1">
        <v>123618989.48999999</v>
      </c>
      <c r="BL26" s="1">
        <v>132456249.91</v>
      </c>
      <c r="BM26" s="1">
        <v>596150.00000000012</v>
      </c>
      <c r="BN26" s="1">
        <v>9219855.2300000004</v>
      </c>
      <c r="BO26" s="1">
        <v>23.664660909999998</v>
      </c>
      <c r="BP26" s="1">
        <v>0.45007313999999998</v>
      </c>
      <c r="BQ26" s="1">
        <v>6.9606796500000003</v>
      </c>
      <c r="BR26" s="1">
        <v>0.29802293000000002</v>
      </c>
      <c r="BS26" s="1" t="s">
        <v>169</v>
      </c>
      <c r="BT26" s="1" t="s">
        <v>169</v>
      </c>
      <c r="BU26" s="1">
        <v>26356083.120000001</v>
      </c>
      <c r="BV26" s="1">
        <v>1.2593585599999999</v>
      </c>
      <c r="BW26" s="1">
        <v>-3125</v>
      </c>
      <c r="BX26" s="1">
        <v>-0.82</v>
      </c>
      <c r="BY26" s="1" t="s">
        <v>170</v>
      </c>
      <c r="BZ26" s="1">
        <v>-78038.69</v>
      </c>
      <c r="CA26" s="1" t="s">
        <v>182</v>
      </c>
      <c r="CB26" s="1" t="s">
        <v>183</v>
      </c>
      <c r="CC26" s="1">
        <v>-32834.080000000002</v>
      </c>
      <c r="CD26" s="1">
        <v>-32834.080000000002</v>
      </c>
      <c r="CE26" s="1">
        <v>397875</v>
      </c>
      <c r="CF26" s="1">
        <v>397875</v>
      </c>
      <c r="CG26" s="1">
        <v>0</v>
      </c>
      <c r="CH26" s="1">
        <v>1.4438757900000001</v>
      </c>
      <c r="CI26" s="1">
        <v>13.27863496</v>
      </c>
      <c r="CJ26" s="1">
        <v>17588381.91</v>
      </c>
      <c r="CK26" s="1">
        <v>1912503.72</v>
      </c>
      <c r="CL26" s="1">
        <v>6269233.6699999999</v>
      </c>
      <c r="CM26" s="1" t="s">
        <v>164</v>
      </c>
      <c r="CN26" s="1" t="s">
        <v>164</v>
      </c>
      <c r="CO26" s="1" t="s">
        <v>184</v>
      </c>
      <c r="CP26" s="1" t="s">
        <v>243</v>
      </c>
      <c r="CQ26" s="1" t="s">
        <v>185</v>
      </c>
      <c r="CR26" s="1">
        <v>0</v>
      </c>
      <c r="CS26" s="1" t="s">
        <v>243</v>
      </c>
      <c r="CT26" s="1">
        <v>0.31932796000000002</v>
      </c>
      <c r="CV26" s="1">
        <v>0</v>
      </c>
      <c r="CW26" s="1">
        <v>-219173.26</v>
      </c>
      <c r="DA26" s="1">
        <v>1355558.46</v>
      </c>
      <c r="DB26" s="1">
        <v>0</v>
      </c>
      <c r="DC26" s="1">
        <v>2520.3126550000002</v>
      </c>
      <c r="DD26" s="1">
        <v>52555.483399999997</v>
      </c>
      <c r="DE26" s="1">
        <v>-296353.43</v>
      </c>
      <c r="DF26" s="1">
        <v>92570020.519999996</v>
      </c>
      <c r="DG26" s="1">
        <v>-3125</v>
      </c>
      <c r="DH26" s="1">
        <v>394770.09</v>
      </c>
      <c r="DI26" s="1">
        <v>0.29803809999999997</v>
      </c>
      <c r="DK26" s="1">
        <v>0</v>
      </c>
      <c r="DL26" s="1">
        <v>0</v>
      </c>
      <c r="DM26" s="1">
        <v>-296353.43</v>
      </c>
      <c r="DN26" s="1">
        <v>0</v>
      </c>
      <c r="DO26" s="1">
        <v>0</v>
      </c>
      <c r="DP26" s="1">
        <v>16777215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394750</v>
      </c>
      <c r="DW26" s="1">
        <v>394750</v>
      </c>
      <c r="DX26" s="1">
        <v>31345322.399999999</v>
      </c>
      <c r="DY26" s="1">
        <v>-1110160.2399999984</v>
      </c>
      <c r="DZ26" s="1">
        <v>92570020.519999966</v>
      </c>
      <c r="EA26" s="1">
        <v>0</v>
      </c>
      <c r="EB26" s="1">
        <v>0</v>
      </c>
      <c r="EC26" s="1" t="s">
        <v>176</v>
      </c>
      <c r="EE26" s="1">
        <v>0</v>
      </c>
      <c r="EF26" s="1">
        <v>3</v>
      </c>
      <c r="EG26" s="1">
        <v>0</v>
      </c>
      <c r="EH26" s="1">
        <v>0</v>
      </c>
      <c r="EI26" s="1">
        <v>0</v>
      </c>
      <c r="EL26" s="1">
        <v>0</v>
      </c>
      <c r="EM26" s="1">
        <v>0</v>
      </c>
      <c r="EN26" s="1">
        <v>1633661.45</v>
      </c>
      <c r="EO26" s="1">
        <v>1.2333592799999999</v>
      </c>
      <c r="ER26" s="1">
        <v>15.914999999999999</v>
      </c>
      <c r="ES26" s="1">
        <v>1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3">
      <c r="A27" s="1">
        <v>16975369</v>
      </c>
      <c r="B27" s="1">
        <v>128</v>
      </c>
      <c r="C27" s="1">
        <v>7825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5500</v>
      </c>
      <c r="J27" s="1">
        <v>5500</v>
      </c>
      <c r="K27" s="1">
        <v>1375</v>
      </c>
      <c r="L27" s="1">
        <v>1375</v>
      </c>
      <c r="M27" s="1">
        <v>1375</v>
      </c>
      <c r="N27" s="1">
        <v>117.16</v>
      </c>
      <c r="O27" s="1">
        <v>2380657.1</v>
      </c>
      <c r="P27" s="1">
        <v>202845.63</v>
      </c>
      <c r="Q27" s="1">
        <v>2380657.1</v>
      </c>
      <c r="R27" s="1">
        <v>202845.63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/>
      <c r="AF27" s="1" t="s">
        <v>161</v>
      </c>
      <c r="AG27" s="1" t="s">
        <v>970</v>
      </c>
      <c r="AH27" s="1" t="s">
        <v>720</v>
      </c>
      <c r="AI27" s="1">
        <v>22</v>
      </c>
      <c r="AJ27" s="1" t="s">
        <v>721</v>
      </c>
      <c r="AK27" s="1" t="s">
        <v>191</v>
      </c>
      <c r="AL27" s="1">
        <v>543.4</v>
      </c>
      <c r="AM27" s="1">
        <v>547.6</v>
      </c>
      <c r="AN27" s="1">
        <v>3011800</v>
      </c>
      <c r="AO27" s="1">
        <v>265665.8</v>
      </c>
      <c r="AP27" s="1" t="s">
        <v>176</v>
      </c>
      <c r="AQ27" s="1">
        <v>4</v>
      </c>
      <c r="AR27" s="1" t="s">
        <v>165</v>
      </c>
      <c r="AS27" s="1">
        <v>132534288.59999999</v>
      </c>
      <c r="AT27" s="1" t="s">
        <v>176</v>
      </c>
      <c r="AU27" s="1">
        <v>1</v>
      </c>
      <c r="AV27" s="1">
        <v>1</v>
      </c>
      <c r="AW27" s="1" t="s">
        <v>202</v>
      </c>
      <c r="AX27" s="1" t="s">
        <v>203</v>
      </c>
      <c r="AY27" s="1">
        <v>0</v>
      </c>
      <c r="AZ27" s="1"/>
      <c r="BA27" s="1">
        <v>8205251.6799999997</v>
      </c>
      <c r="BB27" s="1">
        <v>11.3368</v>
      </c>
      <c r="BD27" s="1" t="s">
        <v>971</v>
      </c>
      <c r="BE27" s="1">
        <v>1</v>
      </c>
      <c r="BF27" s="1">
        <v>1</v>
      </c>
      <c r="BG27" s="1" t="s">
        <v>168</v>
      </c>
      <c r="BH27" s="1">
        <v>0</v>
      </c>
      <c r="BI27" s="1">
        <v>31345322.399999999</v>
      </c>
      <c r="BJ27" s="1">
        <v>0.84754527999999996</v>
      </c>
      <c r="BK27" s="1">
        <v>123618989.48999999</v>
      </c>
      <c r="BL27" s="1">
        <v>132456249.91</v>
      </c>
      <c r="BM27" s="1">
        <v>596150.00000000012</v>
      </c>
      <c r="BN27" s="1">
        <v>9219855.2300000004</v>
      </c>
      <c r="BO27" s="1">
        <v>23.664660909999998</v>
      </c>
      <c r="BP27" s="1">
        <v>0.45007313999999998</v>
      </c>
      <c r="BQ27" s="1">
        <v>6.9606796500000003</v>
      </c>
      <c r="BR27" s="1">
        <v>0.20056872000000001</v>
      </c>
      <c r="BS27" s="1" t="s">
        <v>169</v>
      </c>
      <c r="BT27" s="1" t="s">
        <v>169</v>
      </c>
      <c r="BU27" s="1">
        <v>26356083.120000001</v>
      </c>
      <c r="BV27" s="1">
        <v>0.84754527999999996</v>
      </c>
      <c r="BW27" s="1">
        <v>1031.53</v>
      </c>
      <c r="BX27" s="1">
        <v>0.77</v>
      </c>
      <c r="BY27" s="1" t="s">
        <v>170</v>
      </c>
      <c r="BZ27" s="1">
        <v>-78038.69</v>
      </c>
      <c r="CA27" s="1" t="s">
        <v>182</v>
      </c>
      <c r="CB27" s="1" t="s">
        <v>183</v>
      </c>
      <c r="CC27" s="1">
        <v>608042.9</v>
      </c>
      <c r="CD27" s="1">
        <v>61788.639999999999</v>
      </c>
      <c r="CE27" s="1">
        <v>2988700</v>
      </c>
      <c r="CF27" s="1">
        <v>264634.27</v>
      </c>
      <c r="CG27" s="1">
        <v>0</v>
      </c>
      <c r="CH27" s="1">
        <v>1.4438757900000001</v>
      </c>
      <c r="CI27" s="1">
        <v>13.27863496</v>
      </c>
      <c r="CJ27" s="1">
        <v>17588381.91</v>
      </c>
      <c r="CK27" s="1">
        <v>1912503.72</v>
      </c>
      <c r="CL27" s="1">
        <v>6269233.6699999999</v>
      </c>
      <c r="CM27" s="1" t="s">
        <v>164</v>
      </c>
      <c r="CN27" s="1" t="s">
        <v>164</v>
      </c>
      <c r="CO27" s="1" t="s">
        <v>184</v>
      </c>
      <c r="CP27" s="1" t="s">
        <v>243</v>
      </c>
      <c r="CQ27" s="1" t="s">
        <v>185</v>
      </c>
      <c r="CR27" s="1">
        <v>0</v>
      </c>
      <c r="CS27" s="1" t="s">
        <v>243</v>
      </c>
      <c r="CT27" s="1">
        <v>0.21490695000000001</v>
      </c>
      <c r="CV27" s="1">
        <v>0</v>
      </c>
      <c r="CW27" s="1">
        <v>-219173.26</v>
      </c>
      <c r="DA27" s="1">
        <v>1355558.46</v>
      </c>
      <c r="DB27" s="1">
        <v>0</v>
      </c>
      <c r="DC27" s="1">
        <v>2520.3126550000002</v>
      </c>
      <c r="DD27" s="1">
        <v>52555.483399999997</v>
      </c>
      <c r="DE27" s="1">
        <v>-296353.43</v>
      </c>
      <c r="DF27" s="1">
        <v>92570020.519999996</v>
      </c>
      <c r="DG27" s="1">
        <v>23100</v>
      </c>
      <c r="DH27" s="1">
        <v>394770.09</v>
      </c>
      <c r="DI27" s="1">
        <v>0.29803809999999997</v>
      </c>
      <c r="DK27" s="1">
        <v>0</v>
      </c>
      <c r="DL27" s="1">
        <v>0</v>
      </c>
      <c r="DM27" s="1">
        <v>-296353.43</v>
      </c>
      <c r="DN27" s="1">
        <v>0</v>
      </c>
      <c r="DO27" s="1">
        <v>0</v>
      </c>
      <c r="DP27" s="1">
        <v>16777215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3011800</v>
      </c>
      <c r="DW27" s="1">
        <v>265665.8</v>
      </c>
      <c r="DX27" s="1">
        <v>31345322.399999999</v>
      </c>
      <c r="DY27" s="1">
        <v>-1110160.2399999984</v>
      </c>
      <c r="DZ27" s="1">
        <v>92570020.519999966</v>
      </c>
      <c r="EA27" s="1">
        <v>0</v>
      </c>
      <c r="EB27" s="1">
        <v>0</v>
      </c>
      <c r="EC27" s="1" t="s">
        <v>176</v>
      </c>
      <c r="EE27" s="1">
        <v>0</v>
      </c>
      <c r="EF27" s="1">
        <v>3</v>
      </c>
      <c r="EG27" s="1">
        <v>0</v>
      </c>
      <c r="EH27" s="1">
        <v>0</v>
      </c>
      <c r="EI27" s="1">
        <v>0</v>
      </c>
      <c r="EL27" s="1">
        <v>0</v>
      </c>
      <c r="EM27" s="1">
        <v>0</v>
      </c>
      <c r="EN27" s="1">
        <v>1633661.45</v>
      </c>
      <c r="EO27" s="1">
        <v>1.2333592799999999</v>
      </c>
      <c r="ER27" s="1">
        <v>543.4</v>
      </c>
      <c r="ES27" s="1">
        <v>11.307700000000001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3">
      <c r="A28" s="1">
        <v>16975462</v>
      </c>
      <c r="B28" s="1">
        <v>128</v>
      </c>
      <c r="C28" s="1">
        <v>10693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26000</v>
      </c>
      <c r="J28" s="1">
        <v>26000</v>
      </c>
      <c r="K28" s="1">
        <v>26000</v>
      </c>
      <c r="L28" s="1">
        <v>26000</v>
      </c>
      <c r="M28" s="1">
        <v>26000</v>
      </c>
      <c r="N28" s="1">
        <v>18058.82</v>
      </c>
      <c r="O28" s="1">
        <v>596700</v>
      </c>
      <c r="P28" s="1">
        <v>414449.83</v>
      </c>
      <c r="Q28" s="1">
        <v>596700</v>
      </c>
      <c r="R28" s="1">
        <v>414449.83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/>
      <c r="AF28" s="1" t="s">
        <v>161</v>
      </c>
      <c r="AG28" s="1" t="s">
        <v>970</v>
      </c>
      <c r="AH28" s="1" t="s">
        <v>722</v>
      </c>
      <c r="AI28" s="1">
        <v>18</v>
      </c>
      <c r="AJ28" s="1" t="s">
        <v>231</v>
      </c>
      <c r="AK28" s="1" t="s">
        <v>217</v>
      </c>
      <c r="AL28" s="1">
        <v>18.68</v>
      </c>
      <c r="AM28" s="1">
        <v>17.96</v>
      </c>
      <c r="AN28" s="1">
        <v>466960</v>
      </c>
      <c r="AO28" s="1">
        <v>325830</v>
      </c>
      <c r="AP28" s="1" t="s">
        <v>176</v>
      </c>
      <c r="AQ28" s="1">
        <v>4</v>
      </c>
      <c r="AR28" s="1" t="s">
        <v>165</v>
      </c>
      <c r="AS28" s="1">
        <v>132534288.59999999</v>
      </c>
      <c r="AT28" s="1" t="s">
        <v>176</v>
      </c>
      <c r="AU28" s="1">
        <v>1</v>
      </c>
      <c r="AV28" s="1">
        <v>1</v>
      </c>
      <c r="AW28" s="1" t="s">
        <v>202</v>
      </c>
      <c r="AX28" s="1" t="s">
        <v>205</v>
      </c>
      <c r="AY28" s="1">
        <v>0</v>
      </c>
      <c r="AZ28" s="1"/>
      <c r="BA28" s="1">
        <v>8205251.6799999997</v>
      </c>
      <c r="BB28" s="1">
        <v>1.4331399999999999</v>
      </c>
      <c r="BD28" s="1" t="s">
        <v>971</v>
      </c>
      <c r="BE28" s="1">
        <v>1</v>
      </c>
      <c r="BF28" s="1">
        <v>1</v>
      </c>
      <c r="BG28" s="1" t="s">
        <v>168</v>
      </c>
      <c r="BH28" s="1">
        <v>0</v>
      </c>
      <c r="BI28" s="1">
        <v>31345322.399999999</v>
      </c>
      <c r="BJ28" s="1">
        <v>1.0394852400000001</v>
      </c>
      <c r="BK28" s="1">
        <v>123618989.48999999</v>
      </c>
      <c r="BL28" s="1">
        <v>132456249.91</v>
      </c>
      <c r="BM28" s="1">
        <v>596150.00000000012</v>
      </c>
      <c r="BN28" s="1">
        <v>9219855.2300000004</v>
      </c>
      <c r="BO28" s="1">
        <v>23.664660909999998</v>
      </c>
      <c r="BP28" s="1">
        <v>0.45007313999999998</v>
      </c>
      <c r="BQ28" s="1">
        <v>6.9606796500000003</v>
      </c>
      <c r="BR28" s="1">
        <v>0.24599066</v>
      </c>
      <c r="BS28" s="1" t="s">
        <v>169</v>
      </c>
      <c r="BT28" s="1" t="s">
        <v>169</v>
      </c>
      <c r="BU28" s="1">
        <v>26356083.120000001</v>
      </c>
      <c r="BV28" s="1">
        <v>1.0394852400000001</v>
      </c>
      <c r="BW28" s="1">
        <v>-12531</v>
      </c>
      <c r="BX28" s="1">
        <v>-3.85</v>
      </c>
      <c r="BY28" s="1" t="s">
        <v>170</v>
      </c>
      <c r="BZ28" s="1">
        <v>-78038.69</v>
      </c>
      <c r="CA28" s="1" t="s">
        <v>182</v>
      </c>
      <c r="CB28" s="1" t="s">
        <v>183</v>
      </c>
      <c r="CC28" s="1">
        <v>-111020</v>
      </c>
      <c r="CD28" s="1">
        <v>-76088.83</v>
      </c>
      <c r="CE28" s="1">
        <v>485680</v>
      </c>
      <c r="CF28" s="1">
        <v>338361</v>
      </c>
      <c r="CG28" s="1">
        <v>0</v>
      </c>
      <c r="CH28" s="1">
        <v>1.4438757900000001</v>
      </c>
      <c r="CI28" s="1">
        <v>13.27863496</v>
      </c>
      <c r="CJ28" s="1">
        <v>17588381.91</v>
      </c>
      <c r="CK28" s="1">
        <v>1912503.72</v>
      </c>
      <c r="CL28" s="1">
        <v>6269233.6699999999</v>
      </c>
      <c r="CM28" s="1" t="s">
        <v>164</v>
      </c>
      <c r="CN28" s="1" t="s">
        <v>164</v>
      </c>
      <c r="CO28" s="1" t="s">
        <v>184</v>
      </c>
      <c r="CP28" s="1" t="s">
        <v>243</v>
      </c>
      <c r="CQ28" s="1" t="s">
        <v>185</v>
      </c>
      <c r="CR28" s="1">
        <v>0</v>
      </c>
      <c r="CS28" s="1" t="s">
        <v>243</v>
      </c>
      <c r="CT28" s="1">
        <v>0.26357601000000003</v>
      </c>
      <c r="CV28" s="1">
        <v>0</v>
      </c>
      <c r="CW28" s="1">
        <v>-219173.26</v>
      </c>
      <c r="DA28" s="1">
        <v>1355558.46</v>
      </c>
      <c r="DB28" s="1">
        <v>0</v>
      </c>
      <c r="DC28" s="1">
        <v>2520.3126550000002</v>
      </c>
      <c r="DD28" s="1">
        <v>52555.483399999997</v>
      </c>
      <c r="DE28" s="1">
        <v>-296353.43</v>
      </c>
      <c r="DF28" s="1">
        <v>92570020.519999996</v>
      </c>
      <c r="DG28" s="1">
        <v>-18720</v>
      </c>
      <c r="DH28" s="1">
        <v>394770.09</v>
      </c>
      <c r="DI28" s="1">
        <v>0.29803809999999997</v>
      </c>
      <c r="DK28" s="1">
        <v>0</v>
      </c>
      <c r="DL28" s="1">
        <v>0</v>
      </c>
      <c r="DM28" s="1">
        <v>-296353.43</v>
      </c>
      <c r="DN28" s="1">
        <v>0</v>
      </c>
      <c r="DO28" s="1">
        <v>0</v>
      </c>
      <c r="DP28" s="1">
        <v>16777215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466960</v>
      </c>
      <c r="DW28" s="1">
        <v>325830</v>
      </c>
      <c r="DX28" s="1">
        <v>31345322.399999999</v>
      </c>
      <c r="DY28" s="1">
        <v>-1110160.2399999984</v>
      </c>
      <c r="DZ28" s="1">
        <v>92570020.519999966</v>
      </c>
      <c r="EA28" s="1">
        <v>0</v>
      </c>
      <c r="EB28" s="1">
        <v>0</v>
      </c>
      <c r="EC28" s="1" t="s">
        <v>176</v>
      </c>
      <c r="EE28" s="1">
        <v>0</v>
      </c>
      <c r="EF28" s="1">
        <v>3</v>
      </c>
      <c r="EG28" s="1">
        <v>0</v>
      </c>
      <c r="EH28" s="1">
        <v>0</v>
      </c>
      <c r="EI28" s="1">
        <v>0</v>
      </c>
      <c r="EL28" s="1">
        <v>0</v>
      </c>
      <c r="EM28" s="1">
        <v>0</v>
      </c>
      <c r="EN28" s="1">
        <v>1633661.45</v>
      </c>
      <c r="EO28" s="1">
        <v>1.2333592799999999</v>
      </c>
      <c r="ER28" s="1">
        <v>18.68</v>
      </c>
      <c r="ES28" s="1">
        <v>1.4359200000000001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3">
      <c r="A29" s="1">
        <v>16975386</v>
      </c>
      <c r="B29" s="1">
        <v>128</v>
      </c>
      <c r="C29" s="1">
        <v>4201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7000</v>
      </c>
      <c r="J29" s="1">
        <v>7000</v>
      </c>
      <c r="K29" s="1">
        <v>0.7</v>
      </c>
      <c r="L29" s="1">
        <v>0.7</v>
      </c>
      <c r="M29" s="1">
        <v>0.7</v>
      </c>
      <c r="N29" s="1">
        <v>1.36</v>
      </c>
      <c r="O29" s="1">
        <v>585103.16</v>
      </c>
      <c r="P29" s="1">
        <v>542565.27</v>
      </c>
      <c r="Q29" s="1">
        <v>585103.16</v>
      </c>
      <c r="R29" s="1">
        <v>542565.27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/>
      <c r="AF29" s="1" t="s">
        <v>161</v>
      </c>
      <c r="AG29" s="1" t="s">
        <v>970</v>
      </c>
      <c r="AH29" s="1" t="s">
        <v>204</v>
      </c>
      <c r="AI29" s="1">
        <v>5</v>
      </c>
      <c r="AJ29" s="1" t="s">
        <v>162</v>
      </c>
      <c r="AK29" s="1" t="s">
        <v>163</v>
      </c>
      <c r="AL29" s="1">
        <v>58.46</v>
      </c>
      <c r="AM29" s="1">
        <v>58.56</v>
      </c>
      <c r="AN29" s="1">
        <v>409920</v>
      </c>
      <c r="AO29" s="1">
        <v>390995.8</v>
      </c>
      <c r="AP29" s="1" t="s">
        <v>176</v>
      </c>
      <c r="AQ29" s="1">
        <v>4</v>
      </c>
      <c r="AR29" s="1" t="s">
        <v>165</v>
      </c>
      <c r="AS29" s="1">
        <v>132534288.59999999</v>
      </c>
      <c r="AT29" s="1" t="s">
        <v>176</v>
      </c>
      <c r="AU29" s="1">
        <v>1</v>
      </c>
      <c r="AV29" s="1">
        <v>1</v>
      </c>
      <c r="AW29" s="1" t="s">
        <v>202</v>
      </c>
      <c r="AX29" s="1" t="s">
        <v>205</v>
      </c>
      <c r="AY29" s="1">
        <v>0</v>
      </c>
      <c r="BA29" s="1">
        <v>8205251.6799999997</v>
      </c>
      <c r="BB29" s="1">
        <v>1.0484</v>
      </c>
      <c r="BD29" s="1" t="s">
        <v>971</v>
      </c>
      <c r="BE29" s="1">
        <v>1</v>
      </c>
      <c r="BF29" s="1">
        <v>1</v>
      </c>
      <c r="BG29" s="1" t="s">
        <v>168</v>
      </c>
      <c r="BH29" s="1">
        <v>0</v>
      </c>
      <c r="BI29" s="1">
        <v>31345322.399999999</v>
      </c>
      <c r="BJ29" s="1">
        <v>1.2473816499999999</v>
      </c>
      <c r="BK29" s="1">
        <v>123618989.48999999</v>
      </c>
      <c r="BL29" s="1">
        <v>132456249.91</v>
      </c>
      <c r="BM29" s="1">
        <v>596150.00000000012</v>
      </c>
      <c r="BN29" s="1">
        <v>9219855.2300000004</v>
      </c>
      <c r="BO29" s="1">
        <v>23.664660909999998</v>
      </c>
      <c r="BP29" s="1">
        <v>0.45007313999999998</v>
      </c>
      <c r="BQ29" s="1">
        <v>6.9606796500000003</v>
      </c>
      <c r="BR29" s="1">
        <v>0.29518864</v>
      </c>
      <c r="BS29" s="1" t="s">
        <v>169</v>
      </c>
      <c r="BT29" s="1" t="s">
        <v>169</v>
      </c>
      <c r="BU29" s="1">
        <v>26356083.120000001</v>
      </c>
      <c r="BV29" s="1">
        <v>1.2473816499999999</v>
      </c>
      <c r="BW29" s="1">
        <v>3953.33</v>
      </c>
      <c r="BX29" s="1">
        <v>0.17</v>
      </c>
      <c r="BY29" s="1" t="s">
        <v>170</v>
      </c>
      <c r="BZ29" s="1">
        <v>-78038.69</v>
      </c>
      <c r="CA29" s="1" t="s">
        <v>182</v>
      </c>
      <c r="CB29" s="1" t="s">
        <v>183</v>
      </c>
      <c r="CC29" s="1">
        <v>-175883.16</v>
      </c>
      <c r="CD29" s="1">
        <v>-155522.79999999999</v>
      </c>
      <c r="CE29" s="1">
        <v>409220</v>
      </c>
      <c r="CF29" s="1">
        <v>387042.47</v>
      </c>
      <c r="CG29" s="1">
        <v>0</v>
      </c>
      <c r="CH29" s="1">
        <v>1.4438757900000001</v>
      </c>
      <c r="CI29" s="1">
        <v>13.27863496</v>
      </c>
      <c r="CJ29" s="1">
        <v>17588381.91</v>
      </c>
      <c r="CK29" s="1">
        <v>1912503.72</v>
      </c>
      <c r="CL29" s="1">
        <v>6269233.6699999999</v>
      </c>
      <c r="CM29" s="1" t="s">
        <v>164</v>
      </c>
      <c r="CN29" s="1" t="s">
        <v>164</v>
      </c>
      <c r="CO29" s="1" t="s">
        <v>184</v>
      </c>
      <c r="CP29" s="1" t="s">
        <v>243</v>
      </c>
      <c r="CQ29" s="1" t="s">
        <v>185</v>
      </c>
      <c r="CR29" s="1">
        <v>0</v>
      </c>
      <c r="CS29" s="1" t="s">
        <v>243</v>
      </c>
      <c r="CT29" s="1">
        <v>0.31629105000000002</v>
      </c>
      <c r="CV29" s="1">
        <v>0</v>
      </c>
      <c r="CW29" s="1">
        <v>-219173.26</v>
      </c>
      <c r="DA29" s="1">
        <v>1355558.46</v>
      </c>
      <c r="DB29" s="1">
        <v>0</v>
      </c>
      <c r="DC29" s="1">
        <v>2520.3126550000002</v>
      </c>
      <c r="DD29" s="1">
        <v>52555.483399999997</v>
      </c>
      <c r="DE29" s="1">
        <v>-296353.43</v>
      </c>
      <c r="DF29" s="1">
        <v>92570020.519999996</v>
      </c>
      <c r="DG29" s="1">
        <v>700</v>
      </c>
      <c r="DH29" s="1">
        <v>394770.09</v>
      </c>
      <c r="DI29" s="1">
        <v>0.29803809999999997</v>
      </c>
      <c r="DK29" s="1">
        <v>0</v>
      </c>
      <c r="DL29" s="1">
        <v>0</v>
      </c>
      <c r="DM29" s="1">
        <v>-296353.43</v>
      </c>
      <c r="DN29" s="1">
        <v>0</v>
      </c>
      <c r="DO29" s="1">
        <v>0</v>
      </c>
      <c r="DP29" s="1">
        <v>16777215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409920</v>
      </c>
      <c r="DW29" s="1">
        <v>390995.8</v>
      </c>
      <c r="DX29" s="1">
        <v>31345322.399999999</v>
      </c>
      <c r="DY29" s="1">
        <v>-1110160.2399999984</v>
      </c>
      <c r="DZ29" s="1">
        <v>92570020.519999966</v>
      </c>
      <c r="EA29" s="1">
        <v>0</v>
      </c>
      <c r="EB29" s="1">
        <v>0</v>
      </c>
      <c r="EC29" s="1" t="s">
        <v>176</v>
      </c>
      <c r="EE29" s="1">
        <v>0</v>
      </c>
      <c r="EF29" s="1">
        <v>3</v>
      </c>
      <c r="EG29" s="1">
        <v>0</v>
      </c>
      <c r="EH29" s="1">
        <v>0</v>
      </c>
      <c r="EI29" s="1">
        <v>0</v>
      </c>
      <c r="EL29" s="1">
        <v>0</v>
      </c>
      <c r="EM29" s="1">
        <v>0</v>
      </c>
      <c r="EN29" s="1">
        <v>1633661.45</v>
      </c>
      <c r="EO29" s="1">
        <v>1.2333592799999999</v>
      </c>
      <c r="ER29" s="1">
        <v>58.46</v>
      </c>
      <c r="ES29" s="1">
        <v>1.0572999999999999</v>
      </c>
      <c r="ET29" s="1">
        <v>0</v>
      </c>
      <c r="EU29" s="1">
        <v>0</v>
      </c>
      <c r="EV29" s="1">
        <v>0</v>
      </c>
      <c r="EW29" s="1">
        <v>0</v>
      </c>
      <c r="EX29" s="1">
        <v>0</v>
      </c>
      <c r="EY29" s="1">
        <v>0</v>
      </c>
      <c r="EZ29" s="1">
        <v>0</v>
      </c>
      <c r="FA29" s="1">
        <v>0</v>
      </c>
      <c r="FB29" s="1">
        <v>0</v>
      </c>
      <c r="FC29" s="1">
        <v>0</v>
      </c>
      <c r="FD29" s="1">
        <v>0</v>
      </c>
      <c r="FE29" s="1">
        <v>0</v>
      </c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3">
      <c r="A30" s="1">
        <v>16975546</v>
      </c>
      <c r="B30" s="1">
        <v>128</v>
      </c>
      <c r="C30" s="1">
        <v>3915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1000</v>
      </c>
      <c r="J30" s="1">
        <v>1000</v>
      </c>
      <c r="K30" s="1">
        <v>10</v>
      </c>
      <c r="L30" s="1">
        <v>10</v>
      </c>
      <c r="M30" s="1">
        <v>10</v>
      </c>
      <c r="N30" s="1">
        <v>9.1999999999999993</v>
      </c>
      <c r="O30" s="1">
        <v>437080</v>
      </c>
      <c r="P30" s="1">
        <v>402282.56</v>
      </c>
      <c r="Q30" s="1">
        <v>437080</v>
      </c>
      <c r="R30" s="1">
        <v>402282.56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/>
      <c r="AF30" s="1" t="s">
        <v>161</v>
      </c>
      <c r="AG30" s="1" t="s">
        <v>970</v>
      </c>
      <c r="AH30" s="1" t="s">
        <v>723</v>
      </c>
      <c r="AI30" s="1">
        <v>5</v>
      </c>
      <c r="AJ30" s="1" t="s">
        <v>162</v>
      </c>
      <c r="AK30" s="1" t="s">
        <v>163</v>
      </c>
      <c r="AL30" s="1">
        <v>435.42</v>
      </c>
      <c r="AM30" s="1">
        <v>440.19</v>
      </c>
      <c r="AN30" s="1">
        <v>440190</v>
      </c>
      <c r="AO30" s="1">
        <v>419868.37</v>
      </c>
      <c r="AP30" s="1" t="s">
        <v>176</v>
      </c>
      <c r="AQ30" s="1">
        <v>4</v>
      </c>
      <c r="AR30" s="1" t="s">
        <v>165</v>
      </c>
      <c r="AS30" s="1">
        <v>132534288.59999999</v>
      </c>
      <c r="AT30" s="1" t="s">
        <v>176</v>
      </c>
      <c r="AU30" s="1">
        <v>1</v>
      </c>
      <c r="AV30" s="1">
        <v>1</v>
      </c>
      <c r="AW30" s="1" t="s">
        <v>202</v>
      </c>
      <c r="AX30" s="1" t="s">
        <v>206</v>
      </c>
      <c r="AY30" s="1">
        <v>0</v>
      </c>
      <c r="AZ30" s="1"/>
      <c r="BA30" s="1">
        <v>8205251.6799999997</v>
      </c>
      <c r="BB30" s="1">
        <v>1.0484</v>
      </c>
      <c r="BD30" s="1" t="s">
        <v>971</v>
      </c>
      <c r="BE30" s="1">
        <v>1</v>
      </c>
      <c r="BF30" s="1">
        <v>1</v>
      </c>
      <c r="BG30" s="1" t="s">
        <v>168</v>
      </c>
      <c r="BH30" s="1">
        <v>0</v>
      </c>
      <c r="BI30" s="1">
        <v>31345322.399999999</v>
      </c>
      <c r="BJ30" s="1">
        <v>1.3394929099999999</v>
      </c>
      <c r="BK30" s="1">
        <v>123618989.48999999</v>
      </c>
      <c r="BL30" s="1">
        <v>132456249.91</v>
      </c>
      <c r="BM30" s="1">
        <v>596150.00000000012</v>
      </c>
      <c r="BN30" s="1">
        <v>9219855.2300000004</v>
      </c>
      <c r="BO30" s="1">
        <v>23.664660909999998</v>
      </c>
      <c r="BP30" s="1">
        <v>0.45007313999999998</v>
      </c>
      <c r="BQ30" s="1">
        <v>6.9606796500000003</v>
      </c>
      <c r="BR30" s="1">
        <v>0.31698644999999998</v>
      </c>
      <c r="BS30" s="1" t="s">
        <v>169</v>
      </c>
      <c r="BT30" s="1" t="s">
        <v>169</v>
      </c>
      <c r="BU30" s="1">
        <v>26356083.120000001</v>
      </c>
      <c r="BV30" s="1">
        <v>1.3394929099999999</v>
      </c>
      <c r="BW30" s="1">
        <v>8045.8</v>
      </c>
      <c r="BX30" s="1">
        <v>1.1000000000000001</v>
      </c>
      <c r="BY30" s="1" t="s">
        <v>170</v>
      </c>
      <c r="BZ30" s="1">
        <v>-78038.69</v>
      </c>
      <c r="CA30" s="1" t="s">
        <v>182</v>
      </c>
      <c r="CB30" s="1" t="s">
        <v>183</v>
      </c>
      <c r="CC30" s="1">
        <v>-1660</v>
      </c>
      <c r="CD30" s="1">
        <v>9540.01</v>
      </c>
      <c r="CE30" s="1">
        <v>435420</v>
      </c>
      <c r="CF30" s="1">
        <v>411822.57</v>
      </c>
      <c r="CG30" s="1">
        <v>0</v>
      </c>
      <c r="CH30" s="1">
        <v>1.4438757900000001</v>
      </c>
      <c r="CI30" s="1">
        <v>13.27863496</v>
      </c>
      <c r="CJ30" s="1">
        <v>17588381.91</v>
      </c>
      <c r="CK30" s="1">
        <v>1912503.72</v>
      </c>
      <c r="CL30" s="1">
        <v>6269233.6699999999</v>
      </c>
      <c r="CM30" s="1" t="s">
        <v>164</v>
      </c>
      <c r="CN30" s="1" t="s">
        <v>164</v>
      </c>
      <c r="CO30" s="1" t="s">
        <v>184</v>
      </c>
      <c r="CP30" s="1" t="s">
        <v>243</v>
      </c>
      <c r="CQ30" s="1" t="s">
        <v>185</v>
      </c>
      <c r="CR30" s="1">
        <v>0</v>
      </c>
      <c r="CS30" s="1" t="s">
        <v>243</v>
      </c>
      <c r="CT30" s="1">
        <v>0.33964715000000001</v>
      </c>
      <c r="CV30" s="1">
        <v>0</v>
      </c>
      <c r="CW30" s="1">
        <v>-219173.26</v>
      </c>
      <c r="DA30" s="1">
        <v>1355558.46</v>
      </c>
      <c r="DB30" s="1">
        <v>0</v>
      </c>
      <c r="DC30" s="1">
        <v>2520.3126550000002</v>
      </c>
      <c r="DD30" s="1">
        <v>52555.483399999997</v>
      </c>
      <c r="DE30" s="1">
        <v>-296353.43</v>
      </c>
      <c r="DF30" s="1">
        <v>92570020.519999996</v>
      </c>
      <c r="DG30" s="1">
        <v>4770</v>
      </c>
      <c r="DH30" s="1">
        <v>394770.09</v>
      </c>
      <c r="DI30" s="1">
        <v>0.29803809999999997</v>
      </c>
      <c r="DK30" s="1">
        <v>0</v>
      </c>
      <c r="DL30" s="1">
        <v>0</v>
      </c>
      <c r="DM30" s="1">
        <v>-296353.43</v>
      </c>
      <c r="DN30" s="1">
        <v>0</v>
      </c>
      <c r="DO30" s="1">
        <v>0</v>
      </c>
      <c r="DP30" s="1">
        <v>16777215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440190</v>
      </c>
      <c r="DW30" s="1">
        <v>419868.37</v>
      </c>
      <c r="DX30" s="1">
        <v>31345322.399999999</v>
      </c>
      <c r="DY30" s="1">
        <v>-1110160.2399999984</v>
      </c>
      <c r="DZ30" s="1">
        <v>92570020.519999966</v>
      </c>
      <c r="EA30" s="1">
        <v>0</v>
      </c>
      <c r="EB30" s="1">
        <v>0</v>
      </c>
      <c r="EC30" s="1" t="s">
        <v>176</v>
      </c>
      <c r="EE30" s="1">
        <v>0</v>
      </c>
      <c r="EF30" s="1">
        <v>3</v>
      </c>
      <c r="EG30" s="1">
        <v>0</v>
      </c>
      <c r="EH30" s="1">
        <v>0</v>
      </c>
      <c r="EI30" s="1">
        <v>0</v>
      </c>
      <c r="EL30" s="1">
        <v>0</v>
      </c>
      <c r="EM30" s="1">
        <v>0</v>
      </c>
      <c r="EN30" s="1">
        <v>1633661.45</v>
      </c>
      <c r="EO30" s="1">
        <v>1.2333592799999999</v>
      </c>
      <c r="ER30" s="1">
        <v>435.42</v>
      </c>
      <c r="ES30" s="1">
        <v>1.0572999999999999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v>0</v>
      </c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3">
      <c r="A31" s="1">
        <v>16975566</v>
      </c>
      <c r="B31" s="1">
        <v>128</v>
      </c>
      <c r="C31" s="1">
        <v>10677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1500</v>
      </c>
      <c r="J31" s="1">
        <v>1500</v>
      </c>
      <c r="K31" s="1">
        <v>15</v>
      </c>
      <c r="L31" s="1">
        <v>15</v>
      </c>
      <c r="M31" s="1">
        <v>15</v>
      </c>
      <c r="N31" s="1">
        <v>13.81</v>
      </c>
      <c r="O31" s="1">
        <v>448500</v>
      </c>
      <c r="P31" s="1">
        <v>412793.38</v>
      </c>
      <c r="Q31" s="1">
        <v>448500</v>
      </c>
      <c r="R31" s="1">
        <v>412793.38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/>
      <c r="AF31" s="1" t="s">
        <v>161</v>
      </c>
      <c r="AG31" s="1" t="s">
        <v>970</v>
      </c>
      <c r="AH31" s="1" t="s">
        <v>724</v>
      </c>
      <c r="AI31" s="1">
        <v>5</v>
      </c>
      <c r="AJ31" s="1" t="s">
        <v>162</v>
      </c>
      <c r="AK31" s="1" t="s">
        <v>163</v>
      </c>
      <c r="AL31" s="1">
        <v>245.98</v>
      </c>
      <c r="AM31" s="1">
        <v>247.21</v>
      </c>
      <c r="AN31" s="1">
        <v>370815</v>
      </c>
      <c r="AO31" s="1">
        <v>353696.11</v>
      </c>
      <c r="AP31" s="1" t="s">
        <v>176</v>
      </c>
      <c r="AQ31" s="1">
        <v>4</v>
      </c>
      <c r="AR31" s="1" t="s">
        <v>165</v>
      </c>
      <c r="AS31" s="1">
        <v>132534288.59999999</v>
      </c>
      <c r="AT31" s="1" t="s">
        <v>176</v>
      </c>
      <c r="AU31" s="1">
        <v>1</v>
      </c>
      <c r="AV31" s="1">
        <v>1</v>
      </c>
      <c r="AW31" s="1" t="s">
        <v>202</v>
      </c>
      <c r="AX31" s="1" t="s">
        <v>206</v>
      </c>
      <c r="AY31" s="1">
        <v>0</v>
      </c>
      <c r="BA31" s="1">
        <v>8205251.6799999997</v>
      </c>
      <c r="BB31" s="1">
        <v>1.0484</v>
      </c>
      <c r="BD31" s="1" t="s">
        <v>971</v>
      </c>
      <c r="BE31" s="1">
        <v>1</v>
      </c>
      <c r="BF31" s="1">
        <v>1</v>
      </c>
      <c r="BG31" s="1" t="s">
        <v>168</v>
      </c>
      <c r="BH31" s="1">
        <v>0</v>
      </c>
      <c r="BI31" s="1">
        <v>31345322.399999999</v>
      </c>
      <c r="BJ31" s="1">
        <v>1.12838562</v>
      </c>
      <c r="BK31" s="1">
        <v>123618989.48999999</v>
      </c>
      <c r="BL31" s="1">
        <v>132456249.91</v>
      </c>
      <c r="BM31" s="1">
        <v>596150.00000000012</v>
      </c>
      <c r="BN31" s="1">
        <v>9219855.2300000004</v>
      </c>
      <c r="BO31" s="1">
        <v>23.664660909999998</v>
      </c>
      <c r="BP31" s="1">
        <v>0.45007313999999998</v>
      </c>
      <c r="BQ31" s="1">
        <v>6.9606796500000003</v>
      </c>
      <c r="BR31" s="1">
        <v>0.26702862999999999</v>
      </c>
      <c r="BS31" s="1" t="s">
        <v>169</v>
      </c>
      <c r="BT31" s="1" t="s">
        <v>169</v>
      </c>
      <c r="BU31" s="1">
        <v>26356083.120000001</v>
      </c>
      <c r="BV31" s="1">
        <v>1.12838562</v>
      </c>
      <c r="BW31" s="1">
        <v>4722.3100000000004</v>
      </c>
      <c r="BX31" s="1">
        <v>0.5</v>
      </c>
      <c r="BY31" s="1" t="s">
        <v>170</v>
      </c>
      <c r="BZ31" s="1">
        <v>-78038.69</v>
      </c>
      <c r="CA31" s="1" t="s">
        <v>182</v>
      </c>
      <c r="CB31" s="1" t="s">
        <v>183</v>
      </c>
      <c r="CC31" s="1">
        <v>-79530</v>
      </c>
      <c r="CD31" s="1">
        <v>-63819.58</v>
      </c>
      <c r="CE31" s="1">
        <v>368970</v>
      </c>
      <c r="CF31" s="1">
        <v>348973.8</v>
      </c>
      <c r="CG31" s="1">
        <v>0</v>
      </c>
      <c r="CH31" s="1">
        <v>1.4438757900000001</v>
      </c>
      <c r="CI31" s="1">
        <v>13.27863496</v>
      </c>
      <c r="CJ31" s="1">
        <v>17588381.91</v>
      </c>
      <c r="CK31" s="1">
        <v>1912503.72</v>
      </c>
      <c r="CL31" s="1">
        <v>6269233.6699999999</v>
      </c>
      <c r="CM31" s="1" t="s">
        <v>164</v>
      </c>
      <c r="CN31" s="1" t="s">
        <v>164</v>
      </c>
      <c r="CO31" s="1" t="s">
        <v>184</v>
      </c>
      <c r="CP31" s="1" t="s">
        <v>243</v>
      </c>
      <c r="CQ31" s="1" t="s">
        <v>185</v>
      </c>
      <c r="CR31" s="1">
        <v>0</v>
      </c>
      <c r="CS31" s="1" t="s">
        <v>243</v>
      </c>
      <c r="CT31" s="1">
        <v>0.28611794000000002</v>
      </c>
      <c r="CV31" s="1">
        <v>0</v>
      </c>
      <c r="CW31" s="1">
        <v>-219173.26</v>
      </c>
      <c r="DA31" s="1">
        <v>1355558.46</v>
      </c>
      <c r="DB31" s="1">
        <v>0</v>
      </c>
      <c r="DC31" s="1">
        <v>2520.3126550000002</v>
      </c>
      <c r="DD31" s="1">
        <v>52555.483399999997</v>
      </c>
      <c r="DE31" s="1">
        <v>-296353.43</v>
      </c>
      <c r="DF31" s="1">
        <v>92570020.519999996</v>
      </c>
      <c r="DG31" s="1">
        <v>1845</v>
      </c>
      <c r="DH31" s="1">
        <v>394770.09</v>
      </c>
      <c r="DI31" s="1">
        <v>0.29803809999999997</v>
      </c>
      <c r="DK31" s="1">
        <v>0</v>
      </c>
      <c r="DL31" s="1">
        <v>0</v>
      </c>
      <c r="DM31" s="1">
        <v>-296353.43</v>
      </c>
      <c r="DN31" s="1">
        <v>0</v>
      </c>
      <c r="DO31" s="1">
        <v>0</v>
      </c>
      <c r="DP31" s="1">
        <v>16777215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370815</v>
      </c>
      <c r="DW31" s="1">
        <v>353696.11</v>
      </c>
      <c r="DX31" s="1">
        <v>31345322.399999999</v>
      </c>
      <c r="DY31" s="1">
        <v>-1110160.2399999984</v>
      </c>
      <c r="DZ31" s="1">
        <v>92570020.519999966</v>
      </c>
      <c r="EA31" s="1">
        <v>0</v>
      </c>
      <c r="EB31" s="1">
        <v>0</v>
      </c>
      <c r="EC31" s="1" t="s">
        <v>176</v>
      </c>
      <c r="EE31" s="1">
        <v>0</v>
      </c>
      <c r="EF31" s="1">
        <v>3</v>
      </c>
      <c r="EG31" s="1">
        <v>0</v>
      </c>
      <c r="EH31" s="1">
        <v>0</v>
      </c>
      <c r="EI31" s="1">
        <v>0</v>
      </c>
      <c r="EL31" s="1">
        <v>0</v>
      </c>
      <c r="EM31" s="1">
        <v>0</v>
      </c>
      <c r="EN31" s="1">
        <v>1633661.45</v>
      </c>
      <c r="EO31" s="1">
        <v>1.2333592799999999</v>
      </c>
      <c r="ER31" s="1">
        <v>245.98</v>
      </c>
      <c r="ES31" s="1">
        <v>1.0572999999999999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v>0</v>
      </c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3">
      <c r="A32" s="1">
        <v>16975588</v>
      </c>
      <c r="B32" s="1">
        <v>128</v>
      </c>
      <c r="C32" s="1">
        <v>10678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2000</v>
      </c>
      <c r="J32" s="1">
        <v>2000</v>
      </c>
      <c r="K32" s="1">
        <v>120</v>
      </c>
      <c r="L32" s="1">
        <v>120</v>
      </c>
      <c r="M32" s="1">
        <v>120</v>
      </c>
      <c r="N32" s="1">
        <v>110.45</v>
      </c>
      <c r="O32" s="1">
        <v>481140</v>
      </c>
      <c r="P32" s="1">
        <v>442834.8</v>
      </c>
      <c r="Q32" s="1">
        <v>481140</v>
      </c>
      <c r="R32" s="1">
        <v>442834.8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/>
      <c r="AF32" s="1" t="s">
        <v>161</v>
      </c>
      <c r="AG32" s="1" t="s">
        <v>970</v>
      </c>
      <c r="AH32" s="1" t="s">
        <v>725</v>
      </c>
      <c r="AI32" s="1">
        <v>5</v>
      </c>
      <c r="AJ32" s="1" t="s">
        <v>162</v>
      </c>
      <c r="AK32" s="1" t="s">
        <v>191</v>
      </c>
      <c r="AL32" s="1">
        <v>246.25</v>
      </c>
      <c r="AM32" s="1">
        <v>243.14000000000001</v>
      </c>
      <c r="AN32" s="1">
        <v>486280.00000000006</v>
      </c>
      <c r="AO32" s="1">
        <v>463830.6</v>
      </c>
      <c r="AP32" s="1" t="s">
        <v>176</v>
      </c>
      <c r="AQ32" s="1">
        <v>4</v>
      </c>
      <c r="AR32" s="1" t="s">
        <v>165</v>
      </c>
      <c r="AS32" s="1">
        <v>132534288.59999999</v>
      </c>
      <c r="AT32" s="1" t="s">
        <v>176</v>
      </c>
      <c r="AU32" s="1">
        <v>1</v>
      </c>
      <c r="AV32" s="1">
        <v>1</v>
      </c>
      <c r="AW32" s="1" t="s">
        <v>202</v>
      </c>
      <c r="AX32" s="1" t="s">
        <v>206</v>
      </c>
      <c r="AY32" s="1">
        <v>0</v>
      </c>
      <c r="BA32" s="1">
        <v>8205251.6799999997</v>
      </c>
      <c r="BB32" s="1">
        <v>1.0484</v>
      </c>
      <c r="BD32" s="1" t="s">
        <v>971</v>
      </c>
      <c r="BE32" s="1">
        <v>1</v>
      </c>
      <c r="BF32" s="1">
        <v>1</v>
      </c>
      <c r="BG32" s="1" t="s">
        <v>168</v>
      </c>
      <c r="BH32" s="1">
        <v>0</v>
      </c>
      <c r="BI32" s="1">
        <v>31345322.399999999</v>
      </c>
      <c r="BJ32" s="1">
        <v>1.4797442300000001</v>
      </c>
      <c r="BK32" s="1">
        <v>123618989.48999999</v>
      </c>
      <c r="BL32" s="1">
        <v>132456249.91</v>
      </c>
      <c r="BM32" s="1">
        <v>596150.00000000012</v>
      </c>
      <c r="BN32" s="1">
        <v>9219855.2300000004</v>
      </c>
      <c r="BO32" s="1">
        <v>23.664660909999998</v>
      </c>
      <c r="BP32" s="1">
        <v>0.45007313999999998</v>
      </c>
      <c r="BQ32" s="1">
        <v>6.9606796500000003</v>
      </c>
      <c r="BR32" s="1">
        <v>0.35017644999999997</v>
      </c>
      <c r="BS32" s="1" t="s">
        <v>169</v>
      </c>
      <c r="BT32" s="1" t="s">
        <v>169</v>
      </c>
      <c r="BU32" s="1">
        <v>26356083.120000001</v>
      </c>
      <c r="BV32" s="1">
        <v>1.4797442300000001</v>
      </c>
      <c r="BW32" s="1">
        <v>-1978.54</v>
      </c>
      <c r="BX32" s="1">
        <v>-1.26</v>
      </c>
      <c r="BY32" s="1" t="s">
        <v>170</v>
      </c>
      <c r="BZ32" s="1">
        <v>-78038.69</v>
      </c>
      <c r="CA32" s="1" t="s">
        <v>182</v>
      </c>
      <c r="CB32" s="1" t="s">
        <v>183</v>
      </c>
      <c r="CC32" s="1">
        <v>11360</v>
      </c>
      <c r="CD32" s="1">
        <v>22974.34</v>
      </c>
      <c r="CE32" s="1">
        <v>492500</v>
      </c>
      <c r="CF32" s="1">
        <v>465809.14</v>
      </c>
      <c r="CG32" s="1">
        <v>0</v>
      </c>
      <c r="CH32" s="1">
        <v>1.4438757900000001</v>
      </c>
      <c r="CI32" s="1">
        <v>13.27863496</v>
      </c>
      <c r="CJ32" s="1">
        <v>17588381.91</v>
      </c>
      <c r="CK32" s="1">
        <v>1912503.72</v>
      </c>
      <c r="CL32" s="1">
        <v>6269233.6699999999</v>
      </c>
      <c r="CM32" s="1" t="s">
        <v>164</v>
      </c>
      <c r="CN32" s="1" t="s">
        <v>164</v>
      </c>
      <c r="CO32" s="1" t="s">
        <v>184</v>
      </c>
      <c r="CP32" s="1" t="s">
        <v>243</v>
      </c>
      <c r="CQ32" s="1" t="s">
        <v>185</v>
      </c>
      <c r="CR32" s="1">
        <v>0</v>
      </c>
      <c r="CS32" s="1" t="s">
        <v>243</v>
      </c>
      <c r="CT32" s="1">
        <v>0.37520983000000002</v>
      </c>
      <c r="CV32" s="1">
        <v>0</v>
      </c>
      <c r="CW32" s="1">
        <v>-219173.26</v>
      </c>
      <c r="DA32" s="1">
        <v>1355558.46</v>
      </c>
      <c r="DB32" s="1">
        <v>0</v>
      </c>
      <c r="DC32" s="1">
        <v>2520.3126550000002</v>
      </c>
      <c r="DD32" s="1">
        <v>52555.483399999997</v>
      </c>
      <c r="DE32" s="1">
        <v>-296353.43</v>
      </c>
      <c r="DF32" s="1">
        <v>92570020.519999996</v>
      </c>
      <c r="DG32" s="1">
        <v>-6220</v>
      </c>
      <c r="DH32" s="1">
        <v>394770.09</v>
      </c>
      <c r="DI32" s="1">
        <v>0.29803809999999997</v>
      </c>
      <c r="DK32" s="1">
        <v>0</v>
      </c>
      <c r="DL32" s="1">
        <v>0</v>
      </c>
      <c r="DM32" s="1">
        <v>-296353.43</v>
      </c>
      <c r="DN32" s="1">
        <v>0</v>
      </c>
      <c r="DO32" s="1">
        <v>0</v>
      </c>
      <c r="DP32" s="1">
        <v>16777215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486280.00000000006</v>
      </c>
      <c r="DW32" s="1">
        <v>463830.6</v>
      </c>
      <c r="DX32" s="1">
        <v>31345322.399999999</v>
      </c>
      <c r="DY32" s="1">
        <v>-1110160.2399999984</v>
      </c>
      <c r="DZ32" s="1">
        <v>92570020.519999966</v>
      </c>
      <c r="EA32" s="1">
        <v>0</v>
      </c>
      <c r="EB32" s="1">
        <v>0</v>
      </c>
      <c r="EC32" s="1" t="s">
        <v>176</v>
      </c>
      <c r="EE32" s="1">
        <v>0</v>
      </c>
      <c r="EF32" s="1">
        <v>3</v>
      </c>
      <c r="EG32" s="1">
        <v>0</v>
      </c>
      <c r="EH32" s="1">
        <v>0</v>
      </c>
      <c r="EI32" s="1">
        <v>0</v>
      </c>
      <c r="EL32" s="1">
        <v>0</v>
      </c>
      <c r="EM32" s="1">
        <v>0</v>
      </c>
      <c r="EN32" s="1">
        <v>1633661.45</v>
      </c>
      <c r="EO32" s="1">
        <v>1.2333592799999999</v>
      </c>
      <c r="ER32" s="1">
        <v>246.25</v>
      </c>
      <c r="ES32" s="1">
        <v>1.0572999999999999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v>0</v>
      </c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3">
      <c r="A33" s="1">
        <v>16975565</v>
      </c>
      <c r="B33" s="1">
        <v>128</v>
      </c>
      <c r="C33" s="1">
        <v>10679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1500</v>
      </c>
      <c r="J33" s="1">
        <v>1500</v>
      </c>
      <c r="K33" s="1">
        <v>1.5</v>
      </c>
      <c r="L33" s="1">
        <v>1.5</v>
      </c>
      <c r="M33" s="1">
        <v>1.5</v>
      </c>
      <c r="N33" s="1">
        <v>1.38</v>
      </c>
      <c r="O33" s="1">
        <v>434475</v>
      </c>
      <c r="P33" s="1">
        <v>399884.95</v>
      </c>
      <c r="Q33" s="1">
        <v>434475</v>
      </c>
      <c r="R33" s="1">
        <v>399884.95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/>
      <c r="AF33" s="1" t="s">
        <v>161</v>
      </c>
      <c r="AG33" s="1" t="s">
        <v>970</v>
      </c>
      <c r="AH33" s="1" t="s">
        <v>726</v>
      </c>
      <c r="AI33" s="1">
        <v>5</v>
      </c>
      <c r="AJ33" s="1" t="s">
        <v>162</v>
      </c>
      <c r="AK33" s="1" t="s">
        <v>163</v>
      </c>
      <c r="AL33" s="1">
        <v>327.89</v>
      </c>
      <c r="AM33" s="1">
        <v>332.46</v>
      </c>
      <c r="AN33" s="1">
        <v>498689.99999999994</v>
      </c>
      <c r="AO33" s="1">
        <v>475667.68</v>
      </c>
      <c r="AP33" s="1" t="s">
        <v>176</v>
      </c>
      <c r="AQ33" s="1">
        <v>4</v>
      </c>
      <c r="AR33" s="1" t="s">
        <v>165</v>
      </c>
      <c r="AS33" s="1">
        <v>132534288.59999999</v>
      </c>
      <c r="AT33" s="1" t="s">
        <v>176</v>
      </c>
      <c r="AU33" s="1">
        <v>1</v>
      </c>
      <c r="AV33" s="1">
        <v>1</v>
      </c>
      <c r="AW33" s="1" t="s">
        <v>202</v>
      </c>
      <c r="AX33" s="1" t="s">
        <v>206</v>
      </c>
      <c r="AY33" s="1">
        <v>0</v>
      </c>
      <c r="BA33" s="1">
        <v>8205251.6799999997</v>
      </c>
      <c r="BB33" s="1">
        <v>1.0484</v>
      </c>
      <c r="BD33" s="1" t="s">
        <v>971</v>
      </c>
      <c r="BE33" s="1">
        <v>1</v>
      </c>
      <c r="BF33" s="1">
        <v>1</v>
      </c>
      <c r="BG33" s="1" t="s">
        <v>168</v>
      </c>
      <c r="BH33" s="1">
        <v>0</v>
      </c>
      <c r="BI33" s="1">
        <v>31345322.399999999</v>
      </c>
      <c r="BJ33" s="1">
        <v>1.5175076999999999</v>
      </c>
      <c r="BK33" s="1">
        <v>123618989.48999999</v>
      </c>
      <c r="BL33" s="1">
        <v>132456249.91</v>
      </c>
      <c r="BM33" s="1">
        <v>596150.00000000012</v>
      </c>
      <c r="BN33" s="1">
        <v>9219855.2300000004</v>
      </c>
      <c r="BO33" s="1">
        <v>23.664660909999998</v>
      </c>
      <c r="BP33" s="1">
        <v>0.45007313999999998</v>
      </c>
      <c r="BQ33" s="1">
        <v>6.9606796500000003</v>
      </c>
      <c r="BR33" s="1">
        <v>0.35911304999999999</v>
      </c>
      <c r="BS33" s="1" t="s">
        <v>169</v>
      </c>
      <c r="BT33" s="1" t="s">
        <v>169</v>
      </c>
      <c r="BU33" s="1">
        <v>26356083.120000001</v>
      </c>
      <c r="BV33" s="1">
        <v>1.5175076999999999</v>
      </c>
      <c r="BW33" s="1">
        <v>10487.5</v>
      </c>
      <c r="BX33" s="1">
        <v>1.39</v>
      </c>
      <c r="BY33" s="1" t="s">
        <v>170</v>
      </c>
      <c r="BZ33" s="1">
        <v>-78038.69</v>
      </c>
      <c r="CA33" s="1" t="s">
        <v>182</v>
      </c>
      <c r="CB33" s="1" t="s">
        <v>183</v>
      </c>
      <c r="CC33" s="1">
        <v>57360</v>
      </c>
      <c r="CD33" s="1">
        <v>65295.23</v>
      </c>
      <c r="CE33" s="1">
        <v>491835</v>
      </c>
      <c r="CF33" s="1">
        <v>465180.18</v>
      </c>
      <c r="CG33" s="1">
        <v>0</v>
      </c>
      <c r="CH33" s="1">
        <v>1.4438757900000001</v>
      </c>
      <c r="CI33" s="1">
        <v>13.27863496</v>
      </c>
      <c r="CJ33" s="1">
        <v>17588381.91</v>
      </c>
      <c r="CK33" s="1">
        <v>1912503.72</v>
      </c>
      <c r="CL33" s="1">
        <v>6269233.6699999999</v>
      </c>
      <c r="CM33" s="1" t="s">
        <v>164</v>
      </c>
      <c r="CN33" s="1" t="s">
        <v>164</v>
      </c>
      <c r="CO33" s="1" t="s">
        <v>184</v>
      </c>
      <c r="CP33" s="1" t="s">
        <v>243</v>
      </c>
      <c r="CQ33" s="1" t="s">
        <v>185</v>
      </c>
      <c r="CR33" s="1">
        <v>0</v>
      </c>
      <c r="CS33" s="1" t="s">
        <v>243</v>
      </c>
      <c r="CT33" s="1">
        <v>0.38478528000000001</v>
      </c>
      <c r="CV33" s="1">
        <v>0</v>
      </c>
      <c r="CW33" s="1">
        <v>-219173.26</v>
      </c>
      <c r="DA33" s="1">
        <v>1355558.46</v>
      </c>
      <c r="DB33" s="1">
        <v>0</v>
      </c>
      <c r="DC33" s="1">
        <v>2520.3126550000002</v>
      </c>
      <c r="DD33" s="1">
        <v>52555.483399999997</v>
      </c>
      <c r="DE33" s="1">
        <v>-296353.43</v>
      </c>
      <c r="DF33" s="1">
        <v>92570020.519999996</v>
      </c>
      <c r="DG33" s="1">
        <v>6855</v>
      </c>
      <c r="DH33" s="1">
        <v>394770.09</v>
      </c>
      <c r="DI33" s="1">
        <v>0.29803809999999997</v>
      </c>
      <c r="DK33" s="1">
        <v>0</v>
      </c>
      <c r="DL33" s="1">
        <v>0</v>
      </c>
      <c r="DM33" s="1">
        <v>-296353.43</v>
      </c>
      <c r="DN33" s="1">
        <v>0</v>
      </c>
      <c r="DO33" s="1">
        <v>0</v>
      </c>
      <c r="DP33" s="1">
        <v>16777215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498689.99999999994</v>
      </c>
      <c r="DW33" s="1">
        <v>475667.68</v>
      </c>
      <c r="DX33" s="1">
        <v>31345322.399999999</v>
      </c>
      <c r="DY33" s="1">
        <v>-1110160.2399999984</v>
      </c>
      <c r="DZ33" s="1">
        <v>92570020.519999966</v>
      </c>
      <c r="EA33" s="1">
        <v>0</v>
      </c>
      <c r="EB33" s="1">
        <v>0</v>
      </c>
      <c r="EC33" s="1" t="s">
        <v>176</v>
      </c>
      <c r="EE33" s="1">
        <v>0</v>
      </c>
      <c r="EF33" s="1">
        <v>3</v>
      </c>
      <c r="EG33" s="1">
        <v>0</v>
      </c>
      <c r="EH33" s="1">
        <v>0</v>
      </c>
      <c r="EI33" s="1">
        <v>0</v>
      </c>
      <c r="EL33" s="1">
        <v>0</v>
      </c>
      <c r="EM33" s="1">
        <v>0</v>
      </c>
      <c r="EN33" s="1">
        <v>1633661.45</v>
      </c>
      <c r="EO33" s="1">
        <v>1.2333592799999999</v>
      </c>
      <c r="ER33" s="1">
        <v>327.89</v>
      </c>
      <c r="ES33" s="1">
        <v>1.0572999999999999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v>0</v>
      </c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3">
      <c r="A34" s="1">
        <v>16975343</v>
      </c>
      <c r="B34" s="1">
        <v>128</v>
      </c>
      <c r="C34" s="1">
        <v>3988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3500</v>
      </c>
      <c r="J34" s="1">
        <v>3500</v>
      </c>
      <c r="K34" s="1">
        <v>35</v>
      </c>
      <c r="L34" s="1">
        <v>35</v>
      </c>
      <c r="M34" s="1">
        <v>35</v>
      </c>
      <c r="N34" s="1">
        <v>32.21</v>
      </c>
      <c r="O34" s="1">
        <v>463575</v>
      </c>
      <c r="P34" s="1">
        <v>426668.2</v>
      </c>
      <c r="Q34" s="1">
        <v>463575</v>
      </c>
      <c r="R34" s="1">
        <v>426668.2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/>
      <c r="AF34" s="1" t="s">
        <v>161</v>
      </c>
      <c r="AG34" s="1" t="s">
        <v>970</v>
      </c>
      <c r="AH34" s="1" t="s">
        <v>727</v>
      </c>
      <c r="AI34" s="1">
        <v>5</v>
      </c>
      <c r="AJ34" s="1" t="s">
        <v>162</v>
      </c>
      <c r="AK34" s="1" t="s">
        <v>163</v>
      </c>
      <c r="AL34" s="1">
        <v>149.06</v>
      </c>
      <c r="AM34" s="1">
        <v>148.25</v>
      </c>
      <c r="AN34" s="1">
        <v>518875</v>
      </c>
      <c r="AO34" s="1">
        <v>494920.83</v>
      </c>
      <c r="AP34" s="1" t="s">
        <v>176</v>
      </c>
      <c r="AQ34" s="1">
        <v>4</v>
      </c>
      <c r="AR34" s="1" t="s">
        <v>165</v>
      </c>
      <c r="AS34" s="1">
        <v>132534288.59999999</v>
      </c>
      <c r="AT34" s="1" t="s">
        <v>176</v>
      </c>
      <c r="AU34" s="1">
        <v>1</v>
      </c>
      <c r="AV34" s="1">
        <v>1</v>
      </c>
      <c r="AW34" s="1" t="s">
        <v>202</v>
      </c>
      <c r="AX34" s="1" t="s">
        <v>167</v>
      </c>
      <c r="AY34" s="1">
        <v>0</v>
      </c>
      <c r="AZ34">
        <v>999999999</v>
      </c>
      <c r="BA34" s="1">
        <v>8205251.6799999997</v>
      </c>
      <c r="BB34" s="1">
        <v>1.0484</v>
      </c>
      <c r="BD34" s="1" t="s">
        <v>971</v>
      </c>
      <c r="BE34" s="1">
        <v>1</v>
      </c>
      <c r="BF34" s="1">
        <v>1</v>
      </c>
      <c r="BG34" s="1" t="s">
        <v>168</v>
      </c>
      <c r="BH34" s="1">
        <v>0</v>
      </c>
      <c r="BI34" s="1">
        <v>31345322.399999999</v>
      </c>
      <c r="BJ34" s="1">
        <v>1.5789304200000001</v>
      </c>
      <c r="BK34" s="1">
        <v>123618989.48999999</v>
      </c>
      <c r="BL34" s="1">
        <v>132456249.91</v>
      </c>
      <c r="BM34" s="1">
        <v>596150.00000000012</v>
      </c>
      <c r="BN34" s="1">
        <v>9219855.2300000004</v>
      </c>
      <c r="BO34" s="1">
        <v>23.664660909999998</v>
      </c>
      <c r="BP34" s="1">
        <v>0.45007313999999998</v>
      </c>
      <c r="BQ34" s="1">
        <v>6.9606796500000003</v>
      </c>
      <c r="BR34" s="1">
        <v>0.37364852999999998</v>
      </c>
      <c r="BS34" s="1" t="s">
        <v>169</v>
      </c>
      <c r="BT34" s="1" t="s">
        <v>169</v>
      </c>
      <c r="BU34" s="1">
        <v>26356083.120000001</v>
      </c>
      <c r="BV34" s="1">
        <v>1.5789304200000001</v>
      </c>
      <c r="BW34" s="1">
        <v>1484.72</v>
      </c>
      <c r="BX34" s="1">
        <v>-0.54</v>
      </c>
      <c r="BY34" s="1" t="s">
        <v>170</v>
      </c>
      <c r="BZ34" s="1">
        <v>-78038.69</v>
      </c>
      <c r="CA34" s="1" t="s">
        <v>182</v>
      </c>
      <c r="CB34" s="1" t="s">
        <v>183</v>
      </c>
      <c r="CC34" s="1">
        <v>58135</v>
      </c>
      <c r="CD34" s="1">
        <v>66767.91</v>
      </c>
      <c r="CE34" s="1">
        <v>521710</v>
      </c>
      <c r="CF34" s="1">
        <v>493436.11</v>
      </c>
      <c r="CG34" s="1">
        <v>0</v>
      </c>
      <c r="CH34" s="1">
        <v>1.4438757900000001</v>
      </c>
      <c r="CI34" s="1">
        <v>13.27863496</v>
      </c>
      <c r="CJ34" s="1">
        <v>17588381.91</v>
      </c>
      <c r="CK34" s="1">
        <v>1912503.72</v>
      </c>
      <c r="CL34" s="1">
        <v>6269233.6699999999</v>
      </c>
      <c r="CM34" s="1" t="s">
        <v>164</v>
      </c>
      <c r="CN34" s="1" t="s">
        <v>164</v>
      </c>
      <c r="CO34" s="1" t="s">
        <v>184</v>
      </c>
      <c r="CP34" s="1" t="s">
        <v>243</v>
      </c>
      <c r="CQ34" s="1" t="s">
        <v>185</v>
      </c>
      <c r="CR34" s="1">
        <v>0</v>
      </c>
      <c r="CS34" s="1" t="s">
        <v>243</v>
      </c>
      <c r="CT34" s="1">
        <v>0.40035987000000001</v>
      </c>
      <c r="CV34" s="1">
        <v>0</v>
      </c>
      <c r="CW34" s="1">
        <v>-219173.26</v>
      </c>
      <c r="DA34" s="1">
        <v>1355558.46</v>
      </c>
      <c r="DB34" s="1">
        <v>0</v>
      </c>
      <c r="DC34" s="1">
        <v>2520.3126550000002</v>
      </c>
      <c r="DD34" s="1">
        <v>52555.483399999997</v>
      </c>
      <c r="DE34" s="1">
        <v>-296353.43</v>
      </c>
      <c r="DF34" s="1">
        <v>92570020.519999996</v>
      </c>
      <c r="DG34" s="1">
        <v>-2835</v>
      </c>
      <c r="DH34" s="1">
        <v>394770.09</v>
      </c>
      <c r="DI34" s="1">
        <v>0.29803809999999997</v>
      </c>
      <c r="DK34" s="1">
        <v>0</v>
      </c>
      <c r="DL34" s="1">
        <v>0</v>
      </c>
      <c r="DM34" s="1">
        <v>-296353.43</v>
      </c>
      <c r="DN34" s="1">
        <v>0</v>
      </c>
      <c r="DO34" s="1">
        <v>0</v>
      </c>
      <c r="DP34" s="1">
        <v>16777215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518875</v>
      </c>
      <c r="DW34" s="1">
        <v>494920.83</v>
      </c>
      <c r="DX34" s="1">
        <v>31345322.399999999</v>
      </c>
      <c r="DY34" s="1">
        <v>-1110160.2399999984</v>
      </c>
      <c r="DZ34" s="1">
        <v>92570020.519999966</v>
      </c>
      <c r="EA34" s="1">
        <v>0</v>
      </c>
      <c r="EB34" s="1">
        <v>0</v>
      </c>
      <c r="EC34" s="1" t="s">
        <v>176</v>
      </c>
      <c r="EE34" s="1">
        <v>0</v>
      </c>
      <c r="EF34" s="1">
        <v>3</v>
      </c>
      <c r="EG34" s="1">
        <v>0</v>
      </c>
      <c r="EH34" s="1">
        <v>0</v>
      </c>
      <c r="EI34" s="1">
        <v>0</v>
      </c>
      <c r="EL34" s="1">
        <v>0</v>
      </c>
      <c r="EM34" s="1">
        <v>0</v>
      </c>
      <c r="EN34" s="1">
        <v>1633661.45</v>
      </c>
      <c r="EO34" s="1">
        <v>1.2333592799999999</v>
      </c>
      <c r="ER34" s="1">
        <v>149.06</v>
      </c>
      <c r="ES34" s="1">
        <v>1.0572999999999999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0</v>
      </c>
      <c r="FE34" s="1">
        <v>0</v>
      </c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3">
      <c r="A35" s="1">
        <v>16975336</v>
      </c>
      <c r="B35" s="1">
        <v>128</v>
      </c>
      <c r="C35" s="1">
        <v>1295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2700</v>
      </c>
      <c r="J35" s="1">
        <v>2700</v>
      </c>
      <c r="K35" s="1">
        <v>2700</v>
      </c>
      <c r="L35" s="1">
        <v>2700</v>
      </c>
      <c r="M35" s="1">
        <v>2700</v>
      </c>
      <c r="N35" s="1">
        <v>2621.86</v>
      </c>
      <c r="O35" s="1">
        <v>899147.87</v>
      </c>
      <c r="P35" s="1">
        <v>872736.8</v>
      </c>
      <c r="Q35" s="1">
        <v>899147.87</v>
      </c>
      <c r="R35" s="1">
        <v>872736.8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/>
      <c r="AF35" s="1" t="s">
        <v>161</v>
      </c>
      <c r="AG35" s="1" t="s">
        <v>970</v>
      </c>
      <c r="AH35" s="1" t="s">
        <v>207</v>
      </c>
      <c r="AI35" s="1">
        <v>20</v>
      </c>
      <c r="AJ35" s="1" t="s">
        <v>208</v>
      </c>
      <c r="AK35" s="1" t="s">
        <v>191</v>
      </c>
      <c r="AL35" s="1">
        <v>250.45</v>
      </c>
      <c r="AM35" s="1">
        <v>248.05</v>
      </c>
      <c r="AN35" s="1">
        <v>669735</v>
      </c>
      <c r="AO35" s="1">
        <v>694666.58</v>
      </c>
      <c r="AP35" s="1" t="s">
        <v>176</v>
      </c>
      <c r="AQ35" s="1">
        <v>4</v>
      </c>
      <c r="AR35" s="1" t="s">
        <v>165</v>
      </c>
      <c r="AS35" s="1">
        <v>132534288.59999999</v>
      </c>
      <c r="AT35" s="1" t="s">
        <v>176</v>
      </c>
      <c r="AU35" s="1">
        <v>1</v>
      </c>
      <c r="AV35" s="1">
        <v>1</v>
      </c>
      <c r="AW35" s="1" t="s">
        <v>202</v>
      </c>
      <c r="AX35" s="1" t="s">
        <v>167</v>
      </c>
      <c r="AY35" s="1">
        <v>0</v>
      </c>
      <c r="AZ35">
        <v>999999999</v>
      </c>
      <c r="BA35" s="1">
        <v>8205251.6799999997</v>
      </c>
      <c r="BB35" s="1">
        <v>0.96410999999999991</v>
      </c>
      <c r="BD35" s="1" t="s">
        <v>971</v>
      </c>
      <c r="BE35" s="1">
        <v>1</v>
      </c>
      <c r="BF35" s="1">
        <v>1</v>
      </c>
      <c r="BG35" s="1" t="s">
        <v>168</v>
      </c>
      <c r="BH35" s="1">
        <v>0</v>
      </c>
      <c r="BI35" s="1">
        <v>31345322.399999999</v>
      </c>
      <c r="BJ35" s="1">
        <v>2.2161730300000002</v>
      </c>
      <c r="BK35" s="1">
        <v>123618989.48999999</v>
      </c>
      <c r="BL35" s="1">
        <v>132456249.91</v>
      </c>
      <c r="BM35" s="1">
        <v>596150.00000000012</v>
      </c>
      <c r="BN35" s="1">
        <v>9219855.2300000004</v>
      </c>
      <c r="BO35" s="1">
        <v>23.664660909999998</v>
      </c>
      <c r="BP35" s="1">
        <v>0.45007313999999998</v>
      </c>
      <c r="BQ35" s="1">
        <v>6.9606796500000003</v>
      </c>
      <c r="BR35" s="1">
        <v>0.52444983000000001</v>
      </c>
      <c r="BS35" s="1" t="s">
        <v>169</v>
      </c>
      <c r="BT35" s="1" t="s">
        <v>169</v>
      </c>
      <c r="BU35" s="1">
        <v>26356083.120000001</v>
      </c>
      <c r="BV35" s="1">
        <v>2.2161730300000002</v>
      </c>
      <c r="BW35" s="1">
        <v>-4213.09</v>
      </c>
      <c r="BX35" s="1">
        <v>-0.96</v>
      </c>
      <c r="BY35" s="1" t="s">
        <v>170</v>
      </c>
      <c r="BZ35" s="1">
        <v>-78038.69</v>
      </c>
      <c r="CA35" s="1" t="s">
        <v>182</v>
      </c>
      <c r="CB35" s="1" t="s">
        <v>183</v>
      </c>
      <c r="CC35" s="1">
        <v>-222932.87</v>
      </c>
      <c r="CD35" s="1">
        <v>-173857.13</v>
      </c>
      <c r="CE35" s="1">
        <v>676215</v>
      </c>
      <c r="CF35" s="1">
        <v>698879.67</v>
      </c>
      <c r="CG35" s="1">
        <v>0</v>
      </c>
      <c r="CH35" s="1">
        <v>1.4438757900000001</v>
      </c>
      <c r="CI35" s="1">
        <v>13.27863496</v>
      </c>
      <c r="CJ35" s="1">
        <v>17588381.91</v>
      </c>
      <c r="CK35" s="1">
        <v>1912503.72</v>
      </c>
      <c r="CL35" s="1">
        <v>6269233.6699999999</v>
      </c>
      <c r="CM35" s="1" t="s">
        <v>164</v>
      </c>
      <c r="CN35" s="1" t="s">
        <v>164</v>
      </c>
      <c r="CO35" s="1" t="s">
        <v>184</v>
      </c>
      <c r="CP35" s="1" t="s">
        <v>243</v>
      </c>
      <c r="CQ35" s="1" t="s">
        <v>185</v>
      </c>
      <c r="CR35" s="1">
        <v>0</v>
      </c>
      <c r="CS35" s="1" t="s">
        <v>243</v>
      </c>
      <c r="CT35" s="1">
        <v>0.56194164000000002</v>
      </c>
      <c r="CV35" s="1">
        <v>0</v>
      </c>
      <c r="CW35" s="1">
        <v>-219173.26</v>
      </c>
      <c r="DA35" s="1">
        <v>1355558.46</v>
      </c>
      <c r="DB35" s="1">
        <v>0</v>
      </c>
      <c r="DC35" s="1">
        <v>2520.3126550000002</v>
      </c>
      <c r="DD35" s="1">
        <v>52555.483399999997</v>
      </c>
      <c r="DE35" s="1">
        <v>-296353.43</v>
      </c>
      <c r="DF35" s="1">
        <v>92570020.519999996</v>
      </c>
      <c r="DG35" s="1">
        <v>-6480</v>
      </c>
      <c r="DH35" s="1">
        <v>394770.09</v>
      </c>
      <c r="DI35" s="1">
        <v>0.29803809999999997</v>
      </c>
      <c r="DK35" s="1">
        <v>0</v>
      </c>
      <c r="DL35" s="1">
        <v>0</v>
      </c>
      <c r="DM35" s="1">
        <v>-296353.43</v>
      </c>
      <c r="DN35" s="1">
        <v>0</v>
      </c>
      <c r="DO35" s="1">
        <v>0</v>
      </c>
      <c r="DP35" s="1">
        <v>16777215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669735</v>
      </c>
      <c r="DW35" s="1">
        <v>694666.58</v>
      </c>
      <c r="DX35" s="1">
        <v>31345322.399999999</v>
      </c>
      <c r="DY35" s="1">
        <v>-1110160.2399999984</v>
      </c>
      <c r="DZ35" s="1">
        <v>92570020.519999966</v>
      </c>
      <c r="EA35" s="1">
        <v>0</v>
      </c>
      <c r="EB35" s="1">
        <v>0</v>
      </c>
      <c r="EC35" s="1" t="s">
        <v>176</v>
      </c>
      <c r="EE35" s="1">
        <v>0</v>
      </c>
      <c r="EF35" s="1">
        <v>3</v>
      </c>
      <c r="EG35" s="1">
        <v>0</v>
      </c>
      <c r="EH35" s="1">
        <v>0</v>
      </c>
      <c r="EI35" s="1">
        <v>0</v>
      </c>
      <c r="EL35" s="1">
        <v>0</v>
      </c>
      <c r="EM35" s="1">
        <v>0</v>
      </c>
      <c r="EN35" s="1">
        <v>1633661.45</v>
      </c>
      <c r="EO35" s="1">
        <v>1.2333592799999999</v>
      </c>
      <c r="ER35" s="1">
        <v>250.45</v>
      </c>
      <c r="ES35" s="1">
        <v>0.96733999999999998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0</v>
      </c>
      <c r="FD35" s="1">
        <v>0</v>
      </c>
      <c r="FE35" s="1">
        <v>0</v>
      </c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3">
      <c r="A36" s="1">
        <v>16975363</v>
      </c>
      <c r="B36" s="1">
        <v>128</v>
      </c>
      <c r="C36" s="1">
        <v>10689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4500</v>
      </c>
      <c r="J36" s="1">
        <v>4500</v>
      </c>
      <c r="K36" s="1">
        <v>45</v>
      </c>
      <c r="L36" s="1">
        <v>45</v>
      </c>
      <c r="M36" s="1">
        <v>45</v>
      </c>
      <c r="N36" s="1">
        <v>45</v>
      </c>
      <c r="O36" s="1">
        <v>415987.15</v>
      </c>
      <c r="P36" s="1">
        <v>415987.15</v>
      </c>
      <c r="Q36" s="1">
        <v>415987.15</v>
      </c>
      <c r="R36" s="1">
        <v>415987.15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/>
      <c r="AF36" s="1" t="s">
        <v>161</v>
      </c>
      <c r="AG36" s="1" t="s">
        <v>970</v>
      </c>
      <c r="AH36" s="1" t="s">
        <v>728</v>
      </c>
      <c r="AI36" s="1">
        <v>4</v>
      </c>
      <c r="AJ36" s="1" t="s">
        <v>165</v>
      </c>
      <c r="AK36" s="1" t="s">
        <v>191</v>
      </c>
      <c r="AL36" s="1">
        <v>116.5</v>
      </c>
      <c r="AM36" s="1">
        <v>116</v>
      </c>
      <c r="AN36" s="1">
        <v>522000</v>
      </c>
      <c r="AO36" s="1">
        <v>522000</v>
      </c>
      <c r="AP36" s="1" t="s">
        <v>176</v>
      </c>
      <c r="AQ36" s="1">
        <v>4</v>
      </c>
      <c r="AR36" s="1" t="s">
        <v>165</v>
      </c>
      <c r="AS36" s="1">
        <v>132534288.59999999</v>
      </c>
      <c r="AT36" s="1" t="s">
        <v>176</v>
      </c>
      <c r="AU36" s="1">
        <v>1</v>
      </c>
      <c r="AV36" s="1">
        <v>1</v>
      </c>
      <c r="AW36" s="1" t="s">
        <v>209</v>
      </c>
      <c r="AX36" s="1" t="s">
        <v>729</v>
      </c>
      <c r="AY36" s="1">
        <v>0</v>
      </c>
      <c r="BA36" s="1">
        <v>8205251.6799999997</v>
      </c>
      <c r="BB36" s="1">
        <v>1</v>
      </c>
      <c r="BD36" s="1" t="s">
        <v>971</v>
      </c>
      <c r="BE36" s="1">
        <v>1</v>
      </c>
      <c r="BF36" s="1">
        <v>1</v>
      </c>
      <c r="BG36" s="1" t="s">
        <v>168</v>
      </c>
      <c r="BH36" s="1">
        <v>0</v>
      </c>
      <c r="BI36" s="1">
        <v>31345322.399999999</v>
      </c>
      <c r="BJ36" s="1">
        <v>1.6653202499999999</v>
      </c>
      <c r="BK36" s="1">
        <v>123618989.48999999</v>
      </c>
      <c r="BL36" s="1">
        <v>132456249.91</v>
      </c>
      <c r="BM36" s="1">
        <v>596150.00000000012</v>
      </c>
      <c r="BN36" s="1">
        <v>9219855.2300000004</v>
      </c>
      <c r="BO36" s="1">
        <v>23.664660909999998</v>
      </c>
      <c r="BP36" s="1">
        <v>0.45007313999999998</v>
      </c>
      <c r="BQ36" s="1">
        <v>6.9606796500000003</v>
      </c>
      <c r="BR36" s="1">
        <v>0.39409239000000001</v>
      </c>
      <c r="BS36" s="1" t="s">
        <v>169</v>
      </c>
      <c r="BT36" s="1" t="s">
        <v>169</v>
      </c>
      <c r="BU36" s="1">
        <v>26356083.120000001</v>
      </c>
      <c r="BV36" s="1">
        <v>1.6653202499999999</v>
      </c>
      <c r="BW36" s="1">
        <v>-2250</v>
      </c>
      <c r="BX36" s="1">
        <v>-0.43</v>
      </c>
      <c r="BY36" s="1" t="s">
        <v>170</v>
      </c>
      <c r="BZ36" s="1">
        <v>-78038.69</v>
      </c>
      <c r="CA36" s="1" t="s">
        <v>182</v>
      </c>
      <c r="CB36" s="1" t="s">
        <v>183</v>
      </c>
      <c r="CC36" s="1">
        <v>108262.85</v>
      </c>
      <c r="CD36" s="1">
        <v>108262.85</v>
      </c>
      <c r="CE36" s="1">
        <v>524250</v>
      </c>
      <c r="CF36" s="1">
        <v>524250</v>
      </c>
      <c r="CG36" s="1">
        <v>0</v>
      </c>
      <c r="CH36" s="1">
        <v>1.4438757900000001</v>
      </c>
      <c r="CI36" s="1">
        <v>13.27863496</v>
      </c>
      <c r="CJ36" s="1">
        <v>17588381.91</v>
      </c>
      <c r="CK36" s="1">
        <v>1912503.72</v>
      </c>
      <c r="CL36" s="1">
        <v>6269233.6699999999</v>
      </c>
      <c r="CM36" s="1" t="s">
        <v>164</v>
      </c>
      <c r="CN36" s="1" t="s">
        <v>164</v>
      </c>
      <c r="CO36" s="1" t="s">
        <v>184</v>
      </c>
      <c r="CP36" s="1" t="s">
        <v>243</v>
      </c>
      <c r="CQ36" s="1" t="s">
        <v>185</v>
      </c>
      <c r="CR36" s="1">
        <v>0</v>
      </c>
      <c r="CS36" s="1" t="s">
        <v>243</v>
      </c>
      <c r="CT36" s="1">
        <v>0.42226522</v>
      </c>
      <c r="CV36" s="1">
        <v>0</v>
      </c>
      <c r="CW36" s="1">
        <v>-219173.26</v>
      </c>
      <c r="DA36" s="1">
        <v>1355558.46</v>
      </c>
      <c r="DB36" s="1">
        <v>0</v>
      </c>
      <c r="DC36" s="1">
        <v>2520.3126550000002</v>
      </c>
      <c r="DD36" s="1">
        <v>52555.483399999997</v>
      </c>
      <c r="DE36" s="1">
        <v>-296353.43</v>
      </c>
      <c r="DF36" s="1">
        <v>92570020.519999996</v>
      </c>
      <c r="DG36" s="1">
        <v>-2250</v>
      </c>
      <c r="DH36" s="1">
        <v>394770.09</v>
      </c>
      <c r="DI36" s="1">
        <v>0.29803809999999997</v>
      </c>
      <c r="DK36" s="1">
        <v>0</v>
      </c>
      <c r="DL36" s="1">
        <v>0</v>
      </c>
      <c r="DM36" s="1">
        <v>-296353.43</v>
      </c>
      <c r="DN36" s="1">
        <v>0</v>
      </c>
      <c r="DO36" s="1">
        <v>0</v>
      </c>
      <c r="DP36" s="1">
        <v>16777215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522000</v>
      </c>
      <c r="DW36" s="1">
        <v>522000</v>
      </c>
      <c r="DX36" s="1">
        <v>31345322.399999999</v>
      </c>
      <c r="DY36" s="1">
        <v>-1110160.2399999984</v>
      </c>
      <c r="DZ36" s="1">
        <v>92570020.519999966</v>
      </c>
      <c r="EA36" s="1">
        <v>0</v>
      </c>
      <c r="EB36" s="1">
        <v>0</v>
      </c>
      <c r="EC36" s="1" t="s">
        <v>176</v>
      </c>
      <c r="EE36" s="1">
        <v>0</v>
      </c>
      <c r="EF36" s="1">
        <v>3</v>
      </c>
      <c r="EG36" s="1">
        <v>0</v>
      </c>
      <c r="EH36" s="1">
        <v>0</v>
      </c>
      <c r="EI36" s="1">
        <v>0</v>
      </c>
      <c r="EL36" s="1">
        <v>0</v>
      </c>
      <c r="EM36" s="1">
        <v>0</v>
      </c>
      <c r="EN36" s="1">
        <v>1633661.45</v>
      </c>
      <c r="EO36" s="1">
        <v>1.2333592799999999</v>
      </c>
      <c r="ER36" s="1">
        <v>116.5</v>
      </c>
      <c r="ES36" s="1">
        <v>1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v>0</v>
      </c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3">
      <c r="A37" s="1">
        <v>16975393</v>
      </c>
      <c r="B37" s="1">
        <v>128</v>
      </c>
      <c r="C37" s="1">
        <v>10683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10000</v>
      </c>
      <c r="J37" s="1">
        <v>10000</v>
      </c>
      <c r="K37" s="1">
        <v>10000</v>
      </c>
      <c r="L37" s="1">
        <v>10000</v>
      </c>
      <c r="M37" s="1">
        <v>10000</v>
      </c>
      <c r="N37" s="1">
        <v>6108.96</v>
      </c>
      <c r="O37" s="1">
        <v>630000</v>
      </c>
      <c r="P37" s="1">
        <v>384864.45</v>
      </c>
      <c r="Q37" s="1">
        <v>630000</v>
      </c>
      <c r="R37" s="1">
        <v>384864.45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/>
      <c r="AF37" s="1" t="s">
        <v>161</v>
      </c>
      <c r="AG37" s="1" t="s">
        <v>970</v>
      </c>
      <c r="AH37" s="1" t="s">
        <v>730</v>
      </c>
      <c r="AI37" s="1">
        <v>13</v>
      </c>
      <c r="AJ37" s="1" t="s">
        <v>716</v>
      </c>
      <c r="AK37" s="1" t="s">
        <v>217</v>
      </c>
      <c r="AL37" s="1">
        <v>57.12</v>
      </c>
      <c r="AM37" s="1">
        <v>56.980000000000004</v>
      </c>
      <c r="AN37" s="1">
        <v>569800</v>
      </c>
      <c r="AO37" s="1">
        <v>345084.45</v>
      </c>
      <c r="AP37" s="1" t="s">
        <v>176</v>
      </c>
      <c r="AQ37" s="1">
        <v>4</v>
      </c>
      <c r="AR37" s="1" t="s">
        <v>165</v>
      </c>
      <c r="AS37" s="1">
        <v>132534288.59999999</v>
      </c>
      <c r="AT37" s="1" t="s">
        <v>176</v>
      </c>
      <c r="AU37" s="1">
        <v>1</v>
      </c>
      <c r="AV37" s="1">
        <v>1</v>
      </c>
      <c r="AW37" s="1" t="s">
        <v>210</v>
      </c>
      <c r="AX37" s="1" t="s">
        <v>211</v>
      </c>
      <c r="AY37" s="1">
        <v>0</v>
      </c>
      <c r="BA37" s="1">
        <v>8205251.6799999997</v>
      </c>
      <c r="BB37" s="1">
        <v>1.6511899999999999</v>
      </c>
      <c r="BD37" s="1" t="s">
        <v>971</v>
      </c>
      <c r="BE37" s="1">
        <v>1</v>
      </c>
      <c r="BF37" s="1">
        <v>1</v>
      </c>
      <c r="BG37" s="1" t="s">
        <v>168</v>
      </c>
      <c r="BH37" s="1">
        <v>0</v>
      </c>
      <c r="BI37" s="1">
        <v>31345322.399999999</v>
      </c>
      <c r="BJ37" s="1">
        <v>1.1009121100000001</v>
      </c>
      <c r="BK37" s="1">
        <v>123618989.48999999</v>
      </c>
      <c r="BL37" s="1">
        <v>132456249.91</v>
      </c>
      <c r="BM37" s="1">
        <v>596150.00000000012</v>
      </c>
      <c r="BN37" s="1">
        <v>9219855.2300000004</v>
      </c>
      <c r="BO37" s="1">
        <v>23.664660909999998</v>
      </c>
      <c r="BP37" s="1">
        <v>0.45007313999999998</v>
      </c>
      <c r="BQ37" s="1">
        <v>6.9606796500000003</v>
      </c>
      <c r="BR37" s="1">
        <v>0.26052712</v>
      </c>
      <c r="BS37" s="1" t="s">
        <v>169</v>
      </c>
      <c r="BT37" s="1" t="s">
        <v>169</v>
      </c>
      <c r="BU37" s="1">
        <v>26356083.120000001</v>
      </c>
      <c r="BV37" s="1">
        <v>1.1009121100000001</v>
      </c>
      <c r="BW37" s="1">
        <v>-2559.58</v>
      </c>
      <c r="BX37" s="1">
        <v>-0.25</v>
      </c>
      <c r="BY37" s="1" t="s">
        <v>170</v>
      </c>
      <c r="BZ37" s="1">
        <v>-78038.69</v>
      </c>
      <c r="CA37" s="1" t="s">
        <v>182</v>
      </c>
      <c r="CB37" s="1" t="s">
        <v>183</v>
      </c>
      <c r="CC37" s="1">
        <v>-58800</v>
      </c>
      <c r="CD37" s="1">
        <v>-37220.42</v>
      </c>
      <c r="CE37" s="1">
        <v>571200</v>
      </c>
      <c r="CF37" s="1">
        <v>347644.03</v>
      </c>
      <c r="CG37" s="1">
        <v>0</v>
      </c>
      <c r="CH37" s="1">
        <v>1.4438757900000001</v>
      </c>
      <c r="CI37" s="1">
        <v>13.27863496</v>
      </c>
      <c r="CJ37" s="1">
        <v>17588381.91</v>
      </c>
      <c r="CK37" s="1">
        <v>1912503.72</v>
      </c>
      <c r="CL37" s="1">
        <v>6269233.6699999999</v>
      </c>
      <c r="CM37" s="1" t="s">
        <v>164</v>
      </c>
      <c r="CN37" s="1" t="s">
        <v>164</v>
      </c>
      <c r="CO37" s="1" t="s">
        <v>184</v>
      </c>
      <c r="CP37" s="1" t="s">
        <v>243</v>
      </c>
      <c r="CQ37" s="1" t="s">
        <v>185</v>
      </c>
      <c r="CR37" s="1">
        <v>0</v>
      </c>
      <c r="CS37" s="1" t="s">
        <v>243</v>
      </c>
      <c r="CT37" s="1">
        <v>0.27915164999999997</v>
      </c>
      <c r="CV37" s="1">
        <v>0</v>
      </c>
      <c r="CW37" s="1">
        <v>-219173.26</v>
      </c>
      <c r="DA37" s="1">
        <v>1355558.46</v>
      </c>
      <c r="DB37" s="1">
        <v>0</v>
      </c>
      <c r="DC37" s="1">
        <v>2520.3126550000002</v>
      </c>
      <c r="DD37" s="1">
        <v>52555.483399999997</v>
      </c>
      <c r="DE37" s="1">
        <v>-296353.43</v>
      </c>
      <c r="DF37" s="1">
        <v>92570020.519999996</v>
      </c>
      <c r="DG37" s="1">
        <v>-1400</v>
      </c>
      <c r="DH37" s="1">
        <v>394770.09</v>
      </c>
      <c r="DI37" s="1">
        <v>0.29803809999999997</v>
      </c>
      <c r="DK37" s="1">
        <v>0</v>
      </c>
      <c r="DL37" s="1">
        <v>0</v>
      </c>
      <c r="DM37" s="1">
        <v>-296353.43</v>
      </c>
      <c r="DN37" s="1">
        <v>0</v>
      </c>
      <c r="DO37" s="1">
        <v>0</v>
      </c>
      <c r="DP37" s="1">
        <v>16777215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569800</v>
      </c>
      <c r="DW37" s="1">
        <v>345084.45</v>
      </c>
      <c r="DX37" s="1">
        <v>31345322.399999999</v>
      </c>
      <c r="DY37" s="1">
        <v>-1110160.2399999984</v>
      </c>
      <c r="DZ37" s="1">
        <v>92570020.519999966</v>
      </c>
      <c r="EA37" s="1">
        <v>0</v>
      </c>
      <c r="EB37" s="1">
        <v>0</v>
      </c>
      <c r="EC37" s="1" t="s">
        <v>176</v>
      </c>
      <c r="EE37" s="1">
        <v>0</v>
      </c>
      <c r="EF37" s="1">
        <v>3</v>
      </c>
      <c r="EG37" s="1">
        <v>0</v>
      </c>
      <c r="EH37" s="1">
        <v>0</v>
      </c>
      <c r="EI37" s="1">
        <v>0</v>
      </c>
      <c r="EL37" s="1">
        <v>0</v>
      </c>
      <c r="EM37" s="1">
        <v>0</v>
      </c>
      <c r="EN37" s="1">
        <v>1633661.45</v>
      </c>
      <c r="EO37" s="1">
        <v>1.2333592799999999</v>
      </c>
      <c r="ER37" s="1">
        <v>57.12</v>
      </c>
      <c r="ES37" s="1">
        <v>1.6381300000000001</v>
      </c>
      <c r="ET37" s="1">
        <v>0</v>
      </c>
      <c r="EU37" s="1">
        <v>0</v>
      </c>
      <c r="EV37" s="1">
        <v>0</v>
      </c>
      <c r="EW37" s="1">
        <v>0</v>
      </c>
      <c r="EX37" s="1">
        <v>0</v>
      </c>
      <c r="EY37" s="1">
        <v>0</v>
      </c>
      <c r="EZ37" s="1">
        <v>0</v>
      </c>
      <c r="FA37" s="1">
        <v>0</v>
      </c>
      <c r="FB37" s="1">
        <v>0</v>
      </c>
      <c r="FC37" s="1">
        <v>0</v>
      </c>
      <c r="FD37" s="1">
        <v>0</v>
      </c>
      <c r="FE37" s="1">
        <v>0</v>
      </c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3">
      <c r="A38" s="1">
        <v>16975592</v>
      </c>
      <c r="B38" s="1">
        <v>128</v>
      </c>
      <c r="C38" s="1">
        <v>3528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2500</v>
      </c>
      <c r="J38" s="1">
        <v>2500</v>
      </c>
      <c r="K38" s="1">
        <v>500</v>
      </c>
      <c r="L38" s="1">
        <v>500</v>
      </c>
      <c r="M38" s="1">
        <v>500</v>
      </c>
      <c r="N38" s="1">
        <v>460.19</v>
      </c>
      <c r="O38" s="1">
        <v>426450</v>
      </c>
      <c r="P38" s="1">
        <v>392498.85</v>
      </c>
      <c r="Q38" s="1">
        <v>426450</v>
      </c>
      <c r="R38" s="1">
        <v>392498.85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/>
      <c r="AF38" s="1" t="s">
        <v>161</v>
      </c>
      <c r="AG38" s="1" t="s">
        <v>970</v>
      </c>
      <c r="AH38" s="1" t="s">
        <v>731</v>
      </c>
      <c r="AI38" s="1">
        <v>5</v>
      </c>
      <c r="AJ38" s="1" t="s">
        <v>162</v>
      </c>
      <c r="AK38" s="1" t="s">
        <v>163</v>
      </c>
      <c r="AL38" s="1">
        <v>149.19</v>
      </c>
      <c r="AM38" s="1">
        <v>149.47999999999999</v>
      </c>
      <c r="AN38" s="1">
        <v>373700</v>
      </c>
      <c r="AO38" s="1">
        <v>356447.92</v>
      </c>
      <c r="AP38" s="1" t="s">
        <v>176</v>
      </c>
      <c r="AQ38" s="1">
        <v>4</v>
      </c>
      <c r="AR38" s="1" t="s">
        <v>165</v>
      </c>
      <c r="AS38" s="1">
        <v>132534288.59999999</v>
      </c>
      <c r="AT38" s="1" t="s">
        <v>176</v>
      </c>
      <c r="AU38" s="1">
        <v>1</v>
      </c>
      <c r="AV38" s="1">
        <v>1</v>
      </c>
      <c r="AW38" s="1" t="s">
        <v>210</v>
      </c>
      <c r="AX38" s="1" t="s">
        <v>211</v>
      </c>
      <c r="AY38" s="1">
        <v>0</v>
      </c>
      <c r="BA38" s="1">
        <v>8205251.6799999997</v>
      </c>
      <c r="BB38" s="1">
        <v>1.0484</v>
      </c>
      <c r="BD38" s="1" t="s">
        <v>971</v>
      </c>
      <c r="BE38" s="1">
        <v>1</v>
      </c>
      <c r="BF38" s="1">
        <v>1</v>
      </c>
      <c r="BG38" s="1" t="s">
        <v>168</v>
      </c>
      <c r="BH38" s="1">
        <v>0</v>
      </c>
      <c r="BI38" s="1">
        <v>31345322.399999999</v>
      </c>
      <c r="BJ38" s="1">
        <v>1.13716463</v>
      </c>
      <c r="BK38" s="1">
        <v>123618989.48999999</v>
      </c>
      <c r="BL38" s="1">
        <v>132456249.91</v>
      </c>
      <c r="BM38" s="1">
        <v>596150.00000000012</v>
      </c>
      <c r="BN38" s="1">
        <v>9219855.2300000004</v>
      </c>
      <c r="BO38" s="1">
        <v>23.664660909999998</v>
      </c>
      <c r="BP38" s="1">
        <v>0.45007313999999998</v>
      </c>
      <c r="BQ38" s="1">
        <v>6.9606796500000003</v>
      </c>
      <c r="BR38" s="1">
        <v>0.26910614999999999</v>
      </c>
      <c r="BS38" s="1" t="s">
        <v>169</v>
      </c>
      <c r="BT38" s="1" t="s">
        <v>169</v>
      </c>
      <c r="BU38" s="1">
        <v>26356083.120000001</v>
      </c>
      <c r="BV38" s="1">
        <v>1.13716463</v>
      </c>
      <c r="BW38" s="1">
        <v>3686.17</v>
      </c>
      <c r="BX38" s="1">
        <v>0.19</v>
      </c>
      <c r="BY38" s="1" t="s">
        <v>170</v>
      </c>
      <c r="BZ38" s="1">
        <v>-78038.69</v>
      </c>
      <c r="CA38" s="1" t="s">
        <v>182</v>
      </c>
      <c r="CB38" s="1" t="s">
        <v>183</v>
      </c>
      <c r="CC38" s="1">
        <v>-53475</v>
      </c>
      <c r="CD38" s="1">
        <v>-39737.1</v>
      </c>
      <c r="CE38" s="1">
        <v>372975</v>
      </c>
      <c r="CF38" s="1">
        <v>352761.75</v>
      </c>
      <c r="CG38" s="1">
        <v>0</v>
      </c>
      <c r="CH38" s="1">
        <v>1.4438757900000001</v>
      </c>
      <c r="CI38" s="1">
        <v>13.27863496</v>
      </c>
      <c r="CJ38" s="1">
        <v>17588381.91</v>
      </c>
      <c r="CK38" s="1">
        <v>1912503.72</v>
      </c>
      <c r="CL38" s="1">
        <v>6269233.6699999999</v>
      </c>
      <c r="CM38" s="1" t="s">
        <v>164</v>
      </c>
      <c r="CN38" s="1" t="s">
        <v>164</v>
      </c>
      <c r="CO38" s="1" t="s">
        <v>184</v>
      </c>
      <c r="CP38" s="1" t="s">
        <v>243</v>
      </c>
      <c r="CQ38" s="1" t="s">
        <v>185</v>
      </c>
      <c r="CR38" s="1">
        <v>0</v>
      </c>
      <c r="CS38" s="1" t="s">
        <v>243</v>
      </c>
      <c r="CT38" s="1">
        <v>0.28834398</v>
      </c>
      <c r="CV38" s="1">
        <v>0</v>
      </c>
      <c r="CW38" s="1">
        <v>-219173.26</v>
      </c>
      <c r="DA38" s="1">
        <v>1355558.46</v>
      </c>
      <c r="DB38" s="1">
        <v>0</v>
      </c>
      <c r="DC38" s="1">
        <v>2520.3126550000002</v>
      </c>
      <c r="DD38" s="1">
        <v>52555.483399999997</v>
      </c>
      <c r="DE38" s="1">
        <v>-296353.43</v>
      </c>
      <c r="DF38" s="1">
        <v>92570020.519999996</v>
      </c>
      <c r="DG38" s="1">
        <v>725</v>
      </c>
      <c r="DH38" s="1">
        <v>394770.09</v>
      </c>
      <c r="DI38" s="1">
        <v>0.29803809999999997</v>
      </c>
      <c r="DK38" s="1">
        <v>0</v>
      </c>
      <c r="DL38" s="1">
        <v>0</v>
      </c>
      <c r="DM38" s="1">
        <v>-296353.43</v>
      </c>
      <c r="DN38" s="1">
        <v>0</v>
      </c>
      <c r="DO38" s="1">
        <v>0</v>
      </c>
      <c r="DP38" s="1">
        <v>16777215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373700</v>
      </c>
      <c r="DW38" s="1">
        <v>356447.92</v>
      </c>
      <c r="DX38" s="1">
        <v>31345322.399999999</v>
      </c>
      <c r="DY38" s="1">
        <v>-1110160.2399999984</v>
      </c>
      <c r="DZ38" s="1">
        <v>92570020.519999966</v>
      </c>
      <c r="EA38" s="1">
        <v>0</v>
      </c>
      <c r="EB38" s="1">
        <v>0</v>
      </c>
      <c r="EC38" s="1" t="s">
        <v>176</v>
      </c>
      <c r="EE38" s="1">
        <v>0</v>
      </c>
      <c r="EF38" s="1">
        <v>3</v>
      </c>
      <c r="EG38" s="1">
        <v>0</v>
      </c>
      <c r="EH38" s="1">
        <v>0</v>
      </c>
      <c r="EI38" s="1">
        <v>0</v>
      </c>
      <c r="EL38" s="1">
        <v>0</v>
      </c>
      <c r="EM38" s="1">
        <v>0</v>
      </c>
      <c r="EN38" s="1">
        <v>1633661.45</v>
      </c>
      <c r="EO38" s="1">
        <v>1.2333592799999999</v>
      </c>
      <c r="ER38" s="1">
        <v>149.19</v>
      </c>
      <c r="ES38" s="1">
        <v>1.0572999999999999</v>
      </c>
      <c r="ET38" s="1">
        <v>0</v>
      </c>
      <c r="EU38" s="1">
        <v>0</v>
      </c>
      <c r="EV38" s="1">
        <v>0</v>
      </c>
      <c r="EW38" s="1">
        <v>0</v>
      </c>
      <c r="EX38" s="1">
        <v>0</v>
      </c>
      <c r="EY38" s="1">
        <v>0</v>
      </c>
      <c r="EZ38" s="1">
        <v>0</v>
      </c>
      <c r="FA38" s="1">
        <v>0</v>
      </c>
      <c r="FB38" s="1">
        <v>0</v>
      </c>
      <c r="FC38" s="1">
        <v>0</v>
      </c>
      <c r="FD38" s="1">
        <v>0</v>
      </c>
      <c r="FE38" s="1">
        <v>0</v>
      </c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3">
      <c r="A39" s="1">
        <v>16975464</v>
      </c>
      <c r="B39" s="1">
        <v>128</v>
      </c>
      <c r="C39" s="1">
        <v>10684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35000</v>
      </c>
      <c r="J39" s="1">
        <v>35000</v>
      </c>
      <c r="K39" s="1">
        <v>35000</v>
      </c>
      <c r="L39" s="1">
        <v>35000</v>
      </c>
      <c r="M39" s="1">
        <v>35000</v>
      </c>
      <c r="N39" s="1">
        <v>40633.42</v>
      </c>
      <c r="O39" s="1">
        <v>327424.06</v>
      </c>
      <c r="P39" s="1">
        <v>380124.52</v>
      </c>
      <c r="Q39" s="1">
        <v>327424.06</v>
      </c>
      <c r="R39" s="1">
        <v>380124.52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/>
      <c r="AF39" s="1" t="s">
        <v>161</v>
      </c>
      <c r="AG39" s="1" t="s">
        <v>970</v>
      </c>
      <c r="AH39" s="1" t="s">
        <v>732</v>
      </c>
      <c r="AI39" s="1">
        <v>11</v>
      </c>
      <c r="AJ39" s="1" t="s">
        <v>711</v>
      </c>
      <c r="AK39" s="1" t="s">
        <v>163</v>
      </c>
      <c r="AL39" s="1">
        <v>1131</v>
      </c>
      <c r="AM39" s="1">
        <v>1131</v>
      </c>
      <c r="AN39" s="1">
        <v>395850</v>
      </c>
      <c r="AO39" s="1">
        <v>457191.37</v>
      </c>
      <c r="AP39" s="1" t="s">
        <v>176</v>
      </c>
      <c r="AQ39" s="1">
        <v>4</v>
      </c>
      <c r="AR39" s="1" t="s">
        <v>165</v>
      </c>
      <c r="AS39" s="1">
        <v>132534288.59999999</v>
      </c>
      <c r="AT39" s="1" t="s">
        <v>176</v>
      </c>
      <c r="AU39" s="1">
        <v>1</v>
      </c>
      <c r="AV39" s="1">
        <v>1</v>
      </c>
      <c r="AW39" s="1" t="s">
        <v>210</v>
      </c>
      <c r="AX39" s="1" t="s">
        <v>211</v>
      </c>
      <c r="AY39" s="1">
        <v>0</v>
      </c>
      <c r="BA39" s="1">
        <v>8205251.6799999997</v>
      </c>
      <c r="BB39" s="1">
        <v>0.86582999999999999</v>
      </c>
      <c r="BD39" s="1" t="s">
        <v>971</v>
      </c>
      <c r="BE39" s="1">
        <v>1</v>
      </c>
      <c r="BF39" s="1">
        <v>1</v>
      </c>
      <c r="BG39" s="1" t="s">
        <v>168</v>
      </c>
      <c r="BH39" s="1">
        <v>0</v>
      </c>
      <c r="BI39" s="1">
        <v>31345322.399999999</v>
      </c>
      <c r="BJ39" s="1">
        <v>1.4585633</v>
      </c>
      <c r="BK39" s="1">
        <v>123618989.48999999</v>
      </c>
      <c r="BL39" s="1">
        <v>132456249.91</v>
      </c>
      <c r="BM39" s="1">
        <v>596150.00000000012</v>
      </c>
      <c r="BN39" s="1">
        <v>9219855.2300000004</v>
      </c>
      <c r="BO39" s="1">
        <v>23.664660909999998</v>
      </c>
      <c r="BP39" s="1">
        <v>0.45007313999999998</v>
      </c>
      <c r="BQ39" s="1">
        <v>6.9606796500000003</v>
      </c>
      <c r="BR39" s="1">
        <v>0.34516405999999999</v>
      </c>
      <c r="BS39" s="1" t="s">
        <v>169</v>
      </c>
      <c r="BT39" s="1" t="s">
        <v>169</v>
      </c>
      <c r="BU39" s="1">
        <v>26356083.120000001</v>
      </c>
      <c r="BV39" s="1">
        <v>1.4585633</v>
      </c>
      <c r="BW39" s="1">
        <v>379.88</v>
      </c>
      <c r="BX39" s="1">
        <v>0</v>
      </c>
      <c r="BY39" s="1" t="s">
        <v>170</v>
      </c>
      <c r="BZ39" s="1">
        <v>-78038.69</v>
      </c>
      <c r="CA39" s="1" t="s">
        <v>182</v>
      </c>
      <c r="CB39" s="1" t="s">
        <v>183</v>
      </c>
      <c r="CC39" s="1">
        <v>68425.94</v>
      </c>
      <c r="CD39" s="1">
        <v>76686.97</v>
      </c>
      <c r="CE39" s="1">
        <v>395850</v>
      </c>
      <c r="CF39" s="1">
        <v>456811.49</v>
      </c>
      <c r="CG39" s="1">
        <v>0</v>
      </c>
      <c r="CH39" s="1">
        <v>1.4438757900000001</v>
      </c>
      <c r="CI39" s="1">
        <v>13.27863496</v>
      </c>
      <c r="CJ39" s="1">
        <v>17588381.91</v>
      </c>
      <c r="CK39" s="1">
        <v>1912503.72</v>
      </c>
      <c r="CL39" s="1">
        <v>6269233.6699999999</v>
      </c>
      <c r="CM39" s="1" t="s">
        <v>164</v>
      </c>
      <c r="CN39" s="1" t="s">
        <v>164</v>
      </c>
      <c r="CO39" s="1" t="s">
        <v>184</v>
      </c>
      <c r="CP39" s="1" t="s">
        <v>243</v>
      </c>
      <c r="CQ39" s="1" t="s">
        <v>185</v>
      </c>
      <c r="CR39" s="1">
        <v>0</v>
      </c>
      <c r="CS39" s="1" t="s">
        <v>243</v>
      </c>
      <c r="CT39" s="1">
        <v>0.36983911000000003</v>
      </c>
      <c r="CV39" s="1">
        <v>0</v>
      </c>
      <c r="CW39" s="1">
        <v>-219173.26</v>
      </c>
      <c r="DA39" s="1">
        <v>1355558.46</v>
      </c>
      <c r="DB39" s="1">
        <v>0</v>
      </c>
      <c r="DC39" s="1">
        <v>2520.3126550000002</v>
      </c>
      <c r="DD39" s="1">
        <v>52555.483399999997</v>
      </c>
      <c r="DE39" s="1">
        <v>-296353.43</v>
      </c>
      <c r="DF39" s="1">
        <v>92570020.519999996</v>
      </c>
      <c r="DG39" s="1">
        <v>0</v>
      </c>
      <c r="DH39" s="1">
        <v>394770.09</v>
      </c>
      <c r="DI39" s="1">
        <v>0.29803809999999997</v>
      </c>
      <c r="DK39" s="1">
        <v>0</v>
      </c>
      <c r="DL39" s="1">
        <v>0</v>
      </c>
      <c r="DM39" s="1">
        <v>-296353.43</v>
      </c>
      <c r="DN39" s="1">
        <v>0</v>
      </c>
      <c r="DO39" s="1">
        <v>0</v>
      </c>
      <c r="DP39" s="1">
        <v>16777215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395850</v>
      </c>
      <c r="DW39" s="1">
        <v>457191.37</v>
      </c>
      <c r="DX39" s="1">
        <v>31345322.399999999</v>
      </c>
      <c r="DY39" s="1">
        <v>-1110160.2399999984</v>
      </c>
      <c r="DZ39" s="1">
        <v>92570020.519999966</v>
      </c>
      <c r="EA39" s="1">
        <v>0</v>
      </c>
      <c r="EB39" s="1">
        <v>0</v>
      </c>
      <c r="EC39" s="1" t="s">
        <v>176</v>
      </c>
      <c r="EE39" s="1">
        <v>0</v>
      </c>
      <c r="EF39" s="1">
        <v>3</v>
      </c>
      <c r="EG39" s="1">
        <v>0</v>
      </c>
      <c r="EH39" s="1">
        <v>0</v>
      </c>
      <c r="EI39" s="1">
        <v>0</v>
      </c>
      <c r="EL39" s="1">
        <v>0</v>
      </c>
      <c r="EM39" s="1">
        <v>0</v>
      </c>
      <c r="EN39" s="1">
        <v>1633661.45</v>
      </c>
      <c r="EO39" s="1">
        <v>1.2333592799999999</v>
      </c>
      <c r="ER39" s="1">
        <v>1131</v>
      </c>
      <c r="ES39" s="1">
        <v>0.86770000000000003</v>
      </c>
      <c r="ET39" s="1">
        <v>0</v>
      </c>
      <c r="EU39" s="1">
        <v>0</v>
      </c>
      <c r="EV39" s="1">
        <v>0</v>
      </c>
      <c r="EW39" s="1">
        <v>0</v>
      </c>
      <c r="EX39" s="1">
        <v>0</v>
      </c>
      <c r="EY39" s="1">
        <v>0</v>
      </c>
      <c r="EZ39" s="1">
        <v>0</v>
      </c>
      <c r="FA39" s="1">
        <v>0</v>
      </c>
      <c r="FB39" s="1">
        <v>0</v>
      </c>
      <c r="FC39" s="1">
        <v>0</v>
      </c>
      <c r="FD39" s="1">
        <v>0</v>
      </c>
      <c r="FE39" s="1">
        <v>0</v>
      </c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3">
      <c r="A40" s="1">
        <v>16975547</v>
      </c>
      <c r="B40" s="1">
        <v>128</v>
      </c>
      <c r="C40" s="1">
        <v>10673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1000</v>
      </c>
      <c r="J40" s="1">
        <v>1000</v>
      </c>
      <c r="K40" s="1">
        <v>10</v>
      </c>
      <c r="L40" s="1">
        <v>10</v>
      </c>
      <c r="M40" s="1">
        <v>10</v>
      </c>
      <c r="N40" s="1">
        <v>9.1999999999999993</v>
      </c>
      <c r="O40" s="1">
        <v>510820</v>
      </c>
      <c r="P40" s="1">
        <v>470151.87</v>
      </c>
      <c r="Q40" s="1">
        <v>510820</v>
      </c>
      <c r="R40" s="1">
        <v>470151.87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/>
      <c r="AF40" s="1" t="s">
        <v>161</v>
      </c>
      <c r="AG40" s="1" t="s">
        <v>970</v>
      </c>
      <c r="AH40" s="1" t="s">
        <v>733</v>
      </c>
      <c r="AI40" s="1">
        <v>5</v>
      </c>
      <c r="AJ40" s="1" t="s">
        <v>162</v>
      </c>
      <c r="AK40" s="1" t="s">
        <v>163</v>
      </c>
      <c r="AL40" s="1">
        <v>460.12</v>
      </c>
      <c r="AM40" s="1">
        <v>456.79</v>
      </c>
      <c r="AN40" s="1">
        <v>456790</v>
      </c>
      <c r="AO40" s="1">
        <v>435702.02</v>
      </c>
      <c r="AP40" s="1" t="s">
        <v>176</v>
      </c>
      <c r="AQ40" s="1">
        <v>4</v>
      </c>
      <c r="AR40" s="1" t="s">
        <v>165</v>
      </c>
      <c r="AS40" s="1">
        <v>132534288.59999999</v>
      </c>
      <c r="AT40" s="1" t="s">
        <v>176</v>
      </c>
      <c r="AU40" s="1">
        <v>1</v>
      </c>
      <c r="AV40" s="1">
        <v>1</v>
      </c>
      <c r="AW40" s="1" t="s">
        <v>210</v>
      </c>
      <c r="AX40" s="1" t="s">
        <v>211</v>
      </c>
      <c r="AY40" s="1">
        <v>0</v>
      </c>
      <c r="BA40" s="1">
        <v>8205251.6799999997</v>
      </c>
      <c r="BB40" s="1">
        <v>1.0484</v>
      </c>
      <c r="BD40" s="1" t="s">
        <v>971</v>
      </c>
      <c r="BE40" s="1">
        <v>1</v>
      </c>
      <c r="BF40" s="1">
        <v>1</v>
      </c>
      <c r="BG40" s="1" t="s">
        <v>168</v>
      </c>
      <c r="BH40" s="1">
        <v>0</v>
      </c>
      <c r="BI40" s="1">
        <v>31345322.399999999</v>
      </c>
      <c r="BJ40" s="1">
        <v>1.3900064999999999</v>
      </c>
      <c r="BK40" s="1">
        <v>123618989.48999999</v>
      </c>
      <c r="BL40" s="1">
        <v>132456249.91</v>
      </c>
      <c r="BM40" s="1">
        <v>596150.00000000012</v>
      </c>
      <c r="BN40" s="1">
        <v>9219855.2300000004</v>
      </c>
      <c r="BO40" s="1">
        <v>23.664660909999998</v>
      </c>
      <c r="BP40" s="1">
        <v>0.45007313999999998</v>
      </c>
      <c r="BQ40" s="1">
        <v>6.9606796500000003</v>
      </c>
      <c r="BR40" s="1">
        <v>0.32894033</v>
      </c>
      <c r="BS40" s="1" t="s">
        <v>169</v>
      </c>
      <c r="BT40" s="1" t="s">
        <v>169</v>
      </c>
      <c r="BU40" s="1">
        <v>26356083.120000001</v>
      </c>
      <c r="BV40" s="1">
        <v>1.3900064999999999</v>
      </c>
      <c r="BW40" s="1">
        <v>518.05999999999995</v>
      </c>
      <c r="BX40" s="1">
        <v>-0.72</v>
      </c>
      <c r="BY40" s="1" t="s">
        <v>170</v>
      </c>
      <c r="BZ40" s="1">
        <v>-78038.69</v>
      </c>
      <c r="CA40" s="1" t="s">
        <v>182</v>
      </c>
      <c r="CB40" s="1" t="s">
        <v>183</v>
      </c>
      <c r="CC40" s="1">
        <v>-50700</v>
      </c>
      <c r="CD40" s="1">
        <v>-34967.910000000003</v>
      </c>
      <c r="CE40" s="1">
        <v>460120</v>
      </c>
      <c r="CF40" s="1">
        <v>435183.96</v>
      </c>
      <c r="CG40" s="1">
        <v>0</v>
      </c>
      <c r="CH40" s="1">
        <v>1.4438757900000001</v>
      </c>
      <c r="CI40" s="1">
        <v>13.27863496</v>
      </c>
      <c r="CJ40" s="1">
        <v>17588381.91</v>
      </c>
      <c r="CK40" s="1">
        <v>1912503.72</v>
      </c>
      <c r="CL40" s="1">
        <v>6269233.6699999999</v>
      </c>
      <c r="CM40" s="1" t="s">
        <v>164</v>
      </c>
      <c r="CN40" s="1" t="s">
        <v>164</v>
      </c>
      <c r="CO40" s="1" t="s">
        <v>184</v>
      </c>
      <c r="CP40" s="1" t="s">
        <v>243</v>
      </c>
      <c r="CQ40" s="1" t="s">
        <v>185</v>
      </c>
      <c r="CR40" s="1">
        <v>0</v>
      </c>
      <c r="CS40" s="1" t="s">
        <v>243</v>
      </c>
      <c r="CT40" s="1">
        <v>0.35245557</v>
      </c>
      <c r="CV40" s="1">
        <v>0</v>
      </c>
      <c r="CW40" s="1">
        <v>-219173.26</v>
      </c>
      <c r="DA40" s="1">
        <v>1355558.46</v>
      </c>
      <c r="DB40" s="1">
        <v>0</v>
      </c>
      <c r="DC40" s="1">
        <v>2520.3126550000002</v>
      </c>
      <c r="DD40" s="1">
        <v>52555.483399999997</v>
      </c>
      <c r="DE40" s="1">
        <v>-296353.43</v>
      </c>
      <c r="DF40" s="1">
        <v>92570020.519999996</v>
      </c>
      <c r="DG40" s="1">
        <v>-3330</v>
      </c>
      <c r="DH40" s="1">
        <v>394770.09</v>
      </c>
      <c r="DI40" s="1">
        <v>0.29803809999999997</v>
      </c>
      <c r="DK40" s="1">
        <v>0</v>
      </c>
      <c r="DL40" s="1">
        <v>0</v>
      </c>
      <c r="DM40" s="1">
        <v>-296353.43</v>
      </c>
      <c r="DN40" s="1">
        <v>0</v>
      </c>
      <c r="DO40" s="1">
        <v>0</v>
      </c>
      <c r="DP40" s="1">
        <v>16777215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456790</v>
      </c>
      <c r="DW40" s="1">
        <v>435702.02</v>
      </c>
      <c r="DX40" s="1">
        <v>31345322.399999999</v>
      </c>
      <c r="DY40" s="1">
        <v>-1110160.2399999984</v>
      </c>
      <c r="DZ40" s="1">
        <v>92570020.519999966</v>
      </c>
      <c r="EA40" s="1">
        <v>0</v>
      </c>
      <c r="EB40" s="1">
        <v>0</v>
      </c>
      <c r="EC40" s="1" t="s">
        <v>176</v>
      </c>
      <c r="EE40" s="1">
        <v>0</v>
      </c>
      <c r="EF40" s="1">
        <v>3</v>
      </c>
      <c r="EG40" s="1">
        <v>0</v>
      </c>
      <c r="EH40" s="1">
        <v>0</v>
      </c>
      <c r="EI40" s="1">
        <v>0</v>
      </c>
      <c r="EL40" s="1">
        <v>0</v>
      </c>
      <c r="EM40" s="1">
        <v>0</v>
      </c>
      <c r="EN40" s="1">
        <v>1633661.45</v>
      </c>
      <c r="EO40" s="1">
        <v>1.2333592799999999</v>
      </c>
      <c r="ER40" s="1">
        <v>460.12</v>
      </c>
      <c r="ES40" s="1">
        <v>1.0572999999999999</v>
      </c>
      <c r="ET40" s="1">
        <v>0</v>
      </c>
      <c r="EU40" s="1">
        <v>0</v>
      </c>
      <c r="EV40" s="1">
        <v>0</v>
      </c>
      <c r="EW40" s="1">
        <v>0</v>
      </c>
      <c r="EX40" s="1">
        <v>0</v>
      </c>
      <c r="EY40" s="1">
        <v>0</v>
      </c>
      <c r="EZ40" s="1">
        <v>0</v>
      </c>
      <c r="FA40" s="1">
        <v>0</v>
      </c>
      <c r="FB40" s="1">
        <v>0</v>
      </c>
      <c r="FC40" s="1">
        <v>0</v>
      </c>
      <c r="FD40" s="1">
        <v>0</v>
      </c>
      <c r="FE40" s="1">
        <v>0</v>
      </c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3">
      <c r="A41" s="1">
        <v>16975587</v>
      </c>
      <c r="B41" s="1">
        <v>128</v>
      </c>
      <c r="C41" s="1">
        <v>10681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2000</v>
      </c>
      <c r="J41" s="1">
        <v>2000</v>
      </c>
      <c r="K41" s="1">
        <v>0.61</v>
      </c>
      <c r="L41" s="1">
        <v>0.61</v>
      </c>
      <c r="M41" s="1">
        <v>0.61</v>
      </c>
      <c r="N41" s="1">
        <v>0.56000000000000005</v>
      </c>
      <c r="O41" s="1">
        <v>466100</v>
      </c>
      <c r="P41" s="1">
        <v>428992.18</v>
      </c>
      <c r="Q41" s="1">
        <v>466100</v>
      </c>
      <c r="R41" s="1">
        <v>428992.18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/>
      <c r="AF41" s="1" t="s">
        <v>161</v>
      </c>
      <c r="AG41" s="1" t="s">
        <v>970</v>
      </c>
      <c r="AH41" s="1" t="s">
        <v>734</v>
      </c>
      <c r="AI41" s="1">
        <v>5</v>
      </c>
      <c r="AJ41" s="1" t="s">
        <v>162</v>
      </c>
      <c r="AK41" s="1" t="s">
        <v>191</v>
      </c>
      <c r="AL41" s="1">
        <v>208.96</v>
      </c>
      <c r="AM41" s="1">
        <v>208.14000000000001</v>
      </c>
      <c r="AN41" s="1">
        <v>416280.00000000006</v>
      </c>
      <c r="AO41" s="1">
        <v>397062.19</v>
      </c>
      <c r="AP41" s="1" t="s">
        <v>176</v>
      </c>
      <c r="AQ41" s="1">
        <v>4</v>
      </c>
      <c r="AR41" s="1" t="s">
        <v>165</v>
      </c>
      <c r="AS41" s="1">
        <v>132534288.59999999</v>
      </c>
      <c r="AT41" s="1" t="s">
        <v>176</v>
      </c>
      <c r="AU41" s="1">
        <v>1</v>
      </c>
      <c r="AV41" s="1">
        <v>1</v>
      </c>
      <c r="AW41" s="1" t="s">
        <v>210</v>
      </c>
      <c r="AX41" s="1" t="s">
        <v>448</v>
      </c>
      <c r="AY41" s="1">
        <v>0</v>
      </c>
      <c r="BA41" s="1">
        <v>8205251.6799999997</v>
      </c>
      <c r="BB41" s="1">
        <v>1.0484</v>
      </c>
      <c r="BD41" s="1" t="s">
        <v>971</v>
      </c>
      <c r="BE41" s="1">
        <v>1</v>
      </c>
      <c r="BF41" s="1">
        <v>1</v>
      </c>
      <c r="BG41" s="1" t="s">
        <v>168</v>
      </c>
      <c r="BH41" s="1">
        <v>0</v>
      </c>
      <c r="BI41" s="1">
        <v>31345322.399999999</v>
      </c>
      <c r="BJ41" s="1">
        <v>1.26673506</v>
      </c>
      <c r="BK41" s="1">
        <v>123618989.48999999</v>
      </c>
      <c r="BL41" s="1">
        <v>132456249.91</v>
      </c>
      <c r="BM41" s="1">
        <v>596150.00000000012</v>
      </c>
      <c r="BN41" s="1">
        <v>9219855.2300000004</v>
      </c>
      <c r="BO41" s="1">
        <v>23.664660909999998</v>
      </c>
      <c r="BP41" s="1">
        <v>0.45007313999999998</v>
      </c>
      <c r="BQ41" s="1">
        <v>6.9606796500000003</v>
      </c>
      <c r="BR41" s="1">
        <v>0.29976856000000002</v>
      </c>
      <c r="BS41" s="1" t="s">
        <v>169</v>
      </c>
      <c r="BT41" s="1" t="s">
        <v>169</v>
      </c>
      <c r="BU41" s="1">
        <v>26356083.120000001</v>
      </c>
      <c r="BV41" s="1">
        <v>1.26673506</v>
      </c>
      <c r="BW41" s="1">
        <v>1791.22</v>
      </c>
      <c r="BX41" s="1">
        <v>-0.39</v>
      </c>
      <c r="BY41" s="1" t="s">
        <v>170</v>
      </c>
      <c r="BZ41" s="1">
        <v>-78038.69</v>
      </c>
      <c r="CA41" s="1" t="s">
        <v>182</v>
      </c>
      <c r="CB41" s="1" t="s">
        <v>183</v>
      </c>
      <c r="CC41" s="1">
        <v>-48180</v>
      </c>
      <c r="CD41" s="1">
        <v>-33721.21</v>
      </c>
      <c r="CE41" s="1">
        <v>417920</v>
      </c>
      <c r="CF41" s="1">
        <v>395270.97</v>
      </c>
      <c r="CG41" s="1">
        <v>0</v>
      </c>
      <c r="CH41" s="1">
        <v>1.4438757900000001</v>
      </c>
      <c r="CI41" s="1">
        <v>13.27863496</v>
      </c>
      <c r="CJ41" s="1">
        <v>17588381.91</v>
      </c>
      <c r="CK41" s="1">
        <v>1912503.72</v>
      </c>
      <c r="CL41" s="1">
        <v>6269233.6699999999</v>
      </c>
      <c r="CM41" s="1" t="s">
        <v>164</v>
      </c>
      <c r="CN41" s="1" t="s">
        <v>164</v>
      </c>
      <c r="CO41" s="1" t="s">
        <v>184</v>
      </c>
      <c r="CP41" s="1" t="s">
        <v>243</v>
      </c>
      <c r="CQ41" s="1" t="s">
        <v>185</v>
      </c>
      <c r="CR41" s="1">
        <v>0</v>
      </c>
      <c r="CS41" s="1" t="s">
        <v>243</v>
      </c>
      <c r="CT41" s="1">
        <v>0.32119838000000001</v>
      </c>
      <c r="CV41" s="1">
        <v>0</v>
      </c>
      <c r="CW41" s="1">
        <v>-219173.26</v>
      </c>
      <c r="DA41" s="1">
        <v>1355558.46</v>
      </c>
      <c r="DB41" s="1">
        <v>0</v>
      </c>
      <c r="DC41" s="1">
        <v>2520.3126550000002</v>
      </c>
      <c r="DD41" s="1">
        <v>52555.483399999997</v>
      </c>
      <c r="DE41" s="1">
        <v>-296353.43</v>
      </c>
      <c r="DF41" s="1">
        <v>92570020.519999996</v>
      </c>
      <c r="DG41" s="1">
        <v>-1640</v>
      </c>
      <c r="DH41" s="1">
        <v>394770.09</v>
      </c>
      <c r="DI41" s="1">
        <v>0.29803809999999997</v>
      </c>
      <c r="DK41" s="1">
        <v>0</v>
      </c>
      <c r="DL41" s="1">
        <v>0</v>
      </c>
      <c r="DM41" s="1">
        <v>-296353.43</v>
      </c>
      <c r="DN41" s="1">
        <v>0</v>
      </c>
      <c r="DO41" s="1">
        <v>0</v>
      </c>
      <c r="DP41" s="1">
        <v>16777215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416280.00000000006</v>
      </c>
      <c r="DW41" s="1">
        <v>397062.19</v>
      </c>
      <c r="DX41" s="1">
        <v>31345322.399999999</v>
      </c>
      <c r="DY41" s="1">
        <v>-1110160.2399999984</v>
      </c>
      <c r="DZ41" s="1">
        <v>92570020.519999966</v>
      </c>
      <c r="EA41" s="1">
        <v>0</v>
      </c>
      <c r="EB41" s="1">
        <v>0</v>
      </c>
      <c r="EC41" s="1" t="s">
        <v>176</v>
      </c>
      <c r="EE41" s="1">
        <v>0</v>
      </c>
      <c r="EF41" s="1">
        <v>3</v>
      </c>
      <c r="EG41" s="1">
        <v>0</v>
      </c>
      <c r="EH41" s="1">
        <v>0</v>
      </c>
      <c r="EI41" s="1">
        <v>0</v>
      </c>
      <c r="EL41" s="1">
        <v>0</v>
      </c>
      <c r="EM41" s="1">
        <v>0</v>
      </c>
      <c r="EN41" s="1">
        <v>1633661.45</v>
      </c>
      <c r="EO41" s="1">
        <v>1.2333592799999999</v>
      </c>
      <c r="ER41" s="1">
        <v>208.96</v>
      </c>
      <c r="ES41" s="1">
        <v>1.0572999999999999</v>
      </c>
      <c r="ET41" s="1">
        <v>0</v>
      </c>
      <c r="EU41" s="1">
        <v>0</v>
      </c>
      <c r="EV41" s="1">
        <v>0</v>
      </c>
      <c r="EW41" s="1">
        <v>0</v>
      </c>
      <c r="EX41" s="1">
        <v>0</v>
      </c>
      <c r="EY41" s="1">
        <v>0</v>
      </c>
      <c r="EZ41" s="1">
        <v>0</v>
      </c>
      <c r="FA41" s="1">
        <v>0</v>
      </c>
      <c r="FB41" s="1">
        <v>0</v>
      </c>
      <c r="FC41" s="1">
        <v>0</v>
      </c>
      <c r="FD41" s="1">
        <v>0</v>
      </c>
      <c r="FE41" s="1">
        <v>0</v>
      </c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3">
      <c r="A42" s="1">
        <v>16975346</v>
      </c>
      <c r="B42" s="1">
        <v>128</v>
      </c>
      <c r="C42" s="1">
        <v>2653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4000</v>
      </c>
      <c r="J42" s="1">
        <v>4000</v>
      </c>
      <c r="K42" s="1">
        <v>13.8</v>
      </c>
      <c r="L42" s="1">
        <v>13.8</v>
      </c>
      <c r="M42" s="1">
        <v>13.8</v>
      </c>
      <c r="N42" s="1">
        <v>12.08</v>
      </c>
      <c r="O42" s="1">
        <v>1164850.3700000001</v>
      </c>
      <c r="P42" s="1">
        <v>1074780.82</v>
      </c>
      <c r="Q42" s="1">
        <v>1164850.3700000001</v>
      </c>
      <c r="R42" s="1">
        <v>1074780.82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/>
      <c r="AF42" s="1" t="s">
        <v>161</v>
      </c>
      <c r="AG42" s="1" t="s">
        <v>970</v>
      </c>
      <c r="AH42" s="1" t="s">
        <v>212</v>
      </c>
      <c r="AI42" s="1">
        <v>5</v>
      </c>
      <c r="AJ42" s="1" t="s">
        <v>162</v>
      </c>
      <c r="AK42" s="1" t="s">
        <v>163</v>
      </c>
      <c r="AL42" s="1">
        <v>350.3</v>
      </c>
      <c r="AM42" s="1">
        <v>348.08</v>
      </c>
      <c r="AN42" s="1">
        <v>1392320</v>
      </c>
      <c r="AO42" s="1">
        <v>1328042.73</v>
      </c>
      <c r="AP42" s="1" t="s">
        <v>176</v>
      </c>
      <c r="AQ42" s="1">
        <v>4</v>
      </c>
      <c r="AR42" s="1" t="s">
        <v>165</v>
      </c>
      <c r="AS42" s="1">
        <v>132534288.59999999</v>
      </c>
      <c r="AT42" s="1" t="s">
        <v>176</v>
      </c>
      <c r="AU42" s="1">
        <v>1</v>
      </c>
      <c r="AV42" s="1">
        <v>1</v>
      </c>
      <c r="AW42" s="1" t="s">
        <v>210</v>
      </c>
      <c r="AX42" s="1" t="s">
        <v>167</v>
      </c>
      <c r="AY42" s="1">
        <v>0</v>
      </c>
      <c r="AZ42">
        <v>999999999</v>
      </c>
      <c r="BA42" s="1">
        <v>8205251.6799999997</v>
      </c>
      <c r="BB42" s="1">
        <v>1.0484</v>
      </c>
      <c r="BD42" s="1" t="s">
        <v>971</v>
      </c>
      <c r="BE42" s="1">
        <v>1</v>
      </c>
      <c r="BF42" s="1">
        <v>1</v>
      </c>
      <c r="BG42" s="1" t="s">
        <v>168</v>
      </c>
      <c r="BH42" s="1">
        <v>0</v>
      </c>
      <c r="BI42" s="1">
        <v>31345322.399999999</v>
      </c>
      <c r="BJ42" s="1">
        <v>4.2368131099999999</v>
      </c>
      <c r="BK42" s="1">
        <v>123618989.48999999</v>
      </c>
      <c r="BL42" s="1">
        <v>132456249.91</v>
      </c>
      <c r="BM42" s="1">
        <v>596150.00000000012</v>
      </c>
      <c r="BN42" s="1">
        <v>9219855.2300000004</v>
      </c>
      <c r="BO42" s="1">
        <v>23.664660909999998</v>
      </c>
      <c r="BP42" s="1">
        <v>0.45007313999999998</v>
      </c>
      <c r="BQ42" s="1">
        <v>6.9606796500000003</v>
      </c>
      <c r="BR42" s="1">
        <v>1.00262746</v>
      </c>
      <c r="BS42" s="1" t="s">
        <v>169</v>
      </c>
      <c r="BT42" s="1" t="s">
        <v>169</v>
      </c>
      <c r="BU42" s="1">
        <v>26356083.120000001</v>
      </c>
      <c r="BV42" s="1">
        <v>4.2368131099999999</v>
      </c>
      <c r="BW42" s="1">
        <v>2780.27</v>
      </c>
      <c r="BX42" s="1">
        <v>-0.63</v>
      </c>
      <c r="BY42" s="1" t="s">
        <v>170</v>
      </c>
      <c r="BZ42" s="1">
        <v>-78038.69</v>
      </c>
      <c r="CA42" s="1" t="s">
        <v>182</v>
      </c>
      <c r="CB42" s="1" t="s">
        <v>183</v>
      </c>
      <c r="CC42" s="1">
        <v>236349.63</v>
      </c>
      <c r="CD42" s="1">
        <v>250481.64</v>
      </c>
      <c r="CE42" s="1">
        <v>1401200</v>
      </c>
      <c r="CF42" s="1">
        <v>1325262.46</v>
      </c>
      <c r="CG42" s="1">
        <v>0</v>
      </c>
      <c r="CH42" s="1">
        <v>1.4438757900000001</v>
      </c>
      <c r="CI42" s="1">
        <v>13.27863496</v>
      </c>
      <c r="CJ42" s="1">
        <v>17588381.91</v>
      </c>
      <c r="CK42" s="1">
        <v>1912503.72</v>
      </c>
      <c r="CL42" s="1">
        <v>6269233.6699999999</v>
      </c>
      <c r="CM42" s="1" t="s">
        <v>164</v>
      </c>
      <c r="CN42" s="1" t="s">
        <v>164</v>
      </c>
      <c r="CO42" s="1" t="s">
        <v>184</v>
      </c>
      <c r="CP42" s="1" t="s">
        <v>243</v>
      </c>
      <c r="CQ42" s="1" t="s">
        <v>185</v>
      </c>
      <c r="CR42" s="1">
        <v>0</v>
      </c>
      <c r="CS42" s="1" t="s">
        <v>243</v>
      </c>
      <c r="CT42" s="1">
        <v>1.07430318</v>
      </c>
      <c r="CV42" s="1">
        <v>0</v>
      </c>
      <c r="CW42" s="1">
        <v>-219173.26</v>
      </c>
      <c r="DA42" s="1">
        <v>1355558.46</v>
      </c>
      <c r="DB42" s="1">
        <v>0</v>
      </c>
      <c r="DC42" s="1">
        <v>2520.3126550000002</v>
      </c>
      <c r="DD42" s="1">
        <v>52555.483399999997</v>
      </c>
      <c r="DE42" s="1">
        <v>-296353.43</v>
      </c>
      <c r="DF42" s="1">
        <v>92570020.519999996</v>
      </c>
      <c r="DG42" s="1">
        <v>-8880</v>
      </c>
      <c r="DH42" s="1">
        <v>394770.09</v>
      </c>
      <c r="DI42" s="1">
        <v>0.29803809999999997</v>
      </c>
      <c r="DK42" s="1">
        <v>0</v>
      </c>
      <c r="DL42" s="1">
        <v>0</v>
      </c>
      <c r="DM42" s="1">
        <v>-296353.43</v>
      </c>
      <c r="DN42" s="1">
        <v>0</v>
      </c>
      <c r="DO42" s="1">
        <v>0</v>
      </c>
      <c r="DP42" s="1">
        <v>16777215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1392320</v>
      </c>
      <c r="DW42" s="1">
        <v>1328042.73</v>
      </c>
      <c r="DX42" s="1">
        <v>31345322.399999999</v>
      </c>
      <c r="DY42" s="1">
        <v>-1110160.2399999984</v>
      </c>
      <c r="DZ42" s="1">
        <v>92570020.519999966</v>
      </c>
      <c r="EA42" s="1">
        <v>0</v>
      </c>
      <c r="EB42" s="1">
        <v>0</v>
      </c>
      <c r="EC42" s="1" t="s">
        <v>176</v>
      </c>
      <c r="EE42" s="1">
        <v>0</v>
      </c>
      <c r="EF42" s="1">
        <v>3</v>
      </c>
      <c r="EG42" s="1">
        <v>0</v>
      </c>
      <c r="EH42" s="1">
        <v>0</v>
      </c>
      <c r="EI42" s="1">
        <v>0</v>
      </c>
      <c r="EL42" s="1">
        <v>0</v>
      </c>
      <c r="EM42" s="1">
        <v>0</v>
      </c>
      <c r="EN42" s="1">
        <v>1633661.45</v>
      </c>
      <c r="EO42" s="1">
        <v>1.2333592799999999</v>
      </c>
      <c r="ER42" s="1">
        <v>350.3</v>
      </c>
      <c r="ES42" s="1">
        <v>1.0572999999999999</v>
      </c>
      <c r="ET42" s="1">
        <v>0</v>
      </c>
      <c r="EU42" s="1">
        <v>0</v>
      </c>
      <c r="EV42" s="1">
        <v>0</v>
      </c>
      <c r="EW42" s="1">
        <v>0</v>
      </c>
      <c r="EX42" s="1">
        <v>0</v>
      </c>
      <c r="EY42" s="1">
        <v>0</v>
      </c>
      <c r="EZ42" s="1">
        <v>0</v>
      </c>
      <c r="FA42" s="1">
        <v>0</v>
      </c>
      <c r="FB42" s="1">
        <v>0</v>
      </c>
      <c r="FC42" s="1">
        <v>0</v>
      </c>
      <c r="FD42" s="1">
        <v>0</v>
      </c>
      <c r="FE42" s="1">
        <v>0</v>
      </c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3">
      <c r="A43" s="1">
        <v>16975372</v>
      </c>
      <c r="B43" s="1">
        <v>128</v>
      </c>
      <c r="C43" s="1">
        <v>4393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6500</v>
      </c>
      <c r="J43" s="1">
        <v>6500</v>
      </c>
      <c r="K43" s="1">
        <v>10400</v>
      </c>
      <c r="L43" s="1">
        <v>10400</v>
      </c>
      <c r="M43" s="1">
        <v>10400</v>
      </c>
      <c r="N43" s="1">
        <v>10400</v>
      </c>
      <c r="O43" s="1">
        <v>407131.3</v>
      </c>
      <c r="P43" s="1">
        <v>407131.3</v>
      </c>
      <c r="Q43" s="1">
        <v>407131.3</v>
      </c>
      <c r="R43" s="1">
        <v>407131.3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/>
      <c r="AF43" s="1" t="s">
        <v>161</v>
      </c>
      <c r="AG43" s="1" t="s">
        <v>970</v>
      </c>
      <c r="AH43" s="1" t="s">
        <v>735</v>
      </c>
      <c r="AI43" s="1">
        <v>4</v>
      </c>
      <c r="AJ43" s="1" t="s">
        <v>165</v>
      </c>
      <c r="AK43" s="1" t="s">
        <v>191</v>
      </c>
      <c r="AL43" s="1">
        <v>66</v>
      </c>
      <c r="AM43" s="1">
        <v>64.650000000000006</v>
      </c>
      <c r="AN43" s="1">
        <v>420225.00000000006</v>
      </c>
      <c r="AO43" s="1">
        <v>420225.00000000006</v>
      </c>
      <c r="AP43" s="1" t="s">
        <v>176</v>
      </c>
      <c r="AQ43" s="1">
        <v>4</v>
      </c>
      <c r="AR43" s="1" t="s">
        <v>165</v>
      </c>
      <c r="AS43" s="1">
        <v>132534288.59999999</v>
      </c>
      <c r="AT43" s="1" t="s">
        <v>176</v>
      </c>
      <c r="AU43" s="1">
        <v>1</v>
      </c>
      <c r="AV43" s="1">
        <v>1</v>
      </c>
      <c r="AW43" s="1" t="s">
        <v>210</v>
      </c>
      <c r="AX43" s="1" t="s">
        <v>167</v>
      </c>
      <c r="AY43" s="1">
        <v>0</v>
      </c>
      <c r="AZ43">
        <v>999999999</v>
      </c>
      <c r="BA43" s="1">
        <v>8205251.6799999997</v>
      </c>
      <c r="BB43" s="1">
        <v>1</v>
      </c>
      <c r="BD43" s="1" t="s">
        <v>971</v>
      </c>
      <c r="BE43" s="1">
        <v>1</v>
      </c>
      <c r="BF43" s="1">
        <v>1</v>
      </c>
      <c r="BG43" s="1" t="s">
        <v>168</v>
      </c>
      <c r="BH43" s="1">
        <v>0</v>
      </c>
      <c r="BI43" s="1">
        <v>31345322.399999999</v>
      </c>
      <c r="BJ43" s="1">
        <v>1.34063065</v>
      </c>
      <c r="BK43" s="1">
        <v>123618989.48999999</v>
      </c>
      <c r="BL43" s="1">
        <v>132456249.91</v>
      </c>
      <c r="BM43" s="1">
        <v>596150.00000000012</v>
      </c>
      <c r="BN43" s="1">
        <v>9219855.2300000004</v>
      </c>
      <c r="BO43" s="1">
        <v>23.664660909999998</v>
      </c>
      <c r="BP43" s="1">
        <v>0.45007313999999998</v>
      </c>
      <c r="BQ43" s="1">
        <v>6.9606796500000003</v>
      </c>
      <c r="BR43" s="1">
        <v>0.31725569999999997</v>
      </c>
      <c r="BS43" s="1" t="s">
        <v>169</v>
      </c>
      <c r="BT43" s="1" t="s">
        <v>169</v>
      </c>
      <c r="BU43" s="1">
        <v>26356083.120000001</v>
      </c>
      <c r="BV43" s="1">
        <v>1.34063065</v>
      </c>
      <c r="BW43" s="1">
        <v>-8775</v>
      </c>
      <c r="BX43" s="1">
        <v>-2.0499999999999998</v>
      </c>
      <c r="BY43" s="1" t="s">
        <v>170</v>
      </c>
      <c r="BZ43" s="1">
        <v>-78038.69</v>
      </c>
      <c r="CA43" s="1" t="s">
        <v>182</v>
      </c>
      <c r="CB43" s="1" t="s">
        <v>183</v>
      </c>
      <c r="CC43" s="1">
        <v>21868.7</v>
      </c>
      <c r="CD43" s="1">
        <v>21868.7</v>
      </c>
      <c r="CE43" s="1">
        <v>429000</v>
      </c>
      <c r="CF43" s="1">
        <v>429000</v>
      </c>
      <c r="CG43" s="1">
        <v>0</v>
      </c>
      <c r="CH43" s="1">
        <v>1.4438757900000001</v>
      </c>
      <c r="CI43" s="1">
        <v>13.27863496</v>
      </c>
      <c r="CJ43" s="1">
        <v>17588381.91</v>
      </c>
      <c r="CK43" s="1">
        <v>1912503.72</v>
      </c>
      <c r="CL43" s="1">
        <v>6269233.6699999999</v>
      </c>
      <c r="CM43" s="1" t="s">
        <v>164</v>
      </c>
      <c r="CN43" s="1" t="s">
        <v>164</v>
      </c>
      <c r="CO43" s="1" t="s">
        <v>184</v>
      </c>
      <c r="CP43" s="1" t="s">
        <v>243</v>
      </c>
      <c r="CQ43" s="1" t="s">
        <v>185</v>
      </c>
      <c r="CR43" s="1">
        <v>0</v>
      </c>
      <c r="CS43" s="1" t="s">
        <v>243</v>
      </c>
      <c r="CT43" s="1">
        <v>0.33993563999999998</v>
      </c>
      <c r="CV43" s="1">
        <v>0</v>
      </c>
      <c r="CW43" s="1">
        <v>-219173.26</v>
      </c>
      <c r="DA43" s="1">
        <v>1355558.46</v>
      </c>
      <c r="DB43" s="1">
        <v>0</v>
      </c>
      <c r="DC43" s="1">
        <v>2520.3126550000002</v>
      </c>
      <c r="DD43" s="1">
        <v>52555.483399999997</v>
      </c>
      <c r="DE43" s="1">
        <v>-296353.43</v>
      </c>
      <c r="DF43" s="1">
        <v>92570020.519999996</v>
      </c>
      <c r="DG43" s="1">
        <v>-8775</v>
      </c>
      <c r="DH43" s="1">
        <v>394770.09</v>
      </c>
      <c r="DI43" s="1">
        <v>0.29803809999999997</v>
      </c>
      <c r="DK43" s="1">
        <v>0</v>
      </c>
      <c r="DL43" s="1">
        <v>0</v>
      </c>
      <c r="DM43" s="1">
        <v>-296353.43</v>
      </c>
      <c r="DN43" s="1">
        <v>0</v>
      </c>
      <c r="DO43" s="1">
        <v>0</v>
      </c>
      <c r="DP43" s="1">
        <v>16777215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420225.00000000006</v>
      </c>
      <c r="DW43" s="1">
        <v>420225.00000000006</v>
      </c>
      <c r="DX43" s="1">
        <v>31345322.399999999</v>
      </c>
      <c r="DY43" s="1">
        <v>-1110160.2399999984</v>
      </c>
      <c r="DZ43" s="1">
        <v>92570020.519999966</v>
      </c>
      <c r="EA43" s="1">
        <v>0</v>
      </c>
      <c r="EB43" s="1">
        <v>0</v>
      </c>
      <c r="EC43" s="1" t="s">
        <v>176</v>
      </c>
      <c r="EE43" s="1">
        <v>0</v>
      </c>
      <c r="EF43" s="1">
        <v>3</v>
      </c>
      <c r="EG43" s="1">
        <v>0</v>
      </c>
      <c r="EH43" s="1">
        <v>0</v>
      </c>
      <c r="EI43" s="1">
        <v>0</v>
      </c>
      <c r="EL43" s="1">
        <v>0</v>
      </c>
      <c r="EM43" s="1">
        <v>0</v>
      </c>
      <c r="EN43" s="1">
        <v>1633661.45</v>
      </c>
      <c r="EO43" s="1">
        <v>1.2333592799999999</v>
      </c>
      <c r="ER43" s="1">
        <v>66</v>
      </c>
      <c r="ES43" s="1">
        <v>1</v>
      </c>
      <c r="ET43" s="1">
        <v>0</v>
      </c>
      <c r="EU43" s="1">
        <v>0</v>
      </c>
      <c r="EV43" s="1">
        <v>0</v>
      </c>
      <c r="EW43" s="1">
        <v>0</v>
      </c>
      <c r="EX43" s="1">
        <v>0</v>
      </c>
      <c r="EY43" s="1">
        <v>0</v>
      </c>
      <c r="EZ43" s="1">
        <v>0</v>
      </c>
      <c r="FA43" s="1">
        <v>0</v>
      </c>
      <c r="FB43" s="1">
        <v>0</v>
      </c>
      <c r="FC43" s="1">
        <v>0</v>
      </c>
      <c r="FD43" s="1">
        <v>0</v>
      </c>
      <c r="FE43" s="1">
        <v>0</v>
      </c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3">
      <c r="A44" s="1">
        <v>16975337</v>
      </c>
      <c r="B44" s="1">
        <v>128</v>
      </c>
      <c r="C44" s="1">
        <v>1366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3000</v>
      </c>
      <c r="J44" s="1">
        <v>3000</v>
      </c>
      <c r="K44" s="1">
        <v>3000</v>
      </c>
      <c r="L44" s="1">
        <v>3000</v>
      </c>
      <c r="M44" s="1">
        <v>3000</v>
      </c>
      <c r="N44" s="1">
        <v>3000</v>
      </c>
      <c r="O44" s="1">
        <v>293705.01</v>
      </c>
      <c r="P44" s="1">
        <v>293705.01</v>
      </c>
      <c r="Q44" s="1">
        <v>293705.01</v>
      </c>
      <c r="R44" s="1">
        <v>293705.01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/>
      <c r="AF44" s="1" t="s">
        <v>161</v>
      </c>
      <c r="AG44" s="1" t="s">
        <v>970</v>
      </c>
      <c r="AH44" s="1" t="s">
        <v>213</v>
      </c>
      <c r="AI44" s="1">
        <v>4</v>
      </c>
      <c r="AJ44" s="1" t="s">
        <v>165</v>
      </c>
      <c r="AK44" s="1" t="s">
        <v>191</v>
      </c>
      <c r="AL44" s="1">
        <v>126.98</v>
      </c>
      <c r="AM44" s="1">
        <v>125.56</v>
      </c>
      <c r="AN44" s="1">
        <v>376680</v>
      </c>
      <c r="AO44" s="1">
        <v>376680</v>
      </c>
      <c r="AP44" s="1" t="s">
        <v>176</v>
      </c>
      <c r="AQ44" s="1">
        <v>4</v>
      </c>
      <c r="AR44" s="1" t="s">
        <v>165</v>
      </c>
      <c r="AS44" s="1">
        <v>132534288.59999999</v>
      </c>
      <c r="AT44" s="1" t="s">
        <v>176</v>
      </c>
      <c r="AU44" s="1">
        <v>1</v>
      </c>
      <c r="AV44" s="1">
        <v>1</v>
      </c>
      <c r="AW44" s="1" t="s">
        <v>214</v>
      </c>
      <c r="AX44" s="1" t="s">
        <v>215</v>
      </c>
      <c r="AY44" s="1">
        <v>0</v>
      </c>
      <c r="BA44" s="1">
        <v>8205251.6799999997</v>
      </c>
      <c r="BB44" s="1">
        <v>1</v>
      </c>
      <c r="BD44" s="1" t="s">
        <v>971</v>
      </c>
      <c r="BE44" s="1">
        <v>1</v>
      </c>
      <c r="BF44" s="1">
        <v>1</v>
      </c>
      <c r="BG44" s="1" t="s">
        <v>168</v>
      </c>
      <c r="BH44" s="1">
        <v>0</v>
      </c>
      <c r="BI44" s="1">
        <v>31345322.399999999</v>
      </c>
      <c r="BJ44" s="1">
        <v>1.2017104000000001</v>
      </c>
      <c r="BK44" s="1">
        <v>123618989.48999999</v>
      </c>
      <c r="BL44" s="1">
        <v>132456249.91</v>
      </c>
      <c r="BM44" s="1">
        <v>596150.00000000012</v>
      </c>
      <c r="BN44" s="1">
        <v>9219855.2300000004</v>
      </c>
      <c r="BO44" s="1">
        <v>23.664660909999998</v>
      </c>
      <c r="BP44" s="1">
        <v>0.45007313999999998</v>
      </c>
      <c r="BQ44" s="1">
        <v>6.9606796500000003</v>
      </c>
      <c r="BR44" s="1">
        <v>0.28438068999999999</v>
      </c>
      <c r="BS44" s="1" t="s">
        <v>169</v>
      </c>
      <c r="BT44" s="1" t="s">
        <v>169</v>
      </c>
      <c r="BU44" s="1">
        <v>26356083.120000001</v>
      </c>
      <c r="BV44" s="1">
        <v>1.2017104000000001</v>
      </c>
      <c r="BW44" s="1">
        <v>-4260</v>
      </c>
      <c r="BX44" s="1">
        <v>-1.1200000000000001</v>
      </c>
      <c r="BY44" s="1" t="s">
        <v>170</v>
      </c>
      <c r="BZ44" s="1">
        <v>-78038.69</v>
      </c>
      <c r="CA44" s="1" t="s">
        <v>182</v>
      </c>
      <c r="CB44" s="1" t="s">
        <v>183</v>
      </c>
      <c r="CC44" s="1">
        <v>87234.99</v>
      </c>
      <c r="CD44" s="1">
        <v>87234.99</v>
      </c>
      <c r="CE44" s="1">
        <v>380940</v>
      </c>
      <c r="CF44" s="1">
        <v>380940</v>
      </c>
      <c r="CG44" s="1">
        <v>0</v>
      </c>
      <c r="CH44" s="1">
        <v>1.4438757900000001</v>
      </c>
      <c r="CI44" s="1">
        <v>13.27863496</v>
      </c>
      <c r="CJ44" s="1">
        <v>17588381.91</v>
      </c>
      <c r="CK44" s="1">
        <v>1912503.72</v>
      </c>
      <c r="CL44" s="1">
        <v>6269233.6699999999</v>
      </c>
      <c r="CM44" s="1" t="s">
        <v>164</v>
      </c>
      <c r="CN44" s="1" t="s">
        <v>164</v>
      </c>
      <c r="CO44" s="1" t="s">
        <v>184</v>
      </c>
      <c r="CP44" s="1" t="s">
        <v>243</v>
      </c>
      <c r="CQ44" s="1" t="s">
        <v>185</v>
      </c>
      <c r="CR44" s="1">
        <v>0</v>
      </c>
      <c r="CS44" s="1" t="s">
        <v>243</v>
      </c>
      <c r="CT44" s="1">
        <v>0.30471047000000001</v>
      </c>
      <c r="CV44" s="1">
        <v>0</v>
      </c>
      <c r="CW44" s="1">
        <v>-219173.26</v>
      </c>
      <c r="DA44" s="1">
        <v>1355558.46</v>
      </c>
      <c r="DB44" s="1">
        <v>0</v>
      </c>
      <c r="DC44" s="1">
        <v>2520.3126550000002</v>
      </c>
      <c r="DD44" s="1">
        <v>52555.483399999997</v>
      </c>
      <c r="DE44" s="1">
        <v>-296353.43</v>
      </c>
      <c r="DF44" s="1">
        <v>92570020.519999996</v>
      </c>
      <c r="DG44" s="1">
        <v>-4260</v>
      </c>
      <c r="DH44" s="1">
        <v>394770.09</v>
      </c>
      <c r="DI44" s="1">
        <v>0.29803809999999997</v>
      </c>
      <c r="DK44" s="1">
        <v>0</v>
      </c>
      <c r="DL44" s="1">
        <v>0</v>
      </c>
      <c r="DM44" s="1">
        <v>-296353.43</v>
      </c>
      <c r="DN44" s="1">
        <v>0</v>
      </c>
      <c r="DO44" s="1">
        <v>0</v>
      </c>
      <c r="DP44" s="1">
        <v>16777215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376680</v>
      </c>
      <c r="DW44" s="1">
        <v>376680</v>
      </c>
      <c r="DX44" s="1">
        <v>31345322.399999999</v>
      </c>
      <c r="DY44" s="1">
        <v>-1110160.2399999984</v>
      </c>
      <c r="DZ44" s="1">
        <v>92570020.519999966</v>
      </c>
      <c r="EA44" s="1">
        <v>0</v>
      </c>
      <c r="EB44" s="1">
        <v>0</v>
      </c>
      <c r="EC44" s="1" t="s">
        <v>176</v>
      </c>
      <c r="EE44" s="1">
        <v>0</v>
      </c>
      <c r="EF44" s="1">
        <v>3</v>
      </c>
      <c r="EG44" s="1">
        <v>0</v>
      </c>
      <c r="EH44" s="1">
        <v>0</v>
      </c>
      <c r="EI44" s="1">
        <v>0</v>
      </c>
      <c r="EL44" s="1">
        <v>0</v>
      </c>
      <c r="EM44" s="1">
        <v>0</v>
      </c>
      <c r="EN44" s="1">
        <v>1633661.45</v>
      </c>
      <c r="EO44" s="1">
        <v>1.2333592799999999</v>
      </c>
      <c r="ER44" s="1">
        <v>126.98</v>
      </c>
      <c r="ES44" s="1">
        <v>1</v>
      </c>
      <c r="ET44" s="1">
        <v>0</v>
      </c>
      <c r="EU44" s="1">
        <v>0</v>
      </c>
      <c r="EV44" s="1">
        <v>0</v>
      </c>
      <c r="EW44" s="1">
        <v>0</v>
      </c>
      <c r="EX44" s="1">
        <v>0</v>
      </c>
      <c r="EY44" s="1">
        <v>0</v>
      </c>
      <c r="EZ44" s="1">
        <v>0</v>
      </c>
      <c r="FA44" s="1">
        <v>0</v>
      </c>
      <c r="FB44" s="1">
        <v>0</v>
      </c>
      <c r="FC44" s="1">
        <v>0</v>
      </c>
      <c r="FD44" s="1">
        <v>0</v>
      </c>
      <c r="FE44" s="1">
        <v>0</v>
      </c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3">
      <c r="A45" s="1">
        <v>16975568</v>
      </c>
      <c r="B45" s="1">
        <v>128</v>
      </c>
      <c r="C45" s="1">
        <v>7758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2000</v>
      </c>
      <c r="J45" s="1">
        <v>2000</v>
      </c>
      <c r="K45" s="1">
        <v>10000</v>
      </c>
      <c r="L45" s="1">
        <v>10000</v>
      </c>
      <c r="M45" s="1">
        <v>10000</v>
      </c>
      <c r="N45" s="1">
        <v>9213.6</v>
      </c>
      <c r="O45" s="1">
        <v>354797.19</v>
      </c>
      <c r="P45" s="1">
        <v>325621.51</v>
      </c>
      <c r="Q45" s="1">
        <v>354797.19</v>
      </c>
      <c r="R45" s="1">
        <v>325621.51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/>
      <c r="AF45" s="1" t="s">
        <v>161</v>
      </c>
      <c r="AG45" s="1" t="s">
        <v>970</v>
      </c>
      <c r="AH45" s="1" t="s">
        <v>216</v>
      </c>
      <c r="AI45" s="1">
        <v>5</v>
      </c>
      <c r="AJ45" s="1" t="s">
        <v>162</v>
      </c>
      <c r="AK45" s="1" t="s">
        <v>163</v>
      </c>
      <c r="AL45" s="1">
        <v>191.68</v>
      </c>
      <c r="AM45" s="1">
        <v>187.83</v>
      </c>
      <c r="AN45" s="1">
        <v>375660</v>
      </c>
      <c r="AO45" s="1">
        <v>358317.44</v>
      </c>
      <c r="AP45" s="1" t="s">
        <v>176</v>
      </c>
      <c r="AQ45" s="1">
        <v>4</v>
      </c>
      <c r="AR45" s="1" t="s">
        <v>165</v>
      </c>
      <c r="AS45" s="1">
        <v>132534288.59999999</v>
      </c>
      <c r="AT45" s="1" t="s">
        <v>176</v>
      </c>
      <c r="AU45" s="1">
        <v>1</v>
      </c>
      <c r="AV45" s="1">
        <v>1</v>
      </c>
      <c r="AW45" s="1" t="s">
        <v>214</v>
      </c>
      <c r="AX45" s="1" t="s">
        <v>215</v>
      </c>
      <c r="AY45" s="1">
        <v>0</v>
      </c>
      <c r="AZ45" s="1"/>
      <c r="BA45" s="1">
        <v>8205251.6799999997</v>
      </c>
      <c r="BB45" s="1">
        <v>1.0484</v>
      </c>
      <c r="BD45" s="1" t="s">
        <v>971</v>
      </c>
      <c r="BE45" s="1">
        <v>1</v>
      </c>
      <c r="BF45" s="1">
        <v>1</v>
      </c>
      <c r="BG45" s="1" t="s">
        <v>168</v>
      </c>
      <c r="BH45" s="1">
        <v>0</v>
      </c>
      <c r="BI45" s="1">
        <v>31345322.399999999</v>
      </c>
      <c r="BJ45" s="1">
        <v>1.1431289</v>
      </c>
      <c r="BK45" s="1">
        <v>123618989.48999999</v>
      </c>
      <c r="BL45" s="1">
        <v>132456249.91</v>
      </c>
      <c r="BM45" s="1">
        <v>596150.00000000012</v>
      </c>
      <c r="BN45" s="1">
        <v>9219855.2300000004</v>
      </c>
      <c r="BO45" s="1">
        <v>23.664660909999998</v>
      </c>
      <c r="BP45" s="1">
        <v>0.45007313999999998</v>
      </c>
      <c r="BQ45" s="1">
        <v>6.9606796500000003</v>
      </c>
      <c r="BR45" s="1">
        <v>0.27051757999999998</v>
      </c>
      <c r="BS45" s="1" t="s">
        <v>169</v>
      </c>
      <c r="BT45" s="1" t="s">
        <v>169</v>
      </c>
      <c r="BU45" s="1">
        <v>26356083.120000001</v>
      </c>
      <c r="BV45" s="1">
        <v>1.1431289</v>
      </c>
      <c r="BW45" s="1">
        <v>-4266.5</v>
      </c>
      <c r="BX45" s="1">
        <v>-2.0099999999999998</v>
      </c>
      <c r="BY45" s="1" t="s">
        <v>170</v>
      </c>
      <c r="BZ45" s="1">
        <v>-78038.69</v>
      </c>
      <c r="CA45" s="1" t="s">
        <v>182</v>
      </c>
      <c r="CB45" s="1" t="s">
        <v>183</v>
      </c>
      <c r="CC45" s="1">
        <v>28562.81</v>
      </c>
      <c r="CD45" s="1">
        <v>36962.43</v>
      </c>
      <c r="CE45" s="1">
        <v>383360</v>
      </c>
      <c r="CF45" s="1">
        <v>362583.94</v>
      </c>
      <c r="CG45" s="1">
        <v>0</v>
      </c>
      <c r="CH45" s="1">
        <v>1.4438757900000001</v>
      </c>
      <c r="CI45" s="1">
        <v>13.27863496</v>
      </c>
      <c r="CJ45" s="1">
        <v>17588381.91</v>
      </c>
      <c r="CK45" s="1">
        <v>1912503.72</v>
      </c>
      <c r="CL45" s="1">
        <v>6269233.6699999999</v>
      </c>
      <c r="CM45" s="1" t="s">
        <v>164</v>
      </c>
      <c r="CN45" s="1" t="s">
        <v>164</v>
      </c>
      <c r="CO45" s="1" t="s">
        <v>184</v>
      </c>
      <c r="CP45" s="1" t="s">
        <v>243</v>
      </c>
      <c r="CQ45" s="1" t="s">
        <v>185</v>
      </c>
      <c r="CR45" s="1">
        <v>0</v>
      </c>
      <c r="CS45" s="1" t="s">
        <v>243</v>
      </c>
      <c r="CT45" s="1">
        <v>0.28985631000000001</v>
      </c>
      <c r="CV45" s="1">
        <v>0</v>
      </c>
      <c r="CW45" s="1">
        <v>-219173.26</v>
      </c>
      <c r="DA45" s="1">
        <v>1355558.46</v>
      </c>
      <c r="DB45" s="1">
        <v>0</v>
      </c>
      <c r="DC45" s="1">
        <v>2520.3126550000002</v>
      </c>
      <c r="DD45" s="1">
        <v>52555.483399999997</v>
      </c>
      <c r="DE45" s="1">
        <v>-296353.43</v>
      </c>
      <c r="DF45" s="1">
        <v>92570020.519999996</v>
      </c>
      <c r="DG45" s="1">
        <v>-7700</v>
      </c>
      <c r="DH45" s="1">
        <v>394770.09</v>
      </c>
      <c r="DI45" s="1">
        <v>0.29803809999999997</v>
      </c>
      <c r="DK45" s="1">
        <v>0</v>
      </c>
      <c r="DL45" s="1">
        <v>0</v>
      </c>
      <c r="DM45" s="1">
        <v>-296353.43</v>
      </c>
      <c r="DN45" s="1">
        <v>0</v>
      </c>
      <c r="DO45" s="1">
        <v>0</v>
      </c>
      <c r="DP45" s="1">
        <v>16777215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375660</v>
      </c>
      <c r="DW45" s="1">
        <v>358317.44</v>
      </c>
      <c r="DX45" s="1">
        <v>31345322.399999999</v>
      </c>
      <c r="DY45" s="1">
        <v>-1110160.2399999984</v>
      </c>
      <c r="DZ45" s="1">
        <v>92570020.519999966</v>
      </c>
      <c r="EA45" s="1">
        <v>0</v>
      </c>
      <c r="EB45" s="1">
        <v>0</v>
      </c>
      <c r="EC45" s="1" t="s">
        <v>176</v>
      </c>
      <c r="EE45" s="1">
        <v>0</v>
      </c>
      <c r="EF45" s="1">
        <v>3</v>
      </c>
      <c r="EG45" s="1">
        <v>0</v>
      </c>
      <c r="EH45" s="1">
        <v>0</v>
      </c>
      <c r="EI45" s="1">
        <v>0</v>
      </c>
      <c r="EL45" s="1">
        <v>0</v>
      </c>
      <c r="EM45" s="1">
        <v>0</v>
      </c>
      <c r="EN45" s="1">
        <v>1633661.45</v>
      </c>
      <c r="EO45" s="1">
        <v>1.2333592799999999</v>
      </c>
      <c r="ER45" s="1">
        <v>191.68</v>
      </c>
      <c r="ES45" s="1">
        <v>1.0572999999999999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0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v>0</v>
      </c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3">
      <c r="A46" s="1">
        <v>16975414</v>
      </c>
      <c r="B46" s="1">
        <v>128</v>
      </c>
      <c r="C46" s="1">
        <v>9592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12000</v>
      </c>
      <c r="J46" s="1">
        <v>12000</v>
      </c>
      <c r="K46" s="1">
        <v>12000</v>
      </c>
      <c r="L46" s="1">
        <v>12000</v>
      </c>
      <c r="M46" s="1">
        <v>12000</v>
      </c>
      <c r="N46" s="1">
        <v>12000</v>
      </c>
      <c r="O46" s="1">
        <v>408463.61</v>
      </c>
      <c r="P46" s="1">
        <v>408463.61</v>
      </c>
      <c r="Q46" s="1">
        <v>408463.61</v>
      </c>
      <c r="R46" s="1">
        <v>408463.61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/>
      <c r="AF46" s="1" t="s">
        <v>161</v>
      </c>
      <c r="AG46" s="1" t="s">
        <v>970</v>
      </c>
      <c r="AH46" s="1" t="s">
        <v>736</v>
      </c>
      <c r="AI46" s="1">
        <v>4</v>
      </c>
      <c r="AJ46" s="1" t="s">
        <v>165</v>
      </c>
      <c r="AK46" s="1" t="s">
        <v>191</v>
      </c>
      <c r="AL46" s="1">
        <v>37.28</v>
      </c>
      <c r="AM46" s="1">
        <v>36.26</v>
      </c>
      <c r="AN46" s="1">
        <v>435120</v>
      </c>
      <c r="AO46" s="1">
        <v>435120</v>
      </c>
      <c r="AP46" s="1" t="s">
        <v>176</v>
      </c>
      <c r="AQ46" s="1">
        <v>4</v>
      </c>
      <c r="AR46" s="1" t="s">
        <v>165</v>
      </c>
      <c r="AS46" s="1">
        <v>132534288.59999999</v>
      </c>
      <c r="AT46" s="1" t="s">
        <v>176</v>
      </c>
      <c r="AU46" s="1">
        <v>1</v>
      </c>
      <c r="AV46" s="1">
        <v>1</v>
      </c>
      <c r="AW46" s="1" t="s">
        <v>214</v>
      </c>
      <c r="AX46" s="1" t="s">
        <v>559</v>
      </c>
      <c r="AY46" s="1">
        <v>0</v>
      </c>
      <c r="AZ46" s="1"/>
      <c r="BA46" s="1">
        <v>8205251.6799999997</v>
      </c>
      <c r="BB46" s="1">
        <v>1</v>
      </c>
      <c r="BD46" s="1" t="s">
        <v>971</v>
      </c>
      <c r="BE46" s="1">
        <v>1</v>
      </c>
      <c r="BF46" s="1">
        <v>1</v>
      </c>
      <c r="BG46" s="1" t="s">
        <v>168</v>
      </c>
      <c r="BH46" s="1">
        <v>0</v>
      </c>
      <c r="BI46" s="1">
        <v>31345322.399999999</v>
      </c>
      <c r="BJ46" s="1">
        <v>1.3881497</v>
      </c>
      <c r="BK46" s="1">
        <v>123618989.48999999</v>
      </c>
      <c r="BL46" s="1">
        <v>132456249.91</v>
      </c>
      <c r="BM46" s="1">
        <v>596150.00000000012</v>
      </c>
      <c r="BN46" s="1">
        <v>9219855.2300000004</v>
      </c>
      <c r="BO46" s="1">
        <v>23.664660909999998</v>
      </c>
      <c r="BP46" s="1">
        <v>0.45007313999999998</v>
      </c>
      <c r="BQ46" s="1">
        <v>6.9606796500000003</v>
      </c>
      <c r="BR46" s="1">
        <v>0.32850091999999997</v>
      </c>
      <c r="BS46" s="1" t="s">
        <v>169</v>
      </c>
      <c r="BT46" s="1" t="s">
        <v>169</v>
      </c>
      <c r="BU46" s="1">
        <v>26356083.120000001</v>
      </c>
      <c r="BV46" s="1">
        <v>1.3881497</v>
      </c>
      <c r="BW46" s="1">
        <v>-12240</v>
      </c>
      <c r="BX46" s="1">
        <v>-2.74</v>
      </c>
      <c r="BY46" s="1" t="s">
        <v>170</v>
      </c>
      <c r="BZ46" s="1">
        <v>-78038.69</v>
      </c>
      <c r="CA46" s="1" t="s">
        <v>182</v>
      </c>
      <c r="CB46" s="1" t="s">
        <v>183</v>
      </c>
      <c r="CC46" s="1">
        <v>38896.39</v>
      </c>
      <c r="CD46" s="1">
        <v>38896.39</v>
      </c>
      <c r="CE46" s="1">
        <v>447360</v>
      </c>
      <c r="CF46" s="1">
        <v>447360</v>
      </c>
      <c r="CG46" s="1">
        <v>0</v>
      </c>
      <c r="CH46" s="1">
        <v>1.4438757900000001</v>
      </c>
      <c r="CI46" s="1">
        <v>13.27863496</v>
      </c>
      <c r="CJ46" s="1">
        <v>17588381.91</v>
      </c>
      <c r="CK46" s="1">
        <v>1912503.72</v>
      </c>
      <c r="CL46" s="1">
        <v>6269233.6699999999</v>
      </c>
      <c r="CM46" s="1" t="s">
        <v>164</v>
      </c>
      <c r="CN46" s="1" t="s">
        <v>164</v>
      </c>
      <c r="CO46" s="1" t="s">
        <v>184</v>
      </c>
      <c r="CP46" s="1" t="s">
        <v>243</v>
      </c>
      <c r="CQ46" s="1" t="s">
        <v>185</v>
      </c>
      <c r="CR46" s="1">
        <v>0</v>
      </c>
      <c r="CS46" s="1" t="s">
        <v>243</v>
      </c>
      <c r="CT46" s="1">
        <v>0.35198476000000001</v>
      </c>
      <c r="CV46" s="1">
        <v>0</v>
      </c>
      <c r="CW46" s="1">
        <v>-219173.26</v>
      </c>
      <c r="DA46" s="1">
        <v>1355558.46</v>
      </c>
      <c r="DB46" s="1">
        <v>0</v>
      </c>
      <c r="DC46" s="1">
        <v>2520.3126550000002</v>
      </c>
      <c r="DD46" s="1">
        <v>52555.483399999997</v>
      </c>
      <c r="DE46" s="1">
        <v>-296353.43</v>
      </c>
      <c r="DF46" s="1">
        <v>92570020.519999996</v>
      </c>
      <c r="DG46" s="1">
        <v>-12240</v>
      </c>
      <c r="DH46" s="1">
        <v>394770.09</v>
      </c>
      <c r="DI46" s="1">
        <v>0.29803809999999997</v>
      </c>
      <c r="DK46" s="1">
        <v>0</v>
      </c>
      <c r="DL46" s="1">
        <v>0</v>
      </c>
      <c r="DM46" s="1">
        <v>-296353.43</v>
      </c>
      <c r="DN46" s="1">
        <v>0</v>
      </c>
      <c r="DO46" s="1">
        <v>0</v>
      </c>
      <c r="DP46" s="1">
        <v>16777215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435120</v>
      </c>
      <c r="DW46" s="1">
        <v>435120</v>
      </c>
      <c r="DX46" s="1">
        <v>31345322.399999999</v>
      </c>
      <c r="DY46" s="1">
        <v>-1110160.2399999984</v>
      </c>
      <c r="DZ46" s="1">
        <v>92570020.519999966</v>
      </c>
      <c r="EA46" s="1">
        <v>0</v>
      </c>
      <c r="EB46" s="1">
        <v>0</v>
      </c>
      <c r="EC46" s="1" t="s">
        <v>176</v>
      </c>
      <c r="EE46" s="1">
        <v>0</v>
      </c>
      <c r="EF46" s="1">
        <v>3</v>
      </c>
      <c r="EG46" s="1">
        <v>0</v>
      </c>
      <c r="EH46" s="1">
        <v>0</v>
      </c>
      <c r="EI46" s="1">
        <v>0</v>
      </c>
      <c r="EL46" s="1">
        <v>0</v>
      </c>
      <c r="EM46" s="1">
        <v>0</v>
      </c>
      <c r="EN46" s="1">
        <v>1633661.45</v>
      </c>
      <c r="EO46" s="1">
        <v>1.2333592799999999</v>
      </c>
      <c r="ER46" s="1">
        <v>37.28</v>
      </c>
      <c r="ES46" s="1">
        <v>1</v>
      </c>
      <c r="ET46" s="1">
        <v>0</v>
      </c>
      <c r="EU46" s="1">
        <v>0</v>
      </c>
      <c r="EV46" s="1">
        <v>0</v>
      </c>
      <c r="EW46" s="1">
        <v>0</v>
      </c>
      <c r="EX46" s="1">
        <v>0</v>
      </c>
      <c r="EY46" s="1">
        <v>0</v>
      </c>
      <c r="EZ46" s="1">
        <v>0</v>
      </c>
      <c r="FA46" s="1">
        <v>0</v>
      </c>
      <c r="FB46" s="1">
        <v>0</v>
      </c>
      <c r="FC46" s="1">
        <v>0</v>
      </c>
      <c r="FD46" s="1">
        <v>0</v>
      </c>
      <c r="FE46" s="1">
        <v>0</v>
      </c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3">
      <c r="A47" s="1">
        <v>16975585</v>
      </c>
      <c r="B47" s="1">
        <v>128</v>
      </c>
      <c r="C47" s="1">
        <v>10674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2000</v>
      </c>
      <c r="J47" s="1">
        <v>2000</v>
      </c>
      <c r="K47" s="1">
        <v>2000</v>
      </c>
      <c r="L47" s="1">
        <v>2000</v>
      </c>
      <c r="M47" s="1">
        <v>2000</v>
      </c>
      <c r="N47" s="1">
        <v>1840.77</v>
      </c>
      <c r="O47" s="1">
        <v>497280</v>
      </c>
      <c r="P47" s="1">
        <v>457689.83</v>
      </c>
      <c r="Q47" s="1">
        <v>497280</v>
      </c>
      <c r="R47" s="1">
        <v>457689.83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/>
      <c r="AF47" s="1" t="s">
        <v>161</v>
      </c>
      <c r="AG47" s="1" t="s">
        <v>970</v>
      </c>
      <c r="AH47" s="1" t="s">
        <v>737</v>
      </c>
      <c r="AI47" s="1">
        <v>5</v>
      </c>
      <c r="AJ47" s="1" t="s">
        <v>162</v>
      </c>
      <c r="AK47" s="1" t="s">
        <v>163</v>
      </c>
      <c r="AL47" s="1">
        <v>259.26</v>
      </c>
      <c r="AM47" s="1">
        <v>251.73000000000002</v>
      </c>
      <c r="AN47" s="1">
        <v>503460.00000000006</v>
      </c>
      <c r="AO47" s="1">
        <v>480217.47</v>
      </c>
      <c r="AP47" s="1" t="s">
        <v>176</v>
      </c>
      <c r="AQ47" s="1">
        <v>4</v>
      </c>
      <c r="AR47" s="1" t="s">
        <v>165</v>
      </c>
      <c r="AS47" s="1">
        <v>132534288.59999999</v>
      </c>
      <c r="AT47" s="1" t="s">
        <v>176</v>
      </c>
      <c r="AU47" s="1">
        <v>1</v>
      </c>
      <c r="AV47" s="1">
        <v>1</v>
      </c>
      <c r="AW47" s="1" t="s">
        <v>214</v>
      </c>
      <c r="AX47" s="1" t="s">
        <v>738</v>
      </c>
      <c r="AY47" s="1">
        <v>0</v>
      </c>
      <c r="AZ47" s="1"/>
      <c r="BA47" s="1">
        <v>8205251.6799999997</v>
      </c>
      <c r="BB47" s="1">
        <v>1.0484</v>
      </c>
      <c r="BD47" s="1" t="s">
        <v>971</v>
      </c>
      <c r="BE47" s="1">
        <v>1</v>
      </c>
      <c r="BF47" s="1">
        <v>1</v>
      </c>
      <c r="BG47" s="1" t="s">
        <v>168</v>
      </c>
      <c r="BH47" s="1">
        <v>0</v>
      </c>
      <c r="BI47" s="1">
        <v>31345322.399999999</v>
      </c>
      <c r="BJ47" s="1">
        <v>1.5320227500000001</v>
      </c>
      <c r="BK47" s="1">
        <v>123618989.48999999</v>
      </c>
      <c r="BL47" s="1">
        <v>132456249.91</v>
      </c>
      <c r="BM47" s="1">
        <v>596150.00000000012</v>
      </c>
      <c r="BN47" s="1">
        <v>9219855.2300000004</v>
      </c>
      <c r="BO47" s="1">
        <v>23.664660909999998</v>
      </c>
      <c r="BP47" s="1">
        <v>0.45007313999999998</v>
      </c>
      <c r="BQ47" s="1">
        <v>6.9606796500000003</v>
      </c>
      <c r="BR47" s="1">
        <v>0.36254798999999999</v>
      </c>
      <c r="BS47" s="1" t="s">
        <v>169</v>
      </c>
      <c r="BT47" s="1" t="s">
        <v>169</v>
      </c>
      <c r="BU47" s="1">
        <v>26356083.120000001</v>
      </c>
      <c r="BV47" s="1">
        <v>1.5320227500000001</v>
      </c>
      <c r="BW47" s="1">
        <v>-10201.52</v>
      </c>
      <c r="BX47" s="1">
        <v>-2.9</v>
      </c>
      <c r="BY47" s="1" t="s">
        <v>170</v>
      </c>
      <c r="BZ47" s="1">
        <v>-78038.69</v>
      </c>
      <c r="CA47" s="1" t="s">
        <v>182</v>
      </c>
      <c r="CB47" s="1" t="s">
        <v>183</v>
      </c>
      <c r="CC47" s="1">
        <v>21240</v>
      </c>
      <c r="CD47" s="1">
        <v>32729.16</v>
      </c>
      <c r="CE47" s="1">
        <v>518520</v>
      </c>
      <c r="CF47" s="1">
        <v>490418.99</v>
      </c>
      <c r="CG47" s="1">
        <v>0</v>
      </c>
      <c r="CH47" s="1">
        <v>1.4438757900000001</v>
      </c>
      <c r="CI47" s="1">
        <v>13.27863496</v>
      </c>
      <c r="CJ47" s="1">
        <v>17588381.91</v>
      </c>
      <c r="CK47" s="1">
        <v>1912503.72</v>
      </c>
      <c r="CL47" s="1">
        <v>6269233.6699999999</v>
      </c>
      <c r="CM47" s="1" t="s">
        <v>164</v>
      </c>
      <c r="CN47" s="1" t="s">
        <v>164</v>
      </c>
      <c r="CO47" s="1" t="s">
        <v>184</v>
      </c>
      <c r="CP47" s="1" t="s">
        <v>243</v>
      </c>
      <c r="CQ47" s="1" t="s">
        <v>185</v>
      </c>
      <c r="CR47" s="1">
        <v>0</v>
      </c>
      <c r="CS47" s="1" t="s">
        <v>243</v>
      </c>
      <c r="CT47" s="1">
        <v>0.38846577999999998</v>
      </c>
      <c r="CV47" s="1">
        <v>0</v>
      </c>
      <c r="CW47" s="1">
        <v>-219173.26</v>
      </c>
      <c r="DA47" s="1">
        <v>1355558.46</v>
      </c>
      <c r="DB47" s="1">
        <v>0</v>
      </c>
      <c r="DC47" s="1">
        <v>2520.3126550000002</v>
      </c>
      <c r="DD47" s="1">
        <v>52555.483399999997</v>
      </c>
      <c r="DE47" s="1">
        <v>-296353.43</v>
      </c>
      <c r="DF47" s="1">
        <v>92570020.519999996</v>
      </c>
      <c r="DG47" s="1">
        <v>-15060</v>
      </c>
      <c r="DH47" s="1">
        <v>394770.09</v>
      </c>
      <c r="DI47" s="1">
        <v>0.29803809999999997</v>
      </c>
      <c r="DK47" s="1">
        <v>0</v>
      </c>
      <c r="DL47" s="1">
        <v>0</v>
      </c>
      <c r="DM47" s="1">
        <v>-296353.43</v>
      </c>
      <c r="DN47" s="1">
        <v>0</v>
      </c>
      <c r="DO47" s="1">
        <v>0</v>
      </c>
      <c r="DP47" s="1">
        <v>16777215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503460.00000000006</v>
      </c>
      <c r="DW47" s="1">
        <v>480217.47</v>
      </c>
      <c r="DX47" s="1">
        <v>31345322.399999999</v>
      </c>
      <c r="DY47" s="1">
        <v>-1110160.2399999984</v>
      </c>
      <c r="DZ47" s="1">
        <v>92570020.519999966</v>
      </c>
      <c r="EA47" s="1">
        <v>0</v>
      </c>
      <c r="EB47" s="1">
        <v>0</v>
      </c>
      <c r="EC47" s="1" t="s">
        <v>176</v>
      </c>
      <c r="EE47" s="1">
        <v>0</v>
      </c>
      <c r="EF47" s="1">
        <v>3</v>
      </c>
      <c r="EG47" s="1">
        <v>0</v>
      </c>
      <c r="EH47" s="1">
        <v>0</v>
      </c>
      <c r="EI47" s="1">
        <v>0</v>
      </c>
      <c r="EL47" s="1">
        <v>0</v>
      </c>
      <c r="EM47" s="1">
        <v>0</v>
      </c>
      <c r="EN47" s="1">
        <v>1633661.45</v>
      </c>
      <c r="EO47" s="1">
        <v>1.2333592799999999</v>
      </c>
      <c r="ER47" s="1">
        <v>259.26</v>
      </c>
      <c r="ES47" s="1">
        <v>1.0572999999999999</v>
      </c>
      <c r="ET47" s="1">
        <v>0</v>
      </c>
      <c r="EU47" s="1">
        <v>0</v>
      </c>
      <c r="EV47" s="1">
        <v>0</v>
      </c>
      <c r="EW47" s="1">
        <v>0</v>
      </c>
      <c r="EX47" s="1">
        <v>0</v>
      </c>
      <c r="EY47" s="1">
        <v>0</v>
      </c>
      <c r="EZ47" s="1">
        <v>0</v>
      </c>
      <c r="FA47" s="1">
        <v>0</v>
      </c>
      <c r="FB47" s="1">
        <v>0</v>
      </c>
      <c r="FC47" s="1">
        <v>0</v>
      </c>
      <c r="FD47" s="1">
        <v>0</v>
      </c>
      <c r="FE47" s="1">
        <v>0</v>
      </c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3">
      <c r="A48" s="1">
        <v>16975564</v>
      </c>
      <c r="B48" s="1">
        <v>128</v>
      </c>
      <c r="C48" s="1">
        <v>4098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1200</v>
      </c>
      <c r="J48" s="1">
        <v>1200</v>
      </c>
      <c r="K48" s="1">
        <v>600</v>
      </c>
      <c r="L48" s="1">
        <v>600</v>
      </c>
      <c r="M48" s="1">
        <v>600</v>
      </c>
      <c r="N48" s="1">
        <v>552.23</v>
      </c>
      <c r="O48" s="1">
        <v>457080</v>
      </c>
      <c r="P48" s="1">
        <v>420690.29</v>
      </c>
      <c r="Q48" s="1">
        <v>457080</v>
      </c>
      <c r="R48" s="1">
        <v>420690.29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/>
      <c r="AF48" s="1" t="s">
        <v>161</v>
      </c>
      <c r="AG48" s="1" t="s">
        <v>970</v>
      </c>
      <c r="AH48" s="1" t="s">
        <v>739</v>
      </c>
      <c r="AI48" s="1">
        <v>5</v>
      </c>
      <c r="AJ48" s="1" t="s">
        <v>162</v>
      </c>
      <c r="AK48" s="1" t="s">
        <v>163</v>
      </c>
      <c r="AL48" s="1">
        <v>389.52</v>
      </c>
      <c r="AM48" s="1">
        <v>385.24</v>
      </c>
      <c r="AN48" s="1">
        <v>462288</v>
      </c>
      <c r="AO48" s="1">
        <v>440946.2</v>
      </c>
      <c r="AP48" s="1" t="s">
        <v>176</v>
      </c>
      <c r="AQ48" s="1">
        <v>4</v>
      </c>
      <c r="AR48" s="1" t="s">
        <v>165</v>
      </c>
      <c r="AS48" s="1">
        <v>132534288.59999999</v>
      </c>
      <c r="AT48" s="1" t="s">
        <v>176</v>
      </c>
      <c r="AU48" s="1">
        <v>1</v>
      </c>
      <c r="AV48" s="1">
        <v>1</v>
      </c>
      <c r="AW48" s="1" t="s">
        <v>214</v>
      </c>
      <c r="AX48" s="1" t="s">
        <v>738</v>
      </c>
      <c r="AY48" s="1">
        <v>0</v>
      </c>
      <c r="BA48" s="1">
        <v>8205251.6799999997</v>
      </c>
      <c r="BB48" s="1">
        <v>1.0484</v>
      </c>
      <c r="BD48" s="1" t="s">
        <v>971</v>
      </c>
      <c r="BE48" s="1">
        <v>1</v>
      </c>
      <c r="BF48" s="1">
        <v>1</v>
      </c>
      <c r="BG48" s="1" t="s">
        <v>168</v>
      </c>
      <c r="BH48" s="1">
        <v>0</v>
      </c>
      <c r="BI48" s="1">
        <v>31345322.399999999</v>
      </c>
      <c r="BJ48" s="1">
        <v>1.4067368499999999</v>
      </c>
      <c r="BK48" s="1">
        <v>123618989.48999999</v>
      </c>
      <c r="BL48" s="1">
        <v>132456249.91</v>
      </c>
      <c r="BM48" s="1">
        <v>596150.00000000012</v>
      </c>
      <c r="BN48" s="1">
        <v>9219855.2300000004</v>
      </c>
      <c r="BO48" s="1">
        <v>23.664660909999998</v>
      </c>
      <c r="BP48" s="1">
        <v>0.45007313999999998</v>
      </c>
      <c r="BQ48" s="1">
        <v>6.9606796500000003</v>
      </c>
      <c r="BR48" s="1">
        <v>0.33289950000000001</v>
      </c>
      <c r="BS48" s="1" t="s">
        <v>169</v>
      </c>
      <c r="BT48" s="1" t="s">
        <v>169</v>
      </c>
      <c r="BU48" s="1">
        <v>26356083.120000001</v>
      </c>
      <c r="BV48" s="1">
        <v>1.4067368499999999</v>
      </c>
      <c r="BW48" s="1">
        <v>-1145.92</v>
      </c>
      <c r="BX48" s="1">
        <v>-1.1000000000000001</v>
      </c>
      <c r="BY48" s="1" t="s">
        <v>170</v>
      </c>
      <c r="BZ48" s="1">
        <v>-78038.69</v>
      </c>
      <c r="CA48" s="1" t="s">
        <v>182</v>
      </c>
      <c r="CB48" s="1" t="s">
        <v>183</v>
      </c>
      <c r="CC48" s="1">
        <v>10344</v>
      </c>
      <c r="CD48" s="1">
        <v>21401.83</v>
      </c>
      <c r="CE48" s="1">
        <v>467424</v>
      </c>
      <c r="CF48" s="1">
        <v>442092.12</v>
      </c>
      <c r="CG48" s="1">
        <v>0</v>
      </c>
      <c r="CH48" s="1">
        <v>1.4438757900000001</v>
      </c>
      <c r="CI48" s="1">
        <v>13.27863496</v>
      </c>
      <c r="CJ48" s="1">
        <v>17588381.91</v>
      </c>
      <c r="CK48" s="1">
        <v>1912503.72</v>
      </c>
      <c r="CL48" s="1">
        <v>6269233.6699999999</v>
      </c>
      <c r="CM48" s="1" t="s">
        <v>164</v>
      </c>
      <c r="CN48" s="1" t="s">
        <v>164</v>
      </c>
      <c r="CO48" s="1" t="s">
        <v>184</v>
      </c>
      <c r="CP48" s="1" t="s">
        <v>243</v>
      </c>
      <c r="CQ48" s="1" t="s">
        <v>185</v>
      </c>
      <c r="CR48" s="1">
        <v>0</v>
      </c>
      <c r="CS48" s="1" t="s">
        <v>243</v>
      </c>
      <c r="CT48" s="1">
        <v>0.35669779000000001</v>
      </c>
      <c r="CV48" s="1">
        <v>0</v>
      </c>
      <c r="CW48" s="1">
        <v>-219173.26</v>
      </c>
      <c r="DA48" s="1">
        <v>1355558.46</v>
      </c>
      <c r="DB48" s="1">
        <v>0</v>
      </c>
      <c r="DC48" s="1">
        <v>2520.3126550000002</v>
      </c>
      <c r="DD48" s="1">
        <v>52555.483399999997</v>
      </c>
      <c r="DE48" s="1">
        <v>-296353.43</v>
      </c>
      <c r="DF48" s="1">
        <v>92570020.519999996</v>
      </c>
      <c r="DG48" s="1">
        <v>-5136</v>
      </c>
      <c r="DH48" s="1">
        <v>394770.09</v>
      </c>
      <c r="DI48" s="1">
        <v>0.29803809999999997</v>
      </c>
      <c r="DK48" s="1">
        <v>0</v>
      </c>
      <c r="DL48" s="1">
        <v>0</v>
      </c>
      <c r="DM48" s="1">
        <v>-296353.43</v>
      </c>
      <c r="DN48" s="1">
        <v>0</v>
      </c>
      <c r="DO48" s="1">
        <v>0</v>
      </c>
      <c r="DP48" s="1">
        <v>16777215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462288</v>
      </c>
      <c r="DW48" s="1">
        <v>440946.2</v>
      </c>
      <c r="DX48" s="1">
        <v>31345322.399999999</v>
      </c>
      <c r="DY48" s="1">
        <v>-1110160.2399999984</v>
      </c>
      <c r="DZ48" s="1">
        <v>92570020.519999966</v>
      </c>
      <c r="EA48" s="1">
        <v>0</v>
      </c>
      <c r="EB48" s="1">
        <v>0</v>
      </c>
      <c r="EC48" s="1" t="s">
        <v>176</v>
      </c>
      <c r="EE48" s="1">
        <v>0</v>
      </c>
      <c r="EF48" s="1">
        <v>3</v>
      </c>
      <c r="EG48" s="1">
        <v>0</v>
      </c>
      <c r="EH48" s="1">
        <v>0</v>
      </c>
      <c r="EI48" s="1">
        <v>0</v>
      </c>
      <c r="EL48" s="1">
        <v>0</v>
      </c>
      <c r="EM48" s="1">
        <v>0</v>
      </c>
      <c r="EN48" s="1">
        <v>1633661.45</v>
      </c>
      <c r="EO48" s="1">
        <v>1.2333592799999999</v>
      </c>
      <c r="ER48" s="1">
        <v>389.52</v>
      </c>
      <c r="ES48" s="1">
        <v>1.0572999999999999</v>
      </c>
      <c r="ET48" s="1">
        <v>0</v>
      </c>
      <c r="EU48" s="1">
        <v>0</v>
      </c>
      <c r="EV48" s="1">
        <v>0</v>
      </c>
      <c r="EW48" s="1">
        <v>0</v>
      </c>
      <c r="EX48" s="1">
        <v>0</v>
      </c>
      <c r="EY48" s="1">
        <v>0</v>
      </c>
      <c r="EZ48" s="1">
        <v>0</v>
      </c>
      <c r="FA48" s="1">
        <v>0</v>
      </c>
      <c r="FB48" s="1">
        <v>0</v>
      </c>
      <c r="FC48" s="1">
        <v>0</v>
      </c>
      <c r="FD48" s="1">
        <v>0</v>
      </c>
      <c r="FE48" s="1">
        <v>0</v>
      </c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3">
      <c r="A49" s="1">
        <v>16975561</v>
      </c>
      <c r="B49" s="1">
        <v>128</v>
      </c>
      <c r="C49" s="1">
        <v>8311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1100</v>
      </c>
      <c r="J49" s="1">
        <v>1100</v>
      </c>
      <c r="K49" s="1">
        <v>1100</v>
      </c>
      <c r="L49" s="1">
        <v>1100</v>
      </c>
      <c r="M49" s="1">
        <v>1100</v>
      </c>
      <c r="N49" s="1">
        <v>1012.43</v>
      </c>
      <c r="O49" s="1">
        <v>441859</v>
      </c>
      <c r="P49" s="1">
        <v>406681.09</v>
      </c>
      <c r="Q49" s="1">
        <v>441859</v>
      </c>
      <c r="R49" s="1">
        <v>406681.09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/>
      <c r="AF49" s="1" t="s">
        <v>161</v>
      </c>
      <c r="AG49" s="1" t="s">
        <v>970</v>
      </c>
      <c r="AH49" s="1" t="s">
        <v>740</v>
      </c>
      <c r="AI49" s="1">
        <v>5</v>
      </c>
      <c r="AJ49" s="1" t="s">
        <v>162</v>
      </c>
      <c r="AK49" s="1" t="s">
        <v>163</v>
      </c>
      <c r="AL49" s="1">
        <v>377.38</v>
      </c>
      <c r="AM49" s="1">
        <v>373.84000000000003</v>
      </c>
      <c r="AN49" s="1">
        <v>411224.00000000006</v>
      </c>
      <c r="AO49" s="1">
        <v>392239.6</v>
      </c>
      <c r="AP49" s="1" t="s">
        <v>176</v>
      </c>
      <c r="AQ49" s="1">
        <v>4</v>
      </c>
      <c r="AR49" s="1" t="s">
        <v>165</v>
      </c>
      <c r="AS49" s="1">
        <v>132534288.59999999</v>
      </c>
      <c r="AT49" s="1" t="s">
        <v>176</v>
      </c>
      <c r="AU49" s="1">
        <v>1</v>
      </c>
      <c r="AV49" s="1">
        <v>1</v>
      </c>
      <c r="AW49" s="1" t="s">
        <v>214</v>
      </c>
      <c r="AX49" s="1" t="s">
        <v>741</v>
      </c>
      <c r="AY49" s="1">
        <v>0</v>
      </c>
      <c r="BA49" s="1">
        <v>8205251.6799999997</v>
      </c>
      <c r="BB49" s="1">
        <v>1.0484</v>
      </c>
      <c r="BD49" s="1" t="s">
        <v>971</v>
      </c>
      <c r="BE49" s="1">
        <v>1</v>
      </c>
      <c r="BF49" s="1">
        <v>1</v>
      </c>
      <c r="BG49" s="1" t="s">
        <v>168</v>
      </c>
      <c r="BH49" s="1">
        <v>0</v>
      </c>
      <c r="BI49" s="1">
        <v>31345322.399999999</v>
      </c>
      <c r="BJ49" s="1">
        <v>1.2513497099999999</v>
      </c>
      <c r="BK49" s="1">
        <v>123618989.48999999</v>
      </c>
      <c r="BL49" s="1">
        <v>132456249.91</v>
      </c>
      <c r="BM49" s="1">
        <v>596150.00000000012</v>
      </c>
      <c r="BN49" s="1">
        <v>9219855.2300000004</v>
      </c>
      <c r="BO49" s="1">
        <v>23.664660909999998</v>
      </c>
      <c r="BP49" s="1">
        <v>0.45007313999999998</v>
      </c>
      <c r="BQ49" s="1">
        <v>6.9606796500000003</v>
      </c>
      <c r="BR49" s="1">
        <v>0.29612766000000001</v>
      </c>
      <c r="BS49" s="1" t="s">
        <v>169</v>
      </c>
      <c r="BT49" s="1" t="s">
        <v>169</v>
      </c>
      <c r="BU49" s="1">
        <v>26356083.120000001</v>
      </c>
      <c r="BV49" s="1">
        <v>1.2513497099999999</v>
      </c>
      <c r="BW49" s="1">
        <v>-381.23</v>
      </c>
      <c r="BX49" s="1">
        <v>-0.94</v>
      </c>
      <c r="BY49" s="1" t="s">
        <v>170</v>
      </c>
      <c r="BZ49" s="1">
        <v>-78038.69</v>
      </c>
      <c r="CA49" s="1" t="s">
        <v>182</v>
      </c>
      <c r="CB49" s="1" t="s">
        <v>183</v>
      </c>
      <c r="CC49" s="1">
        <v>-26741</v>
      </c>
      <c r="CD49" s="1">
        <v>-14060.26</v>
      </c>
      <c r="CE49" s="1">
        <v>415118</v>
      </c>
      <c r="CF49" s="1">
        <v>392620.83</v>
      </c>
      <c r="CG49" s="1">
        <v>0</v>
      </c>
      <c r="CH49" s="1">
        <v>1.4438757900000001</v>
      </c>
      <c r="CI49" s="1">
        <v>13.27863496</v>
      </c>
      <c r="CJ49" s="1">
        <v>17588381.91</v>
      </c>
      <c r="CK49" s="1">
        <v>1912503.72</v>
      </c>
      <c r="CL49" s="1">
        <v>6269233.6699999999</v>
      </c>
      <c r="CM49" s="1" t="s">
        <v>164</v>
      </c>
      <c r="CN49" s="1" t="s">
        <v>164</v>
      </c>
      <c r="CO49" s="1" t="s">
        <v>184</v>
      </c>
      <c r="CP49" s="1" t="s">
        <v>243</v>
      </c>
      <c r="CQ49" s="1" t="s">
        <v>185</v>
      </c>
      <c r="CR49" s="1">
        <v>0</v>
      </c>
      <c r="CS49" s="1" t="s">
        <v>243</v>
      </c>
      <c r="CT49" s="1">
        <v>0.31729721</v>
      </c>
      <c r="CV49" s="1">
        <v>0</v>
      </c>
      <c r="CW49" s="1">
        <v>-219173.26</v>
      </c>
      <c r="DA49" s="1">
        <v>1355558.46</v>
      </c>
      <c r="DB49" s="1">
        <v>0</v>
      </c>
      <c r="DC49" s="1">
        <v>2520.3126550000002</v>
      </c>
      <c r="DD49" s="1">
        <v>52555.483399999997</v>
      </c>
      <c r="DE49" s="1">
        <v>-296353.43</v>
      </c>
      <c r="DF49" s="1">
        <v>92570020.519999996</v>
      </c>
      <c r="DG49" s="1">
        <v>-3894</v>
      </c>
      <c r="DH49" s="1">
        <v>394770.09</v>
      </c>
      <c r="DI49" s="1">
        <v>0.29803809999999997</v>
      </c>
      <c r="DK49" s="1">
        <v>0</v>
      </c>
      <c r="DL49" s="1">
        <v>0</v>
      </c>
      <c r="DM49" s="1">
        <v>-296353.43</v>
      </c>
      <c r="DN49" s="1">
        <v>0</v>
      </c>
      <c r="DO49" s="1">
        <v>0</v>
      </c>
      <c r="DP49" s="1">
        <v>16777215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411224.00000000006</v>
      </c>
      <c r="DW49" s="1">
        <v>392239.6</v>
      </c>
      <c r="DX49" s="1">
        <v>31345322.399999999</v>
      </c>
      <c r="DY49" s="1">
        <v>-1110160.2399999984</v>
      </c>
      <c r="DZ49" s="1">
        <v>92570020.519999966</v>
      </c>
      <c r="EA49" s="1">
        <v>0</v>
      </c>
      <c r="EB49" s="1">
        <v>0</v>
      </c>
      <c r="EC49" s="1" t="s">
        <v>176</v>
      </c>
      <c r="EE49" s="1">
        <v>0</v>
      </c>
      <c r="EF49" s="1">
        <v>3</v>
      </c>
      <c r="EG49" s="1">
        <v>0</v>
      </c>
      <c r="EH49" s="1">
        <v>0</v>
      </c>
      <c r="EI49" s="1">
        <v>0</v>
      </c>
      <c r="EL49" s="1">
        <v>0</v>
      </c>
      <c r="EM49" s="1">
        <v>0</v>
      </c>
      <c r="EN49" s="1">
        <v>1633661.45</v>
      </c>
      <c r="EO49" s="1">
        <v>1.2333592799999999</v>
      </c>
      <c r="ER49" s="1">
        <v>377.38</v>
      </c>
      <c r="ES49" s="1">
        <v>1.0572999999999999</v>
      </c>
      <c r="ET49" s="1">
        <v>0</v>
      </c>
      <c r="EU49" s="1">
        <v>0</v>
      </c>
      <c r="EV49" s="1">
        <v>0</v>
      </c>
      <c r="EW49" s="1">
        <v>0</v>
      </c>
      <c r="EX49" s="1">
        <v>0</v>
      </c>
      <c r="EY49" s="1">
        <v>0</v>
      </c>
      <c r="EZ49" s="1">
        <v>0</v>
      </c>
      <c r="FA49" s="1">
        <v>0</v>
      </c>
      <c r="FB49" s="1">
        <v>0</v>
      </c>
      <c r="FC49" s="1">
        <v>0</v>
      </c>
      <c r="FD49" s="1">
        <v>0</v>
      </c>
      <c r="FE49" s="1">
        <v>0</v>
      </c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3">
      <c r="A50" s="1">
        <v>16975370</v>
      </c>
      <c r="B50" s="1">
        <v>128</v>
      </c>
      <c r="C50" s="1">
        <v>10685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6000</v>
      </c>
      <c r="J50" s="1">
        <v>6000</v>
      </c>
      <c r="K50" s="1">
        <v>150000</v>
      </c>
      <c r="L50" s="1">
        <v>150000</v>
      </c>
      <c r="M50" s="1">
        <v>150000</v>
      </c>
      <c r="N50" s="1">
        <v>174143.22</v>
      </c>
      <c r="O50" s="1">
        <v>175484.15</v>
      </c>
      <c r="P50" s="1">
        <v>203729.16</v>
      </c>
      <c r="Q50" s="1">
        <v>175484.15</v>
      </c>
      <c r="R50" s="1">
        <v>203729.16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/>
      <c r="AF50" s="1" t="s">
        <v>161</v>
      </c>
      <c r="AG50" s="1" t="s">
        <v>970</v>
      </c>
      <c r="AH50" s="1" t="s">
        <v>742</v>
      </c>
      <c r="AI50" s="1">
        <v>11</v>
      </c>
      <c r="AJ50" s="1" t="s">
        <v>711</v>
      </c>
      <c r="AK50" s="1" t="s">
        <v>191</v>
      </c>
      <c r="AL50" s="1">
        <v>2735</v>
      </c>
      <c r="AM50" s="1">
        <v>2735</v>
      </c>
      <c r="AN50" s="1">
        <v>164100</v>
      </c>
      <c r="AO50" s="1">
        <v>189529.12</v>
      </c>
      <c r="AP50" s="1" t="s">
        <v>176</v>
      </c>
      <c r="AQ50" s="1">
        <v>4</v>
      </c>
      <c r="AR50" s="1" t="s">
        <v>165</v>
      </c>
      <c r="AS50" s="1">
        <v>132534288.59999999</v>
      </c>
      <c r="AT50" s="1" t="s">
        <v>176</v>
      </c>
      <c r="AU50" s="1">
        <v>1</v>
      </c>
      <c r="AV50" s="1">
        <v>1</v>
      </c>
      <c r="AW50" s="1" t="s">
        <v>214</v>
      </c>
      <c r="AX50" s="1" t="s">
        <v>218</v>
      </c>
      <c r="AY50" s="1">
        <v>0</v>
      </c>
      <c r="BA50" s="1">
        <v>8205251.6799999997</v>
      </c>
      <c r="BB50" s="1">
        <v>0.86582999999999999</v>
      </c>
      <c r="BD50" s="1" t="s">
        <v>971</v>
      </c>
      <c r="BE50" s="1">
        <v>1</v>
      </c>
      <c r="BF50" s="1">
        <v>1</v>
      </c>
      <c r="BG50" s="1" t="s">
        <v>168</v>
      </c>
      <c r="BH50" s="1">
        <v>0</v>
      </c>
      <c r="BI50" s="1">
        <v>31345322.399999999</v>
      </c>
      <c r="BJ50" s="1">
        <v>0.60464881000000004</v>
      </c>
      <c r="BK50" s="1">
        <v>123618989.48999999</v>
      </c>
      <c r="BL50" s="1">
        <v>132456249.91</v>
      </c>
      <c r="BM50" s="1">
        <v>596150.00000000012</v>
      </c>
      <c r="BN50" s="1">
        <v>9219855.2300000004</v>
      </c>
      <c r="BO50" s="1">
        <v>23.664660909999998</v>
      </c>
      <c r="BP50" s="1">
        <v>0.45007313999999998</v>
      </c>
      <c r="BQ50" s="1">
        <v>6.9606796500000003</v>
      </c>
      <c r="BR50" s="1">
        <v>0.14308809</v>
      </c>
      <c r="BS50" s="1" t="s">
        <v>169</v>
      </c>
      <c r="BT50" s="1" t="s">
        <v>169</v>
      </c>
      <c r="BU50" s="1">
        <v>26356083.120000001</v>
      </c>
      <c r="BV50" s="1">
        <v>0.60464881000000004</v>
      </c>
      <c r="BW50" s="1">
        <v>157.47</v>
      </c>
      <c r="BX50" s="1">
        <v>0</v>
      </c>
      <c r="BY50" s="1" t="s">
        <v>170</v>
      </c>
      <c r="BZ50" s="1">
        <v>-78038.69</v>
      </c>
      <c r="CA50" s="1" t="s">
        <v>182</v>
      </c>
      <c r="CB50" s="1" t="s">
        <v>183</v>
      </c>
      <c r="CC50" s="1">
        <v>-11384.15</v>
      </c>
      <c r="CD50" s="1">
        <v>-14357.51</v>
      </c>
      <c r="CE50" s="1">
        <v>164100</v>
      </c>
      <c r="CF50" s="1">
        <v>189371.65</v>
      </c>
      <c r="CG50" s="1">
        <v>0</v>
      </c>
      <c r="CH50" s="1">
        <v>1.4438757900000001</v>
      </c>
      <c r="CI50" s="1">
        <v>13.27863496</v>
      </c>
      <c r="CJ50" s="1">
        <v>17588381.91</v>
      </c>
      <c r="CK50" s="1">
        <v>1912503.72</v>
      </c>
      <c r="CL50" s="1">
        <v>6269233.6699999999</v>
      </c>
      <c r="CM50" s="1" t="s">
        <v>164</v>
      </c>
      <c r="CN50" s="1" t="s">
        <v>164</v>
      </c>
      <c r="CO50" s="1" t="s">
        <v>184</v>
      </c>
      <c r="CP50" s="1" t="s">
        <v>243</v>
      </c>
      <c r="CQ50" s="1" t="s">
        <v>185</v>
      </c>
      <c r="CR50" s="1">
        <v>0</v>
      </c>
      <c r="CS50" s="1" t="s">
        <v>243</v>
      </c>
      <c r="CT50" s="1">
        <v>0.15331716000000001</v>
      </c>
      <c r="CV50" s="1">
        <v>0</v>
      </c>
      <c r="CW50" s="1">
        <v>-219173.26</v>
      </c>
      <c r="DA50" s="1">
        <v>1355558.46</v>
      </c>
      <c r="DB50" s="1">
        <v>0</v>
      </c>
      <c r="DC50" s="1">
        <v>2520.3126550000002</v>
      </c>
      <c r="DD50" s="1">
        <v>52555.483399999997</v>
      </c>
      <c r="DE50" s="1">
        <v>-296353.43</v>
      </c>
      <c r="DF50" s="1">
        <v>92570020.519999996</v>
      </c>
      <c r="DG50" s="1">
        <v>0</v>
      </c>
      <c r="DH50" s="1">
        <v>394770.09</v>
      </c>
      <c r="DI50" s="1">
        <v>0.29803809999999997</v>
      </c>
      <c r="DK50" s="1">
        <v>0</v>
      </c>
      <c r="DL50" s="1">
        <v>0</v>
      </c>
      <c r="DM50" s="1">
        <v>-296353.43</v>
      </c>
      <c r="DN50" s="1">
        <v>0</v>
      </c>
      <c r="DO50" s="1">
        <v>0</v>
      </c>
      <c r="DP50" s="1">
        <v>16777215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164100</v>
      </c>
      <c r="DW50" s="1">
        <v>189529.12</v>
      </c>
      <c r="DX50" s="1">
        <v>31345322.399999999</v>
      </c>
      <c r="DY50" s="1">
        <v>-1110160.2399999984</v>
      </c>
      <c r="DZ50" s="1">
        <v>92570020.519999966</v>
      </c>
      <c r="EA50" s="1">
        <v>0</v>
      </c>
      <c r="EB50" s="1">
        <v>0</v>
      </c>
      <c r="EC50" s="1" t="s">
        <v>176</v>
      </c>
      <c r="EE50" s="1">
        <v>0</v>
      </c>
      <c r="EF50" s="1">
        <v>3</v>
      </c>
      <c r="EG50" s="1">
        <v>0</v>
      </c>
      <c r="EH50" s="1">
        <v>0</v>
      </c>
      <c r="EI50" s="1">
        <v>0</v>
      </c>
      <c r="EL50" s="1">
        <v>0</v>
      </c>
      <c r="EM50" s="1">
        <v>0</v>
      </c>
      <c r="EN50" s="1">
        <v>1633661.45</v>
      </c>
      <c r="EO50" s="1">
        <v>1.2333592799999999</v>
      </c>
      <c r="ER50" s="1">
        <v>2735</v>
      </c>
      <c r="ES50" s="1">
        <v>0.86770000000000003</v>
      </c>
      <c r="ET50" s="1">
        <v>0</v>
      </c>
      <c r="EU50" s="1">
        <v>0</v>
      </c>
      <c r="EV50" s="1">
        <v>0</v>
      </c>
      <c r="EW50" s="1">
        <v>0</v>
      </c>
      <c r="EX50" s="1">
        <v>0</v>
      </c>
      <c r="EY50" s="1">
        <v>0</v>
      </c>
      <c r="EZ50" s="1">
        <v>0</v>
      </c>
      <c r="FA50" s="1">
        <v>0</v>
      </c>
      <c r="FB50" s="1">
        <v>0</v>
      </c>
      <c r="FC50" s="1">
        <v>0</v>
      </c>
      <c r="FD50" s="1">
        <v>0</v>
      </c>
      <c r="FE50" s="1">
        <v>0</v>
      </c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3">
      <c r="A51" s="1">
        <v>16975591</v>
      </c>
      <c r="B51" s="1">
        <v>128</v>
      </c>
      <c r="C51" s="1">
        <v>3592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2500</v>
      </c>
      <c r="J51" s="1">
        <v>2500</v>
      </c>
      <c r="K51" s="1">
        <v>2550</v>
      </c>
      <c r="L51" s="1">
        <v>2550</v>
      </c>
      <c r="M51" s="1">
        <v>2550</v>
      </c>
      <c r="N51" s="1">
        <v>2550</v>
      </c>
      <c r="O51" s="1">
        <v>213308.4</v>
      </c>
      <c r="P51" s="1">
        <v>213308.4</v>
      </c>
      <c r="Q51" s="1">
        <v>213308.4</v>
      </c>
      <c r="R51" s="1">
        <v>213308.4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/>
      <c r="AF51" s="1" t="s">
        <v>161</v>
      </c>
      <c r="AG51" s="1" t="s">
        <v>970</v>
      </c>
      <c r="AH51" s="1" t="s">
        <v>743</v>
      </c>
      <c r="AI51" s="1">
        <v>4</v>
      </c>
      <c r="AJ51" s="1" t="s">
        <v>165</v>
      </c>
      <c r="AK51" s="1" t="s">
        <v>176</v>
      </c>
      <c r="AL51" s="1">
        <v>82.2</v>
      </c>
      <c r="AM51" s="1">
        <v>82.100000000000009</v>
      </c>
      <c r="AN51" s="1">
        <v>205250.00000000003</v>
      </c>
      <c r="AO51" s="1">
        <v>205250.00000000003</v>
      </c>
      <c r="AP51" s="1" t="s">
        <v>176</v>
      </c>
      <c r="AQ51" s="1">
        <v>4</v>
      </c>
      <c r="AR51" s="1" t="s">
        <v>165</v>
      </c>
      <c r="AS51" s="1">
        <v>132534288.59999999</v>
      </c>
      <c r="AT51" s="1" t="s">
        <v>176</v>
      </c>
      <c r="AU51" s="1">
        <v>1</v>
      </c>
      <c r="AV51" s="1">
        <v>1</v>
      </c>
      <c r="AW51" s="1" t="s">
        <v>214</v>
      </c>
      <c r="AX51" s="1" t="s">
        <v>167</v>
      </c>
      <c r="AY51" s="1">
        <v>0</v>
      </c>
      <c r="AZ51">
        <v>999999999</v>
      </c>
      <c r="BA51" s="1">
        <v>8205251.6799999997</v>
      </c>
      <c r="BB51" s="1">
        <v>1</v>
      </c>
      <c r="BD51" s="1" t="s">
        <v>971</v>
      </c>
      <c r="BE51" s="1">
        <v>1</v>
      </c>
      <c r="BF51" s="1">
        <v>1</v>
      </c>
      <c r="BG51" s="1" t="s">
        <v>168</v>
      </c>
      <c r="BH51" s="1">
        <v>0</v>
      </c>
      <c r="BI51" s="1">
        <v>31345322.399999999</v>
      </c>
      <c r="BJ51" s="1">
        <v>0.65480263999999999</v>
      </c>
      <c r="BK51" s="1">
        <v>123618989.48999999</v>
      </c>
      <c r="BL51" s="1">
        <v>132456249.91</v>
      </c>
      <c r="BM51" s="1">
        <v>596150.00000000012</v>
      </c>
      <c r="BN51" s="1">
        <v>9219855.2300000004</v>
      </c>
      <c r="BO51" s="1">
        <v>23.664660909999998</v>
      </c>
      <c r="BP51" s="1">
        <v>0.45007313999999998</v>
      </c>
      <c r="BQ51" s="1">
        <v>6.9606796500000003</v>
      </c>
      <c r="BR51" s="1">
        <v>0.15495682999999999</v>
      </c>
      <c r="BS51" s="1" t="s">
        <v>169</v>
      </c>
      <c r="BT51" s="1" t="s">
        <v>169</v>
      </c>
      <c r="BU51" s="1">
        <v>26356083.120000001</v>
      </c>
      <c r="BV51" s="1">
        <v>0.65480263999999999</v>
      </c>
      <c r="BW51" s="1">
        <v>-250</v>
      </c>
      <c r="BX51" s="1">
        <v>-0.12</v>
      </c>
      <c r="BY51" s="1" t="s">
        <v>170</v>
      </c>
      <c r="BZ51" s="1">
        <v>-78038.69</v>
      </c>
      <c r="CA51" s="1" t="s">
        <v>182</v>
      </c>
      <c r="CB51" s="1" t="s">
        <v>198</v>
      </c>
      <c r="CC51" s="1">
        <v>-7808.4</v>
      </c>
      <c r="CD51" s="1">
        <v>-7808.4</v>
      </c>
      <c r="CE51" s="1">
        <v>205500</v>
      </c>
      <c r="CF51" s="1">
        <v>205500</v>
      </c>
      <c r="CG51" s="1">
        <v>0</v>
      </c>
      <c r="CH51" s="1">
        <v>1.4438757900000001</v>
      </c>
      <c r="CI51" s="1">
        <v>13.27863496</v>
      </c>
      <c r="CJ51" s="1">
        <v>17588381.91</v>
      </c>
      <c r="CK51" s="1">
        <v>1912503.72</v>
      </c>
      <c r="CL51" s="1">
        <v>6269233.6699999999</v>
      </c>
      <c r="CM51" s="1" t="s">
        <v>164</v>
      </c>
      <c r="CN51" s="1" t="s">
        <v>164</v>
      </c>
      <c r="CO51" s="1" t="s">
        <v>184</v>
      </c>
      <c r="CP51" s="1" t="s">
        <v>243</v>
      </c>
      <c r="CQ51" s="1" t="s">
        <v>185</v>
      </c>
      <c r="CR51" s="1">
        <v>0</v>
      </c>
      <c r="CS51" s="1" t="s">
        <v>243</v>
      </c>
      <c r="CT51" s="1">
        <v>0.16603435999999999</v>
      </c>
      <c r="CV51" s="1">
        <v>0</v>
      </c>
      <c r="CW51" s="1">
        <v>-219173.26</v>
      </c>
      <c r="DA51" s="1">
        <v>1355558.46</v>
      </c>
      <c r="DB51" s="1">
        <v>0</v>
      </c>
      <c r="DC51" s="1">
        <v>2520.3126550000002</v>
      </c>
      <c r="DD51" s="1">
        <v>52555.483399999997</v>
      </c>
      <c r="DE51" s="1">
        <v>-296353.43</v>
      </c>
      <c r="DF51" s="1">
        <v>92570020.519999996</v>
      </c>
      <c r="DG51" s="1">
        <v>-250</v>
      </c>
      <c r="DH51" s="1">
        <v>394770.09</v>
      </c>
      <c r="DI51" s="1">
        <v>0.29803809999999997</v>
      </c>
      <c r="DK51" s="1">
        <v>0</v>
      </c>
      <c r="DL51" s="1">
        <v>0</v>
      </c>
      <c r="DM51" s="1">
        <v>-296353.43</v>
      </c>
      <c r="DN51" s="1">
        <v>0</v>
      </c>
      <c r="DO51" s="1">
        <v>0</v>
      </c>
      <c r="DP51" s="1">
        <v>16777215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205250.00000000003</v>
      </c>
      <c r="DW51" s="1">
        <v>205250.00000000003</v>
      </c>
      <c r="DX51" s="1">
        <v>31345322.399999999</v>
      </c>
      <c r="DY51" s="1">
        <v>-1110160.2399999984</v>
      </c>
      <c r="DZ51" s="1">
        <v>92570020.519999966</v>
      </c>
      <c r="EA51" s="1">
        <v>0</v>
      </c>
      <c r="EB51" s="1">
        <v>0</v>
      </c>
      <c r="EC51" s="1" t="s">
        <v>176</v>
      </c>
      <c r="EE51" s="1">
        <v>0</v>
      </c>
      <c r="EF51" s="1">
        <v>3</v>
      </c>
      <c r="EG51" s="1">
        <v>0</v>
      </c>
      <c r="EH51" s="1">
        <v>0</v>
      </c>
      <c r="EI51" s="1">
        <v>0</v>
      </c>
      <c r="EL51" s="1">
        <v>0</v>
      </c>
      <c r="EM51" s="1">
        <v>0</v>
      </c>
      <c r="EN51" s="1">
        <v>1633661.45</v>
      </c>
      <c r="EO51" s="1">
        <v>1.2333592799999999</v>
      </c>
      <c r="ER51" s="1">
        <v>82.2</v>
      </c>
      <c r="ES51" s="1">
        <v>1</v>
      </c>
      <c r="ET51" s="1">
        <v>0</v>
      </c>
      <c r="EU51" s="1">
        <v>0</v>
      </c>
      <c r="EV51" s="1">
        <v>0</v>
      </c>
      <c r="EW51" s="1">
        <v>0</v>
      </c>
      <c r="EX51" s="1">
        <v>0</v>
      </c>
      <c r="EY51" s="1">
        <v>0</v>
      </c>
      <c r="EZ51" s="1">
        <v>0</v>
      </c>
      <c r="FA51" s="1">
        <v>0</v>
      </c>
      <c r="FB51" s="1">
        <v>0</v>
      </c>
      <c r="FC51" s="1">
        <v>0</v>
      </c>
      <c r="FD51" s="1">
        <v>0</v>
      </c>
      <c r="FE51" s="1">
        <v>0</v>
      </c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3">
      <c r="A52" s="1">
        <v>16975388</v>
      </c>
      <c r="B52" s="1">
        <v>128</v>
      </c>
      <c r="C52" s="1">
        <v>1486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7000</v>
      </c>
      <c r="J52" s="1">
        <v>7000</v>
      </c>
      <c r="K52" s="1">
        <v>70000</v>
      </c>
      <c r="L52" s="1">
        <v>70000</v>
      </c>
      <c r="M52" s="1">
        <v>70000</v>
      </c>
      <c r="N52" s="1">
        <v>81266.83</v>
      </c>
      <c r="O52" s="1">
        <v>349280.03</v>
      </c>
      <c r="P52" s="1">
        <v>405498.32</v>
      </c>
      <c r="Q52" s="1">
        <v>349280.03</v>
      </c>
      <c r="R52" s="1">
        <v>405498.32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/>
      <c r="AF52" s="1" t="s">
        <v>161</v>
      </c>
      <c r="AG52" s="1" t="s">
        <v>970</v>
      </c>
      <c r="AH52" s="1" t="s">
        <v>744</v>
      </c>
      <c r="AI52" s="1">
        <v>11</v>
      </c>
      <c r="AJ52" s="1" t="s">
        <v>711</v>
      </c>
      <c r="AK52" s="1" t="s">
        <v>191</v>
      </c>
      <c r="AL52" s="1">
        <v>5174</v>
      </c>
      <c r="AM52" s="1">
        <v>5120</v>
      </c>
      <c r="AN52" s="1">
        <v>358400</v>
      </c>
      <c r="AO52" s="1">
        <v>413938.07</v>
      </c>
      <c r="AP52" s="1" t="s">
        <v>176</v>
      </c>
      <c r="AQ52" s="1">
        <v>4</v>
      </c>
      <c r="AR52" s="1" t="s">
        <v>165</v>
      </c>
      <c r="AS52" s="1">
        <v>132534288.59999999</v>
      </c>
      <c r="AT52" s="1" t="s">
        <v>176</v>
      </c>
      <c r="AU52" s="1">
        <v>1</v>
      </c>
      <c r="AV52" s="1">
        <v>1</v>
      </c>
      <c r="AW52" s="1" t="s">
        <v>220</v>
      </c>
      <c r="AX52" s="1" t="s">
        <v>745</v>
      </c>
      <c r="AY52" s="1">
        <v>0</v>
      </c>
      <c r="BA52" s="1">
        <v>8205251.6799999997</v>
      </c>
      <c r="BB52" s="1">
        <v>0.86582999999999999</v>
      </c>
      <c r="BD52" s="1" t="s">
        <v>971</v>
      </c>
      <c r="BE52" s="1">
        <v>1</v>
      </c>
      <c r="BF52" s="1">
        <v>1</v>
      </c>
      <c r="BG52" s="1" t="s">
        <v>168</v>
      </c>
      <c r="BH52" s="1">
        <v>0</v>
      </c>
      <c r="BI52" s="1">
        <v>31345322.399999999</v>
      </c>
      <c r="BJ52" s="1">
        <v>1.32057366</v>
      </c>
      <c r="BK52" s="1">
        <v>123618989.48999999</v>
      </c>
      <c r="BL52" s="1">
        <v>132456249.91</v>
      </c>
      <c r="BM52" s="1">
        <v>596150.00000000012</v>
      </c>
      <c r="BN52" s="1">
        <v>9219855.2300000004</v>
      </c>
      <c r="BO52" s="1">
        <v>23.664660909999998</v>
      </c>
      <c r="BP52" s="1">
        <v>0.45007313999999998</v>
      </c>
      <c r="BQ52" s="1">
        <v>6.9606796500000003</v>
      </c>
      <c r="BR52" s="1">
        <v>0.31250928</v>
      </c>
      <c r="BS52" s="1" t="s">
        <v>169</v>
      </c>
      <c r="BT52" s="1" t="s">
        <v>169</v>
      </c>
      <c r="BU52" s="1">
        <v>26356083.120000001</v>
      </c>
      <c r="BV52" s="1">
        <v>1.32057366</v>
      </c>
      <c r="BW52" s="1">
        <v>-4018.19</v>
      </c>
      <c r="BX52" s="1">
        <v>-1.04</v>
      </c>
      <c r="BY52" s="1" t="s">
        <v>170</v>
      </c>
      <c r="BZ52" s="1">
        <v>-78038.69</v>
      </c>
      <c r="CA52" s="1" t="s">
        <v>182</v>
      </c>
      <c r="CB52" s="1" t="s">
        <v>183</v>
      </c>
      <c r="CC52" s="1">
        <v>12899.97</v>
      </c>
      <c r="CD52" s="1">
        <v>12457.94</v>
      </c>
      <c r="CE52" s="1">
        <v>362180</v>
      </c>
      <c r="CF52" s="1">
        <v>417956.26</v>
      </c>
      <c r="CG52" s="1">
        <v>0</v>
      </c>
      <c r="CH52" s="1">
        <v>1.4438757900000001</v>
      </c>
      <c r="CI52" s="1">
        <v>13.27863496</v>
      </c>
      <c r="CJ52" s="1">
        <v>17588381.91</v>
      </c>
      <c r="CK52" s="1">
        <v>1912503.72</v>
      </c>
      <c r="CL52" s="1">
        <v>6269233.6699999999</v>
      </c>
      <c r="CM52" s="1" t="s">
        <v>164</v>
      </c>
      <c r="CN52" s="1" t="s">
        <v>164</v>
      </c>
      <c r="CO52" s="1" t="s">
        <v>184</v>
      </c>
      <c r="CP52" s="1" t="s">
        <v>243</v>
      </c>
      <c r="CQ52" s="1" t="s">
        <v>185</v>
      </c>
      <c r="CR52" s="1">
        <v>0</v>
      </c>
      <c r="CS52" s="1" t="s">
        <v>243</v>
      </c>
      <c r="CT52" s="1">
        <v>0.33484990999999997</v>
      </c>
      <c r="CV52" s="1">
        <v>0</v>
      </c>
      <c r="CW52" s="1">
        <v>-219173.26</v>
      </c>
      <c r="DA52" s="1">
        <v>1355558.46</v>
      </c>
      <c r="DB52" s="1">
        <v>0</v>
      </c>
      <c r="DC52" s="1">
        <v>2520.3126550000002</v>
      </c>
      <c r="DD52" s="1">
        <v>52555.483399999997</v>
      </c>
      <c r="DE52" s="1">
        <v>-296353.43</v>
      </c>
      <c r="DF52" s="1">
        <v>92570020.519999996</v>
      </c>
      <c r="DG52" s="1">
        <v>-3780</v>
      </c>
      <c r="DH52" s="1">
        <v>394770.09</v>
      </c>
      <c r="DI52" s="1">
        <v>0.29803809999999997</v>
      </c>
      <c r="DJ52" s="1"/>
      <c r="DK52" s="1">
        <v>0</v>
      </c>
      <c r="DL52" s="1">
        <v>0</v>
      </c>
      <c r="DM52" s="1">
        <v>-296353.43</v>
      </c>
      <c r="DN52" s="1">
        <v>0</v>
      </c>
      <c r="DO52" s="1">
        <v>0</v>
      </c>
      <c r="DP52" s="1">
        <v>16777215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358400</v>
      </c>
      <c r="DW52" s="1">
        <v>413938.07</v>
      </c>
      <c r="DX52" s="1">
        <v>31345322.399999999</v>
      </c>
      <c r="DY52" s="1">
        <v>-1110160.2399999984</v>
      </c>
      <c r="DZ52" s="1">
        <v>92570020.519999966</v>
      </c>
      <c r="EA52" s="1">
        <v>0</v>
      </c>
      <c r="EB52" s="1">
        <v>0</v>
      </c>
      <c r="EC52" s="1" t="s">
        <v>176</v>
      </c>
      <c r="EE52" s="1">
        <v>0</v>
      </c>
      <c r="EF52" s="1">
        <v>3</v>
      </c>
      <c r="EG52" s="1">
        <v>0</v>
      </c>
      <c r="EH52" s="1">
        <v>0</v>
      </c>
      <c r="EI52" s="1">
        <v>0</v>
      </c>
      <c r="EL52" s="1">
        <v>0</v>
      </c>
      <c r="EM52" s="1">
        <v>0</v>
      </c>
      <c r="EN52" s="1">
        <v>1633661.45</v>
      </c>
      <c r="EO52" s="1">
        <v>1.2333592799999999</v>
      </c>
      <c r="ER52" s="1">
        <v>5174</v>
      </c>
      <c r="ES52" s="1">
        <v>0.86770000000000003</v>
      </c>
      <c r="ET52" s="1">
        <v>0</v>
      </c>
      <c r="EU52" s="1">
        <v>0</v>
      </c>
      <c r="EV52" s="1">
        <v>0</v>
      </c>
      <c r="EW52" s="1">
        <v>0</v>
      </c>
      <c r="EX52" s="1">
        <v>0</v>
      </c>
      <c r="EY52" s="1">
        <v>0</v>
      </c>
      <c r="EZ52" s="1">
        <v>0</v>
      </c>
      <c r="FA52" s="1">
        <v>0</v>
      </c>
      <c r="FB52" s="1">
        <v>0</v>
      </c>
      <c r="FC52" s="1">
        <v>0</v>
      </c>
      <c r="FD52" s="1">
        <v>0</v>
      </c>
      <c r="FE52" s="1">
        <v>0</v>
      </c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3">
      <c r="A53" s="1">
        <v>16975466</v>
      </c>
      <c r="B53" s="1">
        <v>128</v>
      </c>
      <c r="C53" s="1">
        <v>3816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43000</v>
      </c>
      <c r="J53" s="3">
        <v>43000</v>
      </c>
      <c r="K53" s="1">
        <v>43000</v>
      </c>
      <c r="L53" s="1">
        <v>43000</v>
      </c>
      <c r="M53" s="1">
        <v>43000</v>
      </c>
      <c r="N53" s="3">
        <v>43000</v>
      </c>
      <c r="O53" s="1">
        <v>419258</v>
      </c>
      <c r="P53" s="1">
        <v>419258</v>
      </c>
      <c r="Q53" s="1">
        <v>419258</v>
      </c>
      <c r="R53" s="1">
        <v>419258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3"/>
      <c r="AF53" s="3" t="s">
        <v>161</v>
      </c>
      <c r="AG53" s="1" t="s">
        <v>970</v>
      </c>
      <c r="AH53" s="3" t="s">
        <v>746</v>
      </c>
      <c r="AI53" s="1">
        <v>4</v>
      </c>
      <c r="AJ53" s="3" t="s">
        <v>165</v>
      </c>
      <c r="AK53" s="1" t="s">
        <v>191</v>
      </c>
      <c r="AL53" s="3">
        <v>9.73</v>
      </c>
      <c r="AM53" s="3">
        <v>9.7900000000000009</v>
      </c>
      <c r="AN53" s="3">
        <v>420970.00000000006</v>
      </c>
      <c r="AO53" s="3">
        <v>420970.00000000006</v>
      </c>
      <c r="AP53" s="1" t="s">
        <v>176</v>
      </c>
      <c r="AQ53" s="1">
        <v>4</v>
      </c>
      <c r="AR53" s="1" t="s">
        <v>165</v>
      </c>
      <c r="AS53" s="3">
        <v>132534288.59999999</v>
      </c>
      <c r="AT53" s="1" t="s">
        <v>176</v>
      </c>
      <c r="AU53" s="1">
        <v>1</v>
      </c>
      <c r="AV53" s="1">
        <v>1</v>
      </c>
      <c r="AW53" s="3" t="s">
        <v>220</v>
      </c>
      <c r="AX53" s="3" t="s">
        <v>575</v>
      </c>
      <c r="AY53" s="1">
        <v>0</v>
      </c>
      <c r="BA53" s="3">
        <v>8205251.6799999997</v>
      </c>
      <c r="BB53" s="1">
        <v>1</v>
      </c>
      <c r="BD53" s="1" t="s">
        <v>971</v>
      </c>
      <c r="BE53" s="1">
        <v>1</v>
      </c>
      <c r="BF53" s="1">
        <v>1</v>
      </c>
      <c r="BG53" s="1" t="s">
        <v>168</v>
      </c>
      <c r="BH53" s="1">
        <v>0</v>
      </c>
      <c r="BI53" s="1">
        <v>31345322.399999999</v>
      </c>
      <c r="BJ53" s="1">
        <v>1.3430074000000001</v>
      </c>
      <c r="BK53" s="1">
        <v>123618989.48999999</v>
      </c>
      <c r="BL53" s="1">
        <v>132456249.91</v>
      </c>
      <c r="BM53" s="1">
        <v>596150.00000000012</v>
      </c>
      <c r="BN53" s="1">
        <v>9219855.2300000004</v>
      </c>
      <c r="BO53" s="1">
        <v>23.664660909999998</v>
      </c>
      <c r="BP53" s="1">
        <v>0.45007313999999998</v>
      </c>
      <c r="BQ53" s="1">
        <v>6.9606796500000003</v>
      </c>
      <c r="BR53" s="1">
        <v>0.31781815000000002</v>
      </c>
      <c r="BS53" s="1" t="s">
        <v>169</v>
      </c>
      <c r="BT53" s="1" t="s">
        <v>169</v>
      </c>
      <c r="BU53" s="1">
        <v>26356083.120000001</v>
      </c>
      <c r="BV53" s="1">
        <v>1.3430074000000001</v>
      </c>
      <c r="BW53" s="1">
        <v>2580</v>
      </c>
      <c r="BX53" s="1">
        <v>0.62</v>
      </c>
      <c r="BY53" s="1" t="s">
        <v>170</v>
      </c>
      <c r="BZ53" s="1">
        <v>-78038.69</v>
      </c>
      <c r="CA53" s="1" t="s">
        <v>182</v>
      </c>
      <c r="CB53" s="1" t="s">
        <v>183</v>
      </c>
      <c r="CC53" s="1">
        <v>-868</v>
      </c>
      <c r="CD53" s="1">
        <v>-868</v>
      </c>
      <c r="CE53" s="1">
        <v>418390</v>
      </c>
      <c r="CF53" s="1">
        <v>418390</v>
      </c>
      <c r="CG53" s="1">
        <v>0</v>
      </c>
      <c r="CH53" s="1">
        <v>1.4438757900000001</v>
      </c>
      <c r="CI53" s="1">
        <v>13.27863496</v>
      </c>
      <c r="CJ53" s="1">
        <v>17588381.91</v>
      </c>
      <c r="CK53" s="1">
        <v>1912503.72</v>
      </c>
      <c r="CL53" s="1">
        <v>6269233.6699999999</v>
      </c>
      <c r="CM53" s="1" t="s">
        <v>164</v>
      </c>
      <c r="CN53" s="1" t="s">
        <v>164</v>
      </c>
      <c r="CO53" s="1" t="s">
        <v>184</v>
      </c>
      <c r="CP53" s="1" t="s">
        <v>243</v>
      </c>
      <c r="CQ53" s="3" t="s">
        <v>185</v>
      </c>
      <c r="CR53" s="1">
        <v>0</v>
      </c>
      <c r="CS53" s="1" t="s">
        <v>243</v>
      </c>
      <c r="CT53" s="1">
        <v>0.34053830000000002</v>
      </c>
      <c r="CV53" s="1">
        <v>0</v>
      </c>
      <c r="CW53" s="1">
        <v>-219173.26</v>
      </c>
      <c r="DA53" s="1">
        <v>1355558.46</v>
      </c>
      <c r="DB53" s="1">
        <v>0</v>
      </c>
      <c r="DC53" s="1">
        <v>2520.3126550000002</v>
      </c>
      <c r="DD53" s="1">
        <v>52555.483399999997</v>
      </c>
      <c r="DE53" s="1">
        <v>-296353.43</v>
      </c>
      <c r="DF53" s="1">
        <v>92570020.519999996</v>
      </c>
      <c r="DG53" s="1">
        <v>2580</v>
      </c>
      <c r="DH53" s="1">
        <v>394770.09</v>
      </c>
      <c r="DI53" s="1">
        <v>0.29803809999999997</v>
      </c>
      <c r="DK53" s="1">
        <v>0</v>
      </c>
      <c r="DL53" s="1">
        <v>0</v>
      </c>
      <c r="DM53" s="1">
        <v>-296353.43</v>
      </c>
      <c r="DN53" s="1">
        <v>0</v>
      </c>
      <c r="DO53" s="1">
        <v>0</v>
      </c>
      <c r="DP53" s="1">
        <v>16777215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420970.00000000006</v>
      </c>
      <c r="DW53" s="1">
        <v>420970.00000000006</v>
      </c>
      <c r="DX53" s="1">
        <v>31345322.399999999</v>
      </c>
      <c r="DY53" s="1">
        <v>-1110160.2399999984</v>
      </c>
      <c r="DZ53" s="1">
        <v>92570020.519999966</v>
      </c>
      <c r="EA53" s="1">
        <v>0</v>
      </c>
      <c r="EB53" s="1">
        <v>0</v>
      </c>
      <c r="EC53" s="1" t="s">
        <v>176</v>
      </c>
      <c r="EE53" s="1">
        <v>0</v>
      </c>
      <c r="EF53" s="1">
        <v>3</v>
      </c>
      <c r="EG53" s="1">
        <v>0</v>
      </c>
      <c r="EH53" s="3">
        <v>0</v>
      </c>
      <c r="EI53" s="1">
        <v>0</v>
      </c>
      <c r="EL53" s="1">
        <v>0</v>
      </c>
      <c r="EM53" s="1">
        <v>0</v>
      </c>
      <c r="EN53" s="1">
        <v>1633661.45</v>
      </c>
      <c r="EO53" s="1">
        <v>1.2333592799999999</v>
      </c>
      <c r="ER53" s="1">
        <v>9.73</v>
      </c>
      <c r="ES53" s="1">
        <v>1</v>
      </c>
      <c r="ET53" s="3">
        <v>0</v>
      </c>
      <c r="EU53" s="3">
        <v>0</v>
      </c>
      <c r="EV53" s="3">
        <v>0</v>
      </c>
      <c r="EW53" s="3">
        <v>0</v>
      </c>
      <c r="EX53" s="3">
        <v>0</v>
      </c>
      <c r="EY53" s="3">
        <v>0</v>
      </c>
      <c r="EZ53" s="3">
        <v>0</v>
      </c>
      <c r="FA53" s="1">
        <v>0</v>
      </c>
      <c r="FB53" s="1">
        <v>0</v>
      </c>
      <c r="FC53" s="3">
        <v>0</v>
      </c>
      <c r="FD53" s="1">
        <v>0</v>
      </c>
      <c r="FE53" s="1">
        <v>0</v>
      </c>
    </row>
    <row r="54" spans="1:256" x14ac:dyDescent="0.3">
      <c r="A54" s="1">
        <v>16975593</v>
      </c>
      <c r="B54" s="1">
        <v>128</v>
      </c>
      <c r="C54" s="1">
        <v>3099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2500</v>
      </c>
      <c r="J54" s="3">
        <v>2500</v>
      </c>
      <c r="K54" s="1">
        <v>52182</v>
      </c>
      <c r="L54" s="1">
        <v>52182</v>
      </c>
      <c r="M54" s="1">
        <v>52182</v>
      </c>
      <c r="N54" s="3">
        <v>21706.33</v>
      </c>
      <c r="O54" s="1">
        <v>327204.71000000002</v>
      </c>
      <c r="P54" s="1">
        <v>327204.71000000002</v>
      </c>
      <c r="Q54" s="1">
        <v>327204.71000000002</v>
      </c>
      <c r="R54" s="1">
        <v>327204.71000000002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3"/>
      <c r="AF54" s="3" t="s">
        <v>161</v>
      </c>
      <c r="AG54" s="1" t="s">
        <v>970</v>
      </c>
      <c r="AH54" s="3" t="s">
        <v>219</v>
      </c>
      <c r="AI54" s="1">
        <v>4</v>
      </c>
      <c r="AJ54" s="3" t="s">
        <v>165</v>
      </c>
      <c r="AK54" s="1" t="s">
        <v>191</v>
      </c>
      <c r="AL54" s="3">
        <v>159.84</v>
      </c>
      <c r="AM54" s="3">
        <v>157.28</v>
      </c>
      <c r="AN54" s="3">
        <v>393200</v>
      </c>
      <c r="AO54" s="3">
        <v>393200</v>
      </c>
      <c r="AP54" s="1" t="s">
        <v>176</v>
      </c>
      <c r="AQ54" s="1">
        <v>4</v>
      </c>
      <c r="AR54" s="1" t="s">
        <v>165</v>
      </c>
      <c r="AS54" s="3">
        <v>132534288.59999999</v>
      </c>
      <c r="AT54" s="1" t="s">
        <v>176</v>
      </c>
      <c r="AU54" s="1">
        <v>1</v>
      </c>
      <c r="AV54" s="1">
        <v>1</v>
      </c>
      <c r="AW54" s="3" t="s">
        <v>220</v>
      </c>
      <c r="AX54" s="3" t="s">
        <v>221</v>
      </c>
      <c r="AY54" s="1">
        <v>0</v>
      </c>
      <c r="BA54" s="3">
        <v>8205251.6799999997</v>
      </c>
      <c r="BB54" s="1">
        <v>1</v>
      </c>
      <c r="BD54" s="1" t="s">
        <v>971</v>
      </c>
      <c r="BE54" s="1">
        <v>1</v>
      </c>
      <c r="BF54" s="1">
        <v>1</v>
      </c>
      <c r="BG54" s="1" t="s">
        <v>168</v>
      </c>
      <c r="BH54" s="1">
        <v>0</v>
      </c>
      <c r="BI54" s="1">
        <v>31345322.399999999</v>
      </c>
      <c r="BJ54" s="1">
        <v>1.2544136400000001</v>
      </c>
      <c r="BK54" s="1">
        <v>123618989.48999999</v>
      </c>
      <c r="BL54" s="1">
        <v>132456249.91</v>
      </c>
      <c r="BM54" s="1">
        <v>596150.00000000012</v>
      </c>
      <c r="BN54" s="1">
        <v>9219855.2300000004</v>
      </c>
      <c r="BO54" s="1">
        <v>23.664660909999998</v>
      </c>
      <c r="BP54" s="1">
        <v>0.45007313999999998</v>
      </c>
      <c r="BQ54" s="1">
        <v>6.9606796500000003</v>
      </c>
      <c r="BR54" s="1">
        <v>0.29685273000000001</v>
      </c>
      <c r="BS54" s="1" t="s">
        <v>169</v>
      </c>
      <c r="BT54" s="1" t="s">
        <v>169</v>
      </c>
      <c r="BU54" s="1">
        <v>26356083.120000001</v>
      </c>
      <c r="BV54" s="1">
        <v>1.2544136400000001</v>
      </c>
      <c r="BW54" s="1">
        <v>-6400</v>
      </c>
      <c r="BX54" s="1">
        <v>-1.6</v>
      </c>
      <c r="BY54" s="1" t="s">
        <v>170</v>
      </c>
      <c r="BZ54" s="1">
        <v>-78038.69</v>
      </c>
      <c r="CA54" s="1" t="s">
        <v>182</v>
      </c>
      <c r="CB54" s="1" t="s">
        <v>183</v>
      </c>
      <c r="CC54" s="1">
        <v>72395.289999999994</v>
      </c>
      <c r="CD54" s="1">
        <v>72395.289999999994</v>
      </c>
      <c r="CE54" s="1">
        <v>399600</v>
      </c>
      <c r="CF54" s="1">
        <v>399600</v>
      </c>
      <c r="CG54" s="1">
        <v>0</v>
      </c>
      <c r="CH54" s="1">
        <v>1.4438757900000001</v>
      </c>
      <c r="CI54" s="1">
        <v>13.27863496</v>
      </c>
      <c r="CJ54" s="1">
        <v>17588381.91</v>
      </c>
      <c r="CK54" s="1">
        <v>1912503.72</v>
      </c>
      <c r="CL54" s="1">
        <v>6269233.6699999999</v>
      </c>
      <c r="CM54" s="1" t="s">
        <v>164</v>
      </c>
      <c r="CN54" s="1" t="s">
        <v>164</v>
      </c>
      <c r="CO54" s="1" t="s">
        <v>184</v>
      </c>
      <c r="CP54" s="1" t="s">
        <v>243</v>
      </c>
      <c r="CQ54" s="3" t="s">
        <v>185</v>
      </c>
      <c r="CR54" s="1">
        <v>0</v>
      </c>
      <c r="CS54" s="1" t="s">
        <v>243</v>
      </c>
      <c r="CT54" s="1">
        <v>0.31807411000000002</v>
      </c>
      <c r="CV54" s="1">
        <v>0</v>
      </c>
      <c r="CW54" s="1">
        <v>-219173.26</v>
      </c>
      <c r="DA54" s="1">
        <v>1355558.46</v>
      </c>
      <c r="DB54" s="1">
        <v>0</v>
      </c>
      <c r="DC54" s="1">
        <v>2520.3126550000002</v>
      </c>
      <c r="DD54" s="1">
        <v>52555.483399999997</v>
      </c>
      <c r="DE54" s="1">
        <v>-296353.43</v>
      </c>
      <c r="DF54" s="1">
        <v>92570020.519999996</v>
      </c>
      <c r="DG54" s="1">
        <v>-6400</v>
      </c>
      <c r="DH54" s="1">
        <v>394770.09</v>
      </c>
      <c r="DI54" s="1">
        <v>0.29803809999999997</v>
      </c>
      <c r="DK54" s="1">
        <v>0</v>
      </c>
      <c r="DL54" s="1">
        <v>0</v>
      </c>
      <c r="DM54" s="1">
        <v>-296353.43</v>
      </c>
      <c r="DN54" s="1">
        <v>0</v>
      </c>
      <c r="DO54" s="1">
        <v>0</v>
      </c>
      <c r="DP54" s="1">
        <v>16777215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393200</v>
      </c>
      <c r="DW54" s="1">
        <v>393200</v>
      </c>
      <c r="DX54" s="1">
        <v>31345322.399999999</v>
      </c>
      <c r="DY54" s="1">
        <v>-1110160.2399999984</v>
      </c>
      <c r="DZ54" s="1">
        <v>92570020.519999966</v>
      </c>
      <c r="EA54" s="1">
        <v>0</v>
      </c>
      <c r="EB54" s="1">
        <v>0</v>
      </c>
      <c r="EC54" s="1" t="s">
        <v>176</v>
      </c>
      <c r="EE54" s="1">
        <v>0</v>
      </c>
      <c r="EF54" s="1">
        <v>3</v>
      </c>
      <c r="EG54" s="1">
        <v>0</v>
      </c>
      <c r="EH54" s="3">
        <v>0</v>
      </c>
      <c r="EI54" s="1">
        <v>0</v>
      </c>
      <c r="EL54" s="1">
        <v>0</v>
      </c>
      <c r="EM54" s="1">
        <v>0</v>
      </c>
      <c r="EN54" s="1">
        <v>1633661.45</v>
      </c>
      <c r="EO54" s="1">
        <v>1.2333592799999999</v>
      </c>
      <c r="ER54" s="1">
        <v>159.84</v>
      </c>
      <c r="ES54" s="1">
        <v>1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0</v>
      </c>
      <c r="EZ54" s="3">
        <v>0</v>
      </c>
      <c r="FA54" s="1">
        <v>0</v>
      </c>
      <c r="FB54" s="1">
        <v>0</v>
      </c>
      <c r="FC54" s="3">
        <v>0</v>
      </c>
      <c r="FD54" s="1">
        <v>0</v>
      </c>
      <c r="FE54" s="1">
        <v>0</v>
      </c>
    </row>
    <row r="55" spans="1:256" x14ac:dyDescent="0.3">
      <c r="A55" s="1">
        <v>16975371</v>
      </c>
      <c r="B55" s="1">
        <v>128</v>
      </c>
      <c r="C55" s="1">
        <v>9059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6500</v>
      </c>
      <c r="J55" s="3">
        <v>6500</v>
      </c>
      <c r="K55" s="1">
        <v>65</v>
      </c>
      <c r="L55" s="1">
        <v>65</v>
      </c>
      <c r="M55" s="1">
        <v>65</v>
      </c>
      <c r="N55" s="3">
        <v>59.83</v>
      </c>
      <c r="O55" s="1">
        <v>445965</v>
      </c>
      <c r="P55" s="1">
        <v>410460.19</v>
      </c>
      <c r="Q55" s="1">
        <v>445965</v>
      </c>
      <c r="R55" s="1">
        <v>410460.19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3"/>
      <c r="AF55" s="3" t="s">
        <v>161</v>
      </c>
      <c r="AG55" s="1" t="s">
        <v>970</v>
      </c>
      <c r="AH55" s="3" t="s">
        <v>747</v>
      </c>
      <c r="AI55" s="1">
        <v>5</v>
      </c>
      <c r="AJ55" s="3" t="s">
        <v>162</v>
      </c>
      <c r="AK55" s="1" t="s">
        <v>163</v>
      </c>
      <c r="AL55" s="3">
        <v>85.74</v>
      </c>
      <c r="AM55" s="3">
        <v>83.710000000000008</v>
      </c>
      <c r="AN55" s="3">
        <v>544115</v>
      </c>
      <c r="AO55" s="3">
        <v>518995.61</v>
      </c>
      <c r="AP55" s="1" t="s">
        <v>176</v>
      </c>
      <c r="AQ55" s="1">
        <v>4</v>
      </c>
      <c r="AR55" s="1" t="s">
        <v>165</v>
      </c>
      <c r="AS55" s="3">
        <v>132534288.59999999</v>
      </c>
      <c r="AT55" s="1" t="s">
        <v>176</v>
      </c>
      <c r="AU55" s="1">
        <v>1</v>
      </c>
      <c r="AV55" s="1">
        <v>1</v>
      </c>
      <c r="AW55" s="3" t="s">
        <v>220</v>
      </c>
      <c r="AX55" s="3" t="s">
        <v>221</v>
      </c>
      <c r="AY55" s="1">
        <v>0</v>
      </c>
      <c r="BA55" s="3">
        <v>8205251.6799999997</v>
      </c>
      <c r="BB55" s="1">
        <v>1.0484</v>
      </c>
      <c r="BD55" s="1" t="s">
        <v>971</v>
      </c>
      <c r="BE55" s="1">
        <v>1</v>
      </c>
      <c r="BF55" s="1">
        <v>1</v>
      </c>
      <c r="BG55" s="1" t="s">
        <v>168</v>
      </c>
      <c r="BH55" s="1">
        <v>0</v>
      </c>
      <c r="BI55" s="1">
        <v>31345322.399999999</v>
      </c>
      <c r="BJ55" s="1">
        <v>1.65573543</v>
      </c>
      <c r="BK55" s="1">
        <v>123618989.48999999</v>
      </c>
      <c r="BL55" s="1">
        <v>132456249.91</v>
      </c>
      <c r="BM55" s="1">
        <v>596150.00000000012</v>
      </c>
      <c r="BN55" s="1">
        <v>9219855.2300000004</v>
      </c>
      <c r="BO55" s="1">
        <v>23.664660909999998</v>
      </c>
      <c r="BP55" s="1">
        <v>0.45007313999999998</v>
      </c>
      <c r="BQ55" s="1">
        <v>6.9606796500000003</v>
      </c>
      <c r="BR55" s="1">
        <v>0.39182418000000002</v>
      </c>
      <c r="BS55" s="1" t="s">
        <v>169</v>
      </c>
      <c r="BT55" s="1" t="s">
        <v>169</v>
      </c>
      <c r="BU55" s="1">
        <v>26356083.120000001</v>
      </c>
      <c r="BV55" s="1">
        <v>1.65573543</v>
      </c>
      <c r="BW55" s="1">
        <v>-8111.17</v>
      </c>
      <c r="BX55" s="1">
        <v>-2.37</v>
      </c>
      <c r="BY55" s="1" t="s">
        <v>170</v>
      </c>
      <c r="BZ55" s="1">
        <v>-78038.69</v>
      </c>
      <c r="CA55" s="1" t="s">
        <v>182</v>
      </c>
      <c r="CB55" s="1" t="s">
        <v>183</v>
      </c>
      <c r="CC55" s="1">
        <v>111345</v>
      </c>
      <c r="CD55" s="1">
        <v>116646.59</v>
      </c>
      <c r="CE55" s="1">
        <v>557310</v>
      </c>
      <c r="CF55" s="1">
        <v>527106.78</v>
      </c>
      <c r="CG55" s="1">
        <v>0</v>
      </c>
      <c r="CH55" s="1">
        <v>1.4438757900000001</v>
      </c>
      <c r="CI55" s="1">
        <v>13.27863496</v>
      </c>
      <c r="CJ55" s="1">
        <v>17588381.91</v>
      </c>
      <c r="CK55" s="1">
        <v>1912503.72</v>
      </c>
      <c r="CL55" s="1">
        <v>6269233.6699999999</v>
      </c>
      <c r="CM55" s="1" t="s">
        <v>164</v>
      </c>
      <c r="CN55" s="1" t="s">
        <v>164</v>
      </c>
      <c r="CO55" s="1" t="s">
        <v>184</v>
      </c>
      <c r="CP55" s="1" t="s">
        <v>243</v>
      </c>
      <c r="CQ55" s="3" t="s">
        <v>185</v>
      </c>
      <c r="CR55" s="1">
        <v>0</v>
      </c>
      <c r="CS55" s="1" t="s">
        <v>243</v>
      </c>
      <c r="CT55" s="1">
        <v>0.41983485999999998</v>
      </c>
      <c r="CV55" s="1">
        <v>0</v>
      </c>
      <c r="CW55" s="1">
        <v>-219173.26</v>
      </c>
      <c r="DA55" s="1">
        <v>1355558.46</v>
      </c>
      <c r="DB55" s="1">
        <v>0</v>
      </c>
      <c r="DC55" s="1">
        <v>2520.3126550000002</v>
      </c>
      <c r="DD55" s="1">
        <v>52555.483399999997</v>
      </c>
      <c r="DE55" s="1">
        <v>-296353.43</v>
      </c>
      <c r="DF55" s="1">
        <v>92570020.519999996</v>
      </c>
      <c r="DG55" s="1">
        <v>-13195</v>
      </c>
      <c r="DH55" s="1">
        <v>394770.09</v>
      </c>
      <c r="DI55" s="1">
        <v>0.29803809999999997</v>
      </c>
      <c r="DK55" s="1">
        <v>0</v>
      </c>
      <c r="DL55" s="1">
        <v>0</v>
      </c>
      <c r="DM55" s="1">
        <v>-296353.43</v>
      </c>
      <c r="DN55" s="1">
        <v>0</v>
      </c>
      <c r="DO55" s="1">
        <v>0</v>
      </c>
      <c r="DP55" s="1">
        <v>16777215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544115</v>
      </c>
      <c r="DW55" s="1">
        <v>518995.61</v>
      </c>
      <c r="DX55" s="1">
        <v>31345322.399999999</v>
      </c>
      <c r="DY55" s="1">
        <v>-1110160.2399999984</v>
      </c>
      <c r="DZ55" s="1">
        <v>92570020.519999966</v>
      </c>
      <c r="EA55" s="1">
        <v>0</v>
      </c>
      <c r="EB55" s="1">
        <v>0</v>
      </c>
      <c r="EC55" s="1" t="s">
        <v>176</v>
      </c>
      <c r="EE55" s="1">
        <v>0</v>
      </c>
      <c r="EF55" s="1">
        <v>3</v>
      </c>
      <c r="EG55" s="1">
        <v>0</v>
      </c>
      <c r="EH55" s="3">
        <v>0</v>
      </c>
      <c r="EI55" s="1">
        <v>0</v>
      </c>
      <c r="EL55" s="1">
        <v>0</v>
      </c>
      <c r="EM55" s="1">
        <v>0</v>
      </c>
      <c r="EN55" s="1">
        <v>1633661.45</v>
      </c>
      <c r="EO55" s="1">
        <v>1.2333592799999999</v>
      </c>
      <c r="ER55" s="1">
        <v>85.74</v>
      </c>
      <c r="ES55" s="1">
        <v>1.0572999999999999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0</v>
      </c>
      <c r="FA55" s="1">
        <v>0</v>
      </c>
      <c r="FB55" s="1">
        <v>0</v>
      </c>
      <c r="FC55" s="3">
        <v>0</v>
      </c>
      <c r="FD55" s="1">
        <v>0</v>
      </c>
      <c r="FE55" s="1">
        <v>0</v>
      </c>
    </row>
    <row r="56" spans="1:256" x14ac:dyDescent="0.3">
      <c r="A56" s="1">
        <v>16975419</v>
      </c>
      <c r="B56" s="1">
        <v>128</v>
      </c>
      <c r="C56" s="1">
        <v>10687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14000</v>
      </c>
      <c r="J56" s="3">
        <v>14000</v>
      </c>
      <c r="K56" s="1">
        <v>14000</v>
      </c>
      <c r="L56" s="1">
        <v>14000</v>
      </c>
      <c r="M56" s="1">
        <v>14000</v>
      </c>
      <c r="N56" s="3">
        <v>14000</v>
      </c>
      <c r="O56" s="1">
        <v>408395.05</v>
      </c>
      <c r="P56" s="1">
        <v>408395.05</v>
      </c>
      <c r="Q56" s="1">
        <v>408395.05</v>
      </c>
      <c r="R56" s="1">
        <v>408395.05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3"/>
      <c r="AF56" s="3" t="s">
        <v>161</v>
      </c>
      <c r="AG56" s="1" t="s">
        <v>970</v>
      </c>
      <c r="AH56" s="3" t="s">
        <v>748</v>
      </c>
      <c r="AI56" s="1">
        <v>4</v>
      </c>
      <c r="AJ56" s="3" t="s">
        <v>165</v>
      </c>
      <c r="AK56" s="1" t="s">
        <v>191</v>
      </c>
      <c r="AL56" s="3">
        <v>30.35</v>
      </c>
      <c r="AM56" s="3">
        <v>30.150000000000002</v>
      </c>
      <c r="AN56" s="3">
        <v>422100.00000000006</v>
      </c>
      <c r="AO56" s="3">
        <v>422100.00000000006</v>
      </c>
      <c r="AP56" s="1" t="s">
        <v>176</v>
      </c>
      <c r="AQ56" s="1">
        <v>4</v>
      </c>
      <c r="AR56" s="1" t="s">
        <v>165</v>
      </c>
      <c r="AS56" s="3">
        <v>132534288.59999999</v>
      </c>
      <c r="AT56" s="1" t="s">
        <v>176</v>
      </c>
      <c r="AU56" s="1">
        <v>1</v>
      </c>
      <c r="AV56" s="1">
        <v>1</v>
      </c>
      <c r="AW56" s="3" t="s">
        <v>220</v>
      </c>
      <c r="AX56" s="3" t="s">
        <v>221</v>
      </c>
      <c r="AY56" s="1">
        <v>0</v>
      </c>
      <c r="BA56" s="3">
        <v>8205251.6799999997</v>
      </c>
      <c r="BB56" s="1">
        <v>1</v>
      </c>
      <c r="BD56" s="1" t="s">
        <v>971</v>
      </c>
      <c r="BE56" s="1">
        <v>1</v>
      </c>
      <c r="BF56" s="1">
        <v>1</v>
      </c>
      <c r="BG56" s="1" t="s">
        <v>168</v>
      </c>
      <c r="BH56" s="1">
        <v>0</v>
      </c>
      <c r="BI56" s="1">
        <v>31345322.399999999</v>
      </c>
      <c r="BJ56" s="1">
        <v>1.3466124100000001</v>
      </c>
      <c r="BK56" s="1">
        <v>123618989.48999999</v>
      </c>
      <c r="BL56" s="1">
        <v>132456249.91</v>
      </c>
      <c r="BM56" s="1">
        <v>596150.00000000012</v>
      </c>
      <c r="BN56" s="1">
        <v>9219855.2300000004</v>
      </c>
      <c r="BO56" s="1">
        <v>23.664660909999998</v>
      </c>
      <c r="BP56" s="1">
        <v>0.45007313999999998</v>
      </c>
      <c r="BQ56" s="1">
        <v>6.9606796500000003</v>
      </c>
      <c r="BR56" s="1">
        <v>0.31867126000000001</v>
      </c>
      <c r="BS56" s="1" t="s">
        <v>169</v>
      </c>
      <c r="BT56" s="1" t="s">
        <v>169</v>
      </c>
      <c r="BU56" s="1">
        <v>26356083.120000001</v>
      </c>
      <c r="BV56" s="1">
        <v>1.3466124100000001</v>
      </c>
      <c r="BW56" s="1">
        <v>-2800</v>
      </c>
      <c r="BX56" s="1">
        <v>-0.66</v>
      </c>
      <c r="BY56" s="1" t="s">
        <v>170</v>
      </c>
      <c r="BZ56" s="1">
        <v>-78038.69</v>
      </c>
      <c r="CA56" s="1" t="s">
        <v>182</v>
      </c>
      <c r="CB56" s="1" t="s">
        <v>183</v>
      </c>
      <c r="CC56" s="1">
        <v>16504.95</v>
      </c>
      <c r="CD56" s="1">
        <v>16504.95</v>
      </c>
      <c r="CE56" s="1">
        <v>424900</v>
      </c>
      <c r="CF56" s="1">
        <v>424900</v>
      </c>
      <c r="CG56" s="1">
        <v>0</v>
      </c>
      <c r="CH56" s="1">
        <v>1.4438757900000001</v>
      </c>
      <c r="CI56" s="1">
        <v>13.27863496</v>
      </c>
      <c r="CJ56" s="1">
        <v>17588381.91</v>
      </c>
      <c r="CK56" s="1">
        <v>1912503.72</v>
      </c>
      <c r="CL56" s="1">
        <v>6269233.6699999999</v>
      </c>
      <c r="CM56" s="1" t="s">
        <v>164</v>
      </c>
      <c r="CN56" s="1" t="s">
        <v>164</v>
      </c>
      <c r="CO56" s="1" t="s">
        <v>184</v>
      </c>
      <c r="CP56" s="1" t="s">
        <v>243</v>
      </c>
      <c r="CQ56" s="3" t="s">
        <v>185</v>
      </c>
      <c r="CR56" s="1">
        <v>0</v>
      </c>
      <c r="CS56" s="1" t="s">
        <v>243</v>
      </c>
      <c r="CT56" s="1">
        <v>0.34145238999999999</v>
      </c>
      <c r="CV56" s="1">
        <v>0</v>
      </c>
      <c r="CW56" s="1">
        <v>-219173.26</v>
      </c>
      <c r="DA56" s="1">
        <v>1355558.46</v>
      </c>
      <c r="DB56" s="1">
        <v>0</v>
      </c>
      <c r="DC56" s="1">
        <v>2520.3126550000002</v>
      </c>
      <c r="DD56" s="1">
        <v>52555.483399999997</v>
      </c>
      <c r="DE56" s="1">
        <v>-296353.43</v>
      </c>
      <c r="DF56" s="1">
        <v>92570020.519999996</v>
      </c>
      <c r="DG56" s="1">
        <v>-2800</v>
      </c>
      <c r="DH56" s="1">
        <v>394770.09</v>
      </c>
      <c r="DI56" s="1">
        <v>0.29803809999999997</v>
      </c>
      <c r="DK56" s="1">
        <v>0</v>
      </c>
      <c r="DL56" s="1">
        <v>0</v>
      </c>
      <c r="DM56" s="1">
        <v>-296353.43</v>
      </c>
      <c r="DN56" s="1">
        <v>0</v>
      </c>
      <c r="DO56" s="1">
        <v>0</v>
      </c>
      <c r="DP56" s="1">
        <v>16777215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422100.00000000006</v>
      </c>
      <c r="DW56" s="1">
        <v>422100.00000000006</v>
      </c>
      <c r="DX56" s="1">
        <v>31345322.399999999</v>
      </c>
      <c r="DY56" s="1">
        <v>-1110160.2399999984</v>
      </c>
      <c r="DZ56" s="1">
        <v>92570020.519999966</v>
      </c>
      <c r="EA56" s="1">
        <v>0</v>
      </c>
      <c r="EB56" s="1">
        <v>0</v>
      </c>
      <c r="EC56" s="1" t="s">
        <v>176</v>
      </c>
      <c r="EE56" s="1">
        <v>0</v>
      </c>
      <c r="EF56" s="1">
        <v>3</v>
      </c>
      <c r="EG56" s="1">
        <v>0</v>
      </c>
      <c r="EH56" s="3">
        <v>0</v>
      </c>
      <c r="EI56" s="1">
        <v>0</v>
      </c>
      <c r="EL56" s="1">
        <v>0</v>
      </c>
      <c r="EM56" s="1">
        <v>0</v>
      </c>
      <c r="EN56" s="1">
        <v>1633661.45</v>
      </c>
      <c r="EO56" s="1">
        <v>1.2333592799999999</v>
      </c>
      <c r="ER56" s="1">
        <v>30.35</v>
      </c>
      <c r="ES56" s="1">
        <v>1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1">
        <v>0</v>
      </c>
      <c r="FB56" s="1">
        <v>0</v>
      </c>
      <c r="FC56" s="3">
        <v>0</v>
      </c>
      <c r="FD56" s="1">
        <v>0</v>
      </c>
      <c r="FE56" s="1">
        <v>0</v>
      </c>
    </row>
    <row r="57" spans="1:256" x14ac:dyDescent="0.3">
      <c r="A57" s="1">
        <v>16975341</v>
      </c>
      <c r="B57" s="1">
        <v>128</v>
      </c>
      <c r="C57" s="1">
        <v>7793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3500</v>
      </c>
      <c r="J57" s="3">
        <v>3500</v>
      </c>
      <c r="K57" s="1">
        <v>3500</v>
      </c>
      <c r="L57" s="1">
        <v>3500</v>
      </c>
      <c r="M57" s="1">
        <v>3500</v>
      </c>
      <c r="N57" s="3">
        <v>3220.03</v>
      </c>
      <c r="O57" s="1">
        <v>421165.81</v>
      </c>
      <c r="P57" s="1">
        <v>388502.98</v>
      </c>
      <c r="Q57" s="1">
        <v>421165.81</v>
      </c>
      <c r="R57" s="1">
        <v>388502.98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3"/>
      <c r="AF57" s="3" t="s">
        <v>161</v>
      </c>
      <c r="AG57" s="1" t="s">
        <v>970</v>
      </c>
      <c r="AH57" s="3" t="s">
        <v>222</v>
      </c>
      <c r="AI57" s="1">
        <v>5</v>
      </c>
      <c r="AJ57" s="3" t="s">
        <v>162</v>
      </c>
      <c r="AK57" s="1" t="s">
        <v>179</v>
      </c>
      <c r="AL57" s="3">
        <v>133.28</v>
      </c>
      <c r="AM57" s="3">
        <v>133.47999999999999</v>
      </c>
      <c r="AN57" s="3">
        <v>467179.99999999994</v>
      </c>
      <c r="AO57" s="3">
        <v>445612.36</v>
      </c>
      <c r="AP57" s="1" t="s">
        <v>176</v>
      </c>
      <c r="AQ57" s="1">
        <v>4</v>
      </c>
      <c r="AR57" s="1" t="s">
        <v>165</v>
      </c>
      <c r="AS57" s="3">
        <v>132534288.59999999</v>
      </c>
      <c r="AT57" s="1" t="s">
        <v>176</v>
      </c>
      <c r="AU57" s="1">
        <v>1</v>
      </c>
      <c r="AV57" s="1">
        <v>1</v>
      </c>
      <c r="AW57" s="3" t="s">
        <v>223</v>
      </c>
      <c r="AX57" s="3" t="s">
        <v>224</v>
      </c>
      <c r="AY57" s="1">
        <v>0</v>
      </c>
      <c r="BA57" s="3">
        <v>8205251.6799999997</v>
      </c>
      <c r="BB57" s="1">
        <v>1.0484</v>
      </c>
      <c r="BD57" s="1" t="s">
        <v>971</v>
      </c>
      <c r="BE57" s="1">
        <v>1</v>
      </c>
      <c r="BF57" s="1">
        <v>1</v>
      </c>
      <c r="BG57" s="1" t="s">
        <v>168</v>
      </c>
      <c r="BH57" s="1">
        <v>0</v>
      </c>
      <c r="BI57" s="1">
        <v>31345322.399999999</v>
      </c>
      <c r="BJ57" s="1">
        <v>1.4216231500000001</v>
      </c>
      <c r="BK57" s="1">
        <v>123618989.48999999</v>
      </c>
      <c r="BL57" s="1">
        <v>132456249.91</v>
      </c>
      <c r="BM57" s="1">
        <v>596150.00000000012</v>
      </c>
      <c r="BN57" s="1">
        <v>9219855.2300000004</v>
      </c>
      <c r="BO57" s="1">
        <v>23.664660909999998</v>
      </c>
      <c r="BP57" s="1">
        <v>0.45007313999999998</v>
      </c>
      <c r="BQ57" s="1">
        <v>6.9606796500000003</v>
      </c>
      <c r="BR57" s="1">
        <v>0.33642230000000001</v>
      </c>
      <c r="BS57" s="1" t="s">
        <v>169</v>
      </c>
      <c r="BT57" s="1" t="s">
        <v>169</v>
      </c>
      <c r="BU57" s="1">
        <v>26356083.120000001</v>
      </c>
      <c r="BV57" s="1">
        <v>1.4216231500000001</v>
      </c>
      <c r="BW57" s="1">
        <v>4413.08</v>
      </c>
      <c r="BX57" s="1">
        <v>0.15</v>
      </c>
      <c r="BY57" s="1" t="s">
        <v>170</v>
      </c>
      <c r="BZ57" s="1">
        <v>-78038.69</v>
      </c>
      <c r="CA57" s="1" t="s">
        <v>182</v>
      </c>
      <c r="CB57" s="1" t="s">
        <v>183</v>
      </c>
      <c r="CC57" s="1">
        <v>45314.19</v>
      </c>
      <c r="CD57" s="1">
        <v>52696.3</v>
      </c>
      <c r="CE57" s="1">
        <v>466480</v>
      </c>
      <c r="CF57" s="1">
        <v>441199.28</v>
      </c>
      <c r="CG57" s="1">
        <v>0</v>
      </c>
      <c r="CH57" s="1">
        <v>1.4438757900000001</v>
      </c>
      <c r="CI57" s="1">
        <v>13.27863496</v>
      </c>
      <c r="CJ57" s="1">
        <v>17588381.91</v>
      </c>
      <c r="CK57" s="1">
        <v>1912503.72</v>
      </c>
      <c r="CL57" s="1">
        <v>6269233.6699999999</v>
      </c>
      <c r="CM57" s="1" t="s">
        <v>164</v>
      </c>
      <c r="CN57" s="1" t="s">
        <v>164</v>
      </c>
      <c r="CO57" s="1" t="s">
        <v>184</v>
      </c>
      <c r="CP57" s="1" t="s">
        <v>243</v>
      </c>
      <c r="CQ57" s="3" t="s">
        <v>185</v>
      </c>
      <c r="CR57" s="1">
        <v>0</v>
      </c>
      <c r="CS57" s="1" t="s">
        <v>243</v>
      </c>
      <c r="CT57" s="1">
        <v>0.36047242000000002</v>
      </c>
      <c r="CV57" s="1">
        <v>0</v>
      </c>
      <c r="CW57" s="1">
        <v>-219173.26</v>
      </c>
      <c r="DA57" s="1">
        <v>1355558.46</v>
      </c>
      <c r="DB57" s="1">
        <v>0</v>
      </c>
      <c r="DC57" s="1">
        <v>2520.3126550000002</v>
      </c>
      <c r="DD57" s="1">
        <v>52555.483399999997</v>
      </c>
      <c r="DE57" s="1">
        <v>-296353.43</v>
      </c>
      <c r="DF57" s="1">
        <v>92570020.519999996</v>
      </c>
      <c r="DG57" s="1">
        <v>700</v>
      </c>
      <c r="DH57" s="1">
        <v>394770.09</v>
      </c>
      <c r="DI57" s="1">
        <v>0.29803809999999997</v>
      </c>
      <c r="DK57" s="1">
        <v>0</v>
      </c>
      <c r="DL57" s="1">
        <v>0</v>
      </c>
      <c r="DM57" s="1">
        <v>-296353.43</v>
      </c>
      <c r="DN57" s="1">
        <v>0</v>
      </c>
      <c r="DO57" s="1">
        <v>0</v>
      </c>
      <c r="DP57" s="1">
        <v>16777215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467179.99999999994</v>
      </c>
      <c r="DW57" s="1">
        <v>445612.36</v>
      </c>
      <c r="DX57" s="1">
        <v>31345322.399999999</v>
      </c>
      <c r="DY57" s="1">
        <v>-1110160.2399999984</v>
      </c>
      <c r="DZ57" s="1">
        <v>92570020.519999966</v>
      </c>
      <c r="EA57" s="1">
        <v>0</v>
      </c>
      <c r="EB57" s="1">
        <v>0</v>
      </c>
      <c r="EC57" s="1" t="s">
        <v>176</v>
      </c>
      <c r="EE57" s="1">
        <v>0</v>
      </c>
      <c r="EF57" s="1">
        <v>3</v>
      </c>
      <c r="EG57" s="1">
        <v>0</v>
      </c>
      <c r="EH57" s="3">
        <v>0</v>
      </c>
      <c r="EI57" s="1">
        <v>0</v>
      </c>
      <c r="EL57" s="1">
        <v>0</v>
      </c>
      <c r="EM57" s="1">
        <v>0</v>
      </c>
      <c r="EN57" s="1">
        <v>1633661.45</v>
      </c>
      <c r="EO57" s="1">
        <v>1.2333592799999999</v>
      </c>
      <c r="ER57" s="1">
        <v>133.28</v>
      </c>
      <c r="ES57" s="1">
        <v>1.0572999999999999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1">
        <v>0</v>
      </c>
      <c r="FB57" s="1">
        <v>0</v>
      </c>
      <c r="FC57" s="3">
        <v>0</v>
      </c>
      <c r="FD57" s="1">
        <v>0</v>
      </c>
      <c r="FE57" s="1">
        <v>0</v>
      </c>
    </row>
    <row r="58" spans="1:256" x14ac:dyDescent="0.3">
      <c r="A58" s="1">
        <v>16975584</v>
      </c>
      <c r="B58" s="1">
        <v>128</v>
      </c>
      <c r="C58" s="1">
        <v>9830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2000</v>
      </c>
      <c r="J58" s="3">
        <v>2000</v>
      </c>
      <c r="K58" s="1">
        <v>2</v>
      </c>
      <c r="L58" s="1">
        <v>2</v>
      </c>
      <c r="M58" s="1">
        <v>2</v>
      </c>
      <c r="N58" s="3">
        <v>1.84</v>
      </c>
      <c r="O58" s="1">
        <v>455980</v>
      </c>
      <c r="P58" s="1">
        <v>419677.86</v>
      </c>
      <c r="Q58" s="1">
        <v>455980</v>
      </c>
      <c r="R58" s="1">
        <v>419677.86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3"/>
      <c r="AF58" s="3" t="s">
        <v>161</v>
      </c>
      <c r="AG58" s="1" t="s">
        <v>970</v>
      </c>
      <c r="AH58" s="3" t="s">
        <v>749</v>
      </c>
      <c r="AI58" s="1">
        <v>5</v>
      </c>
      <c r="AJ58" s="3" t="s">
        <v>162</v>
      </c>
      <c r="AK58" s="1" t="s">
        <v>163</v>
      </c>
      <c r="AL58" s="3">
        <v>255.69</v>
      </c>
      <c r="AM58" s="3">
        <v>251.84</v>
      </c>
      <c r="AN58" s="3">
        <v>503680</v>
      </c>
      <c r="AO58" s="3">
        <v>480427.32</v>
      </c>
      <c r="AP58" s="1" t="s">
        <v>176</v>
      </c>
      <c r="AQ58" s="1">
        <v>4</v>
      </c>
      <c r="AR58" s="1" t="s">
        <v>165</v>
      </c>
      <c r="AS58" s="3">
        <v>132534288.59999999</v>
      </c>
      <c r="AT58" s="1" t="s">
        <v>176</v>
      </c>
      <c r="AU58" s="1">
        <v>1</v>
      </c>
      <c r="AV58" s="1">
        <v>1</v>
      </c>
      <c r="AW58" s="3" t="s">
        <v>223</v>
      </c>
      <c r="AX58" s="3" t="s">
        <v>224</v>
      </c>
      <c r="AY58" s="1">
        <v>0</v>
      </c>
      <c r="BA58" s="3">
        <v>8205251.6799999997</v>
      </c>
      <c r="BB58" s="1">
        <v>1.0484</v>
      </c>
      <c r="BD58" s="1" t="s">
        <v>971</v>
      </c>
      <c r="BE58" s="1">
        <v>1</v>
      </c>
      <c r="BF58" s="1">
        <v>1</v>
      </c>
      <c r="BG58" s="1" t="s">
        <v>168</v>
      </c>
      <c r="BH58" s="1">
        <v>0</v>
      </c>
      <c r="BI58" s="1">
        <v>31345322.399999999</v>
      </c>
      <c r="BJ58" s="1">
        <v>1.5326922300000001</v>
      </c>
      <c r="BK58" s="1">
        <v>123618989.48999999</v>
      </c>
      <c r="BL58" s="1">
        <v>132456249.91</v>
      </c>
      <c r="BM58" s="1">
        <v>596150.00000000012</v>
      </c>
      <c r="BN58" s="1">
        <v>9219855.2300000004</v>
      </c>
      <c r="BO58" s="1">
        <v>23.664660909999998</v>
      </c>
      <c r="BP58" s="1">
        <v>0.45007313999999998</v>
      </c>
      <c r="BQ58" s="1">
        <v>6.9606796500000003</v>
      </c>
      <c r="BR58" s="1">
        <v>0.36270641999999997</v>
      </c>
      <c r="BS58" s="1" t="s">
        <v>169</v>
      </c>
      <c r="BT58" s="1" t="s">
        <v>169</v>
      </c>
      <c r="BU58" s="1">
        <v>26356083.120000001</v>
      </c>
      <c r="BV58" s="1">
        <v>1.5326922300000001</v>
      </c>
      <c r="BW58" s="1">
        <v>-3238.62</v>
      </c>
      <c r="BX58" s="1">
        <v>-1.51</v>
      </c>
      <c r="BY58" s="1" t="s">
        <v>170</v>
      </c>
      <c r="BZ58" s="1">
        <v>-78038.69</v>
      </c>
      <c r="CA58" s="1" t="s">
        <v>182</v>
      </c>
      <c r="CB58" s="1" t="s">
        <v>183</v>
      </c>
      <c r="CC58" s="1">
        <v>55400</v>
      </c>
      <c r="CD58" s="1">
        <v>63988.08</v>
      </c>
      <c r="CE58" s="1">
        <v>511380</v>
      </c>
      <c r="CF58" s="1">
        <v>483665.94</v>
      </c>
      <c r="CG58" s="1">
        <v>0</v>
      </c>
      <c r="CH58" s="1">
        <v>1.4438757900000001</v>
      </c>
      <c r="CI58" s="1">
        <v>13.27863496</v>
      </c>
      <c r="CJ58" s="1">
        <v>17588381.91</v>
      </c>
      <c r="CK58" s="1">
        <v>1912503.72</v>
      </c>
      <c r="CL58" s="1">
        <v>6269233.6699999999</v>
      </c>
      <c r="CM58" s="1" t="s">
        <v>164</v>
      </c>
      <c r="CN58" s="1" t="s">
        <v>164</v>
      </c>
      <c r="CO58" s="1" t="s">
        <v>184</v>
      </c>
      <c r="CP58" s="1" t="s">
        <v>243</v>
      </c>
      <c r="CQ58" s="3" t="s">
        <v>185</v>
      </c>
      <c r="CR58" s="1">
        <v>0</v>
      </c>
      <c r="CS58" s="1" t="s">
        <v>243</v>
      </c>
      <c r="CT58" s="1">
        <v>0.38863553000000001</v>
      </c>
      <c r="CV58" s="1">
        <v>0</v>
      </c>
      <c r="CW58" s="1">
        <v>-219173.26</v>
      </c>
      <c r="DA58" s="1">
        <v>1355558.46</v>
      </c>
      <c r="DB58" s="1">
        <v>0</v>
      </c>
      <c r="DC58" s="1">
        <v>2520.3126550000002</v>
      </c>
      <c r="DD58" s="1">
        <v>52555.483399999997</v>
      </c>
      <c r="DE58" s="1">
        <v>-296353.43</v>
      </c>
      <c r="DF58" s="1">
        <v>92570020.519999996</v>
      </c>
      <c r="DG58" s="1">
        <v>-7700</v>
      </c>
      <c r="DH58" s="1">
        <v>394770.09</v>
      </c>
      <c r="DI58" s="1">
        <v>0.29803809999999997</v>
      </c>
      <c r="DK58" s="1">
        <v>0</v>
      </c>
      <c r="DL58" s="1">
        <v>0</v>
      </c>
      <c r="DM58" s="1">
        <v>-296353.43</v>
      </c>
      <c r="DN58" s="1">
        <v>0</v>
      </c>
      <c r="DO58" s="1">
        <v>0</v>
      </c>
      <c r="DP58" s="1">
        <v>16777215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503680</v>
      </c>
      <c r="DW58" s="1">
        <v>480427.32</v>
      </c>
      <c r="DX58" s="1">
        <v>31345322.399999999</v>
      </c>
      <c r="DY58" s="1">
        <v>-1110160.2399999984</v>
      </c>
      <c r="DZ58" s="1">
        <v>92570020.519999966</v>
      </c>
      <c r="EA58" s="1">
        <v>0</v>
      </c>
      <c r="EB58" s="1">
        <v>0</v>
      </c>
      <c r="EC58" s="1" t="s">
        <v>176</v>
      </c>
      <c r="EE58" s="1">
        <v>0</v>
      </c>
      <c r="EF58" s="1">
        <v>3</v>
      </c>
      <c r="EG58" s="1">
        <v>0</v>
      </c>
      <c r="EH58" s="3">
        <v>0</v>
      </c>
      <c r="EI58" s="1">
        <v>0</v>
      </c>
      <c r="EL58" s="1">
        <v>0</v>
      </c>
      <c r="EM58" s="1">
        <v>0</v>
      </c>
      <c r="EN58" s="1">
        <v>1633661.45</v>
      </c>
      <c r="EO58" s="1">
        <v>1.2333592799999999</v>
      </c>
      <c r="ER58" s="1">
        <v>255.69</v>
      </c>
      <c r="ES58" s="1">
        <v>1.0572999999999999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1">
        <v>0</v>
      </c>
      <c r="FB58" s="1">
        <v>0</v>
      </c>
      <c r="FC58" s="3">
        <v>0</v>
      </c>
      <c r="FD58" s="1">
        <v>0</v>
      </c>
      <c r="FE58" s="1">
        <v>0</v>
      </c>
    </row>
    <row r="59" spans="1:256" x14ac:dyDescent="0.3">
      <c r="A59" s="1">
        <v>16975415</v>
      </c>
      <c r="B59" s="1">
        <v>128</v>
      </c>
      <c r="C59" s="1">
        <v>7798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13000</v>
      </c>
      <c r="J59" s="3">
        <v>13000</v>
      </c>
      <c r="K59" s="1">
        <v>13000</v>
      </c>
      <c r="L59" s="1">
        <v>13000</v>
      </c>
      <c r="M59" s="1">
        <v>13000</v>
      </c>
      <c r="N59" s="3">
        <v>13000</v>
      </c>
      <c r="O59" s="1">
        <v>386946.32</v>
      </c>
      <c r="P59" s="1">
        <v>386946.32</v>
      </c>
      <c r="Q59" s="1">
        <v>386946.32</v>
      </c>
      <c r="R59" s="1">
        <v>386946.32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3"/>
      <c r="AF59" s="3" t="s">
        <v>161</v>
      </c>
      <c r="AG59" s="1" t="s">
        <v>970</v>
      </c>
      <c r="AH59" s="3" t="s">
        <v>225</v>
      </c>
      <c r="AI59" s="1">
        <v>4</v>
      </c>
      <c r="AJ59" s="3" t="s">
        <v>165</v>
      </c>
      <c r="AK59" s="1" t="s">
        <v>191</v>
      </c>
      <c r="AL59" s="3">
        <v>24</v>
      </c>
      <c r="AM59" s="3">
        <v>23.2</v>
      </c>
      <c r="AN59" s="3">
        <v>301600</v>
      </c>
      <c r="AO59" s="3">
        <v>301600</v>
      </c>
      <c r="AP59" s="1" t="s">
        <v>176</v>
      </c>
      <c r="AQ59" s="1">
        <v>4</v>
      </c>
      <c r="AR59" s="1" t="s">
        <v>165</v>
      </c>
      <c r="AS59" s="3">
        <v>132534288.59999999</v>
      </c>
      <c r="AT59" s="1" t="s">
        <v>176</v>
      </c>
      <c r="AU59" s="1">
        <v>1</v>
      </c>
      <c r="AV59" s="1">
        <v>1</v>
      </c>
      <c r="AW59" s="3" t="s">
        <v>223</v>
      </c>
      <c r="AX59" s="3" t="s">
        <v>224</v>
      </c>
      <c r="AY59" s="1">
        <v>0</v>
      </c>
      <c r="BA59" s="3">
        <v>8205251.6799999997</v>
      </c>
      <c r="BB59" s="1">
        <v>1</v>
      </c>
      <c r="BD59" s="1" t="s">
        <v>971</v>
      </c>
      <c r="BE59" s="1">
        <v>1</v>
      </c>
      <c r="BF59" s="1">
        <v>1</v>
      </c>
      <c r="BG59" s="1" t="s">
        <v>168</v>
      </c>
      <c r="BH59" s="1">
        <v>0</v>
      </c>
      <c r="BI59" s="1">
        <v>31345322.399999999</v>
      </c>
      <c r="BJ59" s="1">
        <v>0.96218503</v>
      </c>
      <c r="BK59" s="1">
        <v>123618989.48999999</v>
      </c>
      <c r="BL59" s="1">
        <v>132456249.91</v>
      </c>
      <c r="BM59" s="1">
        <v>596150.00000000012</v>
      </c>
      <c r="BN59" s="1">
        <v>9219855.2300000004</v>
      </c>
      <c r="BO59" s="1">
        <v>23.664660909999998</v>
      </c>
      <c r="BP59" s="1">
        <v>0.45007313999999998</v>
      </c>
      <c r="BQ59" s="1">
        <v>6.9606796500000003</v>
      </c>
      <c r="BR59" s="1">
        <v>0.22769782</v>
      </c>
      <c r="BS59" s="1" t="s">
        <v>169</v>
      </c>
      <c r="BT59" s="1" t="s">
        <v>169</v>
      </c>
      <c r="BU59" s="1">
        <v>26356083.120000001</v>
      </c>
      <c r="BV59" s="1">
        <v>0.96218503</v>
      </c>
      <c r="BW59" s="1">
        <v>-10400</v>
      </c>
      <c r="BX59" s="1">
        <v>-3.33</v>
      </c>
      <c r="BY59" s="1" t="s">
        <v>170</v>
      </c>
      <c r="BZ59" s="1">
        <v>-78038.69</v>
      </c>
      <c r="CA59" s="1" t="s">
        <v>182</v>
      </c>
      <c r="CB59" s="1" t="s">
        <v>183</v>
      </c>
      <c r="CC59" s="1">
        <v>-74946.320000000007</v>
      </c>
      <c r="CD59" s="1">
        <v>-74946.320000000007</v>
      </c>
      <c r="CE59" s="1">
        <v>312000</v>
      </c>
      <c r="CF59" s="1">
        <v>312000</v>
      </c>
      <c r="CG59" s="1">
        <v>0</v>
      </c>
      <c r="CH59" s="1">
        <v>1.4438757900000001</v>
      </c>
      <c r="CI59" s="1">
        <v>13.27863496</v>
      </c>
      <c r="CJ59" s="1">
        <v>17588381.91</v>
      </c>
      <c r="CK59" s="1">
        <v>1912503.72</v>
      </c>
      <c r="CL59" s="1">
        <v>6269233.6699999999</v>
      </c>
      <c r="CM59" s="1" t="s">
        <v>164</v>
      </c>
      <c r="CN59" s="1" t="s">
        <v>164</v>
      </c>
      <c r="CO59" s="1" t="s">
        <v>184</v>
      </c>
      <c r="CP59" s="1" t="s">
        <v>243</v>
      </c>
      <c r="CQ59" s="3" t="s">
        <v>185</v>
      </c>
      <c r="CR59" s="1">
        <v>0</v>
      </c>
      <c r="CS59" s="1" t="s">
        <v>243</v>
      </c>
      <c r="CT59" s="1">
        <v>0.24397546000000001</v>
      </c>
      <c r="CV59" s="1">
        <v>0</v>
      </c>
      <c r="CW59" s="1">
        <v>-219173.26</v>
      </c>
      <c r="DA59" s="1">
        <v>1355558.46</v>
      </c>
      <c r="DB59" s="1">
        <v>0</v>
      </c>
      <c r="DC59" s="1">
        <v>2520.3126550000002</v>
      </c>
      <c r="DD59" s="1">
        <v>52555.483399999997</v>
      </c>
      <c r="DE59" s="1">
        <v>-296353.43</v>
      </c>
      <c r="DF59" s="1">
        <v>92570020.519999996</v>
      </c>
      <c r="DG59" s="1">
        <v>-10400</v>
      </c>
      <c r="DH59" s="1">
        <v>394770.09</v>
      </c>
      <c r="DI59" s="1">
        <v>0.29803809999999997</v>
      </c>
      <c r="DK59" s="1">
        <v>0</v>
      </c>
      <c r="DL59" s="1">
        <v>0</v>
      </c>
      <c r="DM59" s="1">
        <v>-296353.43</v>
      </c>
      <c r="DN59" s="1">
        <v>0</v>
      </c>
      <c r="DO59" s="1">
        <v>0</v>
      </c>
      <c r="DP59" s="1">
        <v>16777215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301600</v>
      </c>
      <c r="DW59" s="1">
        <v>301600</v>
      </c>
      <c r="DX59" s="1">
        <v>31345322.399999999</v>
      </c>
      <c r="DY59" s="1">
        <v>-1110160.2399999984</v>
      </c>
      <c r="DZ59" s="1">
        <v>92570020.519999966</v>
      </c>
      <c r="EA59" s="1">
        <v>0</v>
      </c>
      <c r="EB59" s="1">
        <v>0</v>
      </c>
      <c r="EC59" s="1" t="s">
        <v>176</v>
      </c>
      <c r="EE59" s="1">
        <v>0</v>
      </c>
      <c r="EF59" s="1">
        <v>3</v>
      </c>
      <c r="EG59" s="1">
        <v>0</v>
      </c>
      <c r="EH59" s="3">
        <v>0</v>
      </c>
      <c r="EI59" s="1">
        <v>0</v>
      </c>
      <c r="EL59" s="1">
        <v>0</v>
      </c>
      <c r="EM59" s="1">
        <v>0</v>
      </c>
      <c r="EN59" s="1">
        <v>1633661.45</v>
      </c>
      <c r="EO59" s="1">
        <v>1.2333592799999999</v>
      </c>
      <c r="ER59" s="1">
        <v>24</v>
      </c>
      <c r="ES59" s="1">
        <v>1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1">
        <v>0</v>
      </c>
      <c r="FB59" s="1">
        <v>0</v>
      </c>
      <c r="FC59" s="3">
        <v>0</v>
      </c>
      <c r="FD59" s="1">
        <v>0</v>
      </c>
      <c r="FE59" s="1">
        <v>0</v>
      </c>
    </row>
    <row r="60" spans="1:256" x14ac:dyDescent="0.3">
      <c r="A60" s="1">
        <v>16975459</v>
      </c>
      <c r="B60" s="1">
        <v>128</v>
      </c>
      <c r="C60" s="1">
        <v>10692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20000</v>
      </c>
      <c r="J60" s="3">
        <v>20000</v>
      </c>
      <c r="K60" s="1">
        <v>200</v>
      </c>
      <c r="L60" s="1">
        <v>200</v>
      </c>
      <c r="M60" s="1">
        <v>200</v>
      </c>
      <c r="N60" s="3">
        <v>232.19</v>
      </c>
      <c r="O60" s="1">
        <v>354364.15999999997</v>
      </c>
      <c r="P60" s="1">
        <v>411400.76</v>
      </c>
      <c r="Q60" s="1">
        <v>354364.15999999997</v>
      </c>
      <c r="R60" s="1">
        <v>411400.76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3"/>
      <c r="AF60" s="3" t="s">
        <v>161</v>
      </c>
      <c r="AG60" s="1" t="s">
        <v>970</v>
      </c>
      <c r="AH60" s="3" t="s">
        <v>750</v>
      </c>
      <c r="AI60" s="1">
        <v>11</v>
      </c>
      <c r="AJ60" s="3" t="s">
        <v>711</v>
      </c>
      <c r="AK60" s="1" t="s">
        <v>191</v>
      </c>
      <c r="AL60" s="3">
        <v>1547</v>
      </c>
      <c r="AM60" s="3">
        <v>1504</v>
      </c>
      <c r="AN60" s="3">
        <v>300800</v>
      </c>
      <c r="AO60" s="3">
        <v>347412.31</v>
      </c>
      <c r="AP60" s="1" t="s">
        <v>176</v>
      </c>
      <c r="AQ60" s="1">
        <v>4</v>
      </c>
      <c r="AR60" s="1" t="s">
        <v>165</v>
      </c>
      <c r="AS60" s="3">
        <v>132534288.59999999</v>
      </c>
      <c r="AT60" s="1" t="s">
        <v>176</v>
      </c>
      <c r="AU60" s="1">
        <v>1</v>
      </c>
      <c r="AV60" s="1">
        <v>1</v>
      </c>
      <c r="AW60" s="3" t="s">
        <v>223</v>
      </c>
      <c r="AX60" s="3" t="s">
        <v>224</v>
      </c>
      <c r="AY60" s="1">
        <v>0</v>
      </c>
      <c r="BA60" s="3">
        <v>8205251.6799999997</v>
      </c>
      <c r="BB60" s="1">
        <v>0.86582999999999999</v>
      </c>
      <c r="BD60" s="1" t="s">
        <v>971</v>
      </c>
      <c r="BE60" s="1">
        <v>1</v>
      </c>
      <c r="BF60" s="1">
        <v>1</v>
      </c>
      <c r="BG60" s="1" t="s">
        <v>168</v>
      </c>
      <c r="BH60" s="1">
        <v>0</v>
      </c>
      <c r="BI60" s="1">
        <v>31345322.399999999</v>
      </c>
      <c r="BJ60" s="1">
        <v>1.1083386099999999</v>
      </c>
      <c r="BK60" s="1">
        <v>123618989.48999999</v>
      </c>
      <c r="BL60" s="1">
        <v>132456249.91</v>
      </c>
      <c r="BM60" s="1">
        <v>596150.00000000012</v>
      </c>
      <c r="BN60" s="1">
        <v>9219855.2300000004</v>
      </c>
      <c r="BO60" s="1">
        <v>23.664660909999998</v>
      </c>
      <c r="BP60" s="1">
        <v>0.45007313999999998</v>
      </c>
      <c r="BQ60" s="1">
        <v>6.9606796500000003</v>
      </c>
      <c r="BR60" s="1">
        <v>0.26228456999999999</v>
      </c>
      <c r="BS60" s="1" t="s">
        <v>169</v>
      </c>
      <c r="BT60" s="1" t="s">
        <v>169</v>
      </c>
      <c r="BU60" s="1">
        <v>26356083.120000001</v>
      </c>
      <c r="BV60" s="1">
        <v>1.1083386099999999</v>
      </c>
      <c r="BW60" s="1">
        <v>-9635.75</v>
      </c>
      <c r="BX60" s="1">
        <v>-2.78</v>
      </c>
      <c r="BY60" s="1" t="s">
        <v>170</v>
      </c>
      <c r="BZ60" s="1">
        <v>-78038.69</v>
      </c>
      <c r="CA60" s="1" t="s">
        <v>182</v>
      </c>
      <c r="CB60" s="1" t="s">
        <v>183</v>
      </c>
      <c r="CC60" s="1">
        <v>-44964.160000000003</v>
      </c>
      <c r="CD60" s="1">
        <v>-54352.7</v>
      </c>
      <c r="CE60" s="1">
        <v>309400</v>
      </c>
      <c r="CF60" s="1">
        <v>357048.06</v>
      </c>
      <c r="CG60" s="1">
        <v>0</v>
      </c>
      <c r="CH60" s="1">
        <v>1.4438757900000001</v>
      </c>
      <c r="CI60" s="1">
        <v>13.27863496</v>
      </c>
      <c r="CJ60" s="1">
        <v>17588381.91</v>
      </c>
      <c r="CK60" s="1">
        <v>1912503.72</v>
      </c>
      <c r="CL60" s="1">
        <v>6269233.6699999999</v>
      </c>
      <c r="CM60" s="1" t="s">
        <v>164</v>
      </c>
      <c r="CN60" s="1" t="s">
        <v>164</v>
      </c>
      <c r="CO60" s="1" t="s">
        <v>184</v>
      </c>
      <c r="CP60" s="1" t="s">
        <v>243</v>
      </c>
      <c r="CQ60" s="3" t="s">
        <v>185</v>
      </c>
      <c r="CR60" s="1">
        <v>0</v>
      </c>
      <c r="CS60" s="1" t="s">
        <v>243</v>
      </c>
      <c r="CT60" s="1">
        <v>0.28103474000000001</v>
      </c>
      <c r="CV60" s="1">
        <v>0</v>
      </c>
      <c r="CW60" s="1">
        <v>-219173.26</v>
      </c>
      <c r="DA60" s="1">
        <v>1355558.46</v>
      </c>
      <c r="DB60" s="1">
        <v>0</v>
      </c>
      <c r="DC60" s="1">
        <v>2520.3126550000002</v>
      </c>
      <c r="DD60" s="1">
        <v>52555.483399999997</v>
      </c>
      <c r="DE60" s="1">
        <v>-296353.43</v>
      </c>
      <c r="DF60" s="1">
        <v>92570020.519999996</v>
      </c>
      <c r="DG60" s="1">
        <v>-8600</v>
      </c>
      <c r="DH60" s="1">
        <v>394770.09</v>
      </c>
      <c r="DI60" s="1">
        <v>0.29803809999999997</v>
      </c>
      <c r="DK60" s="1">
        <v>0</v>
      </c>
      <c r="DL60" s="1">
        <v>0</v>
      </c>
      <c r="DM60" s="1">
        <v>-296353.43</v>
      </c>
      <c r="DN60" s="1">
        <v>0</v>
      </c>
      <c r="DO60" s="1">
        <v>0</v>
      </c>
      <c r="DP60" s="1">
        <v>16777215</v>
      </c>
      <c r="DQ60" s="1">
        <v>0</v>
      </c>
      <c r="DR60" s="1">
        <v>0</v>
      </c>
      <c r="DS60" s="1">
        <v>0</v>
      </c>
      <c r="DT60" s="1">
        <v>0</v>
      </c>
      <c r="DU60" s="1">
        <v>0</v>
      </c>
      <c r="DV60" s="1">
        <v>300800</v>
      </c>
      <c r="DW60" s="1">
        <v>347412.31</v>
      </c>
      <c r="DX60" s="1">
        <v>31345322.399999999</v>
      </c>
      <c r="DY60" s="1">
        <v>-1110160.2399999984</v>
      </c>
      <c r="DZ60" s="1">
        <v>92570020.519999966</v>
      </c>
      <c r="EA60" s="1">
        <v>0</v>
      </c>
      <c r="EB60" s="1">
        <v>0</v>
      </c>
      <c r="EC60" s="1" t="s">
        <v>176</v>
      </c>
      <c r="EE60" s="1">
        <v>0</v>
      </c>
      <c r="EF60" s="1">
        <v>3</v>
      </c>
      <c r="EG60" s="1">
        <v>0</v>
      </c>
      <c r="EH60" s="3">
        <v>0</v>
      </c>
      <c r="EI60" s="1">
        <v>0</v>
      </c>
      <c r="EL60" s="1">
        <v>0</v>
      </c>
      <c r="EM60" s="1">
        <v>0</v>
      </c>
      <c r="EN60" s="1">
        <v>1633661.45</v>
      </c>
      <c r="EO60" s="1">
        <v>1.2333592799999999</v>
      </c>
      <c r="ER60" s="1">
        <v>1547</v>
      </c>
      <c r="ES60" s="1">
        <v>0.86770000000000003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1">
        <v>0</v>
      </c>
      <c r="FB60" s="1">
        <v>0</v>
      </c>
      <c r="FC60" s="3">
        <v>0</v>
      </c>
      <c r="FD60" s="1">
        <v>0</v>
      </c>
      <c r="FE60" s="1">
        <v>0</v>
      </c>
    </row>
    <row r="61" spans="1:256" x14ac:dyDescent="0.3">
      <c r="A61" s="1">
        <v>16975387</v>
      </c>
      <c r="B61" s="1">
        <v>128</v>
      </c>
      <c r="C61" s="1">
        <v>4119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7000</v>
      </c>
      <c r="J61" s="3">
        <v>7000</v>
      </c>
      <c r="K61" s="1">
        <v>700</v>
      </c>
      <c r="L61" s="1">
        <v>700</v>
      </c>
      <c r="M61" s="1">
        <v>700</v>
      </c>
      <c r="N61" s="3">
        <v>696.77</v>
      </c>
      <c r="O61" s="1">
        <v>363318.12</v>
      </c>
      <c r="P61" s="1">
        <v>361292.46</v>
      </c>
      <c r="Q61" s="1">
        <v>363318.12</v>
      </c>
      <c r="R61" s="1">
        <v>361292.46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3"/>
      <c r="AF61" s="3" t="s">
        <v>161</v>
      </c>
      <c r="AG61" s="1" t="s">
        <v>970</v>
      </c>
      <c r="AH61" s="3" t="s">
        <v>226</v>
      </c>
      <c r="AI61" s="1">
        <v>5</v>
      </c>
      <c r="AJ61" s="3" t="s">
        <v>162</v>
      </c>
      <c r="AK61" s="1" t="s">
        <v>163</v>
      </c>
      <c r="AL61" s="3">
        <v>68.03</v>
      </c>
      <c r="AM61" s="3">
        <v>67.960000000000008</v>
      </c>
      <c r="AN61" s="3">
        <v>475720.00000000006</v>
      </c>
      <c r="AO61" s="3">
        <v>453758.11</v>
      </c>
      <c r="AP61" s="1" t="s">
        <v>176</v>
      </c>
      <c r="AQ61" s="1">
        <v>4</v>
      </c>
      <c r="AR61" s="1" t="s">
        <v>165</v>
      </c>
      <c r="AS61" s="3">
        <v>132534288.59999999</v>
      </c>
      <c r="AT61" s="1" t="s">
        <v>176</v>
      </c>
      <c r="AU61" s="1">
        <v>1</v>
      </c>
      <c r="AV61" s="1">
        <v>1</v>
      </c>
      <c r="AW61" s="3" t="s">
        <v>223</v>
      </c>
      <c r="AX61" s="3" t="s">
        <v>227</v>
      </c>
      <c r="AY61" s="1">
        <v>0</v>
      </c>
      <c r="BA61" s="3">
        <v>8205251.6799999997</v>
      </c>
      <c r="BB61" s="1">
        <v>1.0484</v>
      </c>
      <c r="BD61" s="1" t="s">
        <v>971</v>
      </c>
      <c r="BE61" s="1">
        <v>1</v>
      </c>
      <c r="BF61" s="1">
        <v>1</v>
      </c>
      <c r="BG61" s="1" t="s">
        <v>168</v>
      </c>
      <c r="BH61" s="1">
        <v>0</v>
      </c>
      <c r="BI61" s="1">
        <v>31345322.399999999</v>
      </c>
      <c r="BJ61" s="1">
        <v>1.4476102799999999</v>
      </c>
      <c r="BK61" s="1">
        <v>123618989.48999999</v>
      </c>
      <c r="BL61" s="1">
        <v>132456249.91</v>
      </c>
      <c r="BM61" s="1">
        <v>596150.00000000012</v>
      </c>
      <c r="BN61" s="1">
        <v>9219855.2300000004</v>
      </c>
      <c r="BO61" s="1">
        <v>23.664660909999998</v>
      </c>
      <c r="BP61" s="1">
        <v>0.45007313999999998</v>
      </c>
      <c r="BQ61" s="1">
        <v>6.9606796500000003</v>
      </c>
      <c r="BR61" s="1">
        <v>0.34257206000000001</v>
      </c>
      <c r="BS61" s="1" t="s">
        <v>169</v>
      </c>
      <c r="BT61" s="1" t="s">
        <v>169</v>
      </c>
      <c r="BU61" s="1">
        <v>26356083.120000001</v>
      </c>
      <c r="BV61" s="1">
        <v>1.4476102799999999</v>
      </c>
      <c r="BW61" s="1">
        <v>3356.14</v>
      </c>
      <c r="BX61" s="1">
        <v>-0.1</v>
      </c>
      <c r="BY61" s="1" t="s">
        <v>170</v>
      </c>
      <c r="BZ61" s="1">
        <v>-78038.69</v>
      </c>
      <c r="CA61" s="1" t="s">
        <v>182</v>
      </c>
      <c r="CB61" s="1" t="s">
        <v>183</v>
      </c>
      <c r="CC61" s="1">
        <v>112891.88</v>
      </c>
      <c r="CD61" s="1">
        <v>89109.51</v>
      </c>
      <c r="CE61" s="1">
        <v>476210</v>
      </c>
      <c r="CF61" s="1">
        <v>450401.97</v>
      </c>
      <c r="CG61" s="1">
        <v>0</v>
      </c>
      <c r="CH61" s="1">
        <v>1.4438757900000001</v>
      </c>
      <c r="CI61" s="1">
        <v>13.27863496</v>
      </c>
      <c r="CJ61" s="1">
        <v>17588381.91</v>
      </c>
      <c r="CK61" s="1">
        <v>1912503.72</v>
      </c>
      <c r="CL61" s="1">
        <v>6269233.6699999999</v>
      </c>
      <c r="CM61" s="1" t="s">
        <v>164</v>
      </c>
      <c r="CN61" s="1" t="s">
        <v>164</v>
      </c>
      <c r="CO61" s="1" t="s">
        <v>184</v>
      </c>
      <c r="CP61" s="1" t="s">
        <v>243</v>
      </c>
      <c r="CQ61" s="3" t="s">
        <v>185</v>
      </c>
      <c r="CR61" s="1">
        <v>0</v>
      </c>
      <c r="CS61" s="1" t="s">
        <v>243</v>
      </c>
      <c r="CT61" s="1">
        <v>0.36706181999999998</v>
      </c>
      <c r="CV61" s="1">
        <v>0</v>
      </c>
      <c r="CW61" s="1">
        <v>-219173.26</v>
      </c>
      <c r="DA61" s="1">
        <v>1355558.46</v>
      </c>
      <c r="DB61" s="1">
        <v>0</v>
      </c>
      <c r="DC61" s="1">
        <v>2520.3126550000002</v>
      </c>
      <c r="DD61" s="1">
        <v>52555.483399999997</v>
      </c>
      <c r="DE61" s="1">
        <v>-296353.43</v>
      </c>
      <c r="DF61" s="1">
        <v>92570020.519999996</v>
      </c>
      <c r="DG61" s="1">
        <v>-490</v>
      </c>
      <c r="DH61" s="1">
        <v>394770.09</v>
      </c>
      <c r="DI61" s="1">
        <v>0.29803809999999997</v>
      </c>
      <c r="DK61" s="1">
        <v>0</v>
      </c>
      <c r="DL61" s="1">
        <v>0</v>
      </c>
      <c r="DM61" s="1">
        <v>-296353.43</v>
      </c>
      <c r="DN61" s="1">
        <v>0</v>
      </c>
      <c r="DO61" s="1">
        <v>0</v>
      </c>
      <c r="DP61" s="1">
        <v>16777215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475720.00000000006</v>
      </c>
      <c r="DW61" s="1">
        <v>453758.11</v>
      </c>
      <c r="DX61" s="1">
        <v>31345322.399999999</v>
      </c>
      <c r="DY61" s="1">
        <v>-1110160.2399999984</v>
      </c>
      <c r="DZ61" s="1">
        <v>92570020.519999966</v>
      </c>
      <c r="EA61" s="1">
        <v>0</v>
      </c>
      <c r="EB61" s="1">
        <v>0</v>
      </c>
      <c r="EC61" s="1" t="s">
        <v>176</v>
      </c>
      <c r="EE61" s="1">
        <v>0</v>
      </c>
      <c r="EF61" s="1">
        <v>3</v>
      </c>
      <c r="EG61" s="1">
        <v>0</v>
      </c>
      <c r="EH61" s="3">
        <v>0</v>
      </c>
      <c r="EI61" s="1">
        <v>0</v>
      </c>
      <c r="EL61" s="1">
        <v>0</v>
      </c>
      <c r="EM61" s="1">
        <v>0</v>
      </c>
      <c r="EN61" s="1">
        <v>1633661.45</v>
      </c>
      <c r="EO61" s="1">
        <v>1.2333592799999999</v>
      </c>
      <c r="ER61" s="1">
        <v>68.03</v>
      </c>
      <c r="ES61" s="1">
        <v>1.0572999999999999</v>
      </c>
      <c r="ET61" s="3">
        <v>0</v>
      </c>
      <c r="EU61" s="3">
        <v>0</v>
      </c>
      <c r="EV61" s="3">
        <v>0</v>
      </c>
      <c r="EW61" s="3">
        <v>0</v>
      </c>
      <c r="EX61" s="3">
        <v>0</v>
      </c>
      <c r="EY61" s="3">
        <v>0</v>
      </c>
      <c r="EZ61" s="3">
        <v>0</v>
      </c>
      <c r="FA61" s="1">
        <v>0</v>
      </c>
      <c r="FB61" s="1">
        <v>0</v>
      </c>
      <c r="FC61" s="3">
        <v>0</v>
      </c>
      <c r="FD61" s="1">
        <v>0</v>
      </c>
      <c r="FE61" s="1">
        <v>0</v>
      </c>
    </row>
    <row r="62" spans="1:256" x14ac:dyDescent="0.3">
      <c r="A62" s="1">
        <v>16975589</v>
      </c>
      <c r="B62" s="1">
        <v>128</v>
      </c>
      <c r="C62" s="1">
        <v>8590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2300</v>
      </c>
      <c r="J62" s="3">
        <v>2300</v>
      </c>
      <c r="K62" s="1">
        <v>2.2999999999999998</v>
      </c>
      <c r="L62" s="1">
        <v>2.2999999999999998</v>
      </c>
      <c r="M62" s="1">
        <v>2.2999999999999998</v>
      </c>
      <c r="N62" s="3">
        <v>2.12</v>
      </c>
      <c r="O62" s="1">
        <v>454342</v>
      </c>
      <c r="P62" s="1">
        <v>418170.28</v>
      </c>
      <c r="Q62" s="1">
        <v>454342</v>
      </c>
      <c r="R62" s="1">
        <v>418170.28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3"/>
      <c r="AF62" s="3" t="s">
        <v>161</v>
      </c>
      <c r="AG62" s="1" t="s">
        <v>970</v>
      </c>
      <c r="AH62" s="3" t="s">
        <v>751</v>
      </c>
      <c r="AI62" s="1">
        <v>5</v>
      </c>
      <c r="AJ62" s="3" t="s">
        <v>162</v>
      </c>
      <c r="AK62" s="1" t="s">
        <v>191</v>
      </c>
      <c r="AL62" s="3">
        <v>199.92</v>
      </c>
      <c r="AM62" s="3">
        <v>200.19</v>
      </c>
      <c r="AN62" s="3">
        <v>460437</v>
      </c>
      <c r="AO62" s="3">
        <v>439180.66</v>
      </c>
      <c r="AP62" s="1" t="s">
        <v>176</v>
      </c>
      <c r="AQ62" s="1">
        <v>4</v>
      </c>
      <c r="AR62" s="1" t="s">
        <v>165</v>
      </c>
      <c r="AS62" s="3">
        <v>132534288.59999999</v>
      </c>
      <c r="AT62" s="1" t="s">
        <v>176</v>
      </c>
      <c r="AU62" s="1">
        <v>1</v>
      </c>
      <c r="AV62" s="1">
        <v>1</v>
      </c>
      <c r="AW62" s="3" t="s">
        <v>223</v>
      </c>
      <c r="AX62" s="3" t="s">
        <v>227</v>
      </c>
      <c r="AY62" s="1">
        <v>0</v>
      </c>
      <c r="BA62" s="3">
        <v>8205251.6799999997</v>
      </c>
      <c r="BB62" s="1">
        <v>1.0484</v>
      </c>
      <c r="BD62" s="1" t="s">
        <v>971</v>
      </c>
      <c r="BE62" s="1">
        <v>1</v>
      </c>
      <c r="BF62" s="1">
        <v>1</v>
      </c>
      <c r="BG62" s="1" t="s">
        <v>168</v>
      </c>
      <c r="BH62" s="1">
        <v>0</v>
      </c>
      <c r="BI62" s="1">
        <v>31345322.399999999</v>
      </c>
      <c r="BJ62" s="1">
        <v>1.4011043000000001</v>
      </c>
      <c r="BK62" s="1">
        <v>123618989.48999999</v>
      </c>
      <c r="BL62" s="1">
        <v>132456249.91</v>
      </c>
      <c r="BM62" s="1">
        <v>596150.00000000012</v>
      </c>
      <c r="BN62" s="1">
        <v>9219855.2300000004</v>
      </c>
      <c r="BO62" s="1">
        <v>23.664660909999998</v>
      </c>
      <c r="BP62" s="1">
        <v>0.45007313999999998</v>
      </c>
      <c r="BQ62" s="1">
        <v>6.9606796500000003</v>
      </c>
      <c r="BR62" s="1">
        <v>0.33156658</v>
      </c>
      <c r="BS62" s="1" t="s">
        <v>169</v>
      </c>
      <c r="BT62" s="1" t="s">
        <v>169</v>
      </c>
      <c r="BU62" s="1">
        <v>26356083.120000001</v>
      </c>
      <c r="BV62" s="1">
        <v>1.4011043000000001</v>
      </c>
      <c r="BW62" s="1">
        <v>4284.2299999999996</v>
      </c>
      <c r="BX62" s="1">
        <v>0.14000000000000001</v>
      </c>
      <c r="BY62" s="1" t="s">
        <v>170</v>
      </c>
      <c r="BZ62" s="1">
        <v>-78038.69</v>
      </c>
      <c r="CA62" s="1" t="s">
        <v>182</v>
      </c>
      <c r="CB62" s="1" t="s">
        <v>183</v>
      </c>
      <c r="CC62" s="1">
        <v>5474</v>
      </c>
      <c r="CD62" s="1">
        <v>16726.150000000001</v>
      </c>
      <c r="CE62" s="1">
        <v>459816</v>
      </c>
      <c r="CF62" s="1">
        <v>434896.43</v>
      </c>
      <c r="CG62" s="1">
        <v>0</v>
      </c>
      <c r="CH62" s="1">
        <v>1.4438757900000001</v>
      </c>
      <c r="CI62" s="1">
        <v>13.27863496</v>
      </c>
      <c r="CJ62" s="1">
        <v>17588381.91</v>
      </c>
      <c r="CK62" s="1">
        <v>1912503.72</v>
      </c>
      <c r="CL62" s="1">
        <v>6269233.6699999999</v>
      </c>
      <c r="CM62" s="1" t="s">
        <v>164</v>
      </c>
      <c r="CN62" s="1" t="s">
        <v>164</v>
      </c>
      <c r="CO62" s="1" t="s">
        <v>184</v>
      </c>
      <c r="CP62" s="1" t="s">
        <v>243</v>
      </c>
      <c r="CQ62" s="3" t="s">
        <v>185</v>
      </c>
      <c r="CR62" s="1">
        <v>0</v>
      </c>
      <c r="CS62" s="1" t="s">
        <v>243</v>
      </c>
      <c r="CT62" s="1">
        <v>0.35526957999999997</v>
      </c>
      <c r="CU62" s="1"/>
      <c r="CV62" s="1">
        <v>0</v>
      </c>
      <c r="CW62" s="1">
        <v>-219173.26</v>
      </c>
      <c r="CY62" s="1"/>
      <c r="DA62" s="1">
        <v>1355558.46</v>
      </c>
      <c r="DB62" s="1">
        <v>0</v>
      </c>
      <c r="DC62" s="1">
        <v>2520.3126550000002</v>
      </c>
      <c r="DD62" s="1">
        <v>52555.483399999997</v>
      </c>
      <c r="DE62" s="1">
        <v>-296353.43</v>
      </c>
      <c r="DF62" s="1">
        <v>92570020.519999996</v>
      </c>
      <c r="DG62" s="1">
        <v>621</v>
      </c>
      <c r="DH62" s="1">
        <v>394770.09</v>
      </c>
      <c r="DI62" s="1">
        <v>0.29803809999999997</v>
      </c>
      <c r="DK62" s="1">
        <v>0</v>
      </c>
      <c r="DL62" s="1">
        <v>0</v>
      </c>
      <c r="DM62" s="1">
        <v>-296353.43</v>
      </c>
      <c r="DN62" s="1">
        <v>0</v>
      </c>
      <c r="DO62" s="1">
        <v>0</v>
      </c>
      <c r="DP62" s="1">
        <v>16777215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460437</v>
      </c>
      <c r="DW62" s="1">
        <v>439180.66</v>
      </c>
      <c r="DX62" s="1">
        <v>31345322.399999999</v>
      </c>
      <c r="DY62" s="1">
        <v>-1110160.2399999984</v>
      </c>
      <c r="DZ62" s="1">
        <v>92570020.519999966</v>
      </c>
      <c r="EA62" s="1">
        <v>0</v>
      </c>
      <c r="EB62" s="1">
        <v>0</v>
      </c>
      <c r="EC62" s="1" t="s">
        <v>176</v>
      </c>
      <c r="EE62" s="1">
        <v>0</v>
      </c>
      <c r="EF62" s="1">
        <v>3</v>
      </c>
      <c r="EG62" s="1">
        <v>0</v>
      </c>
      <c r="EH62" s="3">
        <v>0</v>
      </c>
      <c r="EI62" s="1">
        <v>0</v>
      </c>
      <c r="EL62" s="1">
        <v>0</v>
      </c>
      <c r="EM62" s="1">
        <v>0</v>
      </c>
      <c r="EN62" s="1">
        <v>1633661.45</v>
      </c>
      <c r="EO62" s="1">
        <v>1.2333592799999999</v>
      </c>
      <c r="ER62" s="1">
        <v>199.92</v>
      </c>
      <c r="ES62" s="1">
        <v>1.0572999999999999</v>
      </c>
      <c r="ET62" s="3">
        <v>0</v>
      </c>
      <c r="EU62" s="3">
        <v>0</v>
      </c>
      <c r="EV62" s="3">
        <v>0</v>
      </c>
      <c r="EW62" s="3">
        <v>0</v>
      </c>
      <c r="EX62" s="3">
        <v>0</v>
      </c>
      <c r="EY62" s="3">
        <v>0</v>
      </c>
      <c r="EZ62" s="3">
        <v>0</v>
      </c>
      <c r="FA62" s="1">
        <v>0</v>
      </c>
      <c r="FB62" s="1">
        <v>0</v>
      </c>
      <c r="FC62" s="3">
        <v>0</v>
      </c>
      <c r="FD62" s="1">
        <v>0</v>
      </c>
      <c r="FE62" s="1">
        <v>0</v>
      </c>
    </row>
    <row r="63" spans="1:256" x14ac:dyDescent="0.3">
      <c r="A63" s="1">
        <v>16975362</v>
      </c>
      <c r="B63" s="1">
        <v>128</v>
      </c>
      <c r="C63" s="1">
        <v>6585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4500</v>
      </c>
      <c r="J63" s="3">
        <v>4500</v>
      </c>
      <c r="K63" s="1">
        <v>4500</v>
      </c>
      <c r="L63" s="1">
        <v>4500</v>
      </c>
      <c r="M63" s="1">
        <v>4500</v>
      </c>
      <c r="N63" s="3">
        <v>4045.31</v>
      </c>
      <c r="O63" s="1">
        <v>438041.7</v>
      </c>
      <c r="P63" s="1">
        <v>393780.74</v>
      </c>
      <c r="Q63" s="1">
        <v>438041.7</v>
      </c>
      <c r="R63" s="1">
        <v>393780.74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3"/>
      <c r="AF63" s="3" t="s">
        <v>161</v>
      </c>
      <c r="AG63" s="1" t="s">
        <v>970</v>
      </c>
      <c r="AH63" s="3" t="s">
        <v>752</v>
      </c>
      <c r="AI63" s="1">
        <v>5</v>
      </c>
      <c r="AJ63" s="3" t="s">
        <v>162</v>
      </c>
      <c r="AK63" s="1" t="s">
        <v>217</v>
      </c>
      <c r="AL63" s="3">
        <v>86.9</v>
      </c>
      <c r="AM63" s="3">
        <v>87.65</v>
      </c>
      <c r="AN63" s="3">
        <v>394425</v>
      </c>
      <c r="AO63" s="3">
        <v>376216.14</v>
      </c>
      <c r="AP63" s="1" t="s">
        <v>176</v>
      </c>
      <c r="AQ63" s="1">
        <v>4</v>
      </c>
      <c r="AR63" s="1" t="s">
        <v>165</v>
      </c>
      <c r="AS63" s="3">
        <v>132534288.59999999</v>
      </c>
      <c r="AT63" s="1" t="s">
        <v>176</v>
      </c>
      <c r="AU63" s="1">
        <v>1</v>
      </c>
      <c r="AV63" s="1">
        <v>1</v>
      </c>
      <c r="AW63" s="3" t="s">
        <v>223</v>
      </c>
      <c r="AX63" s="3" t="s">
        <v>227</v>
      </c>
      <c r="AY63" s="1">
        <v>0</v>
      </c>
      <c r="BA63" s="3">
        <v>8205251.6799999997</v>
      </c>
      <c r="BB63" s="1">
        <v>1.0484</v>
      </c>
      <c r="BD63" s="1" t="s">
        <v>971</v>
      </c>
      <c r="BE63" s="1">
        <v>1</v>
      </c>
      <c r="BF63" s="1">
        <v>1</v>
      </c>
      <c r="BG63" s="1" t="s">
        <v>168</v>
      </c>
      <c r="BH63" s="1">
        <v>0</v>
      </c>
      <c r="BI63" s="1">
        <v>31345322.399999999</v>
      </c>
      <c r="BJ63" s="1">
        <v>1.2002305600000001</v>
      </c>
      <c r="BK63" s="1">
        <v>123618989.48999999</v>
      </c>
      <c r="BL63" s="1">
        <v>132456249.91</v>
      </c>
      <c r="BM63" s="1">
        <v>596150.00000000012</v>
      </c>
      <c r="BN63" s="1">
        <v>9219855.2300000004</v>
      </c>
      <c r="BO63" s="1">
        <v>23.664660909999998</v>
      </c>
      <c r="BP63" s="1">
        <v>0.45007313999999998</v>
      </c>
      <c r="BQ63" s="1">
        <v>6.9606796500000003</v>
      </c>
      <c r="BR63" s="1">
        <v>0.28403049000000002</v>
      </c>
      <c r="BS63" s="1" t="s">
        <v>169</v>
      </c>
      <c r="BT63" s="1" t="s">
        <v>169</v>
      </c>
      <c r="BU63" s="1">
        <v>26356083.120000001</v>
      </c>
      <c r="BV63" s="1">
        <v>1.2002305600000001</v>
      </c>
      <c r="BW63" s="1">
        <v>6358.96</v>
      </c>
      <c r="BX63" s="1">
        <v>0.86</v>
      </c>
      <c r="BY63" s="1" t="s">
        <v>170</v>
      </c>
      <c r="BZ63" s="1">
        <v>-78038.69</v>
      </c>
      <c r="CA63" s="1" t="s">
        <v>182</v>
      </c>
      <c r="CB63" s="1" t="s">
        <v>183</v>
      </c>
      <c r="CC63" s="1">
        <v>-46991.7</v>
      </c>
      <c r="CD63" s="1">
        <v>-23923.56</v>
      </c>
      <c r="CE63" s="1">
        <v>391050</v>
      </c>
      <c r="CF63" s="1">
        <v>369857.18</v>
      </c>
      <c r="CG63" s="1">
        <v>0</v>
      </c>
      <c r="CH63" s="1">
        <v>1.4438757900000001</v>
      </c>
      <c r="CI63" s="1">
        <v>13.27863496</v>
      </c>
      <c r="CJ63" s="1">
        <v>17588381.91</v>
      </c>
      <c r="CK63" s="1">
        <v>1912503.72</v>
      </c>
      <c r="CL63" s="1">
        <v>6269233.6699999999</v>
      </c>
      <c r="CM63" s="1" t="s">
        <v>164</v>
      </c>
      <c r="CN63" s="1" t="s">
        <v>164</v>
      </c>
      <c r="CO63" s="1" t="s">
        <v>184</v>
      </c>
      <c r="CP63" s="1" t="s">
        <v>243</v>
      </c>
      <c r="CQ63" s="3" t="s">
        <v>185</v>
      </c>
      <c r="CR63" s="1">
        <v>0</v>
      </c>
      <c r="CS63" s="1" t="s">
        <v>243</v>
      </c>
      <c r="CT63" s="1">
        <v>0.30433523000000001</v>
      </c>
      <c r="CV63" s="1">
        <v>0</v>
      </c>
      <c r="CW63" s="1">
        <v>-219173.26</v>
      </c>
      <c r="DA63" s="1">
        <v>1355558.46</v>
      </c>
      <c r="DB63" s="1">
        <v>0</v>
      </c>
      <c r="DC63" s="1">
        <v>2520.3126550000002</v>
      </c>
      <c r="DD63" s="1">
        <v>52555.483399999997</v>
      </c>
      <c r="DE63" s="1">
        <v>-296353.43</v>
      </c>
      <c r="DF63" s="1">
        <v>92570020.519999996</v>
      </c>
      <c r="DG63" s="1">
        <v>3375</v>
      </c>
      <c r="DH63" s="1">
        <v>394770.09</v>
      </c>
      <c r="DI63" s="1">
        <v>0.29803809999999997</v>
      </c>
      <c r="DK63" s="1">
        <v>0</v>
      </c>
      <c r="DL63" s="1">
        <v>0</v>
      </c>
      <c r="DM63" s="1">
        <v>-296353.43</v>
      </c>
      <c r="DN63" s="1">
        <v>0</v>
      </c>
      <c r="DO63" s="1">
        <v>0</v>
      </c>
      <c r="DP63" s="1">
        <v>16777215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394425</v>
      </c>
      <c r="DW63" s="1">
        <v>376216.14</v>
      </c>
      <c r="DX63" s="1">
        <v>31345322.399999999</v>
      </c>
      <c r="DY63" s="1">
        <v>-1110160.2399999984</v>
      </c>
      <c r="DZ63" s="1">
        <v>92570020.519999966</v>
      </c>
      <c r="EA63" s="1">
        <v>0</v>
      </c>
      <c r="EB63" s="1">
        <v>0</v>
      </c>
      <c r="EC63" s="1" t="s">
        <v>176</v>
      </c>
      <c r="EE63" s="1">
        <v>0</v>
      </c>
      <c r="EF63" s="1">
        <v>3</v>
      </c>
      <c r="EG63" s="1">
        <v>0</v>
      </c>
      <c r="EH63" s="3">
        <v>0</v>
      </c>
      <c r="EI63" s="1">
        <v>0</v>
      </c>
      <c r="EL63" s="1">
        <v>0</v>
      </c>
      <c r="EM63" s="1">
        <v>0</v>
      </c>
      <c r="EN63" s="1">
        <v>1633661.45</v>
      </c>
      <c r="EO63" s="1">
        <v>1.2333592799999999</v>
      </c>
      <c r="ER63" s="1">
        <v>86.9</v>
      </c>
      <c r="ES63" s="1">
        <v>1.0572999999999999</v>
      </c>
      <c r="ET63" s="3">
        <v>0</v>
      </c>
      <c r="EU63" s="3">
        <v>0</v>
      </c>
      <c r="EV63" s="3">
        <v>0</v>
      </c>
      <c r="EW63" s="3">
        <v>0</v>
      </c>
      <c r="EX63" s="3">
        <v>0</v>
      </c>
      <c r="EY63" s="3">
        <v>0</v>
      </c>
      <c r="EZ63" s="3">
        <v>0</v>
      </c>
      <c r="FA63" s="1">
        <v>0</v>
      </c>
      <c r="FB63" s="1">
        <v>0</v>
      </c>
      <c r="FC63" s="3">
        <v>0</v>
      </c>
      <c r="FD63" s="1">
        <v>0</v>
      </c>
      <c r="FE63" s="1">
        <v>0</v>
      </c>
    </row>
    <row r="64" spans="1:256" x14ac:dyDescent="0.3">
      <c r="A64" s="1">
        <v>16975538</v>
      </c>
      <c r="B64" s="1">
        <v>128</v>
      </c>
      <c r="C64" s="1">
        <v>4195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900</v>
      </c>
      <c r="J64" s="3">
        <v>900</v>
      </c>
      <c r="K64" s="1">
        <v>0.09</v>
      </c>
      <c r="L64" s="1">
        <v>0.09</v>
      </c>
      <c r="M64" s="1">
        <v>0.09</v>
      </c>
      <c r="N64" s="3">
        <v>0.08</v>
      </c>
      <c r="O64" s="1">
        <v>332594.74</v>
      </c>
      <c r="P64" s="1">
        <v>308030.32</v>
      </c>
      <c r="Q64" s="1">
        <v>332594.74</v>
      </c>
      <c r="R64" s="1">
        <v>308030.32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3"/>
      <c r="AF64" s="3" t="s">
        <v>161</v>
      </c>
      <c r="AG64" s="1" t="s">
        <v>970</v>
      </c>
      <c r="AH64" s="3" t="s">
        <v>228</v>
      </c>
      <c r="AI64" s="1">
        <v>5</v>
      </c>
      <c r="AJ64" s="3" t="s">
        <v>162</v>
      </c>
      <c r="AK64" s="1" t="s">
        <v>163</v>
      </c>
      <c r="AL64" s="3">
        <v>509.9</v>
      </c>
      <c r="AM64" s="3">
        <v>521.13</v>
      </c>
      <c r="AN64" s="3">
        <v>469017</v>
      </c>
      <c r="AO64" s="3">
        <v>447364.56</v>
      </c>
      <c r="AP64" s="1" t="s">
        <v>176</v>
      </c>
      <c r="AQ64" s="1">
        <v>4</v>
      </c>
      <c r="AR64" s="1" t="s">
        <v>165</v>
      </c>
      <c r="AS64" s="3">
        <v>132534288.59999999</v>
      </c>
      <c r="AT64" s="1" t="s">
        <v>176</v>
      </c>
      <c r="AU64" s="1">
        <v>1</v>
      </c>
      <c r="AV64" s="1">
        <v>1</v>
      </c>
      <c r="AW64" s="3" t="s">
        <v>223</v>
      </c>
      <c r="AX64" s="3" t="s">
        <v>229</v>
      </c>
      <c r="AY64" s="1">
        <v>0</v>
      </c>
      <c r="BA64" s="3">
        <v>8205251.6799999997</v>
      </c>
      <c r="BB64" s="1">
        <v>1.0484</v>
      </c>
      <c r="BD64" s="1" t="s">
        <v>971</v>
      </c>
      <c r="BE64" s="1">
        <v>1</v>
      </c>
      <c r="BF64" s="1">
        <v>1</v>
      </c>
      <c r="BG64" s="1" t="s">
        <v>168</v>
      </c>
      <c r="BH64" s="1">
        <v>0</v>
      </c>
      <c r="BI64" s="1">
        <v>31345322.399999999</v>
      </c>
      <c r="BJ64" s="1">
        <v>1.4272131400000001</v>
      </c>
      <c r="BK64" s="1">
        <v>123618989.48999999</v>
      </c>
      <c r="BL64" s="1">
        <v>132456249.91</v>
      </c>
      <c r="BM64" s="1">
        <v>596150.00000000012</v>
      </c>
      <c r="BN64" s="1">
        <v>9219855.2300000004</v>
      </c>
      <c r="BO64" s="1">
        <v>23.664660909999998</v>
      </c>
      <c r="BP64" s="1">
        <v>0.45007313999999998</v>
      </c>
      <c r="BQ64" s="1">
        <v>6.9606796500000003</v>
      </c>
      <c r="BR64" s="1">
        <v>0.33774514999999999</v>
      </c>
      <c r="BS64" s="1" t="s">
        <v>169</v>
      </c>
      <c r="BT64" s="1" t="s">
        <v>169</v>
      </c>
      <c r="BU64" s="1">
        <v>26356083.120000001</v>
      </c>
      <c r="BV64" s="1">
        <v>1.4272131400000001</v>
      </c>
      <c r="BW64" s="1">
        <v>13325.03</v>
      </c>
      <c r="BX64" s="1">
        <v>2.2000000000000002</v>
      </c>
      <c r="BY64" s="1" t="s">
        <v>170</v>
      </c>
      <c r="BZ64" s="1">
        <v>-78038.69</v>
      </c>
      <c r="CA64" s="1" t="s">
        <v>182</v>
      </c>
      <c r="CB64" s="1" t="s">
        <v>183</v>
      </c>
      <c r="CC64" s="1">
        <v>126315.26</v>
      </c>
      <c r="CD64" s="1">
        <v>126009.21</v>
      </c>
      <c r="CE64" s="1">
        <v>458910</v>
      </c>
      <c r="CF64" s="1">
        <v>434039.53</v>
      </c>
      <c r="CG64" s="1">
        <v>0</v>
      </c>
      <c r="CH64" s="1">
        <v>1.4438757900000001</v>
      </c>
      <c r="CI64" s="1">
        <v>13.27863496</v>
      </c>
      <c r="CJ64" s="1">
        <v>17588381.91</v>
      </c>
      <c r="CK64" s="1">
        <v>1912503.72</v>
      </c>
      <c r="CL64" s="1">
        <v>6269233.6699999999</v>
      </c>
      <c r="CM64" s="1" t="s">
        <v>164</v>
      </c>
      <c r="CN64" s="1" t="s">
        <v>164</v>
      </c>
      <c r="CO64" s="1" t="s">
        <v>184</v>
      </c>
      <c r="CP64" s="1" t="s">
        <v>243</v>
      </c>
      <c r="CQ64" s="3" t="s">
        <v>185</v>
      </c>
      <c r="CR64" s="1">
        <v>0</v>
      </c>
      <c r="CS64" s="1" t="s">
        <v>243</v>
      </c>
      <c r="CT64" s="1">
        <v>0.36188984000000002</v>
      </c>
      <c r="CV64" s="1">
        <v>0</v>
      </c>
      <c r="CW64" s="1">
        <v>-219173.26</v>
      </c>
      <c r="DA64" s="1">
        <v>1355558.46</v>
      </c>
      <c r="DB64" s="1">
        <v>0</v>
      </c>
      <c r="DC64" s="1">
        <v>2520.3126550000002</v>
      </c>
      <c r="DD64" s="1">
        <v>52555.483399999997</v>
      </c>
      <c r="DE64" s="1">
        <v>-296353.43</v>
      </c>
      <c r="DF64" s="1">
        <v>92570020.519999996</v>
      </c>
      <c r="DG64" s="1">
        <v>10107</v>
      </c>
      <c r="DH64" s="1">
        <v>394770.09</v>
      </c>
      <c r="DI64" s="1">
        <v>0.29803809999999997</v>
      </c>
      <c r="DK64" s="1">
        <v>0</v>
      </c>
      <c r="DL64" s="1">
        <v>0</v>
      </c>
      <c r="DM64" s="1">
        <v>-296353.43</v>
      </c>
      <c r="DN64" s="1">
        <v>0</v>
      </c>
      <c r="DO64" s="1">
        <v>0</v>
      </c>
      <c r="DP64" s="1">
        <v>16777215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469017</v>
      </c>
      <c r="DW64" s="1">
        <v>447364.56</v>
      </c>
      <c r="DX64" s="1">
        <v>31345322.399999999</v>
      </c>
      <c r="DY64" s="1">
        <v>-1110160.2399999984</v>
      </c>
      <c r="DZ64" s="1">
        <v>92570020.519999966</v>
      </c>
      <c r="EA64" s="1">
        <v>0</v>
      </c>
      <c r="EB64" s="1">
        <v>0</v>
      </c>
      <c r="EC64" s="1" t="s">
        <v>176</v>
      </c>
      <c r="EE64" s="1">
        <v>0</v>
      </c>
      <c r="EF64" s="1">
        <v>3</v>
      </c>
      <c r="EG64" s="1">
        <v>0</v>
      </c>
      <c r="EH64" s="3">
        <v>0</v>
      </c>
      <c r="EI64" s="1">
        <v>0</v>
      </c>
      <c r="EL64" s="1">
        <v>0</v>
      </c>
      <c r="EM64" s="1">
        <v>0</v>
      </c>
      <c r="EN64" s="1">
        <v>1633661.45</v>
      </c>
      <c r="EO64" s="1">
        <v>1.2333592799999999</v>
      </c>
      <c r="ER64" s="1">
        <v>509.9</v>
      </c>
      <c r="ES64" s="1">
        <v>1.0572999999999999</v>
      </c>
      <c r="ET64" s="3">
        <v>0</v>
      </c>
      <c r="EU64" s="3">
        <v>0</v>
      </c>
      <c r="EV64" s="3">
        <v>0</v>
      </c>
      <c r="EW64" s="3">
        <v>0</v>
      </c>
      <c r="EX64" s="3">
        <v>0</v>
      </c>
      <c r="EY64" s="3">
        <v>0</v>
      </c>
      <c r="EZ64" s="3">
        <v>0</v>
      </c>
      <c r="FA64" s="1">
        <v>0</v>
      </c>
      <c r="FB64" s="1">
        <v>0</v>
      </c>
      <c r="FC64" s="3">
        <v>0</v>
      </c>
      <c r="FD64" s="1">
        <v>0</v>
      </c>
      <c r="FE64" s="1">
        <v>0</v>
      </c>
    </row>
    <row r="65" spans="1:161" x14ac:dyDescent="0.3">
      <c r="A65" s="1">
        <v>16975379</v>
      </c>
      <c r="B65" s="1">
        <v>128</v>
      </c>
      <c r="C65" s="1">
        <v>9586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220</v>
      </c>
      <c r="J65" s="3">
        <v>220</v>
      </c>
      <c r="K65" s="1">
        <v>190.3</v>
      </c>
      <c r="L65" s="1">
        <v>190.3</v>
      </c>
      <c r="M65" s="1">
        <v>190.3</v>
      </c>
      <c r="N65" s="3">
        <v>146.06</v>
      </c>
      <c r="O65" s="1">
        <v>457843.93</v>
      </c>
      <c r="P65" s="1">
        <v>321302.71999999997</v>
      </c>
      <c r="Q65" s="1">
        <v>457843.93</v>
      </c>
      <c r="R65" s="1">
        <v>321302.71999999997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3"/>
      <c r="AF65" s="3" t="s">
        <v>161</v>
      </c>
      <c r="AG65" s="1" t="s">
        <v>970</v>
      </c>
      <c r="AH65" s="3" t="s">
        <v>230</v>
      </c>
      <c r="AI65" s="1">
        <v>18</v>
      </c>
      <c r="AJ65" s="3" t="s">
        <v>231</v>
      </c>
      <c r="AK65" s="1" t="s">
        <v>217</v>
      </c>
      <c r="AL65" s="3">
        <v>2804.07</v>
      </c>
      <c r="AM65" s="3">
        <v>2787.26</v>
      </c>
      <c r="AN65" s="3">
        <v>613197.19999999995</v>
      </c>
      <c r="AO65" s="3">
        <v>427869.71</v>
      </c>
      <c r="AP65" s="1" t="s">
        <v>176</v>
      </c>
      <c r="AQ65" s="1">
        <v>4</v>
      </c>
      <c r="AR65" s="1" t="s">
        <v>165</v>
      </c>
      <c r="AS65" s="3">
        <v>132534288.59999999</v>
      </c>
      <c r="AT65" s="1" t="s">
        <v>176</v>
      </c>
      <c r="AU65" s="1">
        <v>1</v>
      </c>
      <c r="AV65" s="1">
        <v>1</v>
      </c>
      <c r="AW65" s="3" t="s">
        <v>223</v>
      </c>
      <c r="AX65" s="3" t="s">
        <v>229</v>
      </c>
      <c r="AY65" s="1">
        <v>0</v>
      </c>
      <c r="BA65" s="3">
        <v>8205251.6799999997</v>
      </c>
      <c r="BB65" s="1">
        <v>1.4331399999999999</v>
      </c>
      <c r="BD65" s="1" t="s">
        <v>971</v>
      </c>
      <c r="BE65" s="1">
        <v>1</v>
      </c>
      <c r="BF65" s="1">
        <v>1</v>
      </c>
      <c r="BG65" s="1" t="s">
        <v>168</v>
      </c>
      <c r="BH65" s="1">
        <v>0</v>
      </c>
      <c r="BI65" s="1">
        <v>31345322.399999999</v>
      </c>
      <c r="BJ65" s="1">
        <v>1.36501933</v>
      </c>
      <c r="BK65" s="1">
        <v>123618989.48999999</v>
      </c>
      <c r="BL65" s="1">
        <v>132456249.91</v>
      </c>
      <c r="BM65" s="1">
        <v>596150.00000000012</v>
      </c>
      <c r="BN65" s="1">
        <v>9219855.2300000004</v>
      </c>
      <c r="BO65" s="1">
        <v>23.664660909999998</v>
      </c>
      <c r="BP65" s="1">
        <v>0.45007313999999998</v>
      </c>
      <c r="BQ65" s="1">
        <v>6.9606796500000003</v>
      </c>
      <c r="BR65" s="1">
        <v>0.32302720000000001</v>
      </c>
      <c r="BS65" s="1" t="s">
        <v>169</v>
      </c>
      <c r="BT65" s="1" t="s">
        <v>169</v>
      </c>
      <c r="BU65" s="1">
        <v>26356083.120000001</v>
      </c>
      <c r="BV65" s="1">
        <v>1.36501933</v>
      </c>
      <c r="BW65" s="1">
        <v>-1905.75</v>
      </c>
      <c r="BX65" s="1">
        <v>-0.6</v>
      </c>
      <c r="BY65" s="1" t="s">
        <v>170</v>
      </c>
      <c r="BZ65" s="1">
        <v>-78038.69</v>
      </c>
      <c r="CA65" s="1" t="s">
        <v>182</v>
      </c>
      <c r="CB65" s="1" t="s">
        <v>183</v>
      </c>
      <c r="CC65" s="1">
        <v>159051.47</v>
      </c>
      <c r="CD65" s="1">
        <v>108472.74</v>
      </c>
      <c r="CE65" s="1">
        <v>616895.4</v>
      </c>
      <c r="CF65" s="1">
        <v>429775.46</v>
      </c>
      <c r="CG65" s="1">
        <v>0</v>
      </c>
      <c r="CH65" s="1">
        <v>1.4438757900000001</v>
      </c>
      <c r="CI65" s="1">
        <v>13.27863496</v>
      </c>
      <c r="CJ65" s="1">
        <v>17588381.91</v>
      </c>
      <c r="CK65" s="1">
        <v>1912503.72</v>
      </c>
      <c r="CL65" s="1">
        <v>6269233.6699999999</v>
      </c>
      <c r="CM65" s="1" t="s">
        <v>164</v>
      </c>
      <c r="CN65" s="1" t="s">
        <v>164</v>
      </c>
      <c r="CO65" s="1" t="s">
        <v>184</v>
      </c>
      <c r="CP65" s="1" t="s">
        <v>243</v>
      </c>
      <c r="CQ65" s="3" t="s">
        <v>185</v>
      </c>
      <c r="CR65" s="1">
        <v>0</v>
      </c>
      <c r="CS65" s="1" t="s">
        <v>243</v>
      </c>
      <c r="CT65" s="1">
        <v>0.34611973000000001</v>
      </c>
      <c r="CV65" s="1">
        <v>0</v>
      </c>
      <c r="CW65" s="1">
        <v>-219173.26</v>
      </c>
      <c r="DA65" s="1">
        <v>1355558.46</v>
      </c>
      <c r="DB65" s="1">
        <v>0</v>
      </c>
      <c r="DC65" s="1">
        <v>2520.3126550000002</v>
      </c>
      <c r="DD65" s="1">
        <v>52555.483399999997</v>
      </c>
      <c r="DE65" s="1">
        <v>-296353.43</v>
      </c>
      <c r="DF65" s="1">
        <v>92570020.519999996</v>
      </c>
      <c r="DG65" s="1">
        <v>-3698.2</v>
      </c>
      <c r="DH65" s="1">
        <v>394770.09</v>
      </c>
      <c r="DI65" s="1">
        <v>0.29803809999999997</v>
      </c>
      <c r="DK65" s="1">
        <v>0</v>
      </c>
      <c r="DL65" s="1">
        <v>0</v>
      </c>
      <c r="DM65" s="1">
        <v>-296353.43</v>
      </c>
      <c r="DN65" s="1">
        <v>0</v>
      </c>
      <c r="DO65" s="1">
        <v>0</v>
      </c>
      <c r="DP65" s="1">
        <v>16777215</v>
      </c>
      <c r="DQ65" s="1">
        <v>0</v>
      </c>
      <c r="DR65" s="1">
        <v>0</v>
      </c>
      <c r="DS65" s="1">
        <v>0</v>
      </c>
      <c r="DT65" s="1">
        <v>0</v>
      </c>
      <c r="DU65" s="1">
        <v>0</v>
      </c>
      <c r="DV65" s="1">
        <v>613197.19999999995</v>
      </c>
      <c r="DW65" s="1">
        <v>427869.71</v>
      </c>
      <c r="DX65" s="1">
        <v>31345322.399999999</v>
      </c>
      <c r="DY65" s="1">
        <v>-1110160.2399999984</v>
      </c>
      <c r="DZ65" s="1">
        <v>92570020.519999966</v>
      </c>
      <c r="EA65" s="1">
        <v>0</v>
      </c>
      <c r="EB65" s="1">
        <v>0</v>
      </c>
      <c r="EC65" s="1" t="s">
        <v>176</v>
      </c>
      <c r="EE65" s="1">
        <v>0</v>
      </c>
      <c r="EF65" s="1">
        <v>3</v>
      </c>
      <c r="EG65" s="1">
        <v>0</v>
      </c>
      <c r="EH65" s="3">
        <v>0</v>
      </c>
      <c r="EI65" s="1">
        <v>0</v>
      </c>
      <c r="EL65" s="1">
        <v>0</v>
      </c>
      <c r="EM65" s="1">
        <v>0</v>
      </c>
      <c r="EN65" s="1">
        <v>1633661.45</v>
      </c>
      <c r="EO65" s="1">
        <v>1.2333592799999999</v>
      </c>
      <c r="ER65" s="1">
        <v>2804.07</v>
      </c>
      <c r="ES65" s="1">
        <v>1.4359200000000001</v>
      </c>
      <c r="ET65" s="3">
        <v>0</v>
      </c>
      <c r="EU65" s="3">
        <v>0</v>
      </c>
      <c r="EV65" s="3">
        <v>0</v>
      </c>
      <c r="EW65" s="3">
        <v>0</v>
      </c>
      <c r="EX65" s="3">
        <v>0</v>
      </c>
      <c r="EY65" s="3">
        <v>0</v>
      </c>
      <c r="EZ65" s="3">
        <v>0</v>
      </c>
      <c r="FA65" s="1">
        <v>0</v>
      </c>
      <c r="FB65" s="1">
        <v>0</v>
      </c>
      <c r="FC65" s="3">
        <v>0</v>
      </c>
      <c r="FD65" s="1">
        <v>0</v>
      </c>
      <c r="FE65" s="1">
        <v>0</v>
      </c>
    </row>
    <row r="66" spans="1:161" x14ac:dyDescent="0.3">
      <c r="A66" s="1">
        <v>16975380</v>
      </c>
      <c r="B66" s="1">
        <v>128</v>
      </c>
      <c r="C66" s="1">
        <v>10744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220</v>
      </c>
      <c r="J66" s="3">
        <v>220</v>
      </c>
      <c r="K66" s="1">
        <v>220</v>
      </c>
      <c r="L66" s="1">
        <v>220</v>
      </c>
      <c r="M66" s="1">
        <v>220</v>
      </c>
      <c r="N66" s="3">
        <v>154.38999999999999</v>
      </c>
      <c r="O66" s="1">
        <v>165</v>
      </c>
      <c r="P66" s="1">
        <v>115.79</v>
      </c>
      <c r="Q66" s="1">
        <v>165</v>
      </c>
      <c r="R66" s="1">
        <v>115.79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3"/>
      <c r="AF66" s="3" t="s">
        <v>161</v>
      </c>
      <c r="AG66" s="1" t="s">
        <v>970</v>
      </c>
      <c r="AH66" s="3" t="s">
        <v>753</v>
      </c>
      <c r="AI66" s="1">
        <v>18</v>
      </c>
      <c r="AJ66" s="3" t="s">
        <v>231</v>
      </c>
      <c r="AK66" s="1" t="s">
        <v>217</v>
      </c>
      <c r="AL66" s="3">
        <v>5.0000000000000001E-3</v>
      </c>
      <c r="AM66" s="3">
        <v>5.0000000000000001E-3</v>
      </c>
      <c r="AN66" s="3">
        <v>1.1000000000000001</v>
      </c>
      <c r="AO66" s="3">
        <v>0.77</v>
      </c>
      <c r="AP66" s="1" t="s">
        <v>176</v>
      </c>
      <c r="AQ66" s="1">
        <v>4</v>
      </c>
      <c r="AR66" s="1" t="s">
        <v>165</v>
      </c>
      <c r="AS66" s="3">
        <v>132534288.59999999</v>
      </c>
      <c r="AT66" s="1" t="s">
        <v>176</v>
      </c>
      <c r="AU66" s="1">
        <v>1</v>
      </c>
      <c r="AV66" s="1">
        <v>1</v>
      </c>
      <c r="AW66" s="3" t="s">
        <v>223</v>
      </c>
      <c r="AX66" s="3" t="s">
        <v>229</v>
      </c>
      <c r="AY66" s="1">
        <v>0</v>
      </c>
      <c r="BA66" s="3">
        <v>8205251.6799999997</v>
      </c>
      <c r="BB66" s="1">
        <v>1.4331399999999999</v>
      </c>
      <c r="BD66" s="1" t="s">
        <v>971</v>
      </c>
      <c r="BE66" s="1">
        <v>1</v>
      </c>
      <c r="BF66" s="1">
        <v>1</v>
      </c>
      <c r="BG66" s="1" t="s">
        <v>168</v>
      </c>
      <c r="BH66" s="1">
        <v>0</v>
      </c>
      <c r="BI66" s="1">
        <v>31345322.399999999</v>
      </c>
      <c r="BJ66" s="1">
        <v>2.4600000000000002E-6</v>
      </c>
      <c r="BK66" s="1">
        <v>123618989.48999999</v>
      </c>
      <c r="BL66" s="1">
        <v>132456249.91</v>
      </c>
      <c r="BM66" s="1">
        <v>596150.00000000012</v>
      </c>
      <c r="BN66" s="1">
        <v>9219855.2300000004</v>
      </c>
      <c r="BO66" s="1">
        <v>23.664660909999998</v>
      </c>
      <c r="BP66" s="1">
        <v>0.45007313999999998</v>
      </c>
      <c r="BQ66" s="1">
        <v>6.9606796500000003</v>
      </c>
      <c r="BR66" s="1">
        <v>5.7999999999999995E-7</v>
      </c>
      <c r="BS66" s="1" t="s">
        <v>169</v>
      </c>
      <c r="BT66" s="1" t="s">
        <v>169</v>
      </c>
      <c r="BU66" s="1">
        <v>26356083.120000001</v>
      </c>
      <c r="BV66" s="1">
        <v>2.4600000000000002E-6</v>
      </c>
      <c r="BW66" s="1">
        <v>0</v>
      </c>
      <c r="BX66" s="1">
        <v>0</v>
      </c>
      <c r="BY66" s="1" t="s">
        <v>170</v>
      </c>
      <c r="BZ66" s="1">
        <v>-78038.69</v>
      </c>
      <c r="CA66" s="1" t="s">
        <v>182</v>
      </c>
      <c r="CB66" s="1" t="s">
        <v>754</v>
      </c>
      <c r="CC66" s="1">
        <v>-163.9</v>
      </c>
      <c r="CD66" s="1">
        <v>-115.02</v>
      </c>
      <c r="CE66" s="1">
        <v>1.1000000000000001</v>
      </c>
      <c r="CF66" s="1">
        <v>0.77</v>
      </c>
      <c r="CG66" s="1">
        <v>0</v>
      </c>
      <c r="CH66" s="1">
        <v>1.4438757900000001</v>
      </c>
      <c r="CI66" s="1">
        <v>13.27863496</v>
      </c>
      <c r="CJ66" s="1">
        <v>17588381.91</v>
      </c>
      <c r="CK66" s="1">
        <v>1912503.72</v>
      </c>
      <c r="CL66" s="1">
        <v>6269233.6699999999</v>
      </c>
      <c r="CM66" s="1" t="s">
        <v>164</v>
      </c>
      <c r="CN66" s="1" t="s">
        <v>164</v>
      </c>
      <c r="CO66" s="1" t="s">
        <v>184</v>
      </c>
      <c r="CP66" s="1" t="s">
        <v>243</v>
      </c>
      <c r="CQ66" s="3" t="s">
        <v>185</v>
      </c>
      <c r="CR66" s="1">
        <v>0</v>
      </c>
      <c r="CS66" s="1" t="s">
        <v>243</v>
      </c>
      <c r="CT66" s="1">
        <v>6.1999999999999999E-7</v>
      </c>
      <c r="CV66" s="1">
        <v>0</v>
      </c>
      <c r="CW66" s="1">
        <v>-219173.26</v>
      </c>
      <c r="DA66" s="1">
        <v>1355558.46</v>
      </c>
      <c r="DB66" s="1">
        <v>0</v>
      </c>
      <c r="DC66" s="1">
        <v>2520.3126550000002</v>
      </c>
      <c r="DD66" s="1">
        <v>52555.483399999997</v>
      </c>
      <c r="DE66" s="1">
        <v>-296353.43</v>
      </c>
      <c r="DF66" s="1">
        <v>92570020.519999996</v>
      </c>
      <c r="DG66" s="1">
        <v>0</v>
      </c>
      <c r="DH66" s="1">
        <v>394770.09</v>
      </c>
      <c r="DI66" s="1">
        <v>0.29803809999999997</v>
      </c>
      <c r="DK66" s="1">
        <v>0</v>
      </c>
      <c r="DL66" s="1">
        <v>0</v>
      </c>
      <c r="DM66" s="1">
        <v>-296353.43</v>
      </c>
      <c r="DN66" s="1">
        <v>0</v>
      </c>
      <c r="DO66" s="1">
        <v>0</v>
      </c>
      <c r="DP66" s="1">
        <v>16777215</v>
      </c>
      <c r="DQ66" s="1">
        <v>0</v>
      </c>
      <c r="DR66" s="1">
        <v>0</v>
      </c>
      <c r="DS66" s="1">
        <v>0</v>
      </c>
      <c r="DT66" s="1">
        <v>0</v>
      </c>
      <c r="DU66" s="1">
        <v>0</v>
      </c>
      <c r="DV66" s="1">
        <v>1.1000000000000001</v>
      </c>
      <c r="DW66" s="1">
        <v>0.77</v>
      </c>
      <c r="DX66" s="1">
        <v>31345322.399999999</v>
      </c>
      <c r="DY66" s="1">
        <v>-1110160.2399999984</v>
      </c>
      <c r="DZ66" s="1">
        <v>92570020.519999966</v>
      </c>
      <c r="EA66" s="1">
        <v>0</v>
      </c>
      <c r="EB66" s="1">
        <v>0</v>
      </c>
      <c r="EC66" s="1" t="s">
        <v>176</v>
      </c>
      <c r="EE66" s="1">
        <v>0</v>
      </c>
      <c r="EF66" s="1">
        <v>3</v>
      </c>
      <c r="EG66" s="1">
        <v>0</v>
      </c>
      <c r="EH66" s="3">
        <v>0</v>
      </c>
      <c r="EI66" s="1">
        <v>0</v>
      </c>
      <c r="EL66" s="1">
        <v>0</v>
      </c>
      <c r="EM66" s="1">
        <v>0</v>
      </c>
      <c r="EN66" s="1">
        <v>1633661.45</v>
      </c>
      <c r="EO66" s="1">
        <v>1.2333592799999999</v>
      </c>
      <c r="ER66" s="1">
        <v>5.0000000000000001E-3</v>
      </c>
      <c r="ES66" s="1">
        <v>1.4359200000000001</v>
      </c>
      <c r="ET66" s="3">
        <v>0</v>
      </c>
      <c r="EU66" s="3">
        <v>0</v>
      </c>
      <c r="EV66" s="3">
        <v>0</v>
      </c>
      <c r="EW66" s="3">
        <v>0</v>
      </c>
      <c r="EX66" s="3">
        <v>0</v>
      </c>
      <c r="EY66" s="3">
        <v>0</v>
      </c>
      <c r="EZ66" s="3">
        <v>0</v>
      </c>
      <c r="FA66" s="1">
        <v>0</v>
      </c>
      <c r="FB66" s="1">
        <v>0</v>
      </c>
      <c r="FC66" s="3">
        <v>0</v>
      </c>
      <c r="FD66" s="1">
        <v>0</v>
      </c>
      <c r="FE66" s="1">
        <v>0</v>
      </c>
    </row>
    <row r="67" spans="1:161" x14ac:dyDescent="0.3">
      <c r="A67" s="1">
        <v>16975389</v>
      </c>
      <c r="B67" s="1">
        <v>128</v>
      </c>
      <c r="C67" s="1">
        <v>8551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7500</v>
      </c>
      <c r="J67" s="3">
        <v>7500</v>
      </c>
      <c r="K67" s="1">
        <v>75</v>
      </c>
      <c r="L67" s="1">
        <v>75</v>
      </c>
      <c r="M67" s="1">
        <v>75</v>
      </c>
      <c r="N67" s="3">
        <v>69.03</v>
      </c>
      <c r="O67" s="1">
        <v>453750</v>
      </c>
      <c r="P67" s="1">
        <v>417625.4</v>
      </c>
      <c r="Q67" s="1">
        <v>453750</v>
      </c>
      <c r="R67" s="1">
        <v>417625.4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3"/>
      <c r="AF67" s="3" t="s">
        <v>161</v>
      </c>
      <c r="AG67" s="1" t="s">
        <v>970</v>
      </c>
      <c r="AH67" s="3" t="s">
        <v>755</v>
      </c>
      <c r="AI67" s="1">
        <v>5</v>
      </c>
      <c r="AJ67" s="3" t="s">
        <v>162</v>
      </c>
      <c r="AK67" s="1" t="s">
        <v>163</v>
      </c>
      <c r="AL67" s="3">
        <v>52.54</v>
      </c>
      <c r="AM67" s="3">
        <v>52.11</v>
      </c>
      <c r="AN67" s="3">
        <v>390825</v>
      </c>
      <c r="AO67" s="3">
        <v>372782.33</v>
      </c>
      <c r="AP67" s="1" t="s">
        <v>176</v>
      </c>
      <c r="AQ67" s="1">
        <v>4</v>
      </c>
      <c r="AR67" s="1" t="s">
        <v>165</v>
      </c>
      <c r="AS67" s="3">
        <v>132534288.59999999</v>
      </c>
      <c r="AT67" s="1" t="s">
        <v>176</v>
      </c>
      <c r="AU67" s="1">
        <v>1</v>
      </c>
      <c r="AV67" s="1">
        <v>1</v>
      </c>
      <c r="AW67" s="3" t="s">
        <v>223</v>
      </c>
      <c r="AX67" s="3" t="s">
        <v>229</v>
      </c>
      <c r="AY67" s="1">
        <v>0</v>
      </c>
      <c r="BA67" s="3">
        <v>8205251.6799999997</v>
      </c>
      <c r="BB67" s="1">
        <v>1.0484</v>
      </c>
      <c r="BD67" s="1" t="s">
        <v>971</v>
      </c>
      <c r="BE67" s="1">
        <v>1</v>
      </c>
      <c r="BF67" s="1">
        <v>1</v>
      </c>
      <c r="BG67" s="1" t="s">
        <v>168</v>
      </c>
      <c r="BH67" s="1">
        <v>0</v>
      </c>
      <c r="BI67" s="1">
        <v>31345322.399999999</v>
      </c>
      <c r="BJ67" s="1">
        <v>1.1892757899999999</v>
      </c>
      <c r="BK67" s="1">
        <v>123618989.48999999</v>
      </c>
      <c r="BL67" s="1">
        <v>132456249.91</v>
      </c>
      <c r="BM67" s="1">
        <v>596150.00000000012</v>
      </c>
      <c r="BN67" s="1">
        <v>9219855.2300000004</v>
      </c>
      <c r="BO67" s="1">
        <v>23.664660909999998</v>
      </c>
      <c r="BP67" s="1">
        <v>0.45007313999999998</v>
      </c>
      <c r="BQ67" s="1">
        <v>6.9606796500000003</v>
      </c>
      <c r="BR67" s="1">
        <v>0.28143807999999998</v>
      </c>
      <c r="BS67" s="1" t="s">
        <v>169</v>
      </c>
      <c r="BT67" s="1" t="s">
        <v>169</v>
      </c>
      <c r="BU67" s="1">
        <v>26356083.120000001</v>
      </c>
      <c r="BV67" s="1">
        <v>1.1892757899999999</v>
      </c>
      <c r="BW67" s="1">
        <v>87.73</v>
      </c>
      <c r="BX67" s="1">
        <v>-0.82</v>
      </c>
      <c r="BY67" s="1" t="s">
        <v>170</v>
      </c>
      <c r="BZ67" s="1">
        <v>-78038.69</v>
      </c>
      <c r="CA67" s="1" t="s">
        <v>182</v>
      </c>
      <c r="CB67" s="1" t="s">
        <v>183</v>
      </c>
      <c r="CC67" s="1">
        <v>-59700</v>
      </c>
      <c r="CD67" s="1">
        <v>-44930.8</v>
      </c>
      <c r="CE67" s="1">
        <v>394050</v>
      </c>
      <c r="CF67" s="1">
        <v>372694.6</v>
      </c>
      <c r="CG67" s="1">
        <v>0</v>
      </c>
      <c r="CH67" s="1">
        <v>1.4438757900000001</v>
      </c>
      <c r="CI67" s="1">
        <v>13.27863496</v>
      </c>
      <c r="CJ67" s="1">
        <v>17588381.91</v>
      </c>
      <c r="CK67" s="1">
        <v>1912503.72</v>
      </c>
      <c r="CL67" s="1">
        <v>6269233.6699999999</v>
      </c>
      <c r="CM67" s="1" t="s">
        <v>164</v>
      </c>
      <c r="CN67" s="1" t="s">
        <v>164</v>
      </c>
      <c r="CO67" s="1" t="s">
        <v>184</v>
      </c>
      <c r="CP67" s="1" t="s">
        <v>243</v>
      </c>
      <c r="CQ67" s="3" t="s">
        <v>185</v>
      </c>
      <c r="CR67" s="1">
        <v>0</v>
      </c>
      <c r="CS67" s="1" t="s">
        <v>243</v>
      </c>
      <c r="CT67" s="1">
        <v>0.30155749999999998</v>
      </c>
      <c r="CV67" s="1">
        <v>0</v>
      </c>
      <c r="CW67" s="1">
        <v>-219173.26</v>
      </c>
      <c r="DA67" s="1">
        <v>1355558.46</v>
      </c>
      <c r="DB67" s="1">
        <v>0</v>
      </c>
      <c r="DC67" s="1">
        <v>2520.3126550000002</v>
      </c>
      <c r="DD67" s="1">
        <v>52555.483399999997</v>
      </c>
      <c r="DE67" s="1">
        <v>-296353.43</v>
      </c>
      <c r="DF67" s="1">
        <v>92570020.519999996</v>
      </c>
      <c r="DG67" s="1">
        <v>-3225</v>
      </c>
      <c r="DH67" s="1">
        <v>394770.09</v>
      </c>
      <c r="DI67" s="1">
        <v>0.29803809999999997</v>
      </c>
      <c r="DK67" s="1">
        <v>0</v>
      </c>
      <c r="DL67" s="1">
        <v>0</v>
      </c>
      <c r="DM67" s="1">
        <v>-296353.43</v>
      </c>
      <c r="DN67" s="1">
        <v>0</v>
      </c>
      <c r="DO67" s="1">
        <v>0</v>
      </c>
      <c r="DP67" s="1">
        <v>16777215</v>
      </c>
      <c r="DQ67" s="1">
        <v>0</v>
      </c>
      <c r="DR67" s="1">
        <v>0</v>
      </c>
      <c r="DS67" s="1">
        <v>0</v>
      </c>
      <c r="DT67" s="1">
        <v>0</v>
      </c>
      <c r="DU67" s="1">
        <v>0</v>
      </c>
      <c r="DV67" s="1">
        <v>390825</v>
      </c>
      <c r="DW67" s="1">
        <v>372782.33</v>
      </c>
      <c r="DX67" s="1">
        <v>31345322.399999999</v>
      </c>
      <c r="DY67" s="1">
        <v>-1110160.2399999984</v>
      </c>
      <c r="DZ67" s="1">
        <v>92570020.519999966</v>
      </c>
      <c r="EA67" s="1">
        <v>0</v>
      </c>
      <c r="EB67" s="1">
        <v>0</v>
      </c>
      <c r="EC67" s="1" t="s">
        <v>176</v>
      </c>
      <c r="EE67" s="1">
        <v>0</v>
      </c>
      <c r="EF67" s="1">
        <v>3</v>
      </c>
      <c r="EG67" s="1">
        <v>0</v>
      </c>
      <c r="EH67" s="3">
        <v>0</v>
      </c>
      <c r="EI67" s="1">
        <v>0</v>
      </c>
      <c r="EL67" s="1">
        <v>0</v>
      </c>
      <c r="EM67" s="1">
        <v>0</v>
      </c>
      <c r="EN67" s="1">
        <v>1633661.45</v>
      </c>
      <c r="EO67" s="1">
        <v>1.2333592799999999</v>
      </c>
      <c r="ER67" s="1">
        <v>52.54</v>
      </c>
      <c r="ES67" s="1">
        <v>1.0572999999999999</v>
      </c>
      <c r="ET67" s="3">
        <v>0</v>
      </c>
      <c r="EU67" s="3">
        <v>0</v>
      </c>
      <c r="EV67" s="3">
        <v>0</v>
      </c>
      <c r="EW67" s="3">
        <v>0</v>
      </c>
      <c r="EX67" s="3">
        <v>0</v>
      </c>
      <c r="EY67" s="3">
        <v>0</v>
      </c>
      <c r="EZ67" s="3">
        <v>0</v>
      </c>
      <c r="FA67" s="1">
        <v>0</v>
      </c>
      <c r="FB67" s="1">
        <v>0</v>
      </c>
      <c r="FC67" s="3">
        <v>0</v>
      </c>
      <c r="FD67" s="1">
        <v>0</v>
      </c>
      <c r="FE67" s="1">
        <v>0</v>
      </c>
    </row>
    <row r="68" spans="1:161" x14ac:dyDescent="0.3">
      <c r="A68" s="1">
        <v>16975364</v>
      </c>
      <c r="B68" s="1">
        <v>128</v>
      </c>
      <c r="C68" s="1">
        <v>2169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4700</v>
      </c>
      <c r="J68" s="3">
        <v>4700</v>
      </c>
      <c r="K68" s="1">
        <v>4000.01</v>
      </c>
      <c r="L68" s="1">
        <v>4000.01</v>
      </c>
      <c r="M68" s="1">
        <v>4000.01</v>
      </c>
      <c r="N68" s="3">
        <v>1765</v>
      </c>
      <c r="O68" s="1">
        <v>716776.53</v>
      </c>
      <c r="P68" s="1">
        <v>663427.74</v>
      </c>
      <c r="Q68" s="1">
        <v>716776.53</v>
      </c>
      <c r="R68" s="1">
        <v>663427.74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3"/>
      <c r="AF68" s="3" t="s">
        <v>161</v>
      </c>
      <c r="AG68" s="1" t="s">
        <v>970</v>
      </c>
      <c r="AH68" s="3" t="s">
        <v>232</v>
      </c>
      <c r="AI68" s="1">
        <v>5</v>
      </c>
      <c r="AJ68" s="3" t="s">
        <v>162</v>
      </c>
      <c r="AK68" s="1" t="s">
        <v>163</v>
      </c>
      <c r="AL68" s="3">
        <v>171.21</v>
      </c>
      <c r="AM68" s="3">
        <v>173.75</v>
      </c>
      <c r="AN68" s="3">
        <v>816625</v>
      </c>
      <c r="AO68" s="3">
        <v>778925.03</v>
      </c>
      <c r="AP68" s="1" t="s">
        <v>176</v>
      </c>
      <c r="AQ68" s="1">
        <v>4</v>
      </c>
      <c r="AR68" s="1" t="s">
        <v>165</v>
      </c>
      <c r="AS68" s="3">
        <v>132534288.59999999</v>
      </c>
      <c r="AT68" s="1" t="s">
        <v>176</v>
      </c>
      <c r="AU68" s="1">
        <v>1</v>
      </c>
      <c r="AV68" s="1">
        <v>1</v>
      </c>
      <c r="AW68" s="3" t="s">
        <v>223</v>
      </c>
      <c r="AX68" s="3" t="s">
        <v>167</v>
      </c>
      <c r="AY68" s="1">
        <v>0</v>
      </c>
      <c r="AZ68">
        <v>999999999</v>
      </c>
      <c r="BA68" s="3">
        <v>8205251.6799999997</v>
      </c>
      <c r="BB68" s="1">
        <v>1.0484</v>
      </c>
      <c r="BD68" s="1" t="s">
        <v>971</v>
      </c>
      <c r="BE68" s="1">
        <v>1</v>
      </c>
      <c r="BF68" s="1">
        <v>1</v>
      </c>
      <c r="BG68" s="1" t="s">
        <v>168</v>
      </c>
      <c r="BH68" s="1">
        <v>0</v>
      </c>
      <c r="BI68" s="1">
        <v>31345322.399999999</v>
      </c>
      <c r="BJ68" s="1">
        <v>2.4849801199999999</v>
      </c>
      <c r="BK68" s="1">
        <v>123618989.48999999</v>
      </c>
      <c r="BL68" s="1">
        <v>132456249.91</v>
      </c>
      <c r="BM68" s="1">
        <v>596150.00000000012</v>
      </c>
      <c r="BN68" s="1">
        <v>9219855.2300000004</v>
      </c>
      <c r="BO68" s="1">
        <v>23.664660909999998</v>
      </c>
      <c r="BP68" s="1">
        <v>0.45007313999999998</v>
      </c>
      <c r="BQ68" s="1">
        <v>6.9606796500000003</v>
      </c>
      <c r="BR68" s="1">
        <v>0.58806212000000002</v>
      </c>
      <c r="BS68" s="1" t="s">
        <v>169</v>
      </c>
      <c r="BT68" s="1" t="s">
        <v>169</v>
      </c>
      <c r="BU68" s="1">
        <v>26356083.120000001</v>
      </c>
      <c r="BV68" s="1">
        <v>2.4849801199999999</v>
      </c>
      <c r="BW68" s="1">
        <v>17847.759999999998</v>
      </c>
      <c r="BX68" s="1">
        <v>1.48</v>
      </c>
      <c r="BY68" s="1" t="s">
        <v>170</v>
      </c>
      <c r="BZ68" s="1">
        <v>-78038.69</v>
      </c>
      <c r="CA68" s="1" t="s">
        <v>182</v>
      </c>
      <c r="CB68" s="1" t="s">
        <v>183</v>
      </c>
      <c r="CC68" s="1">
        <v>87910.47</v>
      </c>
      <c r="CD68" s="1">
        <v>97649.53</v>
      </c>
      <c r="CE68" s="1">
        <v>804687</v>
      </c>
      <c r="CF68" s="1">
        <v>761077.27</v>
      </c>
      <c r="CG68" s="1">
        <v>0</v>
      </c>
      <c r="CH68" s="1">
        <v>1.4438757900000001</v>
      </c>
      <c r="CI68" s="1">
        <v>13.27863496</v>
      </c>
      <c r="CJ68" s="1">
        <v>17588381.91</v>
      </c>
      <c r="CK68" s="1">
        <v>1912503.72</v>
      </c>
      <c r="CL68" s="1">
        <v>6269233.6699999999</v>
      </c>
      <c r="CM68" s="1" t="s">
        <v>164</v>
      </c>
      <c r="CN68" s="1" t="s">
        <v>164</v>
      </c>
      <c r="CO68" s="1" t="s">
        <v>184</v>
      </c>
      <c r="CP68" s="1" t="s">
        <v>243</v>
      </c>
      <c r="CQ68" s="3" t="s">
        <v>185</v>
      </c>
      <c r="CR68" s="1">
        <v>0</v>
      </c>
      <c r="CS68" s="1" t="s">
        <v>243</v>
      </c>
      <c r="CT68" s="1">
        <v>0.63010144000000001</v>
      </c>
      <c r="CV68" s="1">
        <v>0</v>
      </c>
      <c r="CW68" s="1">
        <v>-219173.26</v>
      </c>
      <c r="DA68" s="1">
        <v>1355558.46</v>
      </c>
      <c r="DB68" s="1">
        <v>0</v>
      </c>
      <c r="DC68" s="1">
        <v>2520.3126550000002</v>
      </c>
      <c r="DD68" s="1">
        <v>52555.483399999997</v>
      </c>
      <c r="DE68" s="1">
        <v>-296353.43</v>
      </c>
      <c r="DF68" s="1">
        <v>92570020.519999996</v>
      </c>
      <c r="DG68" s="1">
        <v>11938</v>
      </c>
      <c r="DH68" s="1">
        <v>394770.09</v>
      </c>
      <c r="DI68" s="1">
        <v>0.29803809999999997</v>
      </c>
      <c r="DK68" s="1">
        <v>0</v>
      </c>
      <c r="DL68" s="1">
        <v>0</v>
      </c>
      <c r="DM68" s="1">
        <v>-296353.43</v>
      </c>
      <c r="DN68" s="1">
        <v>0</v>
      </c>
      <c r="DO68" s="1">
        <v>0</v>
      </c>
      <c r="DP68" s="1">
        <v>16777215</v>
      </c>
      <c r="DQ68" s="1">
        <v>0</v>
      </c>
      <c r="DR68" s="1">
        <v>0</v>
      </c>
      <c r="DS68" s="1">
        <v>0</v>
      </c>
      <c r="DT68" s="1">
        <v>0</v>
      </c>
      <c r="DU68" s="1">
        <v>0</v>
      </c>
      <c r="DV68" s="1">
        <v>816625</v>
      </c>
      <c r="DW68" s="1">
        <v>778925.03</v>
      </c>
      <c r="DX68" s="1">
        <v>31345322.399999999</v>
      </c>
      <c r="DY68" s="1">
        <v>-1110160.2399999984</v>
      </c>
      <c r="DZ68" s="1">
        <v>92570020.519999966</v>
      </c>
      <c r="EA68" s="1">
        <v>0</v>
      </c>
      <c r="EB68" s="1">
        <v>0</v>
      </c>
      <c r="EC68" s="1" t="s">
        <v>176</v>
      </c>
      <c r="EE68" s="1">
        <v>0</v>
      </c>
      <c r="EF68" s="1">
        <v>3</v>
      </c>
      <c r="EG68" s="1">
        <v>0</v>
      </c>
      <c r="EH68" s="3">
        <v>0</v>
      </c>
      <c r="EI68" s="1">
        <v>0</v>
      </c>
      <c r="EL68" s="1">
        <v>0</v>
      </c>
      <c r="EM68" s="1">
        <v>0</v>
      </c>
      <c r="EN68" s="1">
        <v>1633661.45</v>
      </c>
      <c r="EO68" s="1">
        <v>1.2333592799999999</v>
      </c>
      <c r="ER68" s="1">
        <v>171.21</v>
      </c>
      <c r="ES68" s="1">
        <v>1.0572999999999999</v>
      </c>
      <c r="ET68" s="3">
        <v>0</v>
      </c>
      <c r="EU68" s="3">
        <v>0</v>
      </c>
      <c r="EV68" s="3">
        <v>0</v>
      </c>
      <c r="EW68" s="3">
        <v>0</v>
      </c>
      <c r="EX68" s="3">
        <v>0</v>
      </c>
      <c r="EY68" s="3">
        <v>0</v>
      </c>
      <c r="EZ68" s="3">
        <v>0</v>
      </c>
      <c r="FA68" s="1">
        <v>0</v>
      </c>
      <c r="FB68" s="1">
        <v>0</v>
      </c>
      <c r="FC68" s="3">
        <v>0</v>
      </c>
      <c r="FD68" s="1">
        <v>0</v>
      </c>
      <c r="FE68" s="1">
        <v>0</v>
      </c>
    </row>
    <row r="69" spans="1:161" x14ac:dyDescent="0.3">
      <c r="A69" s="1">
        <v>16975590</v>
      </c>
      <c r="B69" s="1">
        <v>128</v>
      </c>
      <c r="C69" s="1">
        <v>2168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2500</v>
      </c>
      <c r="J69" s="3">
        <v>2500</v>
      </c>
      <c r="K69" s="1">
        <v>3</v>
      </c>
      <c r="L69" s="1">
        <v>3</v>
      </c>
      <c r="M69" s="1">
        <v>3</v>
      </c>
      <c r="N69" s="3">
        <v>1.1299999999999999</v>
      </c>
      <c r="O69" s="1">
        <v>722349.65</v>
      </c>
      <c r="P69" s="1">
        <v>664115.74</v>
      </c>
      <c r="Q69" s="1">
        <v>722349.65</v>
      </c>
      <c r="R69" s="1">
        <v>664115.74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3"/>
      <c r="AF69" s="3" t="s">
        <v>161</v>
      </c>
      <c r="AG69" s="1" t="s">
        <v>970</v>
      </c>
      <c r="AH69" s="3" t="s">
        <v>233</v>
      </c>
      <c r="AI69" s="1">
        <v>5</v>
      </c>
      <c r="AJ69" s="3" t="s">
        <v>162</v>
      </c>
      <c r="AK69" s="1" t="s">
        <v>163</v>
      </c>
      <c r="AL69" s="3">
        <v>315.75</v>
      </c>
      <c r="AM69" s="3">
        <v>321.8</v>
      </c>
      <c r="AN69" s="3">
        <v>804500</v>
      </c>
      <c r="AO69" s="3">
        <v>767359.79</v>
      </c>
      <c r="AP69" s="1" t="s">
        <v>176</v>
      </c>
      <c r="AQ69" s="1">
        <v>4</v>
      </c>
      <c r="AR69" s="1" t="s">
        <v>165</v>
      </c>
      <c r="AS69" s="3">
        <v>132534288.59999999</v>
      </c>
      <c r="AT69" s="1" t="s">
        <v>176</v>
      </c>
      <c r="AU69" s="1">
        <v>1</v>
      </c>
      <c r="AV69" s="1">
        <v>1</v>
      </c>
      <c r="AW69" s="3" t="s">
        <v>223</v>
      </c>
      <c r="AX69" s="3" t="s">
        <v>167</v>
      </c>
      <c r="AY69" s="1">
        <v>0</v>
      </c>
      <c r="AZ69">
        <v>999999999</v>
      </c>
      <c r="BA69" s="3">
        <v>8205251.6799999997</v>
      </c>
      <c r="BB69" s="1">
        <v>1.0484</v>
      </c>
      <c r="BD69" s="1" t="s">
        <v>971</v>
      </c>
      <c r="BE69" s="1">
        <v>1</v>
      </c>
      <c r="BF69" s="1">
        <v>1</v>
      </c>
      <c r="BG69" s="1" t="s">
        <v>168</v>
      </c>
      <c r="BH69" s="1">
        <v>0</v>
      </c>
      <c r="BI69" s="1">
        <v>31345322.399999999</v>
      </c>
      <c r="BJ69" s="1">
        <v>2.4480838999999999</v>
      </c>
      <c r="BK69" s="1">
        <v>123618989.48999999</v>
      </c>
      <c r="BL69" s="1">
        <v>132456249.91</v>
      </c>
      <c r="BM69" s="1">
        <v>596150.00000000012</v>
      </c>
      <c r="BN69" s="1">
        <v>9219855.2300000004</v>
      </c>
      <c r="BO69" s="1">
        <v>23.664660909999998</v>
      </c>
      <c r="BP69" s="1">
        <v>0.45007313999999998</v>
      </c>
      <c r="BQ69" s="1">
        <v>6.9606796500000003</v>
      </c>
      <c r="BR69" s="1">
        <v>0.57933075000000001</v>
      </c>
      <c r="BS69" s="1" t="s">
        <v>169</v>
      </c>
      <c r="BT69" s="1" t="s">
        <v>169</v>
      </c>
      <c r="BU69" s="1">
        <v>26356083.120000001</v>
      </c>
      <c r="BV69" s="1">
        <v>2.4480838999999999</v>
      </c>
      <c r="BW69" s="1">
        <v>20764.689999999999</v>
      </c>
      <c r="BX69" s="1">
        <v>1.92</v>
      </c>
      <c r="BY69" s="1" t="s">
        <v>170</v>
      </c>
      <c r="BZ69" s="1">
        <v>-78038.69</v>
      </c>
      <c r="CA69" s="1" t="s">
        <v>182</v>
      </c>
      <c r="CB69" s="1" t="s">
        <v>183</v>
      </c>
      <c r="CC69" s="1">
        <v>67025.350000000006</v>
      </c>
      <c r="CD69" s="1">
        <v>82479.360000000001</v>
      </c>
      <c r="CE69" s="1">
        <v>789375</v>
      </c>
      <c r="CF69" s="1">
        <v>746595.1</v>
      </c>
      <c r="CG69" s="1">
        <v>0</v>
      </c>
      <c r="CH69" s="1">
        <v>1.4438757900000001</v>
      </c>
      <c r="CI69" s="1">
        <v>13.27863496</v>
      </c>
      <c r="CJ69" s="1">
        <v>17588381.91</v>
      </c>
      <c r="CK69" s="1">
        <v>1912503.72</v>
      </c>
      <c r="CL69" s="1">
        <v>6269233.6699999999</v>
      </c>
      <c r="CM69" s="1" t="s">
        <v>164</v>
      </c>
      <c r="CN69" s="1" t="s">
        <v>164</v>
      </c>
      <c r="CO69" s="1" t="s">
        <v>184</v>
      </c>
      <c r="CP69" s="1" t="s">
        <v>243</v>
      </c>
      <c r="CQ69" s="3" t="s">
        <v>185</v>
      </c>
      <c r="CR69" s="1">
        <v>0</v>
      </c>
      <c r="CS69" s="1" t="s">
        <v>243</v>
      </c>
      <c r="CT69" s="1">
        <v>0.62074587999999997</v>
      </c>
      <c r="CV69" s="1">
        <v>0</v>
      </c>
      <c r="CW69" s="1">
        <v>-219173.26</v>
      </c>
      <c r="DA69" s="1">
        <v>1355558.46</v>
      </c>
      <c r="DB69" s="1">
        <v>0</v>
      </c>
      <c r="DC69" s="1">
        <v>2520.3126550000002</v>
      </c>
      <c r="DD69" s="1">
        <v>52555.483399999997</v>
      </c>
      <c r="DE69" s="1">
        <v>-296353.43</v>
      </c>
      <c r="DF69" s="1">
        <v>92570020.519999996</v>
      </c>
      <c r="DG69" s="1">
        <v>15125</v>
      </c>
      <c r="DH69" s="1">
        <v>394770.09</v>
      </c>
      <c r="DI69" s="1">
        <v>0.29803809999999997</v>
      </c>
      <c r="DK69" s="1">
        <v>0</v>
      </c>
      <c r="DL69" s="1">
        <v>0</v>
      </c>
      <c r="DM69" s="1">
        <v>-296353.43</v>
      </c>
      <c r="DN69" s="1">
        <v>0</v>
      </c>
      <c r="DO69" s="1">
        <v>0</v>
      </c>
      <c r="DP69" s="1">
        <v>16777215</v>
      </c>
      <c r="DQ69" s="1">
        <v>0</v>
      </c>
      <c r="DR69" s="1">
        <v>0</v>
      </c>
      <c r="DS69" s="1">
        <v>0</v>
      </c>
      <c r="DT69" s="1">
        <v>0</v>
      </c>
      <c r="DU69" s="1">
        <v>0</v>
      </c>
      <c r="DV69" s="1">
        <v>804500</v>
      </c>
      <c r="DW69" s="1">
        <v>767359.79</v>
      </c>
      <c r="DX69" s="1">
        <v>31345322.399999999</v>
      </c>
      <c r="DY69" s="1">
        <v>-1110160.2399999984</v>
      </c>
      <c r="DZ69" s="1">
        <v>92570020.519999966</v>
      </c>
      <c r="EA69" s="1">
        <v>0</v>
      </c>
      <c r="EB69" s="1">
        <v>0</v>
      </c>
      <c r="EC69" s="1" t="s">
        <v>176</v>
      </c>
      <c r="EE69" s="1">
        <v>0</v>
      </c>
      <c r="EF69" s="1">
        <v>3</v>
      </c>
      <c r="EG69" s="1">
        <v>0</v>
      </c>
      <c r="EH69" s="3">
        <v>0</v>
      </c>
      <c r="EI69" s="1">
        <v>0</v>
      </c>
      <c r="EL69" s="1">
        <v>0</v>
      </c>
      <c r="EM69" s="1">
        <v>0</v>
      </c>
      <c r="EN69" s="1">
        <v>1633661.45</v>
      </c>
      <c r="EO69" s="1">
        <v>1.2333592799999999</v>
      </c>
      <c r="ER69" s="1">
        <v>315.75</v>
      </c>
      <c r="ES69" s="1">
        <v>1.0572999999999999</v>
      </c>
      <c r="ET69" s="3">
        <v>0</v>
      </c>
      <c r="EU69" s="3">
        <v>0</v>
      </c>
      <c r="EV69" s="3">
        <v>0</v>
      </c>
      <c r="EW69" s="3">
        <v>0</v>
      </c>
      <c r="EX69" s="3">
        <v>0</v>
      </c>
      <c r="EY69" s="3">
        <v>0</v>
      </c>
      <c r="EZ69" s="3">
        <v>0</v>
      </c>
      <c r="FA69" s="1">
        <v>0</v>
      </c>
      <c r="FB69" s="1">
        <v>0</v>
      </c>
      <c r="FC69" s="3">
        <v>0</v>
      </c>
      <c r="FD69" s="1">
        <v>0</v>
      </c>
      <c r="FE69" s="1">
        <v>0</v>
      </c>
    </row>
    <row r="70" spans="1:161" x14ac:dyDescent="0.3">
      <c r="A70" s="1">
        <v>16975361</v>
      </c>
      <c r="B70" s="1">
        <v>128</v>
      </c>
      <c r="C70" s="1">
        <v>3827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4000</v>
      </c>
      <c r="J70" s="3">
        <v>4000</v>
      </c>
      <c r="K70" s="1">
        <v>40</v>
      </c>
      <c r="L70" s="1">
        <v>40</v>
      </c>
      <c r="M70" s="1">
        <v>40</v>
      </c>
      <c r="N70" s="3">
        <v>36.549999999999997</v>
      </c>
      <c r="O70" s="1">
        <v>339203.31</v>
      </c>
      <c r="P70" s="1">
        <v>308978.11</v>
      </c>
      <c r="Q70" s="1">
        <v>339203.31</v>
      </c>
      <c r="R70" s="1">
        <v>308978.11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3"/>
      <c r="AF70" s="3" t="s">
        <v>161</v>
      </c>
      <c r="AG70" s="1" t="s">
        <v>970</v>
      </c>
      <c r="AH70" s="3" t="s">
        <v>234</v>
      </c>
      <c r="AI70" s="1">
        <v>5</v>
      </c>
      <c r="AJ70" s="3" t="s">
        <v>162</v>
      </c>
      <c r="AK70" s="1" t="s">
        <v>163</v>
      </c>
      <c r="AL70" s="3">
        <v>105.92</v>
      </c>
      <c r="AM70" s="3">
        <v>106.71000000000001</v>
      </c>
      <c r="AN70" s="3">
        <v>426840.00000000006</v>
      </c>
      <c r="AO70" s="3">
        <v>407134.68</v>
      </c>
      <c r="AP70" s="1" t="s">
        <v>176</v>
      </c>
      <c r="AQ70" s="1">
        <v>4</v>
      </c>
      <c r="AR70" s="1" t="s">
        <v>165</v>
      </c>
      <c r="AS70" s="3">
        <v>132534288.59999999</v>
      </c>
      <c r="AT70" s="1" t="s">
        <v>176</v>
      </c>
      <c r="AU70" s="1">
        <v>1</v>
      </c>
      <c r="AV70" s="1">
        <v>1</v>
      </c>
      <c r="AW70" s="3" t="s">
        <v>223</v>
      </c>
      <c r="AX70" s="3" t="s">
        <v>167</v>
      </c>
      <c r="AY70" s="1">
        <v>0</v>
      </c>
      <c r="AZ70">
        <v>999999999</v>
      </c>
      <c r="BA70" s="3">
        <v>8205251.6799999997</v>
      </c>
      <c r="BB70" s="1">
        <v>1.0484</v>
      </c>
      <c r="BD70" s="1" t="s">
        <v>971</v>
      </c>
      <c r="BE70" s="1">
        <v>1</v>
      </c>
      <c r="BF70" s="1">
        <v>1</v>
      </c>
      <c r="BG70" s="1" t="s">
        <v>168</v>
      </c>
      <c r="BH70" s="1">
        <v>0</v>
      </c>
      <c r="BI70" s="1">
        <v>31345322.399999999</v>
      </c>
      <c r="BJ70" s="1">
        <v>1.29886901</v>
      </c>
      <c r="BK70" s="1">
        <v>123618989.48999999</v>
      </c>
      <c r="BL70" s="1">
        <v>132456249.91</v>
      </c>
      <c r="BM70" s="1">
        <v>596150.00000000012</v>
      </c>
      <c r="BN70" s="1">
        <v>9219855.2300000004</v>
      </c>
      <c r="BO70" s="1">
        <v>23.664660909999998</v>
      </c>
      <c r="BP70" s="1">
        <v>0.45007313999999998</v>
      </c>
      <c r="BQ70" s="1">
        <v>6.9606796500000003</v>
      </c>
      <c r="BR70" s="1">
        <v>0.30737294999999998</v>
      </c>
      <c r="BS70" s="1" t="s">
        <v>169</v>
      </c>
      <c r="BT70" s="1" t="s">
        <v>169</v>
      </c>
      <c r="BU70" s="1">
        <v>26356083.120000001</v>
      </c>
      <c r="BV70" s="1">
        <v>1.29886901</v>
      </c>
      <c r="BW70" s="1">
        <v>6415.87</v>
      </c>
      <c r="BX70" s="1">
        <v>0.75</v>
      </c>
      <c r="BY70" s="1" t="s">
        <v>170</v>
      </c>
      <c r="BZ70" s="1">
        <v>-78038.69</v>
      </c>
      <c r="CA70" s="1" t="s">
        <v>182</v>
      </c>
      <c r="CB70" s="1" t="s">
        <v>183</v>
      </c>
      <c r="CC70" s="1">
        <v>84476.69</v>
      </c>
      <c r="CD70" s="1">
        <v>91740.7</v>
      </c>
      <c r="CE70" s="1">
        <v>423680</v>
      </c>
      <c r="CF70" s="1">
        <v>400718.81</v>
      </c>
      <c r="CG70" s="1">
        <v>0</v>
      </c>
      <c r="CH70" s="1">
        <v>1.4438757900000001</v>
      </c>
      <c r="CI70" s="1">
        <v>13.27863496</v>
      </c>
      <c r="CJ70" s="1">
        <v>17588381.91</v>
      </c>
      <c r="CK70" s="1">
        <v>1912503.72</v>
      </c>
      <c r="CL70" s="1">
        <v>6269233.6699999999</v>
      </c>
      <c r="CM70" s="1" t="s">
        <v>164</v>
      </c>
      <c r="CN70" s="1" t="s">
        <v>164</v>
      </c>
      <c r="CO70" s="1" t="s">
        <v>184</v>
      </c>
      <c r="CP70" s="1" t="s">
        <v>243</v>
      </c>
      <c r="CQ70" s="3" t="s">
        <v>185</v>
      </c>
      <c r="CR70" s="1">
        <v>0</v>
      </c>
      <c r="CS70" s="1" t="s">
        <v>243</v>
      </c>
      <c r="CT70" s="1">
        <v>0.32934638999999999</v>
      </c>
      <c r="CV70" s="1">
        <v>0</v>
      </c>
      <c r="CW70" s="1">
        <v>-219173.26</v>
      </c>
      <c r="DA70" s="1">
        <v>1355558.46</v>
      </c>
      <c r="DB70" s="1">
        <v>0</v>
      </c>
      <c r="DC70" s="1">
        <v>2520.3126550000002</v>
      </c>
      <c r="DD70" s="1">
        <v>52555.483399999997</v>
      </c>
      <c r="DE70" s="1">
        <v>-296353.43</v>
      </c>
      <c r="DF70" s="1">
        <v>92570020.519999996</v>
      </c>
      <c r="DG70" s="1">
        <v>3160</v>
      </c>
      <c r="DH70" s="1">
        <v>394770.09</v>
      </c>
      <c r="DI70" s="1">
        <v>0.29803809999999997</v>
      </c>
      <c r="DK70" s="1">
        <v>0</v>
      </c>
      <c r="DL70" s="1">
        <v>0</v>
      </c>
      <c r="DM70" s="1">
        <v>-296353.43</v>
      </c>
      <c r="DN70" s="1">
        <v>0</v>
      </c>
      <c r="DO70" s="1">
        <v>0</v>
      </c>
      <c r="DP70" s="1">
        <v>16777215</v>
      </c>
      <c r="DQ70" s="1">
        <v>0</v>
      </c>
      <c r="DR70" s="1">
        <v>0</v>
      </c>
      <c r="DS70" s="1">
        <v>0</v>
      </c>
      <c r="DT70" s="1">
        <v>0</v>
      </c>
      <c r="DU70" s="1">
        <v>0</v>
      </c>
      <c r="DV70" s="1">
        <v>426840.00000000006</v>
      </c>
      <c r="DW70" s="1">
        <v>407134.68</v>
      </c>
      <c r="DX70" s="1">
        <v>31345322.399999999</v>
      </c>
      <c r="DY70" s="1">
        <v>-1110160.2399999984</v>
      </c>
      <c r="DZ70" s="1">
        <v>92570020.519999966</v>
      </c>
      <c r="EA70" s="1">
        <v>0</v>
      </c>
      <c r="EB70" s="1">
        <v>0</v>
      </c>
      <c r="EC70" s="1" t="s">
        <v>176</v>
      </c>
      <c r="EE70" s="1">
        <v>0</v>
      </c>
      <c r="EF70" s="1">
        <v>3</v>
      </c>
      <c r="EG70" s="1">
        <v>0</v>
      </c>
      <c r="EH70" s="3">
        <v>0</v>
      </c>
      <c r="EI70" s="1">
        <v>0</v>
      </c>
      <c r="EL70" s="1">
        <v>0</v>
      </c>
      <c r="EM70" s="1">
        <v>0</v>
      </c>
      <c r="EN70" s="1">
        <v>1633661.45</v>
      </c>
      <c r="EO70" s="1">
        <v>1.2333592799999999</v>
      </c>
      <c r="ER70" s="1">
        <v>105.92</v>
      </c>
      <c r="ES70" s="1">
        <v>1.0572999999999999</v>
      </c>
      <c r="ET70" s="3">
        <v>0</v>
      </c>
      <c r="EU70" s="3">
        <v>0</v>
      </c>
      <c r="EV70" s="3">
        <v>0</v>
      </c>
      <c r="EW70" s="3">
        <v>0</v>
      </c>
      <c r="EX70" s="3">
        <v>0</v>
      </c>
      <c r="EY70" s="3">
        <v>0</v>
      </c>
      <c r="EZ70" s="3">
        <v>0</v>
      </c>
      <c r="FA70" s="1">
        <v>0</v>
      </c>
      <c r="FB70" s="1">
        <v>0</v>
      </c>
      <c r="FC70" s="3">
        <v>0</v>
      </c>
      <c r="FD70" s="1">
        <v>0</v>
      </c>
      <c r="FE70" s="1">
        <v>0</v>
      </c>
    </row>
    <row r="71" spans="1:161" x14ac:dyDescent="0.3">
      <c r="A71" s="1">
        <v>16975492</v>
      </c>
      <c r="B71" s="1">
        <v>128</v>
      </c>
      <c r="C71" s="1">
        <v>10350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1</v>
      </c>
      <c r="J71" s="3">
        <v>1</v>
      </c>
      <c r="K71" s="1">
        <v>500000</v>
      </c>
      <c r="L71" s="1">
        <v>500000</v>
      </c>
      <c r="M71" s="1">
        <v>500000</v>
      </c>
      <c r="N71" s="3">
        <v>500000</v>
      </c>
      <c r="O71" s="1">
        <v>483760.7</v>
      </c>
      <c r="P71" s="1">
        <v>483760.7</v>
      </c>
      <c r="Q71" s="1">
        <v>483760.7</v>
      </c>
      <c r="R71" s="1">
        <v>483760.7</v>
      </c>
      <c r="S71" s="1">
        <v>500000</v>
      </c>
      <c r="T71" s="1">
        <v>500000</v>
      </c>
      <c r="U71" s="1">
        <v>500000</v>
      </c>
      <c r="V71" s="1">
        <v>500000</v>
      </c>
      <c r="W71" s="1">
        <v>0</v>
      </c>
      <c r="X71" s="1">
        <v>0</v>
      </c>
      <c r="Y71" s="1">
        <v>0</v>
      </c>
      <c r="Z71" s="1">
        <v>0</v>
      </c>
      <c r="AA71" s="1">
        <v>10916.01</v>
      </c>
      <c r="AB71" s="1">
        <v>10916.01</v>
      </c>
      <c r="AC71" s="1">
        <v>10916.01</v>
      </c>
      <c r="AD71" s="1">
        <v>10916.01</v>
      </c>
      <c r="AE71" s="3" t="s">
        <v>240</v>
      </c>
      <c r="AF71" s="3" t="s">
        <v>161</v>
      </c>
      <c r="AG71" s="1" t="s">
        <v>970</v>
      </c>
      <c r="AH71" s="3" t="s">
        <v>241</v>
      </c>
      <c r="AI71" s="1">
        <v>4</v>
      </c>
      <c r="AJ71" s="3" t="s">
        <v>165</v>
      </c>
      <c r="AK71" s="1" t="s">
        <v>176</v>
      </c>
      <c r="AL71" s="3">
        <v>0</v>
      </c>
      <c r="AM71" s="3">
        <v>0</v>
      </c>
      <c r="AN71" s="3">
        <v>493239.5</v>
      </c>
      <c r="AO71" s="3">
        <v>493239.5</v>
      </c>
      <c r="AP71" s="1" t="s">
        <v>164</v>
      </c>
      <c r="AQ71" s="1">
        <v>4</v>
      </c>
      <c r="AR71" s="1" t="s">
        <v>165</v>
      </c>
      <c r="AS71" s="3">
        <v>132534288.59999999</v>
      </c>
      <c r="AT71" s="1" t="s">
        <v>176</v>
      </c>
      <c r="AU71" s="1">
        <v>1</v>
      </c>
      <c r="AV71" s="1">
        <v>1</v>
      </c>
      <c r="AW71" s="3" t="s">
        <v>210</v>
      </c>
      <c r="AX71" s="3" t="s">
        <v>237</v>
      </c>
      <c r="AY71" s="1">
        <v>0</v>
      </c>
      <c r="AZ71" s="1"/>
      <c r="BA71" s="3">
        <v>8205251.6799999997</v>
      </c>
      <c r="BB71" s="1">
        <v>1</v>
      </c>
      <c r="BD71" s="1" t="s">
        <v>971</v>
      </c>
      <c r="BE71" s="1">
        <v>1</v>
      </c>
      <c r="BF71" s="1">
        <v>1</v>
      </c>
      <c r="BG71" s="1" t="s">
        <v>168</v>
      </c>
      <c r="BH71" s="1">
        <v>0</v>
      </c>
      <c r="BI71" s="1">
        <v>31345322.399999999</v>
      </c>
      <c r="BJ71" s="1">
        <v>0</v>
      </c>
      <c r="BK71" s="1">
        <v>123618989.48999999</v>
      </c>
      <c r="BL71" s="1">
        <v>132456249.91</v>
      </c>
      <c r="BM71" s="1">
        <v>596150.00000000012</v>
      </c>
      <c r="BN71" s="1">
        <v>9219855.2300000004</v>
      </c>
      <c r="BO71" s="1">
        <v>23.664660909999998</v>
      </c>
      <c r="BP71" s="1">
        <v>0.45007313999999998</v>
      </c>
      <c r="BQ71" s="1">
        <v>6.9606796500000003</v>
      </c>
      <c r="BR71" s="1">
        <v>0.37237917999999998</v>
      </c>
      <c r="BS71" s="1" t="s">
        <v>169</v>
      </c>
      <c r="BT71" s="1" t="s">
        <v>169</v>
      </c>
      <c r="BU71" s="1">
        <v>26356083.120000001</v>
      </c>
      <c r="BV71" s="1">
        <v>0</v>
      </c>
      <c r="BW71" s="1">
        <v>0</v>
      </c>
      <c r="BX71" s="1">
        <v>0</v>
      </c>
      <c r="BY71" s="1" t="s">
        <v>170</v>
      </c>
      <c r="BZ71" s="1">
        <v>-78038.69</v>
      </c>
      <c r="CA71" s="1" t="s">
        <v>238</v>
      </c>
      <c r="CB71" s="1" t="s">
        <v>242</v>
      </c>
      <c r="CC71" s="1">
        <v>-1437.21</v>
      </c>
      <c r="CD71" s="1">
        <v>-1437.21</v>
      </c>
      <c r="CE71" s="1">
        <v>493239.5</v>
      </c>
      <c r="CF71" s="1">
        <v>493239.5</v>
      </c>
      <c r="CG71" s="1">
        <v>0</v>
      </c>
      <c r="CH71" s="1">
        <v>1.4438757900000001</v>
      </c>
      <c r="CI71" s="1">
        <v>13.27863496</v>
      </c>
      <c r="CJ71" s="1">
        <v>17588381.91</v>
      </c>
      <c r="CK71" s="1">
        <v>1912503.72</v>
      </c>
      <c r="CL71" s="1">
        <v>6269233.6699999999</v>
      </c>
      <c r="CM71" s="1" t="s">
        <v>164</v>
      </c>
      <c r="CN71" s="1" t="s">
        <v>164</v>
      </c>
      <c r="CO71" s="1" t="s">
        <v>184</v>
      </c>
      <c r="CP71" s="1" t="s">
        <v>243</v>
      </c>
      <c r="CQ71" s="3" t="s">
        <v>239</v>
      </c>
      <c r="CR71" s="1">
        <v>0</v>
      </c>
      <c r="CS71" s="1" t="s">
        <v>243</v>
      </c>
      <c r="CT71" s="1">
        <v>0.39899978000000003</v>
      </c>
      <c r="CV71" s="1">
        <v>0</v>
      </c>
      <c r="CW71" s="1">
        <v>-219173.26</v>
      </c>
      <c r="DA71" s="1">
        <v>1355558.46</v>
      </c>
      <c r="DB71" s="1">
        <v>0</v>
      </c>
      <c r="DC71" s="1">
        <v>2520.3126550000002</v>
      </c>
      <c r="DD71" s="1">
        <v>52555.483399999997</v>
      </c>
      <c r="DE71" s="1">
        <v>-296353.43</v>
      </c>
      <c r="DF71" s="1">
        <v>92570020.519999996</v>
      </c>
      <c r="DG71" s="1">
        <v>0</v>
      </c>
      <c r="DH71" s="1">
        <v>394770.09</v>
      </c>
      <c r="DI71" s="1">
        <v>0.29803809999999997</v>
      </c>
      <c r="DK71" s="1">
        <v>0</v>
      </c>
      <c r="DL71" s="1">
        <v>0</v>
      </c>
      <c r="DM71" s="1">
        <v>-296353.43</v>
      </c>
      <c r="DN71" s="1">
        <v>0</v>
      </c>
      <c r="DO71" s="1">
        <v>0</v>
      </c>
      <c r="DP71" s="1">
        <v>16777215</v>
      </c>
      <c r="DQ71" s="1">
        <v>0</v>
      </c>
      <c r="DR71" s="1">
        <v>0</v>
      </c>
      <c r="DS71" s="1">
        <v>0</v>
      </c>
      <c r="DT71" s="1">
        <v>0</v>
      </c>
      <c r="DU71" s="1">
        <v>0</v>
      </c>
      <c r="DV71" s="1">
        <v>493239.5</v>
      </c>
      <c r="DW71" s="1">
        <v>493239.5</v>
      </c>
      <c r="DX71" s="1">
        <v>31345322.399999999</v>
      </c>
      <c r="DY71" s="1">
        <v>-1110160.2399999984</v>
      </c>
      <c r="DZ71" s="1">
        <v>92570020.519999966</v>
      </c>
      <c r="EA71" s="1">
        <v>0</v>
      </c>
      <c r="EB71" s="1">
        <v>0</v>
      </c>
      <c r="EC71" s="1" t="s">
        <v>176</v>
      </c>
      <c r="EE71" s="1">
        <v>0</v>
      </c>
      <c r="EF71" s="1">
        <v>3</v>
      </c>
      <c r="EG71" s="1">
        <v>0</v>
      </c>
      <c r="EH71" s="3">
        <v>0.53282854999999996</v>
      </c>
      <c r="EI71" s="1">
        <v>0</v>
      </c>
      <c r="EL71" s="1">
        <v>0</v>
      </c>
      <c r="EM71" s="1">
        <v>0</v>
      </c>
      <c r="EN71" s="1">
        <v>1633661.45</v>
      </c>
      <c r="EO71" s="1">
        <v>1.2333592799999999</v>
      </c>
      <c r="ER71" s="1">
        <v>0</v>
      </c>
      <c r="ES71" s="1">
        <v>1</v>
      </c>
      <c r="ET71" s="3">
        <v>4.3765416459999997</v>
      </c>
      <c r="EU71" s="3">
        <v>0.317808219</v>
      </c>
      <c r="EV71" s="3">
        <v>0</v>
      </c>
      <c r="EW71" s="3">
        <v>0.317808219</v>
      </c>
      <c r="EX71" s="3">
        <v>3.8442490000000001E-3</v>
      </c>
      <c r="EY71" s="3">
        <v>4</v>
      </c>
      <c r="EZ71" s="3">
        <v>116</v>
      </c>
      <c r="FA71" s="1">
        <v>0</v>
      </c>
      <c r="FB71" s="1">
        <v>0</v>
      </c>
      <c r="FC71" s="3">
        <v>10.948063833999999</v>
      </c>
      <c r="FD71" s="1">
        <v>0</v>
      </c>
      <c r="FE71" s="1">
        <v>0</v>
      </c>
    </row>
    <row r="72" spans="1:161" x14ac:dyDescent="0.3">
      <c r="A72" s="1">
        <v>16975495</v>
      </c>
      <c r="B72" s="1">
        <v>128</v>
      </c>
      <c r="C72" s="1">
        <v>10771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1000</v>
      </c>
      <c r="J72" s="3">
        <v>1000</v>
      </c>
      <c r="K72" s="1">
        <v>1000000</v>
      </c>
      <c r="L72" s="1">
        <v>1000000</v>
      </c>
      <c r="M72" s="1">
        <v>1000000</v>
      </c>
      <c r="N72" s="3">
        <v>1000000</v>
      </c>
      <c r="O72" s="1">
        <v>975860</v>
      </c>
      <c r="P72" s="1">
        <v>975860</v>
      </c>
      <c r="Q72" s="1">
        <v>975860</v>
      </c>
      <c r="R72" s="1">
        <v>975860</v>
      </c>
      <c r="S72" s="1">
        <v>1000000</v>
      </c>
      <c r="T72" s="1">
        <v>1000000</v>
      </c>
      <c r="U72" s="1">
        <v>1000000</v>
      </c>
      <c r="V72" s="1">
        <v>1000000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3" t="s">
        <v>383</v>
      </c>
      <c r="AF72" s="3" t="s">
        <v>161</v>
      </c>
      <c r="AG72" s="1" t="s">
        <v>970</v>
      </c>
      <c r="AH72" s="3" t="s">
        <v>953</v>
      </c>
      <c r="AI72" s="1">
        <v>4</v>
      </c>
      <c r="AJ72" s="3" t="s">
        <v>165</v>
      </c>
      <c r="AK72" s="1" t="s">
        <v>176</v>
      </c>
      <c r="AL72" s="3">
        <v>97.694000000000003</v>
      </c>
      <c r="AM72" s="3">
        <v>97.575500000000005</v>
      </c>
      <c r="AN72" s="3">
        <v>975755</v>
      </c>
      <c r="AO72" s="3">
        <v>975755</v>
      </c>
      <c r="AP72" s="1" t="s">
        <v>164</v>
      </c>
      <c r="AQ72" s="1">
        <v>4</v>
      </c>
      <c r="AR72" s="1" t="s">
        <v>165</v>
      </c>
      <c r="AS72" s="3">
        <v>132534288.59999999</v>
      </c>
      <c r="AT72" s="1" t="s">
        <v>176</v>
      </c>
      <c r="AU72" s="1">
        <v>1</v>
      </c>
      <c r="AV72" s="1">
        <v>1</v>
      </c>
      <c r="AW72" s="3" t="s">
        <v>494</v>
      </c>
      <c r="AX72" s="3" t="s">
        <v>495</v>
      </c>
      <c r="AY72" s="1">
        <v>0</v>
      </c>
      <c r="BA72" s="3">
        <v>8205251.6799999997</v>
      </c>
      <c r="BB72" s="1">
        <v>1</v>
      </c>
      <c r="BD72" s="1" t="s">
        <v>971</v>
      </c>
      <c r="BE72" s="1">
        <v>1</v>
      </c>
      <c r="BF72" s="1">
        <v>1</v>
      </c>
      <c r="BG72" s="1" t="s">
        <v>168</v>
      </c>
      <c r="BH72" s="1">
        <v>0</v>
      </c>
      <c r="BI72" s="1">
        <v>31345322.399999999</v>
      </c>
      <c r="BJ72" s="1">
        <v>0</v>
      </c>
      <c r="BK72" s="1">
        <v>123618989.48999999</v>
      </c>
      <c r="BL72" s="1">
        <v>132456249.91</v>
      </c>
      <c r="BM72" s="1">
        <v>596150.00000000012</v>
      </c>
      <c r="BN72" s="1">
        <v>9219855.2300000004</v>
      </c>
      <c r="BO72" s="1">
        <v>23.664660909999998</v>
      </c>
      <c r="BP72" s="1">
        <v>0.45007313999999998</v>
      </c>
      <c r="BQ72" s="1">
        <v>6.9606796500000003</v>
      </c>
      <c r="BR72" s="1">
        <v>0.73666211000000004</v>
      </c>
      <c r="BS72" s="1" t="s">
        <v>169</v>
      </c>
      <c r="BT72" s="1" t="s">
        <v>169</v>
      </c>
      <c r="BU72" s="1">
        <v>26356083.120000001</v>
      </c>
      <c r="BV72" s="1">
        <v>0</v>
      </c>
      <c r="BW72" s="1">
        <v>-1185</v>
      </c>
      <c r="BX72" s="1">
        <v>-0.12</v>
      </c>
      <c r="BY72" s="1" t="s">
        <v>170</v>
      </c>
      <c r="BZ72" s="1">
        <v>-78038.69</v>
      </c>
      <c r="CA72" s="1" t="s">
        <v>238</v>
      </c>
      <c r="CB72" s="1" t="s">
        <v>954</v>
      </c>
      <c r="CC72" s="1">
        <v>1080</v>
      </c>
      <c r="CD72" s="1">
        <v>1080</v>
      </c>
      <c r="CE72" s="1">
        <v>976940</v>
      </c>
      <c r="CF72" s="1">
        <v>976940</v>
      </c>
      <c r="CG72" s="1">
        <v>0</v>
      </c>
      <c r="CH72" s="1">
        <v>1.4438757900000001</v>
      </c>
      <c r="CI72" s="1">
        <v>13.27863496</v>
      </c>
      <c r="CJ72" s="1">
        <v>17588381.91</v>
      </c>
      <c r="CK72" s="1">
        <v>1912503.72</v>
      </c>
      <c r="CL72" s="1">
        <v>6269233.6699999999</v>
      </c>
      <c r="CM72" s="1" t="s">
        <v>164</v>
      </c>
      <c r="CN72" s="1" t="s">
        <v>164</v>
      </c>
      <c r="CO72" s="1" t="s">
        <v>184</v>
      </c>
      <c r="CP72" s="1" t="s">
        <v>243</v>
      </c>
      <c r="CQ72" s="3" t="s">
        <v>239</v>
      </c>
      <c r="CR72" s="1">
        <v>0</v>
      </c>
      <c r="CS72" s="1" t="s">
        <v>243</v>
      </c>
      <c r="CT72" s="1">
        <v>0.78932451999999997</v>
      </c>
      <c r="CV72" s="1">
        <v>0</v>
      </c>
      <c r="CW72" s="1">
        <v>-219173.26</v>
      </c>
      <c r="DA72" s="1">
        <v>1355558.46</v>
      </c>
      <c r="DB72" s="1">
        <v>0</v>
      </c>
      <c r="DC72" s="1">
        <v>2520.3126550000002</v>
      </c>
      <c r="DD72" s="1">
        <v>52555.483399999997</v>
      </c>
      <c r="DE72" s="1">
        <v>-296353.43</v>
      </c>
      <c r="DF72" s="1">
        <v>92570020.519999996</v>
      </c>
      <c r="DG72" s="1">
        <v>-1185</v>
      </c>
      <c r="DH72" s="1">
        <v>394770.09</v>
      </c>
      <c r="DI72" s="1">
        <v>0.29803809999999997</v>
      </c>
      <c r="DK72" s="1">
        <v>0</v>
      </c>
      <c r="DL72" s="1">
        <v>0</v>
      </c>
      <c r="DM72" s="1">
        <v>-296353.43</v>
      </c>
      <c r="DN72" s="1">
        <v>0</v>
      </c>
      <c r="DO72" s="1">
        <v>0</v>
      </c>
      <c r="DP72" s="1">
        <v>16777215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975755</v>
      </c>
      <c r="DW72" s="1">
        <v>975755</v>
      </c>
      <c r="DX72" s="1">
        <v>31345322.399999999</v>
      </c>
      <c r="DY72" s="1">
        <v>-1110160.2399999984</v>
      </c>
      <c r="DZ72" s="1">
        <v>92570020.519999966</v>
      </c>
      <c r="EA72" s="1">
        <v>0</v>
      </c>
      <c r="EB72" s="1">
        <v>0</v>
      </c>
      <c r="EC72" s="1" t="s">
        <v>176</v>
      </c>
      <c r="EE72" s="1">
        <v>0</v>
      </c>
      <c r="EF72" s="1">
        <v>3</v>
      </c>
      <c r="EG72" s="1">
        <v>0</v>
      </c>
      <c r="EH72" s="3">
        <v>1.0540723599999999</v>
      </c>
      <c r="EI72" s="1">
        <v>0</v>
      </c>
      <c r="EL72" s="1">
        <v>0</v>
      </c>
      <c r="EM72" s="1">
        <v>0</v>
      </c>
      <c r="EN72" s="1">
        <v>1633661.45</v>
      </c>
      <c r="EO72" s="1">
        <v>1.2333592799999999</v>
      </c>
      <c r="ER72" s="1">
        <v>97.575500000000005</v>
      </c>
      <c r="ES72" s="1">
        <v>1</v>
      </c>
      <c r="ET72" s="3">
        <v>4.0790756540000004</v>
      </c>
      <c r="EU72" s="3">
        <v>0.61388888900000005</v>
      </c>
      <c r="EV72" s="3">
        <v>0.57552889350000003</v>
      </c>
      <c r="EW72" s="3">
        <v>0.60547945199999997</v>
      </c>
      <c r="EX72" s="3">
        <v>9.1461130000000009E-3</v>
      </c>
      <c r="EY72" s="3">
        <v>7</v>
      </c>
      <c r="EZ72" s="3">
        <v>221</v>
      </c>
      <c r="FA72" s="1">
        <v>0</v>
      </c>
      <c r="FB72" s="1">
        <v>0</v>
      </c>
      <c r="FC72" s="3">
        <v>4.0608341460000004</v>
      </c>
      <c r="FD72" s="1">
        <v>0</v>
      </c>
      <c r="FE72" s="1">
        <v>0</v>
      </c>
    </row>
    <row r="73" spans="1:161" x14ac:dyDescent="0.3">
      <c r="A73" s="1">
        <v>16975378</v>
      </c>
      <c r="B73" s="1">
        <v>128</v>
      </c>
      <c r="C73" s="1">
        <v>10743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220</v>
      </c>
      <c r="J73" s="3">
        <v>220</v>
      </c>
      <c r="K73" s="1">
        <v>220</v>
      </c>
      <c r="L73" s="1">
        <v>220</v>
      </c>
      <c r="M73" s="1">
        <v>220</v>
      </c>
      <c r="N73" s="3">
        <v>148.84</v>
      </c>
      <c r="O73" s="1">
        <v>0.02</v>
      </c>
      <c r="P73" s="1">
        <v>0.01</v>
      </c>
      <c r="Q73" s="1">
        <v>0.02</v>
      </c>
      <c r="R73" s="1">
        <v>0.01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3" t="s">
        <v>756</v>
      </c>
      <c r="AF73" s="3" t="s">
        <v>161</v>
      </c>
      <c r="AG73" s="1" t="s">
        <v>970</v>
      </c>
      <c r="AH73" s="3" t="s">
        <v>757</v>
      </c>
      <c r="AI73" s="1">
        <v>18</v>
      </c>
      <c r="AJ73" s="3" t="s">
        <v>231</v>
      </c>
      <c r="AK73" s="1" t="s">
        <v>217</v>
      </c>
      <c r="AL73" s="3">
        <v>0</v>
      </c>
      <c r="AM73" s="3">
        <v>0</v>
      </c>
      <c r="AN73" s="3">
        <v>0.02</v>
      </c>
      <c r="AO73" s="3">
        <v>0.01</v>
      </c>
      <c r="AP73" s="1" t="s">
        <v>164</v>
      </c>
      <c r="AQ73" s="1">
        <v>4</v>
      </c>
      <c r="AR73" s="1" t="s">
        <v>165</v>
      </c>
      <c r="AS73" s="3">
        <v>132534288.59999999</v>
      </c>
      <c r="AT73" s="1" t="s">
        <v>176</v>
      </c>
      <c r="AU73" s="1">
        <v>1</v>
      </c>
      <c r="AV73" s="1">
        <v>1</v>
      </c>
      <c r="AW73" s="3" t="s">
        <v>223</v>
      </c>
      <c r="AX73" s="3" t="s">
        <v>229</v>
      </c>
      <c r="AY73" s="1">
        <v>0</v>
      </c>
      <c r="BA73" s="3">
        <v>8205251.6799999997</v>
      </c>
      <c r="BB73" s="1">
        <v>1.4331399999999999</v>
      </c>
      <c r="BD73" s="1" t="s">
        <v>971</v>
      </c>
      <c r="BE73" s="1">
        <v>1</v>
      </c>
      <c r="BF73" s="1">
        <v>1</v>
      </c>
      <c r="BG73" s="1" t="s">
        <v>168</v>
      </c>
      <c r="BH73" s="1">
        <v>0</v>
      </c>
      <c r="BI73" s="1">
        <v>31345322.399999999</v>
      </c>
      <c r="BJ73" s="1">
        <v>0</v>
      </c>
      <c r="BK73" s="1">
        <v>123618989.48999999</v>
      </c>
      <c r="BL73" s="1">
        <v>132456249.91</v>
      </c>
      <c r="BM73" s="1">
        <v>596150.00000000012</v>
      </c>
      <c r="BN73" s="1">
        <v>9219855.2300000004</v>
      </c>
      <c r="BO73" s="1">
        <v>23.664660909999998</v>
      </c>
      <c r="BP73" s="1">
        <v>0.45007313999999998</v>
      </c>
      <c r="BQ73" s="1">
        <v>6.9606796500000003</v>
      </c>
      <c r="BR73" s="1">
        <v>1E-8</v>
      </c>
      <c r="BS73" s="1" t="s">
        <v>169</v>
      </c>
      <c r="BT73" s="1" t="s">
        <v>169</v>
      </c>
      <c r="BU73" s="1">
        <v>26356083.120000001</v>
      </c>
      <c r="BV73" s="1">
        <v>0</v>
      </c>
      <c r="BW73" s="1">
        <v>0</v>
      </c>
      <c r="BX73" s="1">
        <v>0</v>
      </c>
      <c r="BY73" s="1" t="s">
        <v>170</v>
      </c>
      <c r="BZ73" s="1">
        <v>-78038.69</v>
      </c>
      <c r="CA73" s="1" t="s">
        <v>244</v>
      </c>
      <c r="CB73" s="1" t="s">
        <v>758</v>
      </c>
      <c r="CC73" s="1">
        <v>0</v>
      </c>
      <c r="CD73" s="1">
        <v>0</v>
      </c>
      <c r="CE73" s="1">
        <v>0.02</v>
      </c>
      <c r="CF73" s="1">
        <v>0.01</v>
      </c>
      <c r="CG73" s="1">
        <v>0</v>
      </c>
      <c r="CH73" s="1">
        <v>1.4438757900000001</v>
      </c>
      <c r="CI73" s="1">
        <v>13.27863496</v>
      </c>
      <c r="CJ73" s="1">
        <v>17588381.91</v>
      </c>
      <c r="CK73" s="1">
        <v>1912503.72</v>
      </c>
      <c r="CL73" s="1">
        <v>6269233.6699999999</v>
      </c>
      <c r="CM73" s="1" t="s">
        <v>164</v>
      </c>
      <c r="CN73" s="1" t="s">
        <v>164</v>
      </c>
      <c r="CO73" s="1" t="s">
        <v>184</v>
      </c>
      <c r="CP73" s="1" t="s">
        <v>243</v>
      </c>
      <c r="CQ73" s="3" t="s">
        <v>759</v>
      </c>
      <c r="CR73" s="1">
        <v>0</v>
      </c>
      <c r="CS73" s="1" t="s">
        <v>243</v>
      </c>
      <c r="CT73" s="1">
        <v>1E-8</v>
      </c>
      <c r="CV73" s="1">
        <v>0</v>
      </c>
      <c r="CW73" s="1">
        <v>-219173.26</v>
      </c>
      <c r="DA73" s="1">
        <v>1355558.46</v>
      </c>
      <c r="DB73" s="1">
        <v>0</v>
      </c>
      <c r="DC73" s="1">
        <v>2520.3126550000002</v>
      </c>
      <c r="DD73" s="1">
        <v>52555.483399999997</v>
      </c>
      <c r="DE73" s="1">
        <v>-296353.43</v>
      </c>
      <c r="DF73" s="1">
        <v>92570020.519999996</v>
      </c>
      <c r="DG73" s="1">
        <v>0</v>
      </c>
      <c r="DH73" s="1">
        <v>394770.09</v>
      </c>
      <c r="DI73" s="1">
        <v>0.29803809999999997</v>
      </c>
      <c r="DJ73" t="s">
        <v>760</v>
      </c>
      <c r="DK73" s="1">
        <v>0</v>
      </c>
      <c r="DL73" s="1">
        <v>0</v>
      </c>
      <c r="DM73" s="1">
        <v>-296353.43</v>
      </c>
      <c r="DN73" s="1">
        <v>0</v>
      </c>
      <c r="DO73" s="1">
        <v>0</v>
      </c>
      <c r="DP73" s="1">
        <v>16777215</v>
      </c>
      <c r="DQ73" s="1">
        <v>0</v>
      </c>
      <c r="DR73" s="1">
        <v>0</v>
      </c>
      <c r="DS73" s="1">
        <v>0</v>
      </c>
      <c r="DT73" s="1">
        <v>0</v>
      </c>
      <c r="DU73" s="1">
        <v>0</v>
      </c>
      <c r="DV73" s="1">
        <v>0</v>
      </c>
      <c r="DW73" s="1">
        <v>0</v>
      </c>
      <c r="DX73" s="1">
        <v>31345322.399999999</v>
      </c>
      <c r="DY73" s="1">
        <v>-1110160.2399999984</v>
      </c>
      <c r="DZ73" s="1">
        <v>92570020.519999966</v>
      </c>
      <c r="EA73" s="1">
        <v>0</v>
      </c>
      <c r="EB73" s="1">
        <v>0</v>
      </c>
      <c r="EC73" s="1" t="s">
        <v>176</v>
      </c>
      <c r="EE73" s="1">
        <v>0</v>
      </c>
      <c r="EF73" s="1">
        <v>3</v>
      </c>
      <c r="EG73" s="1">
        <v>0</v>
      </c>
      <c r="EH73" s="3">
        <v>0</v>
      </c>
      <c r="EI73" s="1">
        <v>0</v>
      </c>
      <c r="EL73" s="1">
        <v>0</v>
      </c>
      <c r="EM73" s="1">
        <v>0</v>
      </c>
      <c r="EN73" s="1">
        <v>1633661.45</v>
      </c>
      <c r="EO73" s="1">
        <v>1.2333592799999999</v>
      </c>
      <c r="ER73" s="1">
        <v>0</v>
      </c>
      <c r="ES73" s="1">
        <v>1.4359200000000001</v>
      </c>
      <c r="ET73" s="3">
        <v>0</v>
      </c>
      <c r="EU73" s="3">
        <v>0</v>
      </c>
      <c r="EV73" s="3">
        <v>0</v>
      </c>
      <c r="EW73" s="3">
        <v>0</v>
      </c>
      <c r="EX73" s="3">
        <v>0</v>
      </c>
      <c r="EY73" s="3">
        <v>0</v>
      </c>
      <c r="EZ73" s="3">
        <v>0</v>
      </c>
      <c r="FA73" s="1">
        <v>0</v>
      </c>
      <c r="FB73" s="1">
        <v>0</v>
      </c>
      <c r="FC73" s="3">
        <v>0</v>
      </c>
      <c r="FD73" s="1">
        <v>0</v>
      </c>
      <c r="FE73" s="1">
        <v>0</v>
      </c>
    </row>
    <row r="74" spans="1:161" x14ac:dyDescent="0.3">
      <c r="A74" s="1">
        <v>16975555</v>
      </c>
      <c r="B74" s="1">
        <v>128</v>
      </c>
      <c r="C74" s="1">
        <v>10525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20</v>
      </c>
      <c r="J74" s="3">
        <v>20</v>
      </c>
      <c r="K74" s="1">
        <v>1000</v>
      </c>
      <c r="L74" s="1">
        <v>1000</v>
      </c>
      <c r="M74" s="1">
        <v>1000</v>
      </c>
      <c r="N74" s="3">
        <v>911.58</v>
      </c>
      <c r="O74" s="1">
        <v>139776</v>
      </c>
      <c r="P74" s="1">
        <v>127416.59</v>
      </c>
      <c r="Q74" s="1">
        <v>139776</v>
      </c>
      <c r="R74" s="1">
        <v>127416.59</v>
      </c>
      <c r="S74" s="1">
        <v>3900000</v>
      </c>
      <c r="T74" s="1">
        <v>3555150.41</v>
      </c>
      <c r="U74" s="1">
        <v>3900000</v>
      </c>
      <c r="V74" s="1">
        <v>3555150.41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3" t="s">
        <v>573</v>
      </c>
      <c r="AF74" s="3" t="s">
        <v>161</v>
      </c>
      <c r="AG74" s="1" t="s">
        <v>970</v>
      </c>
      <c r="AH74" s="3" t="s">
        <v>673</v>
      </c>
      <c r="AI74" s="1">
        <v>5</v>
      </c>
      <c r="AJ74" s="3" t="s">
        <v>162</v>
      </c>
      <c r="AK74" s="1" t="s">
        <v>163</v>
      </c>
      <c r="AL74" s="3">
        <v>29.5</v>
      </c>
      <c r="AM74" s="3">
        <v>28</v>
      </c>
      <c r="AN74" s="3">
        <v>28000</v>
      </c>
      <c r="AO74" s="3">
        <v>26707.360000000001</v>
      </c>
      <c r="AP74" s="1" t="s">
        <v>164</v>
      </c>
      <c r="AQ74" s="1">
        <v>4</v>
      </c>
      <c r="AR74" s="1" t="s">
        <v>165</v>
      </c>
      <c r="AS74" s="3">
        <v>132534288.59999999</v>
      </c>
      <c r="AT74" s="1" t="s">
        <v>176</v>
      </c>
      <c r="AU74" s="1">
        <v>1</v>
      </c>
      <c r="AV74" s="1">
        <v>1</v>
      </c>
      <c r="AW74" s="3" t="s">
        <v>166</v>
      </c>
      <c r="AX74" s="3" t="s">
        <v>174</v>
      </c>
      <c r="AY74" s="1">
        <v>0</v>
      </c>
      <c r="BA74" s="3">
        <v>8205251.6799999997</v>
      </c>
      <c r="BB74" s="1">
        <v>1.0484</v>
      </c>
      <c r="BD74" s="1" t="s">
        <v>971</v>
      </c>
      <c r="BE74" s="1">
        <v>1</v>
      </c>
      <c r="BF74" s="1">
        <v>1</v>
      </c>
      <c r="BG74" s="1" t="s">
        <v>168</v>
      </c>
      <c r="BH74" s="1">
        <v>0</v>
      </c>
      <c r="BI74" s="1">
        <v>31345322.399999999</v>
      </c>
      <c r="BJ74" s="1">
        <v>0</v>
      </c>
      <c r="BK74" s="1">
        <v>123618989.48999999</v>
      </c>
      <c r="BL74" s="1">
        <v>132456249.91</v>
      </c>
      <c r="BM74" s="1">
        <v>596150.00000000012</v>
      </c>
      <c r="BN74" s="1">
        <v>9219855.2300000004</v>
      </c>
      <c r="BO74" s="1">
        <v>23.664660909999998</v>
      </c>
      <c r="BP74" s="1">
        <v>0.45007313999999998</v>
      </c>
      <c r="BQ74" s="1">
        <v>6.9606796500000003</v>
      </c>
      <c r="BR74" s="1">
        <v>2.0163159999999999E-2</v>
      </c>
      <c r="BS74" s="1" t="s">
        <v>169</v>
      </c>
      <c r="BT74" s="1" t="s">
        <v>169</v>
      </c>
      <c r="BU74" s="1">
        <v>26356083.120000001</v>
      </c>
      <c r="BV74" s="1">
        <v>0</v>
      </c>
      <c r="BW74" s="1">
        <v>-1193.9000000000001</v>
      </c>
      <c r="BX74" s="1">
        <v>-5.08</v>
      </c>
      <c r="BY74" s="1" t="s">
        <v>170</v>
      </c>
      <c r="BZ74" s="1">
        <v>-78038.69</v>
      </c>
      <c r="CA74" s="1" t="s">
        <v>244</v>
      </c>
      <c r="CB74" s="1" t="s">
        <v>674</v>
      </c>
      <c r="CC74" s="1">
        <v>-110276</v>
      </c>
      <c r="CD74" s="1">
        <v>-99515.33</v>
      </c>
      <c r="CE74" s="1">
        <v>29500</v>
      </c>
      <c r="CF74" s="1">
        <v>27901.26</v>
      </c>
      <c r="CG74" s="1">
        <v>0</v>
      </c>
      <c r="CH74" s="1">
        <v>1.4438757900000001</v>
      </c>
      <c r="CI74" s="1">
        <v>13.27863496</v>
      </c>
      <c r="CJ74" s="1">
        <v>17588381.91</v>
      </c>
      <c r="CK74" s="1">
        <v>1912503.72</v>
      </c>
      <c r="CL74" s="1">
        <v>6269233.6699999999</v>
      </c>
      <c r="CM74" s="1" t="s">
        <v>164</v>
      </c>
      <c r="CN74" s="1" t="s">
        <v>164</v>
      </c>
      <c r="CO74" s="1" t="s">
        <v>184</v>
      </c>
      <c r="CP74" s="1" t="s">
        <v>243</v>
      </c>
      <c r="CQ74" s="3" t="s">
        <v>675</v>
      </c>
      <c r="CR74" s="1">
        <v>0</v>
      </c>
      <c r="CS74" s="1" t="s">
        <v>243</v>
      </c>
      <c r="CT74" s="1">
        <v>2.1604580000000002E-2</v>
      </c>
      <c r="CV74" s="1">
        <v>0</v>
      </c>
      <c r="CW74" s="1">
        <v>-219173.26</v>
      </c>
      <c r="DA74" s="1">
        <v>1355558.46</v>
      </c>
      <c r="DB74" s="1">
        <v>0</v>
      </c>
      <c r="DC74" s="1">
        <v>2520.3126550000002</v>
      </c>
      <c r="DD74" s="1">
        <v>52555.483399999997</v>
      </c>
      <c r="DE74" s="1">
        <v>-296353.43</v>
      </c>
      <c r="DF74" s="1">
        <v>92570020.519999996</v>
      </c>
      <c r="DG74" s="1">
        <v>-1500</v>
      </c>
      <c r="DH74" s="1">
        <v>394770.09</v>
      </c>
      <c r="DI74" s="1">
        <v>0.29803809999999997</v>
      </c>
      <c r="DJ74" t="s">
        <v>246</v>
      </c>
      <c r="DK74" s="1">
        <v>0</v>
      </c>
      <c r="DL74" s="1">
        <v>0</v>
      </c>
      <c r="DM74" s="1">
        <v>-296353.43</v>
      </c>
      <c r="DN74" s="1">
        <v>0</v>
      </c>
      <c r="DO74" s="1">
        <v>0</v>
      </c>
      <c r="DP74" s="1">
        <v>16777215</v>
      </c>
      <c r="DQ74" s="1">
        <v>0</v>
      </c>
      <c r="DR74" s="1">
        <v>0</v>
      </c>
      <c r="DS74" s="1">
        <v>0</v>
      </c>
      <c r="DT74" s="1">
        <v>0</v>
      </c>
      <c r="DU74" s="1">
        <v>0</v>
      </c>
      <c r="DV74" s="1">
        <v>3900000</v>
      </c>
      <c r="DW74" s="1">
        <v>3719954.22</v>
      </c>
      <c r="DX74" s="1">
        <v>31345322.399999999</v>
      </c>
      <c r="DY74" s="1">
        <v>-1110160.2399999984</v>
      </c>
      <c r="DZ74" s="1">
        <v>92570020.519999966</v>
      </c>
      <c r="EA74" s="1">
        <v>0</v>
      </c>
      <c r="EB74" s="1">
        <v>-0.13200000000000001</v>
      </c>
      <c r="EC74" s="1" t="s">
        <v>176</v>
      </c>
      <c r="EE74" s="1">
        <v>0</v>
      </c>
      <c r="EF74" s="1">
        <v>3</v>
      </c>
      <c r="EG74" s="1">
        <v>0</v>
      </c>
      <c r="EH74" s="3">
        <v>0</v>
      </c>
      <c r="EI74" s="1">
        <v>0</v>
      </c>
      <c r="EL74" s="1">
        <v>0</v>
      </c>
      <c r="EM74" s="1">
        <v>0</v>
      </c>
      <c r="EN74" s="1">
        <v>1633661.45</v>
      </c>
      <c r="EO74" s="1">
        <v>1.2333592799999999</v>
      </c>
      <c r="ER74" s="1">
        <v>29.5</v>
      </c>
      <c r="ES74" s="1">
        <v>1.0572999999999999</v>
      </c>
      <c r="ET74" s="3">
        <v>0</v>
      </c>
      <c r="EU74" s="3">
        <v>0</v>
      </c>
      <c r="EV74" s="3">
        <v>0</v>
      </c>
      <c r="EW74" s="3">
        <v>0</v>
      </c>
      <c r="EX74" s="3">
        <v>0</v>
      </c>
      <c r="EY74" s="3">
        <v>0</v>
      </c>
      <c r="EZ74" s="3">
        <v>0</v>
      </c>
      <c r="FA74" s="1">
        <v>0</v>
      </c>
      <c r="FB74" s="1">
        <v>0</v>
      </c>
      <c r="FC74" s="3">
        <v>0</v>
      </c>
      <c r="FD74" s="1">
        <v>0</v>
      </c>
      <c r="FE74" s="1">
        <v>0</v>
      </c>
    </row>
    <row r="75" spans="1:161" x14ac:dyDescent="0.3">
      <c r="A75" s="1">
        <v>16975554</v>
      </c>
      <c r="B75" s="1">
        <v>128</v>
      </c>
      <c r="C75" s="1">
        <v>10527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20</v>
      </c>
      <c r="J75" s="3">
        <v>20</v>
      </c>
      <c r="K75" s="1">
        <v>400</v>
      </c>
      <c r="L75" s="1">
        <v>400</v>
      </c>
      <c r="M75" s="1">
        <v>400</v>
      </c>
      <c r="N75" s="3">
        <v>364.1</v>
      </c>
      <c r="O75" s="1">
        <v>210426</v>
      </c>
      <c r="P75" s="1">
        <v>191540.14</v>
      </c>
      <c r="Q75" s="1">
        <v>210426</v>
      </c>
      <c r="R75" s="1">
        <v>191540.14</v>
      </c>
      <c r="S75" s="1">
        <v>4800000</v>
      </c>
      <c r="T75" s="1">
        <v>4369197.16</v>
      </c>
      <c r="U75" s="1">
        <v>4800000</v>
      </c>
      <c r="V75" s="1">
        <v>4369197.16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3" t="s">
        <v>573</v>
      </c>
      <c r="AF75" s="3" t="s">
        <v>161</v>
      </c>
      <c r="AG75" s="1" t="s">
        <v>970</v>
      </c>
      <c r="AH75" s="3" t="s">
        <v>678</v>
      </c>
      <c r="AI75" s="1">
        <v>5</v>
      </c>
      <c r="AJ75" s="3" t="s">
        <v>162</v>
      </c>
      <c r="AK75" s="1" t="s">
        <v>163</v>
      </c>
      <c r="AL75" s="3">
        <v>46.25</v>
      </c>
      <c r="AM75" s="3">
        <v>41</v>
      </c>
      <c r="AN75" s="3">
        <v>16400</v>
      </c>
      <c r="AO75" s="3">
        <v>15642.88</v>
      </c>
      <c r="AP75" s="1" t="s">
        <v>164</v>
      </c>
      <c r="AQ75" s="1">
        <v>4</v>
      </c>
      <c r="AR75" s="1" t="s">
        <v>165</v>
      </c>
      <c r="AS75" s="3">
        <v>132534288.59999999</v>
      </c>
      <c r="AT75" s="1" t="s">
        <v>176</v>
      </c>
      <c r="AU75" s="1">
        <v>1</v>
      </c>
      <c r="AV75" s="1">
        <v>1</v>
      </c>
      <c r="AW75" s="3" t="s">
        <v>166</v>
      </c>
      <c r="AX75" s="3" t="s">
        <v>167</v>
      </c>
      <c r="AY75" s="1">
        <v>0</v>
      </c>
      <c r="AZ75">
        <v>999999999</v>
      </c>
      <c r="BA75" s="3">
        <v>8205251.6799999997</v>
      </c>
      <c r="BB75" s="1">
        <v>1.0484</v>
      </c>
      <c r="BD75" s="1" t="s">
        <v>971</v>
      </c>
      <c r="BE75" s="1">
        <v>1</v>
      </c>
      <c r="BF75" s="1">
        <v>1</v>
      </c>
      <c r="BG75" s="1" t="s">
        <v>168</v>
      </c>
      <c r="BH75" s="1">
        <v>0</v>
      </c>
      <c r="BI75" s="1">
        <v>31345322.399999999</v>
      </c>
      <c r="BJ75" s="1">
        <v>0</v>
      </c>
      <c r="BK75" s="1">
        <v>123618989.48999999</v>
      </c>
      <c r="BL75" s="1">
        <v>132456249.91</v>
      </c>
      <c r="BM75" s="1">
        <v>596150.00000000012</v>
      </c>
      <c r="BN75" s="1">
        <v>9219855.2300000004</v>
      </c>
      <c r="BO75" s="1">
        <v>23.664660909999998</v>
      </c>
      <c r="BP75" s="1">
        <v>0.45007313999999998</v>
      </c>
      <c r="BQ75" s="1">
        <v>6.9606796500000003</v>
      </c>
      <c r="BR75" s="1">
        <v>1.180985E-2</v>
      </c>
      <c r="BS75" s="1" t="s">
        <v>169</v>
      </c>
      <c r="BT75" s="1" t="s">
        <v>169</v>
      </c>
      <c r="BU75" s="1">
        <v>26356083.120000001</v>
      </c>
      <c r="BV75" s="1">
        <v>0</v>
      </c>
      <c r="BW75" s="1">
        <v>-1854.52</v>
      </c>
      <c r="BX75" s="1">
        <v>-11.35</v>
      </c>
      <c r="BY75" s="1" t="s">
        <v>170</v>
      </c>
      <c r="BZ75" s="1">
        <v>-78038.69</v>
      </c>
      <c r="CA75" s="1" t="s">
        <v>244</v>
      </c>
      <c r="CB75" s="1" t="s">
        <v>674</v>
      </c>
      <c r="CC75" s="1">
        <v>-191926</v>
      </c>
      <c r="CD75" s="1">
        <v>-174042.74</v>
      </c>
      <c r="CE75" s="1">
        <v>18500</v>
      </c>
      <c r="CF75" s="1">
        <v>17497.400000000001</v>
      </c>
      <c r="CG75" s="1">
        <v>0</v>
      </c>
      <c r="CH75" s="1">
        <v>1.4438757900000001</v>
      </c>
      <c r="CI75" s="1">
        <v>13.27863496</v>
      </c>
      <c r="CJ75" s="1">
        <v>17588381.91</v>
      </c>
      <c r="CK75" s="1">
        <v>1912503.72</v>
      </c>
      <c r="CL75" s="1">
        <v>6269233.6699999999</v>
      </c>
      <c r="CM75" s="1" t="s">
        <v>164</v>
      </c>
      <c r="CN75" s="1" t="s">
        <v>164</v>
      </c>
      <c r="CO75" s="1" t="s">
        <v>184</v>
      </c>
      <c r="CP75" s="1" t="s">
        <v>243</v>
      </c>
      <c r="CQ75" s="3" t="s">
        <v>675</v>
      </c>
      <c r="CR75" s="1">
        <v>0</v>
      </c>
      <c r="CS75" s="1" t="s">
        <v>243</v>
      </c>
      <c r="CT75" s="1">
        <v>1.265411E-2</v>
      </c>
      <c r="CV75" s="1">
        <v>0</v>
      </c>
      <c r="CW75" s="1">
        <v>-219173.26</v>
      </c>
      <c r="DA75" s="1">
        <v>1355558.46</v>
      </c>
      <c r="DB75" s="1">
        <v>0</v>
      </c>
      <c r="DC75" s="1">
        <v>2520.3126550000002</v>
      </c>
      <c r="DD75" s="1">
        <v>52555.483399999997</v>
      </c>
      <c r="DE75" s="1">
        <v>-296353.43</v>
      </c>
      <c r="DF75" s="1">
        <v>92570020.519999996</v>
      </c>
      <c r="DG75" s="1">
        <v>-2100</v>
      </c>
      <c r="DH75" s="1">
        <v>394770.09</v>
      </c>
      <c r="DI75" s="1">
        <v>0.29803809999999997</v>
      </c>
      <c r="DJ75" t="s">
        <v>246</v>
      </c>
      <c r="DK75" s="1">
        <v>0</v>
      </c>
      <c r="DL75" s="1">
        <v>0</v>
      </c>
      <c r="DM75" s="1">
        <v>-296353.43</v>
      </c>
      <c r="DN75" s="1">
        <v>0</v>
      </c>
      <c r="DO75" s="1">
        <v>0</v>
      </c>
      <c r="DP75" s="1">
        <v>16777215</v>
      </c>
      <c r="DQ75" s="1">
        <v>0</v>
      </c>
      <c r="DR75" s="1">
        <v>0</v>
      </c>
      <c r="DS75" s="1">
        <v>0</v>
      </c>
      <c r="DT75" s="1">
        <v>0</v>
      </c>
      <c r="DU75" s="1">
        <v>0</v>
      </c>
      <c r="DV75" s="1">
        <v>210426.00000000003</v>
      </c>
      <c r="DW75" s="1">
        <v>200711.56</v>
      </c>
      <c r="DX75" s="1">
        <v>31345322.399999999</v>
      </c>
      <c r="DY75" s="1">
        <v>-1110160.2399999984</v>
      </c>
      <c r="DZ75" s="1">
        <v>92570020.519999966</v>
      </c>
      <c r="EA75" s="1">
        <v>0</v>
      </c>
      <c r="EB75" s="1">
        <v>-4.7E-2</v>
      </c>
      <c r="EC75" s="1" t="s">
        <v>176</v>
      </c>
      <c r="EE75" s="1">
        <v>0</v>
      </c>
      <c r="EF75" s="1">
        <v>3</v>
      </c>
      <c r="EG75" s="1">
        <v>0</v>
      </c>
      <c r="EH75" s="3">
        <v>0</v>
      </c>
      <c r="EI75" s="1">
        <v>0</v>
      </c>
      <c r="EL75" s="1">
        <v>0</v>
      </c>
      <c r="EM75" s="1">
        <v>0</v>
      </c>
      <c r="EN75" s="1">
        <v>1633661.45</v>
      </c>
      <c r="EO75" s="1">
        <v>1.2333592799999999</v>
      </c>
      <c r="ER75" s="1">
        <v>46.25</v>
      </c>
      <c r="ES75" s="1">
        <v>1.0572999999999999</v>
      </c>
      <c r="ET75" s="3">
        <v>0</v>
      </c>
      <c r="EU75" s="3">
        <v>0</v>
      </c>
      <c r="EV75" s="3">
        <v>0</v>
      </c>
      <c r="EW75" s="3">
        <v>0</v>
      </c>
      <c r="EX75" s="3">
        <v>0</v>
      </c>
      <c r="EY75" s="3">
        <v>0</v>
      </c>
      <c r="EZ75" s="3">
        <v>0</v>
      </c>
      <c r="FA75" s="1">
        <v>0</v>
      </c>
      <c r="FB75" s="1">
        <v>0</v>
      </c>
      <c r="FC75" s="3">
        <v>0</v>
      </c>
      <c r="FD75" s="1">
        <v>0</v>
      </c>
      <c r="FE75" s="1">
        <v>0</v>
      </c>
    </row>
    <row r="76" spans="1:161" x14ac:dyDescent="0.3">
      <c r="A76" s="1">
        <v>16975596</v>
      </c>
      <c r="B76" s="1">
        <v>128</v>
      </c>
      <c r="C76" s="1">
        <v>10521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120</v>
      </c>
      <c r="J76" s="3">
        <v>120</v>
      </c>
      <c r="K76" s="1">
        <v>1200</v>
      </c>
      <c r="L76" s="1">
        <v>1200</v>
      </c>
      <c r="M76" s="1">
        <v>1200</v>
      </c>
      <c r="N76" s="3">
        <v>1200</v>
      </c>
      <c r="O76" s="1">
        <v>190440</v>
      </c>
      <c r="P76" s="1">
        <v>190440</v>
      </c>
      <c r="Q76" s="1">
        <v>190440</v>
      </c>
      <c r="R76" s="1">
        <v>190440</v>
      </c>
      <c r="S76" s="1">
        <v>4920000</v>
      </c>
      <c r="T76" s="1">
        <v>4920000</v>
      </c>
      <c r="U76" s="1">
        <v>4920000</v>
      </c>
      <c r="V76" s="1">
        <v>4920000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3" t="s">
        <v>573</v>
      </c>
      <c r="AF76" s="3" t="s">
        <v>161</v>
      </c>
      <c r="AG76" s="1" t="s">
        <v>970</v>
      </c>
      <c r="AH76" s="3" t="s">
        <v>679</v>
      </c>
      <c r="AI76" s="1">
        <v>4</v>
      </c>
      <c r="AJ76" s="3" t="s">
        <v>165</v>
      </c>
      <c r="AK76" s="1" t="s">
        <v>191</v>
      </c>
      <c r="AL76" s="3">
        <v>81</v>
      </c>
      <c r="AM76" s="3">
        <v>96.8</v>
      </c>
      <c r="AN76" s="3">
        <v>116160</v>
      </c>
      <c r="AO76" s="3">
        <v>116160</v>
      </c>
      <c r="AP76" s="1" t="s">
        <v>164</v>
      </c>
      <c r="AQ76" s="1">
        <v>4</v>
      </c>
      <c r="AR76" s="1" t="s">
        <v>165</v>
      </c>
      <c r="AS76" s="3">
        <v>132534288.59999999</v>
      </c>
      <c r="AT76" s="1" t="s">
        <v>176</v>
      </c>
      <c r="AU76" s="1">
        <v>1</v>
      </c>
      <c r="AV76" s="1">
        <v>1</v>
      </c>
      <c r="AW76" s="3" t="s">
        <v>166</v>
      </c>
      <c r="AX76" s="3" t="s">
        <v>167</v>
      </c>
      <c r="AY76" s="1">
        <v>0</v>
      </c>
      <c r="AZ76">
        <v>999999999</v>
      </c>
      <c r="BA76" s="3">
        <v>8205251.6799999997</v>
      </c>
      <c r="BB76" s="1">
        <v>1</v>
      </c>
      <c r="BD76" s="1" t="s">
        <v>971</v>
      </c>
      <c r="BE76" s="1">
        <v>1</v>
      </c>
      <c r="BF76" s="1">
        <v>1</v>
      </c>
      <c r="BG76" s="1" t="s">
        <v>168</v>
      </c>
      <c r="BH76" s="1">
        <v>0</v>
      </c>
      <c r="BI76" s="1">
        <v>31345322.399999999</v>
      </c>
      <c r="BJ76" s="1">
        <v>0</v>
      </c>
      <c r="BK76" s="1">
        <v>123618989.48999999</v>
      </c>
      <c r="BL76" s="1">
        <v>132456249.91</v>
      </c>
      <c r="BM76" s="1">
        <v>596150.00000000012</v>
      </c>
      <c r="BN76" s="1">
        <v>9219855.2300000004</v>
      </c>
      <c r="BO76" s="1">
        <v>23.664660909999998</v>
      </c>
      <c r="BP76" s="1">
        <v>0.45007313999999998</v>
      </c>
      <c r="BQ76" s="1">
        <v>6.9606796500000003</v>
      </c>
      <c r="BR76" s="1">
        <v>8.7696880000000005E-2</v>
      </c>
      <c r="BS76" s="1" t="s">
        <v>169</v>
      </c>
      <c r="BT76" s="1" t="s">
        <v>169</v>
      </c>
      <c r="BU76" s="1">
        <v>26356083.120000001</v>
      </c>
      <c r="BV76" s="1">
        <v>0</v>
      </c>
      <c r="BW76" s="1">
        <v>18960</v>
      </c>
      <c r="BX76" s="1">
        <v>19.510000000000002</v>
      </c>
      <c r="BY76" s="1" t="s">
        <v>170</v>
      </c>
      <c r="BZ76" s="1">
        <v>-78038.69</v>
      </c>
      <c r="CA76" s="1" t="s">
        <v>244</v>
      </c>
      <c r="CB76" s="1" t="s">
        <v>674</v>
      </c>
      <c r="CC76" s="1">
        <v>-93240</v>
      </c>
      <c r="CD76" s="1">
        <v>-93240</v>
      </c>
      <c r="CE76" s="1">
        <v>97200</v>
      </c>
      <c r="CF76" s="1">
        <v>97200</v>
      </c>
      <c r="CG76" s="1">
        <v>0</v>
      </c>
      <c r="CH76" s="1">
        <v>1.4438757900000001</v>
      </c>
      <c r="CI76" s="1">
        <v>13.27863496</v>
      </c>
      <c r="CJ76" s="1">
        <v>17588381.91</v>
      </c>
      <c r="CK76" s="1">
        <v>1912503.72</v>
      </c>
      <c r="CL76" s="1">
        <v>6269233.6699999999</v>
      </c>
      <c r="CM76" s="1" t="s">
        <v>164</v>
      </c>
      <c r="CN76" s="1" t="s">
        <v>164</v>
      </c>
      <c r="CO76" s="1" t="s">
        <v>184</v>
      </c>
      <c r="CP76" s="1" t="s">
        <v>243</v>
      </c>
      <c r="CQ76" s="3" t="s">
        <v>675</v>
      </c>
      <c r="CR76" s="1">
        <v>0</v>
      </c>
      <c r="CS76" s="1" t="s">
        <v>243</v>
      </c>
      <c r="CT76" s="1">
        <v>9.3966149999999998E-2</v>
      </c>
      <c r="CV76" s="1">
        <v>0</v>
      </c>
      <c r="CW76" s="1">
        <v>-219173.26</v>
      </c>
      <c r="DA76" s="1">
        <v>1355558.46</v>
      </c>
      <c r="DB76" s="1">
        <v>0</v>
      </c>
      <c r="DC76" s="1">
        <v>2520.3126550000002</v>
      </c>
      <c r="DD76" s="1">
        <v>52555.483399999997</v>
      </c>
      <c r="DE76" s="1">
        <v>-296353.43</v>
      </c>
      <c r="DF76" s="1">
        <v>92570020.519999996</v>
      </c>
      <c r="DG76" s="1">
        <v>18960</v>
      </c>
      <c r="DH76" s="1">
        <v>394770.09</v>
      </c>
      <c r="DI76" s="1">
        <v>0.29803809999999997</v>
      </c>
      <c r="DJ76" t="s">
        <v>246</v>
      </c>
      <c r="DK76" s="1">
        <v>0</v>
      </c>
      <c r="DL76" s="1">
        <v>0</v>
      </c>
      <c r="DM76" s="1">
        <v>-296353.43</v>
      </c>
      <c r="DN76" s="1">
        <v>0</v>
      </c>
      <c r="DO76" s="1">
        <v>0</v>
      </c>
      <c r="DP76" s="1">
        <v>16777215</v>
      </c>
      <c r="DQ76" s="1">
        <v>0</v>
      </c>
      <c r="DR76" s="1">
        <v>0</v>
      </c>
      <c r="DS76" s="1">
        <v>0</v>
      </c>
      <c r="DT76" s="1">
        <v>0</v>
      </c>
      <c r="DU76" s="1">
        <v>0</v>
      </c>
      <c r="DV76" s="1">
        <v>4920000</v>
      </c>
      <c r="DW76" s="1">
        <v>4920000</v>
      </c>
      <c r="DX76" s="1">
        <v>31345322.399999999</v>
      </c>
      <c r="DY76" s="1">
        <v>-1110160.2399999984</v>
      </c>
      <c r="DZ76" s="1">
        <v>92570020.519999966</v>
      </c>
      <c r="EA76" s="1">
        <v>0</v>
      </c>
      <c r="EB76" s="1">
        <v>-0.40700000000000003</v>
      </c>
      <c r="EC76" s="1" t="s">
        <v>176</v>
      </c>
      <c r="EE76" s="1">
        <v>0</v>
      </c>
      <c r="EF76" s="1">
        <v>3</v>
      </c>
      <c r="EG76" s="1">
        <v>0</v>
      </c>
      <c r="EH76" s="3">
        <v>0</v>
      </c>
      <c r="EI76" s="1">
        <v>0</v>
      </c>
      <c r="EL76" s="1">
        <v>0</v>
      </c>
      <c r="EM76" s="1">
        <v>0</v>
      </c>
      <c r="EN76" s="1">
        <v>1633661.45</v>
      </c>
      <c r="EO76" s="1">
        <v>1.2333592799999999</v>
      </c>
      <c r="ER76" s="1">
        <v>81</v>
      </c>
      <c r="ES76" s="1">
        <v>1</v>
      </c>
      <c r="ET76" s="3">
        <v>0</v>
      </c>
      <c r="EU76" s="3">
        <v>0</v>
      </c>
      <c r="EV76" s="3">
        <v>0</v>
      </c>
      <c r="EW76" s="3">
        <v>0</v>
      </c>
      <c r="EX76" s="3">
        <v>0</v>
      </c>
      <c r="EY76" s="3">
        <v>0</v>
      </c>
      <c r="EZ76" s="3">
        <v>0</v>
      </c>
      <c r="FA76" s="1">
        <v>0</v>
      </c>
      <c r="FB76" s="1">
        <v>0</v>
      </c>
      <c r="FC76" s="3">
        <v>0</v>
      </c>
      <c r="FD76" s="1">
        <v>0</v>
      </c>
      <c r="FE76" s="1">
        <v>0</v>
      </c>
    </row>
    <row r="77" spans="1:161" x14ac:dyDescent="0.3">
      <c r="A77" s="1">
        <v>16975556</v>
      </c>
      <c r="B77" s="1">
        <v>128</v>
      </c>
      <c r="C77" s="1">
        <v>10524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-20</v>
      </c>
      <c r="J77" s="3">
        <v>-20</v>
      </c>
      <c r="K77" s="1">
        <v>-1000</v>
      </c>
      <c r="L77" s="1">
        <v>-1000</v>
      </c>
      <c r="M77" s="1">
        <v>-1000</v>
      </c>
      <c r="N77" s="3">
        <v>-911.58</v>
      </c>
      <c r="O77" s="1">
        <v>-142724</v>
      </c>
      <c r="P77" s="1">
        <v>-130103.92</v>
      </c>
      <c r="Q77" s="1">
        <v>-142724</v>
      </c>
      <c r="R77" s="1">
        <v>-130103.92</v>
      </c>
      <c r="S77" s="1">
        <v>-4400000</v>
      </c>
      <c r="T77" s="1">
        <v>-4010938.92</v>
      </c>
      <c r="U77" s="1">
        <v>-4400000</v>
      </c>
      <c r="V77" s="1">
        <v>-4010938.92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3" t="s">
        <v>573</v>
      </c>
      <c r="AF77" s="3" t="s">
        <v>161</v>
      </c>
      <c r="AG77" s="1" t="s">
        <v>970</v>
      </c>
      <c r="AH77" s="3" t="s">
        <v>676</v>
      </c>
      <c r="AI77" s="1">
        <v>5</v>
      </c>
      <c r="AJ77" s="3" t="s">
        <v>162</v>
      </c>
      <c r="AK77" s="1" t="s">
        <v>163</v>
      </c>
      <c r="AL77" s="3">
        <v>79</v>
      </c>
      <c r="AM77" s="3">
        <v>78.25</v>
      </c>
      <c r="AN77" s="3">
        <v>-78250</v>
      </c>
      <c r="AO77" s="3">
        <v>-74637.539999999994</v>
      </c>
      <c r="AP77" s="1" t="s">
        <v>164</v>
      </c>
      <c r="AQ77" s="1">
        <v>4</v>
      </c>
      <c r="AR77" s="1" t="s">
        <v>165</v>
      </c>
      <c r="AS77" s="3">
        <v>132534288.59999999</v>
      </c>
      <c r="AT77" s="1" t="s">
        <v>176</v>
      </c>
      <c r="AU77" s="1">
        <v>1</v>
      </c>
      <c r="AV77" s="1">
        <v>1</v>
      </c>
      <c r="AW77" s="3" t="s">
        <v>166</v>
      </c>
      <c r="AX77" s="3" t="s">
        <v>174</v>
      </c>
      <c r="AY77" s="1">
        <v>0</v>
      </c>
      <c r="BA77" s="3">
        <v>8205251.6799999997</v>
      </c>
      <c r="BB77" s="1">
        <v>1.0484</v>
      </c>
      <c r="BD77" s="1" t="s">
        <v>971</v>
      </c>
      <c r="BE77" s="1">
        <v>1</v>
      </c>
      <c r="BF77" s="1">
        <v>1</v>
      </c>
      <c r="BG77" s="1" t="s">
        <v>168</v>
      </c>
      <c r="BH77" s="1">
        <v>0</v>
      </c>
      <c r="BI77" s="1">
        <v>31345322.399999999</v>
      </c>
      <c r="BJ77" s="1">
        <v>0</v>
      </c>
      <c r="BK77" s="1">
        <v>123618989.48999999</v>
      </c>
      <c r="BL77" s="1">
        <v>132456249.91</v>
      </c>
      <c r="BM77" s="1">
        <v>596150.00000000012</v>
      </c>
      <c r="BN77" s="1">
        <v>9219855.2300000004</v>
      </c>
      <c r="BO77" s="1">
        <v>23.664660909999998</v>
      </c>
      <c r="BP77" s="1">
        <v>0.45007313999999998</v>
      </c>
      <c r="BQ77" s="1">
        <v>6.9606796500000003</v>
      </c>
      <c r="BR77" s="1">
        <v>-5.6348820000000001E-2</v>
      </c>
      <c r="BS77" s="1" t="s">
        <v>169</v>
      </c>
      <c r="BT77" s="1" t="s">
        <v>169</v>
      </c>
      <c r="BU77" s="1">
        <v>26356083.120000001</v>
      </c>
      <c r="BV77" s="1">
        <v>0</v>
      </c>
      <c r="BW77" s="1">
        <v>81.08</v>
      </c>
      <c r="BX77" s="1">
        <v>-0.95</v>
      </c>
      <c r="BY77" s="1" t="s">
        <v>170</v>
      </c>
      <c r="BZ77" s="1">
        <v>-78038.69</v>
      </c>
      <c r="CA77" s="1" t="s">
        <v>244</v>
      </c>
      <c r="CB77" s="1" t="s">
        <v>245</v>
      </c>
      <c r="CC77" s="1">
        <v>63724</v>
      </c>
      <c r="CD77" s="1">
        <v>55385.3</v>
      </c>
      <c r="CE77" s="1">
        <v>-79000</v>
      </c>
      <c r="CF77" s="1">
        <v>-74718.62</v>
      </c>
      <c r="CG77" s="1">
        <v>0</v>
      </c>
      <c r="CH77" s="1">
        <v>1.4438757900000001</v>
      </c>
      <c r="CI77" s="1">
        <v>13.27863496</v>
      </c>
      <c r="CJ77" s="1">
        <v>17588381.91</v>
      </c>
      <c r="CK77" s="1">
        <v>1912503.72</v>
      </c>
      <c r="CL77" s="1">
        <v>6269233.6699999999</v>
      </c>
      <c r="CM77" s="1" t="s">
        <v>164</v>
      </c>
      <c r="CN77" s="1" t="s">
        <v>164</v>
      </c>
      <c r="CO77" s="1" t="s">
        <v>184</v>
      </c>
      <c r="CP77" s="1" t="s">
        <v>243</v>
      </c>
      <c r="CQ77" s="3" t="s">
        <v>677</v>
      </c>
      <c r="CR77" s="1">
        <v>0</v>
      </c>
      <c r="CS77" s="1" t="s">
        <v>243</v>
      </c>
      <c r="CT77" s="1">
        <v>-6.037708E-2</v>
      </c>
      <c r="CV77" s="1">
        <v>0</v>
      </c>
      <c r="CW77" s="1">
        <v>-219173.26</v>
      </c>
      <c r="DA77" s="1">
        <v>1355558.46</v>
      </c>
      <c r="DB77" s="1">
        <v>0</v>
      </c>
      <c r="DC77" s="1">
        <v>2520.3126550000002</v>
      </c>
      <c r="DD77" s="1">
        <v>52555.483399999997</v>
      </c>
      <c r="DE77" s="1">
        <v>-296353.43</v>
      </c>
      <c r="DF77" s="1">
        <v>92570020.519999996</v>
      </c>
      <c r="DG77" s="1">
        <v>750</v>
      </c>
      <c r="DH77" s="1">
        <v>394770.09</v>
      </c>
      <c r="DI77" s="1">
        <v>0.29803809999999997</v>
      </c>
      <c r="DJ77" t="s">
        <v>246</v>
      </c>
      <c r="DK77" s="1">
        <v>0</v>
      </c>
      <c r="DL77" s="1">
        <v>0</v>
      </c>
      <c r="DM77" s="1">
        <v>-296353.43</v>
      </c>
      <c r="DN77" s="1">
        <v>0</v>
      </c>
      <c r="DO77" s="1">
        <v>0</v>
      </c>
      <c r="DP77" s="1">
        <v>16777215</v>
      </c>
      <c r="DQ77" s="1">
        <v>0</v>
      </c>
      <c r="DR77" s="1">
        <v>0</v>
      </c>
      <c r="DS77" s="1">
        <v>0</v>
      </c>
      <c r="DT77" s="1">
        <v>0</v>
      </c>
      <c r="DU77" s="1">
        <v>0</v>
      </c>
      <c r="DV77" s="1">
        <v>-4400000</v>
      </c>
      <c r="DW77" s="1">
        <v>-4196871.42</v>
      </c>
      <c r="DX77" s="1">
        <v>31345322.399999999</v>
      </c>
      <c r="DY77" s="1">
        <v>-1110160.2399999984</v>
      </c>
      <c r="DZ77" s="1">
        <v>92570020.519999966</v>
      </c>
      <c r="EA77" s="1">
        <v>0</v>
      </c>
      <c r="EB77" s="1">
        <v>0.39700000000000002</v>
      </c>
      <c r="EC77" s="1" t="s">
        <v>176</v>
      </c>
      <c r="EE77" s="1">
        <v>0</v>
      </c>
      <c r="EF77" s="1">
        <v>3</v>
      </c>
      <c r="EG77" s="1">
        <v>0</v>
      </c>
      <c r="EH77" s="3">
        <v>0</v>
      </c>
      <c r="EI77" s="1">
        <v>0</v>
      </c>
      <c r="EL77" s="1">
        <v>0</v>
      </c>
      <c r="EM77" s="1">
        <v>0</v>
      </c>
      <c r="EN77" s="1">
        <v>1633661.45</v>
      </c>
      <c r="EO77" s="1">
        <v>1.2333592799999999</v>
      </c>
      <c r="ER77" s="1">
        <v>79</v>
      </c>
      <c r="ES77" s="1">
        <v>1.0572999999999999</v>
      </c>
      <c r="ET77" s="3">
        <v>0</v>
      </c>
      <c r="EU77" s="3">
        <v>0</v>
      </c>
      <c r="EV77" s="3">
        <v>0</v>
      </c>
      <c r="EW77" s="3">
        <v>0</v>
      </c>
      <c r="EX77" s="3">
        <v>0</v>
      </c>
      <c r="EY77" s="3">
        <v>0</v>
      </c>
      <c r="EZ77" s="3">
        <v>0</v>
      </c>
      <c r="FA77" s="1">
        <v>0</v>
      </c>
      <c r="FB77" s="1">
        <v>0</v>
      </c>
      <c r="FC77" s="3">
        <v>0</v>
      </c>
      <c r="FD77" s="1">
        <v>0</v>
      </c>
      <c r="FE77" s="1">
        <v>0</v>
      </c>
    </row>
    <row r="78" spans="1:161" x14ac:dyDescent="0.3">
      <c r="A78" s="1">
        <v>16975553</v>
      </c>
      <c r="B78" s="1">
        <v>128</v>
      </c>
      <c r="C78" s="1">
        <v>10526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-20</v>
      </c>
      <c r="J78" s="3">
        <v>-20</v>
      </c>
      <c r="K78" s="1">
        <v>-400</v>
      </c>
      <c r="L78" s="1">
        <v>-400</v>
      </c>
      <c r="M78" s="1">
        <v>-400</v>
      </c>
      <c r="N78" s="3">
        <v>-364.1</v>
      </c>
      <c r="O78" s="1">
        <v>-182374</v>
      </c>
      <c r="P78" s="1">
        <v>-166005.82999999999</v>
      </c>
      <c r="Q78" s="1">
        <v>-182374</v>
      </c>
      <c r="R78" s="1">
        <v>-166005.82999999999</v>
      </c>
      <c r="S78" s="1">
        <v>-5720000</v>
      </c>
      <c r="T78" s="1">
        <v>-5206626.62</v>
      </c>
      <c r="U78" s="1">
        <v>-5720000</v>
      </c>
      <c r="V78" s="1">
        <v>-5206626.62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3" t="s">
        <v>573</v>
      </c>
      <c r="AF78" s="3" t="s">
        <v>161</v>
      </c>
      <c r="AG78" s="1" t="s">
        <v>970</v>
      </c>
      <c r="AH78" s="3" t="s">
        <v>680</v>
      </c>
      <c r="AI78" s="1">
        <v>5</v>
      </c>
      <c r="AJ78" s="3" t="s">
        <v>162</v>
      </c>
      <c r="AK78" s="1" t="s">
        <v>163</v>
      </c>
      <c r="AL78" s="3">
        <v>906.5</v>
      </c>
      <c r="AM78" s="3">
        <v>985.25</v>
      </c>
      <c r="AN78" s="3">
        <v>-394100</v>
      </c>
      <c r="AO78" s="3">
        <v>-375906.14</v>
      </c>
      <c r="AP78" s="1" t="s">
        <v>164</v>
      </c>
      <c r="AQ78" s="1">
        <v>4</v>
      </c>
      <c r="AR78" s="1" t="s">
        <v>165</v>
      </c>
      <c r="AS78" s="3">
        <v>132534288.59999999</v>
      </c>
      <c r="AT78" s="1" t="s">
        <v>176</v>
      </c>
      <c r="AU78" s="1">
        <v>1</v>
      </c>
      <c r="AV78" s="1">
        <v>1</v>
      </c>
      <c r="AW78" s="3" t="s">
        <v>166</v>
      </c>
      <c r="AX78" s="3" t="s">
        <v>167</v>
      </c>
      <c r="AY78" s="1">
        <v>0</v>
      </c>
      <c r="AZ78">
        <v>999999999</v>
      </c>
      <c r="BA78" s="3">
        <v>8205251.6799999997</v>
      </c>
      <c r="BB78" s="1">
        <v>1.0484</v>
      </c>
      <c r="BD78" s="1" t="s">
        <v>971</v>
      </c>
      <c r="BE78" s="1">
        <v>1</v>
      </c>
      <c r="BF78" s="1">
        <v>1</v>
      </c>
      <c r="BG78" s="1" t="s">
        <v>168</v>
      </c>
      <c r="BH78" s="1">
        <v>0</v>
      </c>
      <c r="BI78" s="1">
        <v>31345322.399999999</v>
      </c>
      <c r="BJ78" s="1">
        <v>0</v>
      </c>
      <c r="BK78" s="1">
        <v>123618989.48999999</v>
      </c>
      <c r="BL78" s="1">
        <v>132456249.91</v>
      </c>
      <c r="BM78" s="1">
        <v>596150.00000000012</v>
      </c>
      <c r="BN78" s="1">
        <v>9219855.2300000004</v>
      </c>
      <c r="BO78" s="1">
        <v>23.664660909999998</v>
      </c>
      <c r="BP78" s="1">
        <v>0.45007313999999998</v>
      </c>
      <c r="BQ78" s="1">
        <v>6.9606796500000003</v>
      </c>
      <c r="BR78" s="1">
        <v>-0.28379644999999998</v>
      </c>
      <c r="BS78" s="1" t="s">
        <v>169</v>
      </c>
      <c r="BT78" s="1" t="s">
        <v>169</v>
      </c>
      <c r="BU78" s="1">
        <v>26356083.120000001</v>
      </c>
      <c r="BV78" s="1">
        <v>0</v>
      </c>
      <c r="BW78" s="1">
        <v>-32957.120000000003</v>
      </c>
      <c r="BX78" s="1">
        <v>8.69</v>
      </c>
      <c r="BY78" s="1" t="s">
        <v>170</v>
      </c>
      <c r="BZ78" s="1">
        <v>-78038.69</v>
      </c>
      <c r="CA78" s="1" t="s">
        <v>244</v>
      </c>
      <c r="CB78" s="1" t="s">
        <v>245</v>
      </c>
      <c r="CC78" s="1">
        <v>-180226</v>
      </c>
      <c r="CD78" s="1">
        <v>-176943.19</v>
      </c>
      <c r="CE78" s="1">
        <v>-362600</v>
      </c>
      <c r="CF78" s="1">
        <v>-342949.02</v>
      </c>
      <c r="CG78" s="1">
        <v>0</v>
      </c>
      <c r="CH78" s="1">
        <v>1.4438757900000001</v>
      </c>
      <c r="CI78" s="1">
        <v>13.27863496</v>
      </c>
      <c r="CJ78" s="1">
        <v>17588381.91</v>
      </c>
      <c r="CK78" s="1">
        <v>1912503.72</v>
      </c>
      <c r="CL78" s="1">
        <v>6269233.6699999999</v>
      </c>
      <c r="CM78" s="1" t="s">
        <v>164</v>
      </c>
      <c r="CN78" s="1" t="s">
        <v>164</v>
      </c>
      <c r="CO78" s="1" t="s">
        <v>184</v>
      </c>
      <c r="CP78" s="1" t="s">
        <v>243</v>
      </c>
      <c r="CQ78" s="3" t="s">
        <v>677</v>
      </c>
      <c r="CR78" s="1">
        <v>0</v>
      </c>
      <c r="CS78" s="1" t="s">
        <v>243</v>
      </c>
      <c r="CT78" s="1">
        <v>-0.30408446</v>
      </c>
      <c r="CV78" s="1">
        <v>0</v>
      </c>
      <c r="CW78" s="1">
        <v>-219173.26</v>
      </c>
      <c r="DA78" s="1">
        <v>1355558.46</v>
      </c>
      <c r="DB78" s="1">
        <v>0</v>
      </c>
      <c r="DC78" s="1">
        <v>2520.3126550000002</v>
      </c>
      <c r="DD78" s="1">
        <v>52555.483399999997</v>
      </c>
      <c r="DE78" s="1">
        <v>-296353.43</v>
      </c>
      <c r="DF78" s="1">
        <v>92570020.519999996</v>
      </c>
      <c r="DG78" s="1">
        <v>-31500</v>
      </c>
      <c r="DH78" s="1">
        <v>394770.09</v>
      </c>
      <c r="DI78" s="1">
        <v>0.29803809999999997</v>
      </c>
      <c r="DJ78" t="s">
        <v>246</v>
      </c>
      <c r="DK78" s="1">
        <v>0</v>
      </c>
      <c r="DL78" s="1">
        <v>0</v>
      </c>
      <c r="DM78" s="1">
        <v>-296353.43</v>
      </c>
      <c r="DN78" s="1">
        <v>0</v>
      </c>
      <c r="DO78" s="1">
        <v>0</v>
      </c>
      <c r="DP78" s="1">
        <v>16777215</v>
      </c>
      <c r="DQ78" s="1">
        <v>0</v>
      </c>
      <c r="DR78" s="1">
        <v>0</v>
      </c>
      <c r="DS78" s="1">
        <v>0</v>
      </c>
      <c r="DT78" s="1">
        <v>0</v>
      </c>
      <c r="DU78" s="1">
        <v>0</v>
      </c>
      <c r="DV78" s="1">
        <v>-182374</v>
      </c>
      <c r="DW78" s="1">
        <v>-173954.6</v>
      </c>
      <c r="DX78" s="1">
        <v>31345322.399999999</v>
      </c>
      <c r="DY78" s="1">
        <v>-1110160.2399999984</v>
      </c>
      <c r="DZ78" s="1">
        <v>92570020.519999966</v>
      </c>
      <c r="EA78" s="1">
        <v>0</v>
      </c>
      <c r="EB78" s="1">
        <v>0.68700000000000006</v>
      </c>
      <c r="EC78" s="1" t="s">
        <v>176</v>
      </c>
      <c r="EE78" s="1">
        <v>0</v>
      </c>
      <c r="EF78" s="1">
        <v>3</v>
      </c>
      <c r="EG78" s="1">
        <v>0</v>
      </c>
      <c r="EH78" s="3">
        <v>0</v>
      </c>
      <c r="EI78" s="1">
        <v>0</v>
      </c>
      <c r="EL78" s="1">
        <v>0</v>
      </c>
      <c r="EM78" s="1">
        <v>0</v>
      </c>
      <c r="EN78" s="1">
        <v>1633661.45</v>
      </c>
      <c r="EO78" s="1">
        <v>1.2333592799999999</v>
      </c>
      <c r="ER78" s="1">
        <v>906.5</v>
      </c>
      <c r="ES78" s="1">
        <v>1.0572999999999999</v>
      </c>
      <c r="ET78" s="3">
        <v>0</v>
      </c>
      <c r="EU78" s="3">
        <v>0</v>
      </c>
      <c r="EV78" s="3">
        <v>0</v>
      </c>
      <c r="EW78" s="3">
        <v>0</v>
      </c>
      <c r="EX78" s="3">
        <v>0</v>
      </c>
      <c r="EY78" s="3">
        <v>0</v>
      </c>
      <c r="EZ78" s="3">
        <v>0</v>
      </c>
      <c r="FA78" s="1">
        <v>0</v>
      </c>
      <c r="FB78" s="1">
        <v>0</v>
      </c>
      <c r="FC78" s="3">
        <v>0</v>
      </c>
      <c r="FD78" s="1">
        <v>0</v>
      </c>
      <c r="FE78" s="1">
        <v>0</v>
      </c>
    </row>
    <row r="79" spans="1:161" x14ac:dyDescent="0.3">
      <c r="A79" s="1">
        <v>16975597</v>
      </c>
      <c r="B79" s="1">
        <v>128</v>
      </c>
      <c r="C79" s="1">
        <v>10520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-120</v>
      </c>
      <c r="J79" s="3">
        <v>-120</v>
      </c>
      <c r="K79" s="1">
        <v>-1200</v>
      </c>
      <c r="L79" s="1">
        <v>-1200</v>
      </c>
      <c r="M79" s="1">
        <v>-1200</v>
      </c>
      <c r="N79" s="3">
        <v>-1200</v>
      </c>
      <c r="O79" s="1">
        <v>-126840</v>
      </c>
      <c r="P79" s="1">
        <v>-126840</v>
      </c>
      <c r="Q79" s="1">
        <v>-126840</v>
      </c>
      <c r="R79" s="1">
        <v>-126840</v>
      </c>
      <c r="S79" s="1">
        <v>-5580000</v>
      </c>
      <c r="T79" s="1">
        <v>-5580000</v>
      </c>
      <c r="U79" s="1">
        <v>-5580000</v>
      </c>
      <c r="V79" s="1">
        <v>-5580000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3" t="s">
        <v>573</v>
      </c>
      <c r="AF79" s="3" t="s">
        <v>161</v>
      </c>
      <c r="AG79" s="1" t="s">
        <v>970</v>
      </c>
      <c r="AH79" s="3" t="s">
        <v>681</v>
      </c>
      <c r="AI79" s="1">
        <v>4</v>
      </c>
      <c r="AJ79" s="3" t="s">
        <v>165</v>
      </c>
      <c r="AK79" s="1" t="s">
        <v>191</v>
      </c>
      <c r="AL79" s="3">
        <v>5</v>
      </c>
      <c r="AM79" s="3">
        <v>3.6</v>
      </c>
      <c r="AN79" s="3">
        <v>-4320</v>
      </c>
      <c r="AO79" s="3">
        <v>-4320</v>
      </c>
      <c r="AP79" s="1" t="s">
        <v>164</v>
      </c>
      <c r="AQ79" s="1">
        <v>4</v>
      </c>
      <c r="AR79" s="1" t="s">
        <v>165</v>
      </c>
      <c r="AS79" s="3">
        <v>132534288.59999999</v>
      </c>
      <c r="AT79" s="1" t="s">
        <v>176</v>
      </c>
      <c r="AU79" s="1">
        <v>1</v>
      </c>
      <c r="AV79" s="1">
        <v>1</v>
      </c>
      <c r="AW79" s="3" t="s">
        <v>166</v>
      </c>
      <c r="AX79" s="3" t="s">
        <v>167</v>
      </c>
      <c r="AY79" s="1">
        <v>0</v>
      </c>
      <c r="AZ79">
        <v>999999999</v>
      </c>
      <c r="BA79" s="3">
        <v>8205251.6799999997</v>
      </c>
      <c r="BB79" s="1">
        <v>1</v>
      </c>
      <c r="BD79" s="1" t="s">
        <v>971</v>
      </c>
      <c r="BE79" s="1">
        <v>1</v>
      </c>
      <c r="BF79" s="1">
        <v>1</v>
      </c>
      <c r="BG79" s="1" t="s">
        <v>168</v>
      </c>
      <c r="BH79" s="1">
        <v>0</v>
      </c>
      <c r="BI79" s="1">
        <v>31345322.399999999</v>
      </c>
      <c r="BJ79" s="1">
        <v>0</v>
      </c>
      <c r="BK79" s="1">
        <v>123618989.48999999</v>
      </c>
      <c r="BL79" s="1">
        <v>132456249.91</v>
      </c>
      <c r="BM79" s="1">
        <v>596150.00000000012</v>
      </c>
      <c r="BN79" s="1">
        <v>9219855.2300000004</v>
      </c>
      <c r="BO79" s="1">
        <v>23.664660909999998</v>
      </c>
      <c r="BP79" s="1">
        <v>0.45007313999999998</v>
      </c>
      <c r="BQ79" s="1">
        <v>6.9606796500000003</v>
      </c>
      <c r="BR79" s="1">
        <v>-3.2614499999999999E-3</v>
      </c>
      <c r="BS79" s="1" t="s">
        <v>169</v>
      </c>
      <c r="BT79" s="1" t="s">
        <v>169</v>
      </c>
      <c r="BU79" s="1">
        <v>26356083.120000001</v>
      </c>
      <c r="BV79" s="1">
        <v>0</v>
      </c>
      <c r="BW79" s="1">
        <v>1680</v>
      </c>
      <c r="BX79" s="1">
        <v>-27.999999999999996</v>
      </c>
      <c r="BY79" s="1" t="s">
        <v>170</v>
      </c>
      <c r="BZ79" s="1">
        <v>-78038.69</v>
      </c>
      <c r="CA79" s="1" t="s">
        <v>244</v>
      </c>
      <c r="CB79" s="1" t="s">
        <v>245</v>
      </c>
      <c r="CC79" s="1">
        <v>120840</v>
      </c>
      <c r="CD79" s="1">
        <v>120840</v>
      </c>
      <c r="CE79" s="1">
        <v>-6000</v>
      </c>
      <c r="CF79" s="1">
        <v>-6000</v>
      </c>
      <c r="CG79" s="1">
        <v>0</v>
      </c>
      <c r="CH79" s="1">
        <v>1.4438757900000001</v>
      </c>
      <c r="CI79" s="1">
        <v>13.27863496</v>
      </c>
      <c r="CJ79" s="1">
        <v>17588381.91</v>
      </c>
      <c r="CK79" s="1">
        <v>1912503.72</v>
      </c>
      <c r="CL79" s="1">
        <v>6269233.6699999999</v>
      </c>
      <c r="CM79" s="1" t="s">
        <v>164</v>
      </c>
      <c r="CN79" s="1" t="s">
        <v>164</v>
      </c>
      <c r="CO79" s="1" t="s">
        <v>184</v>
      </c>
      <c r="CP79" s="1" t="s">
        <v>243</v>
      </c>
      <c r="CQ79" s="3" t="s">
        <v>677</v>
      </c>
      <c r="CR79" s="1">
        <v>0</v>
      </c>
      <c r="CS79" s="1" t="s">
        <v>243</v>
      </c>
      <c r="CT79" s="1">
        <v>-3.49461E-3</v>
      </c>
      <c r="CV79" s="1">
        <v>0</v>
      </c>
      <c r="CW79" s="1">
        <v>-219173.26</v>
      </c>
      <c r="DA79" s="1">
        <v>1355558.46</v>
      </c>
      <c r="DB79" s="1">
        <v>0</v>
      </c>
      <c r="DC79" s="1">
        <v>2520.3126550000002</v>
      </c>
      <c r="DD79" s="1">
        <v>52555.483399999997</v>
      </c>
      <c r="DE79" s="1">
        <v>-296353.43</v>
      </c>
      <c r="DF79" s="1">
        <v>92570020.519999996</v>
      </c>
      <c r="DG79" s="1">
        <v>1680</v>
      </c>
      <c r="DH79" s="1">
        <v>394770.09</v>
      </c>
      <c r="DI79" s="1">
        <v>0.29803809999999997</v>
      </c>
      <c r="DJ79" t="s">
        <v>246</v>
      </c>
      <c r="DK79" s="1">
        <v>0</v>
      </c>
      <c r="DL79" s="1">
        <v>0</v>
      </c>
      <c r="DM79" s="1">
        <v>-296353.43</v>
      </c>
      <c r="DN79" s="1">
        <v>0</v>
      </c>
      <c r="DO79" s="1">
        <v>0</v>
      </c>
      <c r="DP79" s="1">
        <v>16777215</v>
      </c>
      <c r="DQ79" s="1">
        <v>0</v>
      </c>
      <c r="DR79" s="1">
        <v>0</v>
      </c>
      <c r="DS79" s="1">
        <v>0</v>
      </c>
      <c r="DT79" s="1">
        <v>0</v>
      </c>
      <c r="DU79" s="1">
        <v>0</v>
      </c>
      <c r="DV79" s="1">
        <v>-5580000</v>
      </c>
      <c r="DW79" s="1">
        <v>-5580000</v>
      </c>
      <c r="DX79" s="1">
        <v>31345322.399999999</v>
      </c>
      <c r="DY79" s="1">
        <v>-1110160.2399999984</v>
      </c>
      <c r="DZ79" s="1">
        <v>92570020.519999966</v>
      </c>
      <c r="EA79" s="1">
        <v>0</v>
      </c>
      <c r="EB79" s="1">
        <v>3.7000000000000005E-2</v>
      </c>
      <c r="EC79" s="1" t="s">
        <v>176</v>
      </c>
      <c r="EE79" s="1">
        <v>0</v>
      </c>
      <c r="EF79" s="1">
        <v>3</v>
      </c>
      <c r="EG79" s="1">
        <v>0</v>
      </c>
      <c r="EH79" s="3">
        <v>0</v>
      </c>
      <c r="EI79" s="1">
        <v>0</v>
      </c>
      <c r="EL79" s="1">
        <v>0</v>
      </c>
      <c r="EM79" s="1">
        <v>0</v>
      </c>
      <c r="EN79" s="1">
        <v>1633661.45</v>
      </c>
      <c r="EO79" s="1">
        <v>1.2333592799999999</v>
      </c>
      <c r="ER79" s="1">
        <v>5</v>
      </c>
      <c r="ES79" s="1">
        <v>1</v>
      </c>
      <c r="ET79" s="3">
        <v>0</v>
      </c>
      <c r="EU79" s="3">
        <v>0</v>
      </c>
      <c r="EV79" s="3">
        <v>0</v>
      </c>
      <c r="EW79" s="3">
        <v>0</v>
      </c>
      <c r="EX79" s="3">
        <v>0</v>
      </c>
      <c r="EY79" s="3">
        <v>0</v>
      </c>
      <c r="EZ79" s="3">
        <v>0</v>
      </c>
      <c r="FA79" s="1">
        <v>0</v>
      </c>
      <c r="FB79" s="1">
        <v>0</v>
      </c>
      <c r="FC79" s="3">
        <v>0</v>
      </c>
      <c r="FD79" s="1">
        <v>0</v>
      </c>
      <c r="FE79" s="1">
        <v>0</v>
      </c>
    </row>
    <row r="80" spans="1:161" x14ac:dyDescent="0.3">
      <c r="A80" s="1">
        <v>16975425</v>
      </c>
      <c r="B80" s="1">
        <v>128</v>
      </c>
      <c r="C80" s="1">
        <v>3472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1</v>
      </c>
      <c r="J80" s="3">
        <v>1</v>
      </c>
      <c r="K80" s="1">
        <v>100000</v>
      </c>
      <c r="L80" s="1">
        <v>100000</v>
      </c>
      <c r="M80" s="1">
        <v>100000</v>
      </c>
      <c r="N80" s="3">
        <v>100000</v>
      </c>
      <c r="O80" s="1">
        <v>98792</v>
      </c>
      <c r="P80" s="1">
        <v>98792</v>
      </c>
      <c r="Q80" s="1">
        <v>98792</v>
      </c>
      <c r="R80" s="1">
        <v>98792</v>
      </c>
      <c r="S80" s="1">
        <v>100000</v>
      </c>
      <c r="T80" s="1">
        <v>100000</v>
      </c>
      <c r="U80" s="1">
        <v>100000</v>
      </c>
      <c r="V80" s="1">
        <v>100000</v>
      </c>
      <c r="W80" s="1">
        <v>0</v>
      </c>
      <c r="X80" s="1">
        <v>0</v>
      </c>
      <c r="Y80" s="1">
        <v>0</v>
      </c>
      <c r="Z80" s="1">
        <v>0</v>
      </c>
      <c r="AA80" s="1">
        <v>1135.55</v>
      </c>
      <c r="AB80" s="1">
        <v>1135.55</v>
      </c>
      <c r="AC80" s="1">
        <v>1135.55</v>
      </c>
      <c r="AD80" s="1">
        <v>1135.55</v>
      </c>
      <c r="AE80" s="3" t="s">
        <v>247</v>
      </c>
      <c r="AF80" s="3" t="s">
        <v>161</v>
      </c>
      <c r="AG80" s="1" t="s">
        <v>970</v>
      </c>
      <c r="AH80" s="3" t="s">
        <v>248</v>
      </c>
      <c r="AI80" s="1">
        <v>4</v>
      </c>
      <c r="AJ80" s="3" t="s">
        <v>165</v>
      </c>
      <c r="AK80" s="1" t="s">
        <v>176</v>
      </c>
      <c r="AL80" s="3">
        <v>101.08526082167</v>
      </c>
      <c r="AM80" s="3">
        <v>101.11578082191799</v>
      </c>
      <c r="AN80" s="3">
        <v>101115.78</v>
      </c>
      <c r="AO80" s="3">
        <v>101115.78</v>
      </c>
      <c r="AP80" s="1" t="s">
        <v>164</v>
      </c>
      <c r="AQ80" s="1">
        <v>4</v>
      </c>
      <c r="AR80" s="1" t="s">
        <v>165</v>
      </c>
      <c r="AS80" s="3">
        <v>132534288.59999999</v>
      </c>
      <c r="AT80" s="1" t="s">
        <v>176</v>
      </c>
      <c r="AU80" s="1">
        <v>1</v>
      </c>
      <c r="AV80" s="1">
        <v>1</v>
      </c>
      <c r="AW80" s="3" t="s">
        <v>180</v>
      </c>
      <c r="AX80" s="3" t="s">
        <v>249</v>
      </c>
      <c r="AY80" s="1">
        <v>0</v>
      </c>
      <c r="BA80" s="3">
        <v>8205251.6799999997</v>
      </c>
      <c r="BB80" s="1">
        <v>1</v>
      </c>
      <c r="BD80" s="1" t="s">
        <v>971</v>
      </c>
      <c r="BE80" s="1">
        <v>1</v>
      </c>
      <c r="BF80" s="1">
        <v>1</v>
      </c>
      <c r="BG80" s="1" t="s">
        <v>168</v>
      </c>
      <c r="BH80" s="1">
        <v>0</v>
      </c>
      <c r="BI80" s="1">
        <v>31345322.399999999</v>
      </c>
      <c r="BJ80" s="1">
        <v>0</v>
      </c>
      <c r="BK80" s="1">
        <v>123618989.48999999</v>
      </c>
      <c r="BL80" s="1">
        <v>132456249.91</v>
      </c>
      <c r="BM80" s="1">
        <v>596150.00000000012</v>
      </c>
      <c r="BN80" s="1">
        <v>9219855.2300000004</v>
      </c>
      <c r="BO80" s="1">
        <v>23.664660909999998</v>
      </c>
      <c r="BP80" s="1">
        <v>0.45007313999999998</v>
      </c>
      <c r="BQ80" s="1">
        <v>6.9606796500000003</v>
      </c>
      <c r="BR80" s="1">
        <v>7.6339000000000004E-2</v>
      </c>
      <c r="BS80" s="1" t="s">
        <v>169</v>
      </c>
      <c r="BT80" s="1" t="s">
        <v>169</v>
      </c>
      <c r="BU80" s="1">
        <v>26356083.120000001</v>
      </c>
      <c r="BV80" s="1">
        <v>0</v>
      </c>
      <c r="BW80" s="1">
        <v>30.52</v>
      </c>
      <c r="BX80" s="1">
        <v>0.03</v>
      </c>
      <c r="BY80" s="1" t="s">
        <v>170</v>
      </c>
      <c r="BZ80" s="1">
        <v>-78038.69</v>
      </c>
      <c r="CA80" s="1" t="s">
        <v>250</v>
      </c>
      <c r="CB80" s="1" t="s">
        <v>251</v>
      </c>
      <c r="CC80" s="1">
        <v>1157.71</v>
      </c>
      <c r="CD80" s="1">
        <v>1157.71</v>
      </c>
      <c r="CE80" s="1">
        <v>101085.26</v>
      </c>
      <c r="CF80" s="1">
        <v>101085.26</v>
      </c>
      <c r="CG80" s="1">
        <v>0</v>
      </c>
      <c r="CH80" s="1">
        <v>1.4438757900000001</v>
      </c>
      <c r="CI80" s="1">
        <v>13.27863496</v>
      </c>
      <c r="CJ80" s="1">
        <v>17588381.91</v>
      </c>
      <c r="CK80" s="1">
        <v>1912503.72</v>
      </c>
      <c r="CL80" s="1">
        <v>6269233.6699999999</v>
      </c>
      <c r="CM80" s="1" t="s">
        <v>164</v>
      </c>
      <c r="CN80" s="1" t="s">
        <v>164</v>
      </c>
      <c r="CO80" s="1" t="s">
        <v>184</v>
      </c>
      <c r="CP80" s="1" t="s">
        <v>243</v>
      </c>
      <c r="CQ80" s="3" t="s">
        <v>252</v>
      </c>
      <c r="CR80" s="1">
        <v>0</v>
      </c>
      <c r="CS80" s="1" t="s">
        <v>243</v>
      </c>
      <c r="CT80" s="1">
        <v>8.1796320000000006E-2</v>
      </c>
      <c r="CV80" s="1">
        <v>0</v>
      </c>
      <c r="CW80" s="1">
        <v>-219173.26</v>
      </c>
      <c r="DA80" s="1">
        <v>1355558.46</v>
      </c>
      <c r="DB80" s="1">
        <v>0</v>
      </c>
      <c r="DC80" s="1">
        <v>2520.3126550000002</v>
      </c>
      <c r="DD80" s="1">
        <v>52555.483399999997</v>
      </c>
      <c r="DE80" s="1">
        <v>-296353.43</v>
      </c>
      <c r="DF80" s="1">
        <v>92570020.519999996</v>
      </c>
      <c r="DG80" s="1">
        <v>30.52</v>
      </c>
      <c r="DH80" s="1">
        <v>394770.09</v>
      </c>
      <c r="DI80" s="1">
        <v>0.29803809999999997</v>
      </c>
      <c r="DK80" s="1">
        <v>0</v>
      </c>
      <c r="DL80" s="1">
        <v>0</v>
      </c>
      <c r="DM80" s="1">
        <v>-296353.43</v>
      </c>
      <c r="DN80" s="1">
        <v>0</v>
      </c>
      <c r="DO80" s="1">
        <v>0</v>
      </c>
      <c r="DP80" s="1">
        <v>16777215</v>
      </c>
      <c r="DQ80" s="1">
        <v>0</v>
      </c>
      <c r="DR80" s="1">
        <v>0</v>
      </c>
      <c r="DS80" s="1">
        <v>0</v>
      </c>
      <c r="DT80" s="1">
        <v>0</v>
      </c>
      <c r="DU80" s="1">
        <v>0</v>
      </c>
      <c r="DV80" s="1">
        <v>101115.78</v>
      </c>
      <c r="DW80" s="1">
        <v>101115.78</v>
      </c>
      <c r="DX80" s="1">
        <v>31345322.399999999</v>
      </c>
      <c r="DY80" s="1">
        <v>-1110160.2399999984</v>
      </c>
      <c r="DZ80" s="1">
        <v>92570020.519999966</v>
      </c>
      <c r="EA80" s="1">
        <v>0</v>
      </c>
      <c r="EB80" s="1">
        <v>0</v>
      </c>
      <c r="EC80" s="1" t="s">
        <v>176</v>
      </c>
      <c r="EE80" s="1">
        <v>0</v>
      </c>
      <c r="EF80" s="1">
        <v>3</v>
      </c>
      <c r="EG80" s="1">
        <v>0</v>
      </c>
      <c r="EH80" s="3">
        <v>0.10923167</v>
      </c>
      <c r="EI80" s="1">
        <v>0</v>
      </c>
      <c r="EL80" s="1">
        <v>0</v>
      </c>
      <c r="EM80" s="1">
        <v>0</v>
      </c>
      <c r="EN80" s="1">
        <v>1633661.45</v>
      </c>
      <c r="EO80" s="1">
        <v>1.2333592799999999</v>
      </c>
      <c r="ER80" s="1">
        <v>101.113773972603</v>
      </c>
      <c r="ES80" s="1">
        <v>1</v>
      </c>
      <c r="ET80" s="3">
        <v>18.564753458999999</v>
      </c>
      <c r="EU80" s="3">
        <v>3.8356163999999998E-2</v>
      </c>
      <c r="EV80" s="3">
        <v>3.2710704267999997E-2</v>
      </c>
      <c r="EW80" s="3">
        <v>3.8356163999999998E-2</v>
      </c>
      <c r="EX80" s="3">
        <v>2.8331500000000002E-4</v>
      </c>
      <c r="EY80" s="3">
        <v>0</v>
      </c>
      <c r="EZ80" s="3">
        <v>14</v>
      </c>
      <c r="FA80" s="1">
        <v>0</v>
      </c>
      <c r="FB80" s="1">
        <v>0</v>
      </c>
      <c r="FC80" s="3">
        <v>117.25905082</v>
      </c>
      <c r="FD80" s="1">
        <v>0</v>
      </c>
      <c r="FE80" s="1">
        <v>0</v>
      </c>
    </row>
    <row r="81" spans="1:161" x14ac:dyDescent="0.3">
      <c r="A81" s="1">
        <v>16975510</v>
      </c>
      <c r="B81" s="1">
        <v>128</v>
      </c>
      <c r="C81" s="1">
        <v>8413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4</v>
      </c>
      <c r="J81" s="3">
        <v>4</v>
      </c>
      <c r="K81" s="1">
        <v>400000</v>
      </c>
      <c r="L81" s="1">
        <v>400000</v>
      </c>
      <c r="M81" s="1">
        <v>400000</v>
      </c>
      <c r="N81" s="3">
        <v>400000</v>
      </c>
      <c r="O81" s="1">
        <v>397151.2</v>
      </c>
      <c r="P81" s="1">
        <v>397151.2</v>
      </c>
      <c r="Q81" s="1">
        <v>397151.2</v>
      </c>
      <c r="R81" s="1">
        <v>397151.2</v>
      </c>
      <c r="S81" s="1">
        <v>400000</v>
      </c>
      <c r="T81" s="1">
        <v>400000</v>
      </c>
      <c r="U81" s="1">
        <v>400000</v>
      </c>
      <c r="V81" s="1">
        <v>400000</v>
      </c>
      <c r="W81" s="1">
        <v>0</v>
      </c>
      <c r="X81" s="1">
        <v>0</v>
      </c>
      <c r="Y81" s="1">
        <v>0</v>
      </c>
      <c r="Z81" s="1">
        <v>0</v>
      </c>
      <c r="AA81" s="1">
        <v>5889.75</v>
      </c>
      <c r="AB81" s="1">
        <v>5889.75</v>
      </c>
      <c r="AC81" s="1">
        <v>5889.75</v>
      </c>
      <c r="AD81" s="1">
        <v>5889.75</v>
      </c>
      <c r="AE81" s="3" t="s">
        <v>253</v>
      </c>
      <c r="AF81" s="3" t="s">
        <v>161</v>
      </c>
      <c r="AG81" s="1" t="s">
        <v>970</v>
      </c>
      <c r="AH81" s="3" t="s">
        <v>254</v>
      </c>
      <c r="AI81" s="1">
        <v>4</v>
      </c>
      <c r="AJ81" s="3" t="s">
        <v>165</v>
      </c>
      <c r="AK81" s="1" t="s">
        <v>176</v>
      </c>
      <c r="AL81" s="3">
        <v>83.031724587438006</v>
      </c>
      <c r="AM81" s="3">
        <v>82.709109589041006</v>
      </c>
      <c r="AN81" s="3">
        <v>330836.44</v>
      </c>
      <c r="AO81" s="3">
        <v>330836.44</v>
      </c>
      <c r="AP81" s="1" t="s">
        <v>164</v>
      </c>
      <c r="AQ81" s="1">
        <v>4</v>
      </c>
      <c r="AR81" s="1" t="s">
        <v>165</v>
      </c>
      <c r="AS81" s="3">
        <v>132534288.59999999</v>
      </c>
      <c r="AT81" s="1" t="s">
        <v>176</v>
      </c>
      <c r="AU81" s="1">
        <v>1</v>
      </c>
      <c r="AV81" s="1">
        <v>1</v>
      </c>
      <c r="AW81" s="3" t="s">
        <v>180</v>
      </c>
      <c r="AX81" s="3" t="s">
        <v>249</v>
      </c>
      <c r="AY81" s="1">
        <v>0</v>
      </c>
      <c r="BA81" s="3">
        <v>8205251.6799999997</v>
      </c>
      <c r="BB81" s="1">
        <v>1</v>
      </c>
      <c r="BD81" s="1" t="s">
        <v>971</v>
      </c>
      <c r="BE81" s="1">
        <v>1</v>
      </c>
      <c r="BF81" s="1">
        <v>1</v>
      </c>
      <c r="BG81" s="1" t="s">
        <v>168</v>
      </c>
      <c r="BH81" s="1">
        <v>0</v>
      </c>
      <c r="BI81" s="1">
        <v>31345322.399999999</v>
      </c>
      <c r="BJ81" s="1">
        <v>0</v>
      </c>
      <c r="BK81" s="1">
        <v>123618989.48999999</v>
      </c>
      <c r="BL81" s="1">
        <v>132456249.91</v>
      </c>
      <c r="BM81" s="1">
        <v>596150.00000000012</v>
      </c>
      <c r="BN81" s="1">
        <v>9219855.2300000004</v>
      </c>
      <c r="BO81" s="1">
        <v>23.664660909999998</v>
      </c>
      <c r="BP81" s="1">
        <v>0.45007313999999998</v>
      </c>
      <c r="BQ81" s="1">
        <v>6.9606796500000003</v>
      </c>
      <c r="BR81" s="1">
        <v>0.24977035</v>
      </c>
      <c r="BS81" s="1" t="s">
        <v>169</v>
      </c>
      <c r="BT81" s="1" t="s">
        <v>169</v>
      </c>
      <c r="BU81" s="1">
        <v>26356083.120000001</v>
      </c>
      <c r="BV81" s="1">
        <v>0</v>
      </c>
      <c r="BW81" s="1">
        <v>-1290.46</v>
      </c>
      <c r="BX81" s="1">
        <v>-0.39</v>
      </c>
      <c r="BY81" s="1" t="s">
        <v>170</v>
      </c>
      <c r="BZ81" s="1">
        <v>-78038.69</v>
      </c>
      <c r="CA81" s="1" t="s">
        <v>250</v>
      </c>
      <c r="CB81" s="1" t="s">
        <v>251</v>
      </c>
      <c r="CC81" s="1">
        <v>-70914.05</v>
      </c>
      <c r="CD81" s="1">
        <v>-70914.05</v>
      </c>
      <c r="CE81" s="1">
        <v>332126.90000000002</v>
      </c>
      <c r="CF81" s="1">
        <v>332126.90000000002</v>
      </c>
      <c r="CG81" s="1">
        <v>0</v>
      </c>
      <c r="CH81" s="1">
        <v>1.4438757900000001</v>
      </c>
      <c r="CI81" s="1">
        <v>13.27863496</v>
      </c>
      <c r="CJ81" s="1">
        <v>17588381.91</v>
      </c>
      <c r="CK81" s="1">
        <v>1912503.72</v>
      </c>
      <c r="CL81" s="1">
        <v>6269233.6699999999</v>
      </c>
      <c r="CM81" s="1" t="s">
        <v>164</v>
      </c>
      <c r="CN81" s="1" t="s">
        <v>164</v>
      </c>
      <c r="CO81" s="1" t="s">
        <v>184</v>
      </c>
      <c r="CP81" s="1" t="s">
        <v>243</v>
      </c>
      <c r="CQ81" s="3" t="s">
        <v>252</v>
      </c>
      <c r="CR81" s="1">
        <v>0</v>
      </c>
      <c r="CS81" s="1" t="s">
        <v>243</v>
      </c>
      <c r="CT81" s="1">
        <v>0.26762591000000002</v>
      </c>
      <c r="CV81" s="1">
        <v>0</v>
      </c>
      <c r="CW81" s="1">
        <v>-219173.26</v>
      </c>
      <c r="DA81" s="1">
        <v>1355558.46</v>
      </c>
      <c r="DB81" s="1">
        <v>0</v>
      </c>
      <c r="DC81" s="1">
        <v>2520.3126550000002</v>
      </c>
      <c r="DD81" s="1">
        <v>52555.483399999997</v>
      </c>
      <c r="DE81" s="1">
        <v>-296353.43</v>
      </c>
      <c r="DF81" s="1">
        <v>92570020.519999996</v>
      </c>
      <c r="DG81" s="1">
        <v>-1290.46</v>
      </c>
      <c r="DH81" s="1">
        <v>394770.09</v>
      </c>
      <c r="DI81" s="1">
        <v>0.29803809999999997</v>
      </c>
      <c r="DK81" s="1">
        <v>0</v>
      </c>
      <c r="DL81" s="1">
        <v>0</v>
      </c>
      <c r="DM81" s="1">
        <v>-296353.43</v>
      </c>
      <c r="DN81" s="1">
        <v>0</v>
      </c>
      <c r="DO81" s="1">
        <v>0</v>
      </c>
      <c r="DP81" s="1">
        <v>16777215</v>
      </c>
      <c r="DQ81" s="1">
        <v>0</v>
      </c>
      <c r="DR81" s="1">
        <v>0</v>
      </c>
      <c r="DS81" s="1">
        <v>0</v>
      </c>
      <c r="DT81" s="1">
        <v>0</v>
      </c>
      <c r="DU81" s="1">
        <v>0</v>
      </c>
      <c r="DV81" s="1">
        <v>330836.44</v>
      </c>
      <c r="DW81" s="1">
        <v>330836.44</v>
      </c>
      <c r="DX81" s="1">
        <v>31345322.399999999</v>
      </c>
      <c r="DY81" s="1">
        <v>-1110160.2399999984</v>
      </c>
      <c r="DZ81" s="1">
        <v>92570020.519999966</v>
      </c>
      <c r="EA81" s="1">
        <v>0</v>
      </c>
      <c r="EB81" s="1">
        <v>0</v>
      </c>
      <c r="EC81" s="1" t="s">
        <v>176</v>
      </c>
      <c r="EE81" s="1">
        <v>0</v>
      </c>
      <c r="EF81" s="1">
        <v>3</v>
      </c>
      <c r="EG81" s="1">
        <v>0</v>
      </c>
      <c r="EH81" s="3">
        <v>0.35739048000000001</v>
      </c>
      <c r="EI81" s="1">
        <v>0</v>
      </c>
      <c r="EL81" s="1">
        <v>0</v>
      </c>
      <c r="EM81" s="1">
        <v>0</v>
      </c>
      <c r="EN81" s="1">
        <v>1633661.45</v>
      </c>
      <c r="EO81" s="1">
        <v>1.2333592799999999</v>
      </c>
      <c r="ER81" s="1">
        <v>82.971815068493996</v>
      </c>
      <c r="ES81" s="1">
        <v>1</v>
      </c>
      <c r="ET81" s="3">
        <v>5.0629140489999997</v>
      </c>
      <c r="EU81" s="3">
        <v>6.3026768200000003</v>
      </c>
      <c r="EV81" s="3">
        <v>4.9774417573729997</v>
      </c>
      <c r="EW81" s="3">
        <v>6.8109589039999996</v>
      </c>
      <c r="EX81" s="3">
        <v>0.437264602</v>
      </c>
      <c r="EY81" s="3">
        <v>72</v>
      </c>
      <c r="EZ81" s="3">
        <v>2486</v>
      </c>
      <c r="FA81" s="1">
        <v>0</v>
      </c>
      <c r="FB81" s="1">
        <v>0</v>
      </c>
      <c r="FC81" s="3">
        <v>2.1265513189999998</v>
      </c>
      <c r="FD81" s="1">
        <v>0</v>
      </c>
      <c r="FE81" s="1">
        <v>0</v>
      </c>
    </row>
    <row r="82" spans="1:161" x14ac:dyDescent="0.3">
      <c r="A82" s="1">
        <v>16975507</v>
      </c>
      <c r="B82" s="1">
        <v>128</v>
      </c>
      <c r="C82" s="1">
        <v>9472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4</v>
      </c>
      <c r="J82" s="3">
        <v>4</v>
      </c>
      <c r="K82" s="1">
        <v>400000</v>
      </c>
      <c r="L82" s="1">
        <v>400000</v>
      </c>
      <c r="M82" s="1">
        <v>400000</v>
      </c>
      <c r="N82" s="3">
        <v>400000</v>
      </c>
      <c r="O82" s="1">
        <v>393494</v>
      </c>
      <c r="P82" s="1">
        <v>393494</v>
      </c>
      <c r="Q82" s="1">
        <v>393494</v>
      </c>
      <c r="R82" s="1">
        <v>393494</v>
      </c>
      <c r="S82" s="1">
        <v>400000</v>
      </c>
      <c r="T82" s="1">
        <v>400000</v>
      </c>
      <c r="U82" s="1">
        <v>400000</v>
      </c>
      <c r="V82" s="1">
        <v>400000</v>
      </c>
      <c r="W82" s="1">
        <v>0</v>
      </c>
      <c r="X82" s="1">
        <v>0</v>
      </c>
      <c r="Y82" s="1">
        <v>0</v>
      </c>
      <c r="Z82" s="1">
        <v>0</v>
      </c>
      <c r="AA82" s="1">
        <v>1338.41</v>
      </c>
      <c r="AB82" s="1">
        <v>1338.41</v>
      </c>
      <c r="AC82" s="1">
        <v>1338.41</v>
      </c>
      <c r="AD82" s="1">
        <v>1338.41</v>
      </c>
      <c r="AE82" s="3" t="s">
        <v>255</v>
      </c>
      <c r="AF82" s="3" t="s">
        <v>161</v>
      </c>
      <c r="AG82" s="1" t="s">
        <v>970</v>
      </c>
      <c r="AH82" s="3" t="s">
        <v>256</v>
      </c>
      <c r="AI82" s="1">
        <v>4</v>
      </c>
      <c r="AJ82" s="3" t="s">
        <v>165</v>
      </c>
      <c r="AK82" s="1" t="s">
        <v>176</v>
      </c>
      <c r="AL82" s="3">
        <v>86.786982828351</v>
      </c>
      <c r="AM82" s="3">
        <v>86.659680327868998</v>
      </c>
      <c r="AN82" s="3">
        <v>346638.72</v>
      </c>
      <c r="AO82" s="3">
        <v>346638.72</v>
      </c>
      <c r="AP82" s="1" t="s">
        <v>164</v>
      </c>
      <c r="AQ82" s="1">
        <v>4</v>
      </c>
      <c r="AR82" s="1" t="s">
        <v>165</v>
      </c>
      <c r="AS82" s="3">
        <v>132534288.59999999</v>
      </c>
      <c r="AT82" s="1" t="s">
        <v>176</v>
      </c>
      <c r="AU82" s="1">
        <v>1</v>
      </c>
      <c r="AV82" s="1">
        <v>1</v>
      </c>
      <c r="AW82" s="3" t="s">
        <v>180</v>
      </c>
      <c r="AX82" s="3" t="s">
        <v>249</v>
      </c>
      <c r="AY82" s="1">
        <v>0</v>
      </c>
      <c r="BA82" s="3">
        <v>8205251.6799999997</v>
      </c>
      <c r="BB82" s="1">
        <v>1</v>
      </c>
      <c r="BD82" s="1" t="s">
        <v>971</v>
      </c>
      <c r="BE82" s="1">
        <v>1</v>
      </c>
      <c r="BF82" s="1">
        <v>1</v>
      </c>
      <c r="BG82" s="1" t="s">
        <v>168</v>
      </c>
      <c r="BH82" s="1">
        <v>0</v>
      </c>
      <c r="BI82" s="1">
        <v>31345322.399999999</v>
      </c>
      <c r="BJ82" s="1">
        <v>0</v>
      </c>
      <c r="BK82" s="1">
        <v>123618989.48999999</v>
      </c>
      <c r="BL82" s="1">
        <v>132456249.91</v>
      </c>
      <c r="BM82" s="1">
        <v>596150.00000000012</v>
      </c>
      <c r="BN82" s="1">
        <v>9219855.2300000004</v>
      </c>
      <c r="BO82" s="1">
        <v>23.664660909999998</v>
      </c>
      <c r="BP82" s="1">
        <v>0.45007313999999998</v>
      </c>
      <c r="BQ82" s="1">
        <v>6.9606796500000003</v>
      </c>
      <c r="BR82" s="1">
        <v>0.26170053999999998</v>
      </c>
      <c r="BS82" s="1" t="s">
        <v>169</v>
      </c>
      <c r="BT82" s="1" t="s">
        <v>169</v>
      </c>
      <c r="BU82" s="1">
        <v>26356083.120000001</v>
      </c>
      <c r="BV82" s="1">
        <v>0</v>
      </c>
      <c r="BW82" s="1">
        <v>-509.21</v>
      </c>
      <c r="BX82" s="1">
        <v>-0.15</v>
      </c>
      <c r="BY82" s="1" t="s">
        <v>170</v>
      </c>
      <c r="BZ82" s="1">
        <v>-78038.69</v>
      </c>
      <c r="CA82" s="1" t="s">
        <v>250</v>
      </c>
      <c r="CB82" s="1" t="s">
        <v>251</v>
      </c>
      <c r="CC82" s="1">
        <v>-47684.480000000003</v>
      </c>
      <c r="CD82" s="1">
        <v>-47684.480000000003</v>
      </c>
      <c r="CE82" s="1">
        <v>347147.93</v>
      </c>
      <c r="CF82" s="1">
        <v>347147.93</v>
      </c>
      <c r="CG82" s="1">
        <v>0</v>
      </c>
      <c r="CH82" s="1">
        <v>1.4438757900000001</v>
      </c>
      <c r="CI82" s="1">
        <v>13.27863496</v>
      </c>
      <c r="CJ82" s="1">
        <v>17588381.91</v>
      </c>
      <c r="CK82" s="1">
        <v>1912503.72</v>
      </c>
      <c r="CL82" s="1">
        <v>6269233.6699999999</v>
      </c>
      <c r="CM82" s="1" t="s">
        <v>164</v>
      </c>
      <c r="CN82" s="1" t="s">
        <v>164</v>
      </c>
      <c r="CO82" s="1" t="s">
        <v>184</v>
      </c>
      <c r="CP82" s="1" t="s">
        <v>243</v>
      </c>
      <c r="CQ82" s="3" t="s">
        <v>252</v>
      </c>
      <c r="CR82" s="1">
        <v>0</v>
      </c>
      <c r="CS82" s="1" t="s">
        <v>243</v>
      </c>
      <c r="CT82" s="1">
        <v>0.28040895999999998</v>
      </c>
      <c r="CV82" s="1">
        <v>0</v>
      </c>
      <c r="CW82" s="1">
        <v>-219173.26</v>
      </c>
      <c r="DA82" s="1">
        <v>1355558.46</v>
      </c>
      <c r="DB82" s="1">
        <v>0</v>
      </c>
      <c r="DC82" s="1">
        <v>2520.3126550000002</v>
      </c>
      <c r="DD82" s="1">
        <v>52555.483399999997</v>
      </c>
      <c r="DE82" s="1">
        <v>-296353.43</v>
      </c>
      <c r="DF82" s="1">
        <v>92570020.519999996</v>
      </c>
      <c r="DG82" s="1">
        <v>-509.21</v>
      </c>
      <c r="DH82" s="1">
        <v>394770.09</v>
      </c>
      <c r="DI82" s="1">
        <v>0.29803809999999997</v>
      </c>
      <c r="DK82" s="1">
        <v>0</v>
      </c>
      <c r="DL82" s="1">
        <v>0</v>
      </c>
      <c r="DM82" s="1">
        <v>-296353.43</v>
      </c>
      <c r="DN82" s="1">
        <v>0</v>
      </c>
      <c r="DO82" s="1">
        <v>0</v>
      </c>
      <c r="DP82" s="1">
        <v>16777215</v>
      </c>
      <c r="DQ82" s="1">
        <v>0</v>
      </c>
      <c r="DR82" s="1">
        <v>0</v>
      </c>
      <c r="DS82" s="1">
        <v>0</v>
      </c>
      <c r="DT82" s="1">
        <v>0</v>
      </c>
      <c r="DU82" s="1">
        <v>0</v>
      </c>
      <c r="DV82" s="1">
        <v>346638.72</v>
      </c>
      <c r="DW82" s="1">
        <v>346638.72</v>
      </c>
      <c r="DX82" s="1">
        <v>31345322.399999999</v>
      </c>
      <c r="DY82" s="1">
        <v>-1110160.2399999984</v>
      </c>
      <c r="DZ82" s="1">
        <v>92570020.519999966</v>
      </c>
      <c r="EA82" s="1">
        <v>0</v>
      </c>
      <c r="EB82" s="1">
        <v>0</v>
      </c>
      <c r="EC82" s="1" t="s">
        <v>176</v>
      </c>
      <c r="EE82" s="1">
        <v>0</v>
      </c>
      <c r="EF82" s="1">
        <v>3</v>
      </c>
      <c r="EG82" s="1">
        <v>0</v>
      </c>
      <c r="EH82" s="3">
        <v>0.37446109999999999</v>
      </c>
      <c r="EI82" s="1">
        <v>0</v>
      </c>
      <c r="EL82" s="1">
        <v>0</v>
      </c>
      <c r="EM82" s="1">
        <v>0</v>
      </c>
      <c r="EN82" s="1">
        <v>1633661.45</v>
      </c>
      <c r="EO82" s="1">
        <v>1.2333592799999999</v>
      </c>
      <c r="ER82" s="1">
        <v>86.749448087432</v>
      </c>
      <c r="ES82" s="1">
        <v>1</v>
      </c>
      <c r="ET82" s="3">
        <v>5.0261219840000004</v>
      </c>
      <c r="EU82" s="3">
        <v>3.6461665160000001</v>
      </c>
      <c r="EV82" s="3">
        <v>3.0116596418619999</v>
      </c>
      <c r="EW82" s="3">
        <v>3.7041095890000002</v>
      </c>
      <c r="EX82" s="3">
        <v>0.15464673400000001</v>
      </c>
      <c r="EY82" s="3">
        <v>42</v>
      </c>
      <c r="EZ82" s="3">
        <v>1352</v>
      </c>
      <c r="FA82" s="1">
        <v>0</v>
      </c>
      <c r="FB82" s="1">
        <v>0</v>
      </c>
      <c r="FC82" s="3">
        <v>1.467667324</v>
      </c>
      <c r="FD82" s="1">
        <v>0</v>
      </c>
      <c r="FE82" s="1">
        <v>0</v>
      </c>
    </row>
    <row r="83" spans="1:161" x14ac:dyDescent="0.3">
      <c r="A83" s="1">
        <v>16975429</v>
      </c>
      <c r="B83" s="1">
        <v>128</v>
      </c>
      <c r="C83" s="1">
        <v>2008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1</v>
      </c>
      <c r="J83" s="3">
        <v>1</v>
      </c>
      <c r="K83" s="1">
        <v>100000</v>
      </c>
      <c r="L83" s="1">
        <v>100000</v>
      </c>
      <c r="M83" s="1">
        <v>100000</v>
      </c>
      <c r="N83" s="3">
        <v>100000</v>
      </c>
      <c r="O83" s="1">
        <v>105040.5</v>
      </c>
      <c r="P83" s="1">
        <v>105040.5</v>
      </c>
      <c r="Q83" s="1">
        <v>105040.5</v>
      </c>
      <c r="R83" s="1">
        <v>105040.5</v>
      </c>
      <c r="S83" s="1">
        <v>100000</v>
      </c>
      <c r="T83" s="1">
        <v>100000</v>
      </c>
      <c r="U83" s="1">
        <v>100000</v>
      </c>
      <c r="V83" s="1">
        <v>100000</v>
      </c>
      <c r="W83" s="1">
        <v>0</v>
      </c>
      <c r="X83" s="1">
        <v>0</v>
      </c>
      <c r="Y83" s="1">
        <v>0</v>
      </c>
      <c r="Z83" s="1">
        <v>0</v>
      </c>
      <c r="AA83" s="1">
        <v>-1692.12</v>
      </c>
      <c r="AB83" s="1">
        <v>-1692.12</v>
      </c>
      <c r="AC83" s="1">
        <v>-1692.12</v>
      </c>
      <c r="AD83" s="1">
        <v>-1692.12</v>
      </c>
      <c r="AE83" s="3" t="s">
        <v>257</v>
      </c>
      <c r="AF83" s="3" t="s">
        <v>161</v>
      </c>
      <c r="AG83" s="1" t="s">
        <v>970</v>
      </c>
      <c r="AH83" s="3" t="s">
        <v>258</v>
      </c>
      <c r="AI83" s="1">
        <v>4</v>
      </c>
      <c r="AJ83" s="3" t="s">
        <v>165</v>
      </c>
      <c r="AK83" s="1" t="s">
        <v>191</v>
      </c>
      <c r="AL83" s="3">
        <v>96.357187593155004</v>
      </c>
      <c r="AM83" s="3">
        <v>96.258177595627998</v>
      </c>
      <c r="AN83" s="3">
        <v>96258.18</v>
      </c>
      <c r="AO83" s="3">
        <v>96258.18</v>
      </c>
      <c r="AP83" s="1" t="s">
        <v>164</v>
      </c>
      <c r="AQ83" s="1">
        <v>4</v>
      </c>
      <c r="AR83" s="1" t="s">
        <v>165</v>
      </c>
      <c r="AS83" s="3">
        <v>132534288.59999999</v>
      </c>
      <c r="AT83" s="1" t="s">
        <v>176</v>
      </c>
      <c r="AU83" s="1">
        <v>1</v>
      </c>
      <c r="AV83" s="1">
        <v>1</v>
      </c>
      <c r="AW83" s="3" t="s">
        <v>180</v>
      </c>
      <c r="AX83" s="3" t="s">
        <v>259</v>
      </c>
      <c r="AY83" s="1">
        <v>0</v>
      </c>
      <c r="BA83" s="3">
        <v>8205251.6799999997</v>
      </c>
      <c r="BB83" s="1">
        <v>1</v>
      </c>
      <c r="BD83" s="1" t="s">
        <v>971</v>
      </c>
      <c r="BE83" s="1">
        <v>1</v>
      </c>
      <c r="BF83" s="1">
        <v>1</v>
      </c>
      <c r="BG83" s="1" t="s">
        <v>168</v>
      </c>
      <c r="BH83" s="1">
        <v>0</v>
      </c>
      <c r="BI83" s="1">
        <v>31345322.399999999</v>
      </c>
      <c r="BJ83" s="1">
        <v>0</v>
      </c>
      <c r="BK83" s="1">
        <v>123618989.48999999</v>
      </c>
      <c r="BL83" s="1">
        <v>132456249.91</v>
      </c>
      <c r="BM83" s="1">
        <v>596150.00000000012</v>
      </c>
      <c r="BN83" s="1">
        <v>9219855.2300000004</v>
      </c>
      <c r="BO83" s="1">
        <v>23.664660909999998</v>
      </c>
      <c r="BP83" s="1">
        <v>0.45007313999999998</v>
      </c>
      <c r="BQ83" s="1">
        <v>6.9606796500000003</v>
      </c>
      <c r="BR83" s="1">
        <v>7.2671680000000002E-2</v>
      </c>
      <c r="BS83" s="1" t="s">
        <v>169</v>
      </c>
      <c r="BT83" s="1" t="s">
        <v>169</v>
      </c>
      <c r="BU83" s="1">
        <v>26356083.120000001</v>
      </c>
      <c r="BV83" s="1">
        <v>0</v>
      </c>
      <c r="BW83" s="1">
        <v>-99.01</v>
      </c>
      <c r="BX83" s="1">
        <v>-0.1</v>
      </c>
      <c r="BY83" s="1" t="s">
        <v>170</v>
      </c>
      <c r="BZ83" s="1">
        <v>-78038.69</v>
      </c>
      <c r="CA83" s="1" t="s">
        <v>250</v>
      </c>
      <c r="CB83" s="1" t="s">
        <v>251</v>
      </c>
      <c r="CC83" s="1">
        <v>-6991.19</v>
      </c>
      <c r="CD83" s="1">
        <v>-6991.19</v>
      </c>
      <c r="CE83" s="1">
        <v>96357.19</v>
      </c>
      <c r="CF83" s="1">
        <v>96357.19</v>
      </c>
      <c r="CG83" s="1">
        <v>0</v>
      </c>
      <c r="CH83" s="1">
        <v>1.4438757900000001</v>
      </c>
      <c r="CI83" s="1">
        <v>13.27863496</v>
      </c>
      <c r="CJ83" s="1">
        <v>17588381.91</v>
      </c>
      <c r="CK83" s="1">
        <v>1912503.72</v>
      </c>
      <c r="CL83" s="1">
        <v>6269233.6699999999</v>
      </c>
      <c r="CM83" s="1" t="s">
        <v>164</v>
      </c>
      <c r="CN83" s="1" t="s">
        <v>164</v>
      </c>
      <c r="CO83" s="1" t="s">
        <v>184</v>
      </c>
      <c r="CP83" s="1" t="s">
        <v>243</v>
      </c>
      <c r="CQ83" s="3" t="s">
        <v>252</v>
      </c>
      <c r="CR83" s="1">
        <v>0</v>
      </c>
      <c r="CS83" s="1" t="s">
        <v>243</v>
      </c>
      <c r="CT83" s="1">
        <v>7.7866820000000003E-2</v>
      </c>
      <c r="CV83" s="1">
        <v>0</v>
      </c>
      <c r="CW83" s="1">
        <v>-219173.26</v>
      </c>
      <c r="DA83" s="1">
        <v>1355558.46</v>
      </c>
      <c r="DB83" s="1">
        <v>0</v>
      </c>
      <c r="DC83" s="1">
        <v>2520.3126550000002</v>
      </c>
      <c r="DD83" s="1">
        <v>52555.483399999997</v>
      </c>
      <c r="DE83" s="1">
        <v>-296353.43</v>
      </c>
      <c r="DF83" s="1">
        <v>92570020.519999996</v>
      </c>
      <c r="DG83" s="1">
        <v>-99.01</v>
      </c>
      <c r="DH83" s="1">
        <v>394770.09</v>
      </c>
      <c r="DI83" s="1">
        <v>0.29803809999999997</v>
      </c>
      <c r="DK83" s="1">
        <v>0</v>
      </c>
      <c r="DL83" s="1">
        <v>0</v>
      </c>
      <c r="DM83" s="1">
        <v>-296353.43</v>
      </c>
      <c r="DN83" s="1">
        <v>0</v>
      </c>
      <c r="DO83" s="1">
        <v>0</v>
      </c>
      <c r="DP83" s="1">
        <v>16777215</v>
      </c>
      <c r="DQ83" s="1">
        <v>0</v>
      </c>
      <c r="DR83" s="1">
        <v>0</v>
      </c>
      <c r="DS83" s="1">
        <v>0</v>
      </c>
      <c r="DT83" s="1">
        <v>0</v>
      </c>
      <c r="DU83" s="1">
        <v>0</v>
      </c>
      <c r="DV83" s="1">
        <v>96258.18</v>
      </c>
      <c r="DW83" s="1">
        <v>96258.18</v>
      </c>
      <c r="DX83" s="1">
        <v>31345322.399999999</v>
      </c>
      <c r="DY83" s="1">
        <v>-1110160.2399999984</v>
      </c>
      <c r="DZ83" s="1">
        <v>92570020.519999966</v>
      </c>
      <c r="EA83" s="1">
        <v>0</v>
      </c>
      <c r="EB83" s="1">
        <v>0</v>
      </c>
      <c r="EC83" s="1" t="s">
        <v>176</v>
      </c>
      <c r="EE83" s="1">
        <v>0</v>
      </c>
      <c r="EF83" s="1">
        <v>3</v>
      </c>
      <c r="EG83" s="1">
        <v>0</v>
      </c>
      <c r="EH83" s="3">
        <v>0.10398418</v>
      </c>
      <c r="EI83" s="1">
        <v>0</v>
      </c>
      <c r="EL83" s="1">
        <v>0</v>
      </c>
      <c r="EM83" s="1">
        <v>0</v>
      </c>
      <c r="EN83" s="1">
        <v>1633661.45</v>
      </c>
      <c r="EO83" s="1">
        <v>1.2333592799999999</v>
      </c>
      <c r="ER83" s="1">
        <v>96.322346994534996</v>
      </c>
      <c r="ES83" s="1">
        <v>1</v>
      </c>
      <c r="ET83" s="3">
        <v>4.8309664550000004</v>
      </c>
      <c r="EU83" s="3">
        <v>2.2031927040000001</v>
      </c>
      <c r="EV83" s="3">
        <v>2.0243702721729999</v>
      </c>
      <c r="EW83" s="3">
        <v>2.2684931509999999</v>
      </c>
      <c r="EX83" s="3">
        <v>6.5014366000000004E-2</v>
      </c>
      <c r="EY83" s="3">
        <v>25</v>
      </c>
      <c r="EZ83" s="3">
        <v>828</v>
      </c>
      <c r="FA83" s="1">
        <v>0</v>
      </c>
      <c r="FB83" s="1">
        <v>0</v>
      </c>
      <c r="FC83" s="3">
        <v>0.79129571600000004</v>
      </c>
      <c r="FD83" s="1">
        <v>0</v>
      </c>
      <c r="FE83" s="1">
        <v>0</v>
      </c>
    </row>
    <row r="84" spans="1:161" x14ac:dyDescent="0.3">
      <c r="A84" s="1">
        <v>16975440</v>
      </c>
      <c r="B84" s="1">
        <v>128</v>
      </c>
      <c r="C84" s="1">
        <v>7430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1</v>
      </c>
      <c r="J84" s="3">
        <v>1</v>
      </c>
      <c r="K84" s="1">
        <v>100000</v>
      </c>
      <c r="L84" s="1">
        <v>100000</v>
      </c>
      <c r="M84" s="1">
        <v>100000</v>
      </c>
      <c r="N84" s="3">
        <v>100000</v>
      </c>
      <c r="O84" s="1">
        <v>94224</v>
      </c>
      <c r="P84" s="1">
        <v>94224</v>
      </c>
      <c r="Q84" s="1">
        <v>94224</v>
      </c>
      <c r="R84" s="1">
        <v>94224</v>
      </c>
      <c r="S84" s="1">
        <v>100000</v>
      </c>
      <c r="T84" s="1">
        <v>100000</v>
      </c>
      <c r="U84" s="1">
        <v>100000</v>
      </c>
      <c r="V84" s="1">
        <v>100000</v>
      </c>
      <c r="W84" s="1">
        <v>0</v>
      </c>
      <c r="X84" s="1">
        <v>0</v>
      </c>
      <c r="Y84" s="1">
        <v>0</v>
      </c>
      <c r="Z84" s="1">
        <v>0</v>
      </c>
      <c r="AA84" s="1">
        <v>6344.42</v>
      </c>
      <c r="AB84" s="1">
        <v>6344.42</v>
      </c>
      <c r="AC84" s="1">
        <v>6344.42</v>
      </c>
      <c r="AD84" s="1">
        <v>6344.42</v>
      </c>
      <c r="AE84" s="3" t="s">
        <v>260</v>
      </c>
      <c r="AF84" s="3" t="s">
        <v>161</v>
      </c>
      <c r="AG84" s="1" t="s">
        <v>970</v>
      </c>
      <c r="AH84" s="3" t="s">
        <v>261</v>
      </c>
      <c r="AI84" s="1">
        <v>4</v>
      </c>
      <c r="AJ84" s="3" t="s">
        <v>165</v>
      </c>
      <c r="AK84" s="1" t="s">
        <v>217</v>
      </c>
      <c r="AL84" s="3">
        <v>96.602937779911002</v>
      </c>
      <c r="AM84" s="3">
        <v>96.695777777776996</v>
      </c>
      <c r="AN84" s="3">
        <v>96695.78</v>
      </c>
      <c r="AO84" s="3">
        <v>96695.78</v>
      </c>
      <c r="AP84" s="1" t="s">
        <v>164</v>
      </c>
      <c r="AQ84" s="1">
        <v>4</v>
      </c>
      <c r="AR84" s="1" t="s">
        <v>165</v>
      </c>
      <c r="AS84" s="3">
        <v>132534288.59999999</v>
      </c>
      <c r="AT84" s="1" t="s">
        <v>176</v>
      </c>
      <c r="AU84" s="1">
        <v>1</v>
      </c>
      <c r="AV84" s="1">
        <v>1</v>
      </c>
      <c r="AW84" s="3" t="s">
        <v>180</v>
      </c>
      <c r="AX84" s="3" t="s">
        <v>259</v>
      </c>
      <c r="AY84" s="1">
        <v>0</v>
      </c>
      <c r="BA84" s="3">
        <v>8205251.6799999997</v>
      </c>
      <c r="BB84" s="1">
        <v>1</v>
      </c>
      <c r="BD84" s="1" t="s">
        <v>971</v>
      </c>
      <c r="BE84" s="1">
        <v>1</v>
      </c>
      <c r="BF84" s="1">
        <v>1</v>
      </c>
      <c r="BG84" s="1" t="s">
        <v>168</v>
      </c>
      <c r="BH84" s="1">
        <v>0</v>
      </c>
      <c r="BI84" s="1">
        <v>31345322.399999999</v>
      </c>
      <c r="BJ84" s="1">
        <v>0</v>
      </c>
      <c r="BK84" s="1">
        <v>123618989.48999999</v>
      </c>
      <c r="BL84" s="1">
        <v>132456249.91</v>
      </c>
      <c r="BM84" s="1">
        <v>596150.00000000012</v>
      </c>
      <c r="BN84" s="1">
        <v>9219855.2300000004</v>
      </c>
      <c r="BO84" s="1">
        <v>23.664660909999998</v>
      </c>
      <c r="BP84" s="1">
        <v>0.45007313999999998</v>
      </c>
      <c r="BQ84" s="1">
        <v>6.9606796500000003</v>
      </c>
      <c r="BR84" s="1">
        <v>7.3002049999999999E-2</v>
      </c>
      <c r="BS84" s="1" t="s">
        <v>169</v>
      </c>
      <c r="BT84" s="1" t="s">
        <v>169</v>
      </c>
      <c r="BU84" s="1">
        <v>26356083.120000001</v>
      </c>
      <c r="BV84" s="1">
        <v>0</v>
      </c>
      <c r="BW84" s="1">
        <v>92.84</v>
      </c>
      <c r="BX84" s="1">
        <v>0.09</v>
      </c>
      <c r="BY84" s="1" t="s">
        <v>170</v>
      </c>
      <c r="BZ84" s="1">
        <v>-78038.69</v>
      </c>
      <c r="CA84" s="1" t="s">
        <v>250</v>
      </c>
      <c r="CB84" s="1" t="s">
        <v>251</v>
      </c>
      <c r="CC84" s="1">
        <v>-3965.48</v>
      </c>
      <c r="CD84" s="1">
        <v>-3965.48</v>
      </c>
      <c r="CE84" s="1">
        <v>96602.94</v>
      </c>
      <c r="CF84" s="1">
        <v>96602.94</v>
      </c>
      <c r="CG84" s="1">
        <v>0</v>
      </c>
      <c r="CH84" s="1">
        <v>1.4438757900000001</v>
      </c>
      <c r="CI84" s="1">
        <v>13.27863496</v>
      </c>
      <c r="CJ84" s="1">
        <v>17588381.91</v>
      </c>
      <c r="CK84" s="1">
        <v>1912503.72</v>
      </c>
      <c r="CL84" s="1">
        <v>6269233.6699999999</v>
      </c>
      <c r="CM84" s="1" t="s">
        <v>164</v>
      </c>
      <c r="CN84" s="1" t="s">
        <v>164</v>
      </c>
      <c r="CO84" s="1" t="s">
        <v>184</v>
      </c>
      <c r="CP84" s="1" t="s">
        <v>243</v>
      </c>
      <c r="CQ84" s="3" t="s">
        <v>252</v>
      </c>
      <c r="CR84" s="1">
        <v>0</v>
      </c>
      <c r="CS84" s="1" t="s">
        <v>243</v>
      </c>
      <c r="CT84" s="1">
        <v>7.8220810000000002E-2</v>
      </c>
      <c r="CV84" s="1">
        <v>0</v>
      </c>
      <c r="CW84" s="1">
        <v>-219173.26</v>
      </c>
      <c r="DA84" s="1">
        <v>1355558.46</v>
      </c>
      <c r="DB84" s="1">
        <v>0</v>
      </c>
      <c r="DC84" s="1">
        <v>2520.3126550000002</v>
      </c>
      <c r="DD84" s="1">
        <v>52555.483399999997</v>
      </c>
      <c r="DE84" s="1">
        <v>-296353.43</v>
      </c>
      <c r="DF84" s="1">
        <v>92570020.519999996</v>
      </c>
      <c r="DG84" s="1">
        <v>92.84</v>
      </c>
      <c r="DH84" s="1">
        <v>394770.09</v>
      </c>
      <c r="DI84" s="1">
        <v>0.29803809999999997</v>
      </c>
      <c r="DK84" s="1">
        <v>0</v>
      </c>
      <c r="DL84" s="1">
        <v>0</v>
      </c>
      <c r="DM84" s="1">
        <v>-296353.43</v>
      </c>
      <c r="DN84" s="1">
        <v>0</v>
      </c>
      <c r="DO84" s="1">
        <v>0</v>
      </c>
      <c r="DP84" s="1">
        <v>16777215</v>
      </c>
      <c r="DQ84" s="1">
        <v>0</v>
      </c>
      <c r="DR84" s="1">
        <v>0</v>
      </c>
      <c r="DS84" s="1">
        <v>0</v>
      </c>
      <c r="DT84" s="1">
        <v>0</v>
      </c>
      <c r="DU84" s="1">
        <v>0</v>
      </c>
      <c r="DV84" s="1">
        <v>96695.78</v>
      </c>
      <c r="DW84" s="1">
        <v>96695.78</v>
      </c>
      <c r="DX84" s="1">
        <v>31345322.399999999</v>
      </c>
      <c r="DY84" s="1">
        <v>-1110160.2399999984</v>
      </c>
      <c r="DZ84" s="1">
        <v>92570020.519999966</v>
      </c>
      <c r="EA84" s="1">
        <v>0</v>
      </c>
      <c r="EB84" s="1">
        <v>0</v>
      </c>
      <c r="EC84" s="1" t="s">
        <v>176</v>
      </c>
      <c r="EE84" s="1">
        <v>0</v>
      </c>
      <c r="EF84" s="1">
        <v>3</v>
      </c>
      <c r="EG84" s="1">
        <v>0</v>
      </c>
      <c r="EH84" s="3">
        <v>0.10445691</v>
      </c>
      <c r="EI84" s="1">
        <v>0</v>
      </c>
      <c r="EL84" s="1">
        <v>0</v>
      </c>
      <c r="EM84" s="1">
        <v>0</v>
      </c>
      <c r="EN84" s="1">
        <v>1633661.45</v>
      </c>
      <c r="EO84" s="1">
        <v>1.2333592799999999</v>
      </c>
      <c r="ER84" s="1">
        <v>96.626833333332996</v>
      </c>
      <c r="ES84" s="1">
        <v>1</v>
      </c>
      <c r="ET84" s="3">
        <v>14.658625504</v>
      </c>
      <c r="EU84" s="3">
        <v>0.34166666699999998</v>
      </c>
      <c r="EV84" s="3">
        <v>0.30759693906199997</v>
      </c>
      <c r="EW84" s="3">
        <v>0.34520547899999998</v>
      </c>
      <c r="EX84" s="3">
        <v>3.9793349999999996E-3</v>
      </c>
      <c r="EY84" s="3">
        <v>4</v>
      </c>
      <c r="EZ84" s="3">
        <v>126</v>
      </c>
      <c r="FA84" s="1">
        <v>0</v>
      </c>
      <c r="FB84" s="1">
        <v>0</v>
      </c>
      <c r="FC84" s="3">
        <v>23.428402211000002</v>
      </c>
      <c r="FD84" s="1">
        <v>0</v>
      </c>
      <c r="FE84" s="1">
        <v>0</v>
      </c>
    </row>
    <row r="85" spans="1:161" x14ac:dyDescent="0.3">
      <c r="A85" s="1">
        <v>16975594</v>
      </c>
      <c r="B85" s="1">
        <v>128</v>
      </c>
      <c r="C85" s="1">
        <v>8774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100</v>
      </c>
      <c r="J85" s="3">
        <v>100</v>
      </c>
      <c r="K85" s="1">
        <v>100000</v>
      </c>
      <c r="L85" s="1">
        <v>100000</v>
      </c>
      <c r="M85" s="1">
        <v>100000</v>
      </c>
      <c r="N85" s="3">
        <v>82898.12</v>
      </c>
      <c r="O85" s="1">
        <v>127222</v>
      </c>
      <c r="P85" s="1">
        <v>105464.64</v>
      </c>
      <c r="Q85" s="1">
        <v>127222</v>
      </c>
      <c r="R85" s="1">
        <v>105464.64</v>
      </c>
      <c r="S85" s="1">
        <v>100000</v>
      </c>
      <c r="T85" s="1">
        <v>82898.12</v>
      </c>
      <c r="U85" s="1">
        <v>100000</v>
      </c>
      <c r="V85" s="1">
        <v>82898.12</v>
      </c>
      <c r="W85" s="1">
        <v>0</v>
      </c>
      <c r="X85" s="1">
        <v>0</v>
      </c>
      <c r="Y85" s="1">
        <v>0</v>
      </c>
      <c r="Z85" s="1">
        <v>0</v>
      </c>
      <c r="AA85" s="1">
        <v>-167.21</v>
      </c>
      <c r="AB85" s="1">
        <v>-158.15</v>
      </c>
      <c r="AC85" s="1">
        <v>-167.21</v>
      </c>
      <c r="AD85" s="1">
        <v>-158.15</v>
      </c>
      <c r="AE85" s="3" t="s">
        <v>262</v>
      </c>
      <c r="AF85" s="3" t="s">
        <v>161</v>
      </c>
      <c r="AG85" s="1" t="s">
        <v>970</v>
      </c>
      <c r="AH85" s="3" t="s">
        <v>263</v>
      </c>
      <c r="AI85" s="1">
        <v>5</v>
      </c>
      <c r="AJ85" s="3" t="s">
        <v>162</v>
      </c>
      <c r="AK85" s="1" t="s">
        <v>191</v>
      </c>
      <c r="AL85" s="3">
        <v>92.190383348159997</v>
      </c>
      <c r="AM85" s="3">
        <v>91.782083333331002</v>
      </c>
      <c r="AN85" s="3">
        <v>91782.080000000002</v>
      </c>
      <c r="AO85" s="3">
        <v>87544.91</v>
      </c>
      <c r="AP85" s="1" t="s">
        <v>164</v>
      </c>
      <c r="AQ85" s="1">
        <v>4</v>
      </c>
      <c r="AR85" s="1" t="s">
        <v>165</v>
      </c>
      <c r="AS85" s="3">
        <v>132534288.59999999</v>
      </c>
      <c r="AT85" s="1" t="s">
        <v>176</v>
      </c>
      <c r="AU85" s="1">
        <v>1</v>
      </c>
      <c r="AV85" s="1">
        <v>1</v>
      </c>
      <c r="AW85" s="3" t="s">
        <v>180</v>
      </c>
      <c r="AX85" s="3" t="s">
        <v>264</v>
      </c>
      <c r="AY85" s="1">
        <v>0</v>
      </c>
      <c r="BA85" s="3">
        <v>8205251.6799999997</v>
      </c>
      <c r="BB85" s="1">
        <v>1.0484</v>
      </c>
      <c r="BD85" s="1" t="s">
        <v>971</v>
      </c>
      <c r="BE85" s="1">
        <v>1</v>
      </c>
      <c r="BF85" s="1">
        <v>1</v>
      </c>
      <c r="BG85" s="1" t="s">
        <v>168</v>
      </c>
      <c r="BH85" s="1">
        <v>0</v>
      </c>
      <c r="BI85" s="1">
        <v>31345322.399999999</v>
      </c>
      <c r="BJ85" s="1">
        <v>0</v>
      </c>
      <c r="BK85" s="1">
        <v>123618989.48999999</v>
      </c>
      <c r="BL85" s="1">
        <v>132456249.91</v>
      </c>
      <c r="BM85" s="1">
        <v>596150.00000000012</v>
      </c>
      <c r="BN85" s="1">
        <v>9219855.2300000004</v>
      </c>
      <c r="BO85" s="1">
        <v>23.664660909999998</v>
      </c>
      <c r="BP85" s="1">
        <v>0.45007313999999998</v>
      </c>
      <c r="BQ85" s="1">
        <v>6.9606796500000003</v>
      </c>
      <c r="BR85" s="1">
        <v>6.6093449999999998E-2</v>
      </c>
      <c r="BS85" s="1" t="s">
        <v>169</v>
      </c>
      <c r="BT85" s="1" t="s">
        <v>169</v>
      </c>
      <c r="BU85" s="1">
        <v>26356083.120000001</v>
      </c>
      <c r="BV85" s="1">
        <v>0</v>
      </c>
      <c r="BW85" s="1">
        <v>350.76</v>
      </c>
      <c r="BX85" s="1">
        <v>-0.44</v>
      </c>
      <c r="BY85" s="1" t="s">
        <v>170</v>
      </c>
      <c r="BZ85" s="1">
        <v>-78038.69</v>
      </c>
      <c r="CA85" s="1" t="s">
        <v>250</v>
      </c>
      <c r="CB85" s="1" t="s">
        <v>251</v>
      </c>
      <c r="CC85" s="1">
        <v>-34864.410000000003</v>
      </c>
      <c r="CD85" s="1">
        <v>-18112.34</v>
      </c>
      <c r="CE85" s="1">
        <v>92190.38</v>
      </c>
      <c r="CF85" s="1">
        <v>87194.15</v>
      </c>
      <c r="CG85" s="1">
        <v>0</v>
      </c>
      <c r="CH85" s="1">
        <v>1.4438757900000001</v>
      </c>
      <c r="CI85" s="1">
        <v>13.27863496</v>
      </c>
      <c r="CJ85" s="1">
        <v>17588381.91</v>
      </c>
      <c r="CK85" s="1">
        <v>1912503.72</v>
      </c>
      <c r="CL85" s="1">
        <v>6269233.6699999999</v>
      </c>
      <c r="CM85" s="1" t="s">
        <v>164</v>
      </c>
      <c r="CN85" s="1" t="s">
        <v>164</v>
      </c>
      <c r="CO85" s="1" t="s">
        <v>184</v>
      </c>
      <c r="CP85" s="1" t="s">
        <v>243</v>
      </c>
      <c r="CQ85" s="3" t="s">
        <v>252</v>
      </c>
      <c r="CR85" s="1">
        <v>0</v>
      </c>
      <c r="CS85" s="1" t="s">
        <v>243</v>
      </c>
      <c r="CT85" s="1">
        <v>7.0818329999999999E-2</v>
      </c>
      <c r="CV85" s="1">
        <v>0</v>
      </c>
      <c r="CW85" s="1">
        <v>-219173.26</v>
      </c>
      <c r="DA85" s="1">
        <v>1355558.46</v>
      </c>
      <c r="DB85" s="1">
        <v>0</v>
      </c>
      <c r="DC85" s="1">
        <v>2520.3126550000002</v>
      </c>
      <c r="DD85" s="1">
        <v>52555.483399999997</v>
      </c>
      <c r="DE85" s="1">
        <v>-296353.43</v>
      </c>
      <c r="DF85" s="1">
        <v>92570020.519999996</v>
      </c>
      <c r="DG85" s="1">
        <v>-408.3</v>
      </c>
      <c r="DH85" s="1">
        <v>394770.09</v>
      </c>
      <c r="DI85" s="1">
        <v>0.29803809999999997</v>
      </c>
      <c r="DK85" s="1">
        <v>0</v>
      </c>
      <c r="DL85" s="1">
        <v>0</v>
      </c>
      <c r="DM85" s="1">
        <v>-296353.43</v>
      </c>
      <c r="DN85" s="1">
        <v>0</v>
      </c>
      <c r="DO85" s="1">
        <v>0</v>
      </c>
      <c r="DP85" s="1">
        <v>16777215</v>
      </c>
      <c r="DQ85" s="1">
        <v>0</v>
      </c>
      <c r="DR85" s="1">
        <v>0</v>
      </c>
      <c r="DS85" s="1">
        <v>0</v>
      </c>
      <c r="DT85" s="1">
        <v>0</v>
      </c>
      <c r="DU85" s="1">
        <v>0</v>
      </c>
      <c r="DV85" s="1">
        <v>91782.080000000002</v>
      </c>
      <c r="DW85" s="1">
        <v>87544.91</v>
      </c>
      <c r="DX85" s="1">
        <v>31345322.399999999</v>
      </c>
      <c r="DY85" s="1">
        <v>-1110160.2399999984</v>
      </c>
      <c r="DZ85" s="1">
        <v>92570020.519999966</v>
      </c>
      <c r="EA85" s="1">
        <v>0</v>
      </c>
      <c r="EB85" s="1">
        <v>0</v>
      </c>
      <c r="EC85" s="1" t="s">
        <v>176</v>
      </c>
      <c r="EE85" s="1">
        <v>0</v>
      </c>
      <c r="EF85" s="1">
        <v>3</v>
      </c>
      <c r="EG85" s="1">
        <v>0</v>
      </c>
      <c r="EH85" s="3">
        <v>9.4571559999999999E-2</v>
      </c>
      <c r="EI85" s="1">
        <v>0</v>
      </c>
      <c r="EL85" s="1">
        <v>0</v>
      </c>
      <c r="EM85" s="1">
        <v>0</v>
      </c>
      <c r="EN85" s="1">
        <v>1633661.45</v>
      </c>
      <c r="EO85" s="1">
        <v>1.2333592799999999</v>
      </c>
      <c r="ER85" s="1">
        <v>91.760180555559003</v>
      </c>
      <c r="ES85" s="1">
        <v>1.0572999999999999</v>
      </c>
      <c r="ET85" s="3">
        <v>7.9828489449999998</v>
      </c>
      <c r="EU85" s="3">
        <v>9.3416851970000003</v>
      </c>
      <c r="EV85" s="3">
        <v>8.2429366149369994</v>
      </c>
      <c r="EW85" s="3">
        <v>15.62739726</v>
      </c>
      <c r="EX85" s="3">
        <v>1.1944542440000001</v>
      </c>
      <c r="EY85" s="3">
        <v>108</v>
      </c>
      <c r="EZ85" s="3">
        <v>5704</v>
      </c>
      <c r="FA85" s="1">
        <v>0</v>
      </c>
      <c r="FB85" s="1">
        <v>0</v>
      </c>
      <c r="FC85" s="3">
        <v>4.4671129049999996</v>
      </c>
      <c r="FD85" s="1">
        <v>0</v>
      </c>
      <c r="FE85" s="1">
        <v>0</v>
      </c>
    </row>
    <row r="86" spans="1:161" x14ac:dyDescent="0.3">
      <c r="A86" s="1">
        <v>16975409</v>
      </c>
      <c r="B86" s="1">
        <v>128</v>
      </c>
      <c r="C86" s="1">
        <v>7201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300</v>
      </c>
      <c r="J86" s="3">
        <v>300</v>
      </c>
      <c r="K86" s="1">
        <v>300000</v>
      </c>
      <c r="L86" s="1">
        <v>300000</v>
      </c>
      <c r="M86" s="1">
        <v>300000</v>
      </c>
      <c r="N86" s="3">
        <v>249636.76</v>
      </c>
      <c r="O86" s="1">
        <v>435475</v>
      </c>
      <c r="P86" s="1">
        <v>362357.92</v>
      </c>
      <c r="Q86" s="1">
        <v>435475</v>
      </c>
      <c r="R86" s="1">
        <v>362357.92</v>
      </c>
      <c r="S86" s="1">
        <v>300000</v>
      </c>
      <c r="T86" s="1">
        <v>249636.76</v>
      </c>
      <c r="U86" s="1">
        <v>300000</v>
      </c>
      <c r="V86" s="1">
        <v>249636.76</v>
      </c>
      <c r="W86" s="1">
        <v>0</v>
      </c>
      <c r="X86" s="1">
        <v>0</v>
      </c>
      <c r="Y86" s="1">
        <v>0</v>
      </c>
      <c r="Z86" s="1">
        <v>0</v>
      </c>
      <c r="AA86" s="1">
        <v>-13772.29</v>
      </c>
      <c r="AB86" s="1">
        <v>-13025.91</v>
      </c>
      <c r="AC86" s="1">
        <v>-13772.29</v>
      </c>
      <c r="AD86" s="1">
        <v>-13025.91</v>
      </c>
      <c r="AE86" s="3" t="s">
        <v>265</v>
      </c>
      <c r="AF86" s="3" t="s">
        <v>161</v>
      </c>
      <c r="AG86" s="1" t="s">
        <v>970</v>
      </c>
      <c r="AH86" s="3" t="s">
        <v>266</v>
      </c>
      <c r="AI86" s="1">
        <v>5</v>
      </c>
      <c r="AJ86" s="3" t="s">
        <v>162</v>
      </c>
      <c r="AK86" s="1" t="s">
        <v>176</v>
      </c>
      <c r="AL86" s="3">
        <v>105.119942770337</v>
      </c>
      <c r="AM86" s="3">
        <v>103.730652777778</v>
      </c>
      <c r="AN86" s="3">
        <v>311191.96000000002</v>
      </c>
      <c r="AO86" s="3">
        <v>296825.59999999998</v>
      </c>
      <c r="AP86" s="1" t="s">
        <v>164</v>
      </c>
      <c r="AQ86" s="1">
        <v>4</v>
      </c>
      <c r="AR86" s="1" t="s">
        <v>165</v>
      </c>
      <c r="AS86" s="3">
        <v>132534288.59999999</v>
      </c>
      <c r="AT86" s="1" t="s">
        <v>176</v>
      </c>
      <c r="AU86" s="1">
        <v>1</v>
      </c>
      <c r="AV86" s="1">
        <v>1</v>
      </c>
      <c r="AW86" s="3" t="s">
        <v>180</v>
      </c>
      <c r="AX86" s="3" t="s">
        <v>264</v>
      </c>
      <c r="AY86" s="1">
        <v>0</v>
      </c>
      <c r="BA86" s="3">
        <v>8205251.6799999997</v>
      </c>
      <c r="BB86" s="1">
        <v>1.0484</v>
      </c>
      <c r="BD86" s="1" t="s">
        <v>971</v>
      </c>
      <c r="BE86" s="1">
        <v>1</v>
      </c>
      <c r="BF86" s="1">
        <v>1</v>
      </c>
      <c r="BG86" s="1" t="s">
        <v>168</v>
      </c>
      <c r="BH86" s="1">
        <v>0</v>
      </c>
      <c r="BI86" s="1">
        <v>31345322.399999999</v>
      </c>
      <c r="BJ86" s="1">
        <v>0</v>
      </c>
      <c r="BK86" s="1">
        <v>123618989.48999999</v>
      </c>
      <c r="BL86" s="1">
        <v>132456249.91</v>
      </c>
      <c r="BM86" s="1">
        <v>596150.00000000012</v>
      </c>
      <c r="BN86" s="1">
        <v>9219855.2300000004</v>
      </c>
      <c r="BO86" s="1">
        <v>23.664660909999998</v>
      </c>
      <c r="BP86" s="1">
        <v>0.45007313999999998</v>
      </c>
      <c r="BQ86" s="1">
        <v>6.9606796500000003</v>
      </c>
      <c r="BR86" s="1">
        <v>0.22409330999999999</v>
      </c>
      <c r="BS86" s="1" t="s">
        <v>169</v>
      </c>
      <c r="BT86" s="1" t="s">
        <v>169</v>
      </c>
      <c r="BU86" s="1">
        <v>26356083.120000001</v>
      </c>
      <c r="BV86" s="1">
        <v>0</v>
      </c>
      <c r="BW86" s="1">
        <v>-1443.42</v>
      </c>
      <c r="BX86" s="1">
        <v>-1.32</v>
      </c>
      <c r="BY86" s="1" t="s">
        <v>170</v>
      </c>
      <c r="BZ86" s="1">
        <v>-78038.69</v>
      </c>
      <c r="CA86" s="1" t="s">
        <v>250</v>
      </c>
      <c r="CB86" s="1" t="s">
        <v>251</v>
      </c>
      <c r="CC86" s="1">
        <v>-106342.88</v>
      </c>
      <c r="CD86" s="1">
        <v>-51062.99</v>
      </c>
      <c r="CE86" s="1">
        <v>315359.83</v>
      </c>
      <c r="CF86" s="1">
        <v>298269.02</v>
      </c>
      <c r="CG86" s="1">
        <v>0</v>
      </c>
      <c r="CH86" s="1">
        <v>1.4438757900000001</v>
      </c>
      <c r="CI86" s="1">
        <v>13.27863496</v>
      </c>
      <c r="CJ86" s="1">
        <v>17588381.91</v>
      </c>
      <c r="CK86" s="1">
        <v>1912503.72</v>
      </c>
      <c r="CL86" s="1">
        <v>6269233.6699999999</v>
      </c>
      <c r="CM86" s="1" t="s">
        <v>164</v>
      </c>
      <c r="CN86" s="1" t="s">
        <v>164</v>
      </c>
      <c r="CO86" s="1" t="s">
        <v>184</v>
      </c>
      <c r="CP86" s="1" t="s">
        <v>243</v>
      </c>
      <c r="CQ86" s="3" t="s">
        <v>252</v>
      </c>
      <c r="CR86" s="1">
        <v>0</v>
      </c>
      <c r="CS86" s="1" t="s">
        <v>243</v>
      </c>
      <c r="CT86" s="1">
        <v>0.24011326999999999</v>
      </c>
      <c r="CV86" s="1">
        <v>0</v>
      </c>
      <c r="CW86" s="1">
        <v>-219173.26</v>
      </c>
      <c r="DA86" s="1">
        <v>1355558.46</v>
      </c>
      <c r="DB86" s="1">
        <v>0</v>
      </c>
      <c r="DC86" s="1">
        <v>2520.3126550000002</v>
      </c>
      <c r="DD86" s="1">
        <v>52555.483399999997</v>
      </c>
      <c r="DE86" s="1">
        <v>-296353.43</v>
      </c>
      <c r="DF86" s="1">
        <v>92570020.519999996</v>
      </c>
      <c r="DG86" s="1">
        <v>-4167.87</v>
      </c>
      <c r="DH86" s="1">
        <v>394770.09</v>
      </c>
      <c r="DI86" s="1">
        <v>0.29803809999999997</v>
      </c>
      <c r="DK86" s="1">
        <v>0</v>
      </c>
      <c r="DL86" s="1">
        <v>0</v>
      </c>
      <c r="DM86" s="1">
        <v>-296353.43</v>
      </c>
      <c r="DN86" s="1">
        <v>0</v>
      </c>
      <c r="DO86" s="1">
        <v>0</v>
      </c>
      <c r="DP86" s="1">
        <v>16777215</v>
      </c>
      <c r="DQ86" s="1">
        <v>0</v>
      </c>
      <c r="DR86" s="1">
        <v>0</v>
      </c>
      <c r="DS86" s="1">
        <v>0</v>
      </c>
      <c r="DT86" s="1">
        <v>0</v>
      </c>
      <c r="DU86" s="1">
        <v>0</v>
      </c>
      <c r="DV86" s="1">
        <v>311191.96000000002</v>
      </c>
      <c r="DW86" s="1">
        <v>296825.59999999998</v>
      </c>
      <c r="DX86" s="1">
        <v>31345322.399999999</v>
      </c>
      <c r="DY86" s="1">
        <v>-1110160.2399999984</v>
      </c>
      <c r="DZ86" s="1">
        <v>92570020.519999966</v>
      </c>
      <c r="EA86" s="1">
        <v>0</v>
      </c>
      <c r="EB86" s="1">
        <v>0</v>
      </c>
      <c r="EC86" s="1" t="s">
        <v>176</v>
      </c>
      <c r="EE86" s="1">
        <v>0</v>
      </c>
      <c r="EF86" s="1">
        <v>3</v>
      </c>
      <c r="EG86" s="1">
        <v>0</v>
      </c>
      <c r="EH86" s="3">
        <v>0.32064981999999997</v>
      </c>
      <c r="EI86" s="1">
        <v>0</v>
      </c>
      <c r="EL86" s="1">
        <v>0</v>
      </c>
      <c r="EM86" s="1">
        <v>0</v>
      </c>
      <c r="EN86" s="1">
        <v>1633661.45</v>
      </c>
      <c r="EO86" s="1">
        <v>1.2333592799999999</v>
      </c>
      <c r="ER86" s="1">
        <v>104.983083333333</v>
      </c>
      <c r="ES86" s="1">
        <v>1.0572999999999999</v>
      </c>
      <c r="ET86" s="3">
        <v>6.8027349109999999</v>
      </c>
      <c r="EU86" s="3">
        <v>8.5074824820000003</v>
      </c>
      <c r="EV86" s="3">
        <v>8.6376202198679994</v>
      </c>
      <c r="EW86" s="3">
        <v>12.726027396999999</v>
      </c>
      <c r="EX86" s="3">
        <v>0.94737081999999995</v>
      </c>
      <c r="EY86" s="3">
        <v>99</v>
      </c>
      <c r="EZ86" s="3">
        <v>4645</v>
      </c>
      <c r="FA86" s="1">
        <v>0</v>
      </c>
      <c r="FB86" s="1">
        <v>0</v>
      </c>
      <c r="FC86" s="3">
        <v>2.9711182699999998</v>
      </c>
      <c r="FD86" s="1">
        <v>0</v>
      </c>
      <c r="FE86" s="1">
        <v>0</v>
      </c>
    </row>
    <row r="87" spans="1:161" x14ac:dyDescent="0.3">
      <c r="A87" s="1">
        <v>16975359</v>
      </c>
      <c r="B87" s="1">
        <v>128</v>
      </c>
      <c r="C87" s="1">
        <v>6512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200</v>
      </c>
      <c r="J87" s="3">
        <v>200</v>
      </c>
      <c r="K87" s="1">
        <v>200000</v>
      </c>
      <c r="L87" s="1">
        <v>200000</v>
      </c>
      <c r="M87" s="1">
        <v>200000</v>
      </c>
      <c r="N87" s="3">
        <v>172794.7</v>
      </c>
      <c r="O87" s="1">
        <v>203307</v>
      </c>
      <c r="P87" s="1">
        <v>175412.58</v>
      </c>
      <c r="Q87" s="1">
        <v>203307</v>
      </c>
      <c r="R87" s="1">
        <v>175412.58</v>
      </c>
      <c r="S87" s="1">
        <v>200000</v>
      </c>
      <c r="T87" s="1">
        <v>172794.7</v>
      </c>
      <c r="U87" s="1">
        <v>200000</v>
      </c>
      <c r="V87" s="1">
        <v>172794.7</v>
      </c>
      <c r="W87" s="1">
        <v>0</v>
      </c>
      <c r="X87" s="1">
        <v>0</v>
      </c>
      <c r="Y87" s="1">
        <v>0</v>
      </c>
      <c r="Z87" s="1">
        <v>0</v>
      </c>
      <c r="AA87" s="1">
        <v>4420.57</v>
      </c>
      <c r="AB87" s="1">
        <v>4181</v>
      </c>
      <c r="AC87" s="1">
        <v>4420.57</v>
      </c>
      <c r="AD87" s="1">
        <v>4181</v>
      </c>
      <c r="AE87" s="3" t="s">
        <v>268</v>
      </c>
      <c r="AF87" s="3" t="s">
        <v>161</v>
      </c>
      <c r="AG87" s="1" t="s">
        <v>970</v>
      </c>
      <c r="AH87" s="3" t="s">
        <v>269</v>
      </c>
      <c r="AI87" s="1">
        <v>5</v>
      </c>
      <c r="AJ87" s="3" t="s">
        <v>162</v>
      </c>
      <c r="AK87" s="1" t="s">
        <v>179</v>
      </c>
      <c r="AL87" s="3">
        <v>99.526413332033002</v>
      </c>
      <c r="AM87" s="3">
        <v>99.448833333332999</v>
      </c>
      <c r="AN87" s="3">
        <v>198897.67</v>
      </c>
      <c r="AO87" s="3">
        <v>189715.44</v>
      </c>
      <c r="AP87" s="1" t="s">
        <v>164</v>
      </c>
      <c r="AQ87" s="1">
        <v>4</v>
      </c>
      <c r="AR87" s="1" t="s">
        <v>165</v>
      </c>
      <c r="AS87" s="3">
        <v>132534288.59999999</v>
      </c>
      <c r="AT87" s="1" t="s">
        <v>176</v>
      </c>
      <c r="AU87" s="1">
        <v>1</v>
      </c>
      <c r="AV87" s="1">
        <v>1</v>
      </c>
      <c r="AW87" s="3" t="s">
        <v>180</v>
      </c>
      <c r="AX87" s="3" t="s">
        <v>264</v>
      </c>
      <c r="AY87" s="1">
        <v>0</v>
      </c>
      <c r="BA87" s="3">
        <v>8205251.6799999997</v>
      </c>
      <c r="BB87" s="1">
        <v>1.0484</v>
      </c>
      <c r="BD87" s="1" t="s">
        <v>971</v>
      </c>
      <c r="BE87" s="1">
        <v>1</v>
      </c>
      <c r="BF87" s="1">
        <v>1</v>
      </c>
      <c r="BG87" s="1" t="s">
        <v>168</v>
      </c>
      <c r="BH87" s="1">
        <v>0</v>
      </c>
      <c r="BI87" s="1">
        <v>31345322.399999999</v>
      </c>
      <c r="BJ87" s="1">
        <v>0</v>
      </c>
      <c r="BK87" s="1">
        <v>123618989.48999999</v>
      </c>
      <c r="BL87" s="1">
        <v>132456249.91</v>
      </c>
      <c r="BM87" s="1">
        <v>596150.00000000012</v>
      </c>
      <c r="BN87" s="1">
        <v>9219855.2300000004</v>
      </c>
      <c r="BO87" s="1">
        <v>23.664660909999998</v>
      </c>
      <c r="BP87" s="1">
        <v>0.45007313999999998</v>
      </c>
      <c r="BQ87" s="1">
        <v>6.9606796500000003</v>
      </c>
      <c r="BR87" s="1">
        <v>0.14322876000000001</v>
      </c>
      <c r="BS87" s="1" t="s">
        <v>169</v>
      </c>
      <c r="BT87" s="1" t="s">
        <v>169</v>
      </c>
      <c r="BU87" s="1">
        <v>26356083.120000001</v>
      </c>
      <c r="BV87" s="1">
        <v>0</v>
      </c>
      <c r="BW87" s="1">
        <v>1450.21</v>
      </c>
      <c r="BX87" s="1">
        <v>-0.08</v>
      </c>
      <c r="BY87" s="1" t="s">
        <v>170</v>
      </c>
      <c r="BZ87" s="1">
        <v>-78038.69</v>
      </c>
      <c r="CA87" s="1" t="s">
        <v>250</v>
      </c>
      <c r="CB87" s="1" t="s">
        <v>251</v>
      </c>
      <c r="CC87" s="1">
        <v>-8674.74</v>
      </c>
      <c r="CD87" s="1">
        <v>8671.65</v>
      </c>
      <c r="CE87" s="1">
        <v>199052.83</v>
      </c>
      <c r="CF87" s="1">
        <v>188265.23</v>
      </c>
      <c r="CG87" s="1">
        <v>0</v>
      </c>
      <c r="CH87" s="1">
        <v>1.4438757900000001</v>
      </c>
      <c r="CI87" s="1">
        <v>13.27863496</v>
      </c>
      <c r="CJ87" s="1">
        <v>17588381.91</v>
      </c>
      <c r="CK87" s="1">
        <v>1912503.72</v>
      </c>
      <c r="CL87" s="1">
        <v>6269233.6699999999</v>
      </c>
      <c r="CM87" s="1" t="s">
        <v>164</v>
      </c>
      <c r="CN87" s="1" t="s">
        <v>164</v>
      </c>
      <c r="CO87" s="1" t="s">
        <v>184</v>
      </c>
      <c r="CP87" s="1" t="s">
        <v>243</v>
      </c>
      <c r="CQ87" s="3" t="s">
        <v>252</v>
      </c>
      <c r="CR87" s="1">
        <v>0</v>
      </c>
      <c r="CS87" s="1" t="s">
        <v>243</v>
      </c>
      <c r="CT87" s="1">
        <v>0.15346788</v>
      </c>
      <c r="CV87" s="1">
        <v>0</v>
      </c>
      <c r="CW87" s="1">
        <v>-219173.26</v>
      </c>
      <c r="DA87" s="1">
        <v>1355558.46</v>
      </c>
      <c r="DB87" s="1">
        <v>0</v>
      </c>
      <c r="DC87" s="1">
        <v>2520.3126550000002</v>
      </c>
      <c r="DD87" s="1">
        <v>52555.483399999997</v>
      </c>
      <c r="DE87" s="1">
        <v>-296353.43</v>
      </c>
      <c r="DF87" s="1">
        <v>92570020.519999996</v>
      </c>
      <c r="DG87" s="1">
        <v>-155.16</v>
      </c>
      <c r="DH87" s="1">
        <v>394770.09</v>
      </c>
      <c r="DI87" s="1">
        <v>0.29803809999999997</v>
      </c>
      <c r="DK87" s="1">
        <v>0</v>
      </c>
      <c r="DL87" s="1">
        <v>0</v>
      </c>
      <c r="DM87" s="1">
        <v>-296353.43</v>
      </c>
      <c r="DN87" s="1">
        <v>0</v>
      </c>
      <c r="DO87" s="1">
        <v>0</v>
      </c>
      <c r="DP87" s="1">
        <v>16777215</v>
      </c>
      <c r="DQ87" s="1">
        <v>0</v>
      </c>
      <c r="DR87" s="1">
        <v>0</v>
      </c>
      <c r="DS87" s="1">
        <v>0</v>
      </c>
      <c r="DT87" s="1">
        <v>0</v>
      </c>
      <c r="DU87" s="1">
        <v>0</v>
      </c>
      <c r="DV87" s="1">
        <v>198897.67</v>
      </c>
      <c r="DW87" s="1">
        <v>189715.44</v>
      </c>
      <c r="DX87" s="1">
        <v>31345322.399999999</v>
      </c>
      <c r="DY87" s="1">
        <v>-1110160.2399999984</v>
      </c>
      <c r="DZ87" s="1">
        <v>92570020.519999966</v>
      </c>
      <c r="EA87" s="1">
        <v>0</v>
      </c>
      <c r="EB87" s="1">
        <v>0</v>
      </c>
      <c r="EC87" s="1" t="s">
        <v>176</v>
      </c>
      <c r="EE87" s="1">
        <v>0</v>
      </c>
      <c r="EF87" s="1">
        <v>3</v>
      </c>
      <c r="EG87" s="1">
        <v>0</v>
      </c>
      <c r="EH87" s="3">
        <v>0.20494264000000001</v>
      </c>
      <c r="EI87" s="1">
        <v>0</v>
      </c>
      <c r="EL87" s="1">
        <v>0</v>
      </c>
      <c r="EM87" s="1">
        <v>0</v>
      </c>
      <c r="EN87" s="1">
        <v>1633661.45</v>
      </c>
      <c r="EO87" s="1">
        <v>1.2333592799999999</v>
      </c>
      <c r="ER87" s="1">
        <v>99.561861111111</v>
      </c>
      <c r="ES87" s="1">
        <v>1.0572999999999999</v>
      </c>
      <c r="ET87" s="3">
        <v>7.5571080300000002</v>
      </c>
      <c r="EU87" s="3">
        <v>1.8971674409999999</v>
      </c>
      <c r="EV87" s="3">
        <v>1.820082415036</v>
      </c>
      <c r="EW87" s="3">
        <v>2.0383561640000001</v>
      </c>
      <c r="EX87" s="3">
        <v>5.2813654000000002E-2</v>
      </c>
      <c r="EY87" s="3">
        <v>22</v>
      </c>
      <c r="EZ87" s="3">
        <v>744</v>
      </c>
      <c r="FA87" s="1">
        <v>0</v>
      </c>
      <c r="FB87" s="1">
        <v>0</v>
      </c>
      <c r="FC87" s="3">
        <v>6.385479922</v>
      </c>
      <c r="FD87" s="1">
        <v>0</v>
      </c>
      <c r="FE87" s="1">
        <v>0</v>
      </c>
    </row>
    <row r="88" spans="1:161" x14ac:dyDescent="0.3">
      <c r="A88" s="1">
        <v>16975435</v>
      </c>
      <c r="B88" s="1">
        <v>128</v>
      </c>
      <c r="C88" s="1">
        <v>9358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1</v>
      </c>
      <c r="J88" s="3">
        <v>1</v>
      </c>
      <c r="K88" s="1">
        <v>100000</v>
      </c>
      <c r="L88" s="1">
        <v>100000</v>
      </c>
      <c r="M88" s="1">
        <v>100000</v>
      </c>
      <c r="N88" s="3">
        <v>100000</v>
      </c>
      <c r="O88" s="1">
        <v>101674</v>
      </c>
      <c r="P88" s="1">
        <v>101674</v>
      </c>
      <c r="Q88" s="1">
        <v>101674</v>
      </c>
      <c r="R88" s="1">
        <v>101674</v>
      </c>
      <c r="S88" s="1">
        <v>100000</v>
      </c>
      <c r="T88" s="1">
        <v>100000</v>
      </c>
      <c r="U88" s="1">
        <v>100000</v>
      </c>
      <c r="V88" s="1">
        <v>100000</v>
      </c>
      <c r="W88" s="1">
        <v>0</v>
      </c>
      <c r="X88" s="1">
        <v>0</v>
      </c>
      <c r="Y88" s="1">
        <v>0</v>
      </c>
      <c r="Z88" s="1">
        <v>0</v>
      </c>
      <c r="AA88" s="1">
        <v>-760.88</v>
      </c>
      <c r="AB88" s="1">
        <v>-760.88</v>
      </c>
      <c r="AC88" s="1">
        <v>-760.88</v>
      </c>
      <c r="AD88" s="1">
        <v>-760.88</v>
      </c>
      <c r="AE88" s="3" t="s">
        <v>270</v>
      </c>
      <c r="AF88" s="3" t="s">
        <v>161</v>
      </c>
      <c r="AG88" s="1" t="s">
        <v>970</v>
      </c>
      <c r="AH88" s="3" t="s">
        <v>271</v>
      </c>
      <c r="AI88" s="1">
        <v>4</v>
      </c>
      <c r="AJ88" s="3" t="s">
        <v>165</v>
      </c>
      <c r="AK88" s="1" t="s">
        <v>191</v>
      </c>
      <c r="AL88" s="3">
        <v>102.009750958814</v>
      </c>
      <c r="AM88" s="3">
        <v>102.019410958905</v>
      </c>
      <c r="AN88" s="3">
        <v>102019.41</v>
      </c>
      <c r="AO88" s="3">
        <v>102019.41</v>
      </c>
      <c r="AP88" s="1" t="s">
        <v>164</v>
      </c>
      <c r="AQ88" s="1">
        <v>4</v>
      </c>
      <c r="AR88" s="1" t="s">
        <v>165</v>
      </c>
      <c r="AS88" s="3">
        <v>132534288.59999999</v>
      </c>
      <c r="AT88" s="1" t="s">
        <v>176</v>
      </c>
      <c r="AU88" s="1">
        <v>1</v>
      </c>
      <c r="AV88" s="1">
        <v>1</v>
      </c>
      <c r="AW88" s="3" t="s">
        <v>180</v>
      </c>
      <c r="AX88" s="3" t="s">
        <v>264</v>
      </c>
      <c r="AY88" s="1">
        <v>0</v>
      </c>
      <c r="BA88" s="3">
        <v>8205251.6799999997</v>
      </c>
      <c r="BB88" s="1">
        <v>1</v>
      </c>
      <c r="BD88" s="1" t="s">
        <v>971</v>
      </c>
      <c r="BE88" s="1">
        <v>1</v>
      </c>
      <c r="BF88" s="1">
        <v>1</v>
      </c>
      <c r="BG88" s="1" t="s">
        <v>168</v>
      </c>
      <c r="BH88" s="1">
        <v>0</v>
      </c>
      <c r="BI88" s="1">
        <v>31345322.399999999</v>
      </c>
      <c r="BJ88" s="1">
        <v>0</v>
      </c>
      <c r="BK88" s="1">
        <v>123618989.48999999</v>
      </c>
      <c r="BL88" s="1">
        <v>132456249.91</v>
      </c>
      <c r="BM88" s="1">
        <v>596150.00000000012</v>
      </c>
      <c r="BN88" s="1">
        <v>9219855.2300000004</v>
      </c>
      <c r="BO88" s="1">
        <v>23.664660909999998</v>
      </c>
      <c r="BP88" s="1">
        <v>0.45007313999999998</v>
      </c>
      <c r="BQ88" s="1">
        <v>6.9606796500000003</v>
      </c>
      <c r="BR88" s="1">
        <v>7.7021210000000007E-2</v>
      </c>
      <c r="BS88" s="1" t="s">
        <v>169</v>
      </c>
      <c r="BT88" s="1" t="s">
        <v>169</v>
      </c>
      <c r="BU88" s="1">
        <v>26356083.120000001</v>
      </c>
      <c r="BV88" s="1">
        <v>0</v>
      </c>
      <c r="BW88" s="1">
        <v>9.66</v>
      </c>
      <c r="BX88" s="1">
        <v>0.01</v>
      </c>
      <c r="BY88" s="1" t="s">
        <v>170</v>
      </c>
      <c r="BZ88" s="1">
        <v>-78038.69</v>
      </c>
      <c r="CA88" s="1" t="s">
        <v>250</v>
      </c>
      <c r="CB88" s="1" t="s">
        <v>251</v>
      </c>
      <c r="CC88" s="1">
        <v>1096.6300000000001</v>
      </c>
      <c r="CD88" s="1">
        <v>1096.6300000000001</v>
      </c>
      <c r="CE88" s="1">
        <v>102009.75</v>
      </c>
      <c r="CF88" s="1">
        <v>102009.75</v>
      </c>
      <c r="CG88" s="1">
        <v>0</v>
      </c>
      <c r="CH88" s="1">
        <v>1.4438757900000001</v>
      </c>
      <c r="CI88" s="1">
        <v>13.27863496</v>
      </c>
      <c r="CJ88" s="1">
        <v>17588381.91</v>
      </c>
      <c r="CK88" s="1">
        <v>1912503.72</v>
      </c>
      <c r="CL88" s="1">
        <v>6269233.6699999999</v>
      </c>
      <c r="CM88" s="1" t="s">
        <v>164</v>
      </c>
      <c r="CN88" s="1" t="s">
        <v>164</v>
      </c>
      <c r="CO88" s="1" t="s">
        <v>184</v>
      </c>
      <c r="CP88" s="1" t="s">
        <v>243</v>
      </c>
      <c r="CQ88" s="3" t="s">
        <v>252</v>
      </c>
      <c r="CR88" s="1">
        <v>0</v>
      </c>
      <c r="CS88" s="1" t="s">
        <v>243</v>
      </c>
      <c r="CT88" s="1">
        <v>8.2527299999999998E-2</v>
      </c>
      <c r="CV88" s="1">
        <v>0</v>
      </c>
      <c r="CW88" s="1">
        <v>-219173.26</v>
      </c>
      <c r="DA88" s="1">
        <v>1355558.46</v>
      </c>
      <c r="DB88" s="1">
        <v>0</v>
      </c>
      <c r="DC88" s="1">
        <v>2520.3126550000002</v>
      </c>
      <c r="DD88" s="1">
        <v>52555.483399999997</v>
      </c>
      <c r="DE88" s="1">
        <v>-296353.43</v>
      </c>
      <c r="DF88" s="1">
        <v>92570020.519999996</v>
      </c>
      <c r="DG88" s="1">
        <v>9.66</v>
      </c>
      <c r="DH88" s="1">
        <v>394770.09</v>
      </c>
      <c r="DI88" s="1">
        <v>0.29803809999999997</v>
      </c>
      <c r="DK88" s="1">
        <v>0</v>
      </c>
      <c r="DL88" s="1">
        <v>0</v>
      </c>
      <c r="DM88" s="1">
        <v>-296353.43</v>
      </c>
      <c r="DN88" s="1">
        <v>0</v>
      </c>
      <c r="DO88" s="1">
        <v>0</v>
      </c>
      <c r="DP88" s="1">
        <v>16777215</v>
      </c>
      <c r="DQ88" s="1">
        <v>0</v>
      </c>
      <c r="DR88" s="1">
        <v>0</v>
      </c>
      <c r="DS88" s="1">
        <v>0</v>
      </c>
      <c r="DT88" s="1">
        <v>0</v>
      </c>
      <c r="DU88" s="1">
        <v>0</v>
      </c>
      <c r="DV88" s="1">
        <v>102019.41</v>
      </c>
      <c r="DW88" s="1">
        <v>102019.41</v>
      </c>
      <c r="DX88" s="1">
        <v>31345322.399999999</v>
      </c>
      <c r="DY88" s="1">
        <v>-1110160.2399999984</v>
      </c>
      <c r="DZ88" s="1">
        <v>92570020.519999966</v>
      </c>
      <c r="EA88" s="1">
        <v>0</v>
      </c>
      <c r="EB88" s="1">
        <v>0</v>
      </c>
      <c r="EC88" s="1" t="s">
        <v>176</v>
      </c>
      <c r="EE88" s="1">
        <v>0</v>
      </c>
      <c r="EF88" s="1">
        <v>3</v>
      </c>
      <c r="EG88" s="1">
        <v>0</v>
      </c>
      <c r="EH88" s="3">
        <v>0.11020783000000001</v>
      </c>
      <c r="EI88" s="1">
        <v>0</v>
      </c>
      <c r="EL88" s="1">
        <v>0</v>
      </c>
      <c r="EM88" s="1">
        <v>0</v>
      </c>
      <c r="EN88" s="1">
        <v>1633661.45</v>
      </c>
      <c r="EO88" s="1">
        <v>1.2333592799999999</v>
      </c>
      <c r="ER88" s="1">
        <v>102.010691780823</v>
      </c>
      <c r="ES88" s="1">
        <v>1</v>
      </c>
      <c r="ET88" s="3">
        <v>138.89586555</v>
      </c>
      <c r="EU88" s="3">
        <v>5.4794520000000001E-3</v>
      </c>
      <c r="EV88" s="3">
        <v>2.3397753729999999E-3</v>
      </c>
      <c r="EW88" s="3">
        <v>0.17260274</v>
      </c>
      <c r="EX88" s="3">
        <v>9.6539999999999994E-6</v>
      </c>
      <c r="EY88" s="3">
        <v>0</v>
      </c>
      <c r="EZ88" s="3">
        <v>63</v>
      </c>
      <c r="FA88" s="1">
        <v>0</v>
      </c>
      <c r="FB88" s="1">
        <v>0</v>
      </c>
      <c r="FC88" s="3">
        <v>336.75477292599999</v>
      </c>
      <c r="FD88" s="1">
        <v>0</v>
      </c>
      <c r="FE88" s="1">
        <v>0</v>
      </c>
    </row>
    <row r="89" spans="1:161" x14ac:dyDescent="0.3">
      <c r="A89" s="1">
        <v>16975430</v>
      </c>
      <c r="B89" s="1">
        <v>128</v>
      </c>
      <c r="C89" s="1">
        <v>8958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1</v>
      </c>
      <c r="J89" s="3">
        <v>1</v>
      </c>
      <c r="K89" s="1">
        <v>100000</v>
      </c>
      <c r="L89" s="1">
        <v>100000</v>
      </c>
      <c r="M89" s="1">
        <v>100000</v>
      </c>
      <c r="N89" s="3">
        <v>100000</v>
      </c>
      <c r="O89" s="1">
        <v>109131</v>
      </c>
      <c r="P89" s="1">
        <v>109131</v>
      </c>
      <c r="Q89" s="1">
        <v>109131</v>
      </c>
      <c r="R89" s="1">
        <v>109131</v>
      </c>
      <c r="S89" s="1">
        <v>100000</v>
      </c>
      <c r="T89" s="1">
        <v>100000</v>
      </c>
      <c r="U89" s="1">
        <v>100000</v>
      </c>
      <c r="V89" s="1">
        <v>100000</v>
      </c>
      <c r="W89" s="1">
        <v>0</v>
      </c>
      <c r="X89" s="1">
        <v>0</v>
      </c>
      <c r="Y89" s="1">
        <v>0</v>
      </c>
      <c r="Z89" s="1">
        <v>0</v>
      </c>
      <c r="AA89" s="1">
        <v>-5470.02</v>
      </c>
      <c r="AB89" s="1">
        <v>-5470.02</v>
      </c>
      <c r="AC89" s="1">
        <v>-5470.02</v>
      </c>
      <c r="AD89" s="1">
        <v>-5470.02</v>
      </c>
      <c r="AE89" s="3" t="s">
        <v>272</v>
      </c>
      <c r="AF89" s="3" t="s">
        <v>161</v>
      </c>
      <c r="AG89" s="1" t="s">
        <v>970</v>
      </c>
      <c r="AH89" s="3" t="s">
        <v>273</v>
      </c>
      <c r="AI89" s="1">
        <v>4</v>
      </c>
      <c r="AJ89" s="3" t="s">
        <v>165</v>
      </c>
      <c r="AK89" s="1" t="s">
        <v>191</v>
      </c>
      <c r="AL89" s="3">
        <v>100.543711037824</v>
      </c>
      <c r="AM89" s="3">
        <v>100.585071038251</v>
      </c>
      <c r="AN89" s="3">
        <v>100585.07</v>
      </c>
      <c r="AO89" s="3">
        <v>100585.07</v>
      </c>
      <c r="AP89" s="1" t="s">
        <v>164</v>
      </c>
      <c r="AQ89" s="1">
        <v>4</v>
      </c>
      <c r="AR89" s="1" t="s">
        <v>165</v>
      </c>
      <c r="AS89" s="3">
        <v>132534288.59999999</v>
      </c>
      <c r="AT89" s="1" t="s">
        <v>176</v>
      </c>
      <c r="AU89" s="1">
        <v>1</v>
      </c>
      <c r="AV89" s="1">
        <v>1</v>
      </c>
      <c r="AW89" s="3" t="s">
        <v>180</v>
      </c>
      <c r="AX89" s="3" t="s">
        <v>264</v>
      </c>
      <c r="AY89" s="1">
        <v>0</v>
      </c>
      <c r="BA89" s="3">
        <v>8205251.6799999997</v>
      </c>
      <c r="BB89" s="1">
        <v>1</v>
      </c>
      <c r="BD89" s="1" t="s">
        <v>971</v>
      </c>
      <c r="BE89" s="1">
        <v>1</v>
      </c>
      <c r="BF89" s="1">
        <v>1</v>
      </c>
      <c r="BG89" s="1" t="s">
        <v>168</v>
      </c>
      <c r="BH89" s="1">
        <v>0</v>
      </c>
      <c r="BI89" s="1">
        <v>31345322.399999999</v>
      </c>
      <c r="BJ89" s="1">
        <v>0</v>
      </c>
      <c r="BK89" s="1">
        <v>123618989.48999999</v>
      </c>
      <c r="BL89" s="1">
        <v>132456249.91</v>
      </c>
      <c r="BM89" s="1">
        <v>596150.00000000012</v>
      </c>
      <c r="BN89" s="1">
        <v>9219855.2300000004</v>
      </c>
      <c r="BO89" s="1">
        <v>23.664660909999998</v>
      </c>
      <c r="BP89" s="1">
        <v>0.45007313999999998</v>
      </c>
      <c r="BQ89" s="1">
        <v>6.9606796500000003</v>
      </c>
      <c r="BR89" s="1">
        <v>7.5938329999999998E-2</v>
      </c>
      <c r="BS89" s="1" t="s">
        <v>169</v>
      </c>
      <c r="BT89" s="1" t="s">
        <v>169</v>
      </c>
      <c r="BU89" s="1">
        <v>26356083.120000001</v>
      </c>
      <c r="BV89" s="1">
        <v>0</v>
      </c>
      <c r="BW89" s="1">
        <v>41.36</v>
      </c>
      <c r="BX89" s="1">
        <v>0.04</v>
      </c>
      <c r="BY89" s="1" t="s">
        <v>170</v>
      </c>
      <c r="BZ89" s="1">
        <v>-78038.69</v>
      </c>
      <c r="CA89" s="1" t="s">
        <v>250</v>
      </c>
      <c r="CB89" s="1" t="s">
        <v>251</v>
      </c>
      <c r="CC89" s="1">
        <v>-3117.27</v>
      </c>
      <c r="CD89" s="1">
        <v>-3117.27</v>
      </c>
      <c r="CE89" s="1">
        <v>100543.71</v>
      </c>
      <c r="CF89" s="1">
        <v>100543.71</v>
      </c>
      <c r="CG89" s="1">
        <v>0</v>
      </c>
      <c r="CH89" s="1">
        <v>1.4438757900000001</v>
      </c>
      <c r="CI89" s="1">
        <v>13.27863496</v>
      </c>
      <c r="CJ89" s="1">
        <v>17588381.91</v>
      </c>
      <c r="CK89" s="1">
        <v>1912503.72</v>
      </c>
      <c r="CL89" s="1">
        <v>6269233.6699999999</v>
      </c>
      <c r="CM89" s="1" t="s">
        <v>164</v>
      </c>
      <c r="CN89" s="1" t="s">
        <v>164</v>
      </c>
      <c r="CO89" s="1" t="s">
        <v>184</v>
      </c>
      <c r="CP89" s="1" t="s">
        <v>243</v>
      </c>
      <c r="CQ89" s="3" t="s">
        <v>252</v>
      </c>
      <c r="CR89" s="1">
        <v>0</v>
      </c>
      <c r="CS89" s="1" t="s">
        <v>243</v>
      </c>
      <c r="CT89" s="1">
        <v>8.1367010000000004E-2</v>
      </c>
      <c r="CV89" s="1">
        <v>0</v>
      </c>
      <c r="CW89" s="1">
        <v>-219173.26</v>
      </c>
      <c r="DA89" s="1">
        <v>1355558.46</v>
      </c>
      <c r="DB89" s="1">
        <v>0</v>
      </c>
      <c r="DC89" s="1">
        <v>2520.3126550000002</v>
      </c>
      <c r="DD89" s="1">
        <v>52555.483399999997</v>
      </c>
      <c r="DE89" s="1">
        <v>-296353.43</v>
      </c>
      <c r="DF89" s="1">
        <v>92570020.519999996</v>
      </c>
      <c r="DG89" s="1">
        <v>41.36</v>
      </c>
      <c r="DH89" s="1">
        <v>394770.09</v>
      </c>
      <c r="DI89" s="1">
        <v>0.29803809999999997</v>
      </c>
      <c r="DK89" s="1">
        <v>0</v>
      </c>
      <c r="DL89" s="1">
        <v>0</v>
      </c>
      <c r="DM89" s="1">
        <v>-296353.43</v>
      </c>
      <c r="DN89" s="1">
        <v>0</v>
      </c>
      <c r="DO89" s="1">
        <v>0</v>
      </c>
      <c r="DP89" s="1">
        <v>16777215</v>
      </c>
      <c r="DQ89" s="1">
        <v>0</v>
      </c>
      <c r="DR89" s="1">
        <v>0</v>
      </c>
      <c r="DS89" s="1">
        <v>0</v>
      </c>
      <c r="DT89" s="1">
        <v>0</v>
      </c>
      <c r="DU89" s="1">
        <v>0</v>
      </c>
      <c r="DV89" s="1">
        <v>100585.07</v>
      </c>
      <c r="DW89" s="1">
        <v>100585.07</v>
      </c>
      <c r="DX89" s="1">
        <v>31345322.399999999</v>
      </c>
      <c r="DY89" s="1">
        <v>-1110160.2399999984</v>
      </c>
      <c r="DZ89" s="1">
        <v>92570020.519999966</v>
      </c>
      <c r="EA89" s="1">
        <v>0</v>
      </c>
      <c r="EB89" s="1">
        <v>0</v>
      </c>
      <c r="EC89" s="1" t="s">
        <v>176</v>
      </c>
      <c r="EE89" s="1">
        <v>0</v>
      </c>
      <c r="EF89" s="1">
        <v>3</v>
      </c>
      <c r="EG89" s="1">
        <v>0</v>
      </c>
      <c r="EH89" s="3">
        <v>0.10865836</v>
      </c>
      <c r="EI89" s="1">
        <v>0</v>
      </c>
      <c r="EL89" s="1">
        <v>0</v>
      </c>
      <c r="EM89" s="1">
        <v>0</v>
      </c>
      <c r="EN89" s="1">
        <v>1633661.45</v>
      </c>
      <c r="EO89" s="1">
        <v>1.2333592799999999</v>
      </c>
      <c r="ER89" s="1">
        <v>100.549117486339</v>
      </c>
      <c r="ES89" s="1">
        <v>1</v>
      </c>
      <c r="ET89" s="3">
        <v>6.0300917549999999</v>
      </c>
      <c r="EU89" s="3">
        <v>0.44808743200000001</v>
      </c>
      <c r="EV89" s="3">
        <v>0.42492461357700001</v>
      </c>
      <c r="EW89" s="3">
        <v>1.2027397259999999</v>
      </c>
      <c r="EX89" s="3">
        <v>5.7716410000000001E-3</v>
      </c>
      <c r="EY89" s="3">
        <v>5</v>
      </c>
      <c r="EZ89" s="3">
        <v>439</v>
      </c>
      <c r="FA89" s="1">
        <v>0</v>
      </c>
      <c r="FB89" s="1">
        <v>0</v>
      </c>
      <c r="FC89" s="3">
        <v>-1.14480308</v>
      </c>
      <c r="FD89" s="1">
        <v>0</v>
      </c>
      <c r="FE89" s="1">
        <v>0</v>
      </c>
    </row>
    <row r="90" spans="1:161" x14ac:dyDescent="0.3">
      <c r="A90" s="1">
        <v>16975482</v>
      </c>
      <c r="B90" s="1">
        <v>128</v>
      </c>
      <c r="C90" s="1">
        <v>8982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500</v>
      </c>
      <c r="J90" s="3">
        <v>500</v>
      </c>
      <c r="K90" s="1">
        <v>500000</v>
      </c>
      <c r="L90" s="1">
        <v>500000</v>
      </c>
      <c r="M90" s="1">
        <v>500000</v>
      </c>
      <c r="N90" s="3">
        <v>500000</v>
      </c>
      <c r="O90" s="1">
        <v>515135</v>
      </c>
      <c r="P90" s="1">
        <v>515135</v>
      </c>
      <c r="Q90" s="1">
        <v>515135</v>
      </c>
      <c r="R90" s="1">
        <v>515135</v>
      </c>
      <c r="S90" s="1">
        <v>500000</v>
      </c>
      <c r="T90" s="1">
        <v>500000</v>
      </c>
      <c r="U90" s="1">
        <v>500000</v>
      </c>
      <c r="V90" s="1">
        <v>500000</v>
      </c>
      <c r="W90" s="1">
        <v>0</v>
      </c>
      <c r="X90" s="1">
        <v>0</v>
      </c>
      <c r="Y90" s="1">
        <v>0</v>
      </c>
      <c r="Z90" s="1">
        <v>0</v>
      </c>
      <c r="AA90" s="1">
        <v>-7907.25</v>
      </c>
      <c r="AB90" s="1">
        <v>-7907.25</v>
      </c>
      <c r="AC90" s="1">
        <v>-7907.25</v>
      </c>
      <c r="AD90" s="1">
        <v>-7907.25</v>
      </c>
      <c r="AE90" s="3" t="s">
        <v>274</v>
      </c>
      <c r="AF90" s="3" t="s">
        <v>161</v>
      </c>
      <c r="AG90" s="1" t="s">
        <v>970</v>
      </c>
      <c r="AH90" s="3" t="s">
        <v>275</v>
      </c>
      <c r="AI90" s="1">
        <v>4</v>
      </c>
      <c r="AJ90" s="3" t="s">
        <v>165</v>
      </c>
      <c r="AK90" s="1" t="s">
        <v>191</v>
      </c>
      <c r="AL90" s="3">
        <v>98.066903863006999</v>
      </c>
      <c r="AM90" s="3">
        <v>98.062869863013006</v>
      </c>
      <c r="AN90" s="3">
        <v>490314.35</v>
      </c>
      <c r="AO90" s="3">
        <v>490314.35</v>
      </c>
      <c r="AP90" s="1" t="s">
        <v>164</v>
      </c>
      <c r="AQ90" s="1">
        <v>4</v>
      </c>
      <c r="AR90" s="1" t="s">
        <v>165</v>
      </c>
      <c r="AS90" s="3">
        <v>132534288.59999999</v>
      </c>
      <c r="AT90" s="1" t="s">
        <v>176</v>
      </c>
      <c r="AU90" s="1">
        <v>1</v>
      </c>
      <c r="AV90" s="1">
        <v>1</v>
      </c>
      <c r="AW90" s="3" t="s">
        <v>180</v>
      </c>
      <c r="AX90" s="3" t="s">
        <v>264</v>
      </c>
      <c r="AY90" s="1">
        <v>0</v>
      </c>
      <c r="BA90" s="3">
        <v>8205251.6799999997</v>
      </c>
      <c r="BB90" s="1">
        <v>1</v>
      </c>
      <c r="BD90" s="1" t="s">
        <v>971</v>
      </c>
      <c r="BE90" s="1">
        <v>1</v>
      </c>
      <c r="BF90" s="1">
        <v>1</v>
      </c>
      <c r="BG90" s="1" t="s">
        <v>168</v>
      </c>
      <c r="BH90" s="1">
        <v>0</v>
      </c>
      <c r="BI90" s="1">
        <v>31345322.399999999</v>
      </c>
      <c r="BJ90" s="1">
        <v>0</v>
      </c>
      <c r="BK90" s="1">
        <v>123618989.48999999</v>
      </c>
      <c r="BL90" s="1">
        <v>132456249.91</v>
      </c>
      <c r="BM90" s="1">
        <v>596150.00000000012</v>
      </c>
      <c r="BN90" s="1">
        <v>9219855.2300000004</v>
      </c>
      <c r="BO90" s="1">
        <v>23.664660909999998</v>
      </c>
      <c r="BP90" s="1">
        <v>0.45007313999999998</v>
      </c>
      <c r="BQ90" s="1">
        <v>6.9606796500000003</v>
      </c>
      <c r="BR90" s="1">
        <v>0.37017079000000003</v>
      </c>
      <c r="BS90" s="1" t="s">
        <v>169</v>
      </c>
      <c r="BT90" s="1" t="s">
        <v>169</v>
      </c>
      <c r="BU90" s="1">
        <v>26356083.120000001</v>
      </c>
      <c r="BV90" s="1">
        <v>0</v>
      </c>
      <c r="BW90" s="1">
        <v>-20.170000000000002</v>
      </c>
      <c r="BX90" s="1">
        <v>0</v>
      </c>
      <c r="BY90" s="1" t="s">
        <v>170</v>
      </c>
      <c r="BZ90" s="1">
        <v>-78038.69</v>
      </c>
      <c r="CA90" s="1" t="s">
        <v>250</v>
      </c>
      <c r="CB90" s="1" t="s">
        <v>251</v>
      </c>
      <c r="CC90" s="1">
        <v>-16893.23</v>
      </c>
      <c r="CD90" s="1">
        <v>-16893.23</v>
      </c>
      <c r="CE90" s="1">
        <v>490334.52</v>
      </c>
      <c r="CF90" s="1">
        <v>490334.52</v>
      </c>
      <c r="CG90" s="1">
        <v>0</v>
      </c>
      <c r="CH90" s="1">
        <v>1.4438757900000001</v>
      </c>
      <c r="CI90" s="1">
        <v>13.27863496</v>
      </c>
      <c r="CJ90" s="1">
        <v>17588381.91</v>
      </c>
      <c r="CK90" s="1">
        <v>1912503.72</v>
      </c>
      <c r="CL90" s="1">
        <v>6269233.6699999999</v>
      </c>
      <c r="CM90" s="1" t="s">
        <v>164</v>
      </c>
      <c r="CN90" s="1" t="s">
        <v>164</v>
      </c>
      <c r="CO90" s="1" t="s">
        <v>184</v>
      </c>
      <c r="CP90" s="1" t="s">
        <v>243</v>
      </c>
      <c r="CQ90" s="3" t="s">
        <v>252</v>
      </c>
      <c r="CR90" s="1">
        <v>0</v>
      </c>
      <c r="CS90" s="1" t="s">
        <v>243</v>
      </c>
      <c r="CT90" s="1">
        <v>0.39663352000000002</v>
      </c>
      <c r="CV90" s="1">
        <v>0</v>
      </c>
      <c r="CW90" s="1">
        <v>-219173.26</v>
      </c>
      <c r="DA90" s="1">
        <v>1355558.46</v>
      </c>
      <c r="DB90" s="1">
        <v>0</v>
      </c>
      <c r="DC90" s="1">
        <v>2520.3126550000002</v>
      </c>
      <c r="DD90" s="1">
        <v>52555.483399999997</v>
      </c>
      <c r="DE90" s="1">
        <v>-296353.43</v>
      </c>
      <c r="DF90" s="1">
        <v>92570020.519999996</v>
      </c>
      <c r="DG90" s="1">
        <v>-20.170000000000002</v>
      </c>
      <c r="DH90" s="1">
        <v>394770.09</v>
      </c>
      <c r="DI90" s="1">
        <v>0.29803809999999997</v>
      </c>
      <c r="DK90" s="1">
        <v>0</v>
      </c>
      <c r="DL90" s="1">
        <v>0</v>
      </c>
      <c r="DM90" s="1">
        <v>-296353.43</v>
      </c>
      <c r="DN90" s="1">
        <v>0</v>
      </c>
      <c r="DO90" s="1">
        <v>0</v>
      </c>
      <c r="DP90" s="1">
        <v>16777215</v>
      </c>
      <c r="DQ90" s="1">
        <v>0</v>
      </c>
      <c r="DR90" s="1">
        <v>0</v>
      </c>
      <c r="DS90" s="1">
        <v>0</v>
      </c>
      <c r="DT90" s="1">
        <v>0</v>
      </c>
      <c r="DU90" s="1">
        <v>0</v>
      </c>
      <c r="DV90" s="1">
        <v>490314.35</v>
      </c>
      <c r="DW90" s="1">
        <v>490314.35</v>
      </c>
      <c r="DX90" s="1">
        <v>31345322.399999999</v>
      </c>
      <c r="DY90" s="1">
        <v>-1110160.2399999984</v>
      </c>
      <c r="DZ90" s="1">
        <v>92570020.519999966</v>
      </c>
      <c r="EA90" s="1">
        <v>0</v>
      </c>
      <c r="EB90" s="1">
        <v>0</v>
      </c>
      <c r="EC90" s="1" t="s">
        <v>176</v>
      </c>
      <c r="EE90" s="1">
        <v>0</v>
      </c>
      <c r="EF90" s="1">
        <v>3</v>
      </c>
      <c r="EG90" s="1">
        <v>0</v>
      </c>
      <c r="EH90" s="3">
        <v>0.52966862000000003</v>
      </c>
      <c r="EI90" s="1">
        <v>0</v>
      </c>
      <c r="EL90" s="1">
        <v>0</v>
      </c>
      <c r="EM90" s="1">
        <v>0</v>
      </c>
      <c r="EN90" s="1">
        <v>1633661.45</v>
      </c>
      <c r="EO90" s="1">
        <v>1.2333592799999999</v>
      </c>
      <c r="ER90" s="1">
        <v>98.066047945205995</v>
      </c>
      <c r="ES90" s="1">
        <v>1</v>
      </c>
      <c r="ET90" s="3">
        <v>5.4063777379999998</v>
      </c>
      <c r="EU90" s="3">
        <v>1.063525219</v>
      </c>
      <c r="EV90" s="3">
        <v>0.98946304089899995</v>
      </c>
      <c r="EW90" s="3">
        <v>1.0821917809999999</v>
      </c>
      <c r="EX90" s="3">
        <v>1.9857513E-2</v>
      </c>
      <c r="EY90" s="3">
        <v>12</v>
      </c>
      <c r="EZ90" s="3">
        <v>395</v>
      </c>
      <c r="FA90" s="1">
        <v>0</v>
      </c>
      <c r="FB90" s="1">
        <v>0</v>
      </c>
      <c r="FC90" s="3">
        <v>0.62821037300000004</v>
      </c>
      <c r="FD90" s="1">
        <v>0</v>
      </c>
      <c r="FE90" s="1">
        <v>0</v>
      </c>
    </row>
    <row r="91" spans="1:161" x14ac:dyDescent="0.3">
      <c r="A91" s="1">
        <v>16975399</v>
      </c>
      <c r="B91" s="1">
        <v>128</v>
      </c>
      <c r="C91" s="1">
        <v>8901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1</v>
      </c>
      <c r="J91" s="3">
        <v>1</v>
      </c>
      <c r="K91" s="1">
        <v>100000</v>
      </c>
      <c r="L91" s="1">
        <v>100000</v>
      </c>
      <c r="M91" s="1">
        <v>100000</v>
      </c>
      <c r="N91" s="3">
        <v>100000</v>
      </c>
      <c r="O91" s="1">
        <v>99507</v>
      </c>
      <c r="P91" s="1">
        <v>99507</v>
      </c>
      <c r="Q91" s="1">
        <v>99507</v>
      </c>
      <c r="R91" s="1">
        <v>99507</v>
      </c>
      <c r="S91" s="1">
        <v>100000</v>
      </c>
      <c r="T91" s="1">
        <v>100000</v>
      </c>
      <c r="U91" s="1">
        <v>100000</v>
      </c>
      <c r="V91" s="1">
        <v>100000</v>
      </c>
      <c r="W91" s="1">
        <v>0</v>
      </c>
      <c r="X91" s="1">
        <v>0</v>
      </c>
      <c r="Y91" s="1">
        <v>0</v>
      </c>
      <c r="Z91" s="1">
        <v>0</v>
      </c>
      <c r="AA91" s="1">
        <v>622.01</v>
      </c>
      <c r="AB91" s="1">
        <v>622.01</v>
      </c>
      <c r="AC91" s="1">
        <v>622.01</v>
      </c>
      <c r="AD91" s="1">
        <v>622.01</v>
      </c>
      <c r="AE91" s="3" t="s">
        <v>276</v>
      </c>
      <c r="AF91" s="3" t="s">
        <v>161</v>
      </c>
      <c r="AG91" s="1" t="s">
        <v>970</v>
      </c>
      <c r="AH91" s="3" t="s">
        <v>277</v>
      </c>
      <c r="AI91" s="1">
        <v>4</v>
      </c>
      <c r="AJ91" s="3" t="s">
        <v>165</v>
      </c>
      <c r="AK91" s="1" t="s">
        <v>176</v>
      </c>
      <c r="AL91" s="3">
        <v>89.592483839143995</v>
      </c>
      <c r="AM91" s="3">
        <v>89.510143835616006</v>
      </c>
      <c r="AN91" s="3">
        <v>89510.14</v>
      </c>
      <c r="AO91" s="3">
        <v>89510.14</v>
      </c>
      <c r="AP91" s="1" t="s">
        <v>164</v>
      </c>
      <c r="AQ91" s="1">
        <v>4</v>
      </c>
      <c r="AR91" s="1" t="s">
        <v>165</v>
      </c>
      <c r="AS91" s="3">
        <v>132534288.59999999</v>
      </c>
      <c r="AT91" s="1" t="s">
        <v>176</v>
      </c>
      <c r="AU91" s="1">
        <v>1</v>
      </c>
      <c r="AV91" s="1">
        <v>1</v>
      </c>
      <c r="AW91" s="3" t="s">
        <v>180</v>
      </c>
      <c r="AX91" s="3" t="s">
        <v>264</v>
      </c>
      <c r="AY91" s="1">
        <v>0</v>
      </c>
      <c r="BA91" s="3">
        <v>8205251.6799999997</v>
      </c>
      <c r="BB91" s="1">
        <v>1</v>
      </c>
      <c r="BD91" s="1" t="s">
        <v>971</v>
      </c>
      <c r="BE91" s="1">
        <v>1</v>
      </c>
      <c r="BF91" s="1">
        <v>1</v>
      </c>
      <c r="BG91" s="1" t="s">
        <v>168</v>
      </c>
      <c r="BH91" s="1">
        <v>0</v>
      </c>
      <c r="BI91" s="1">
        <v>31345322.399999999</v>
      </c>
      <c r="BJ91" s="1">
        <v>0</v>
      </c>
      <c r="BK91" s="1">
        <v>123618989.48999999</v>
      </c>
      <c r="BL91" s="1">
        <v>132456249.91</v>
      </c>
      <c r="BM91" s="1">
        <v>596150.00000000012</v>
      </c>
      <c r="BN91" s="1">
        <v>9219855.2300000004</v>
      </c>
      <c r="BO91" s="1">
        <v>23.664660909999998</v>
      </c>
      <c r="BP91" s="1">
        <v>0.45007313999999998</v>
      </c>
      <c r="BQ91" s="1">
        <v>6.9606796500000003</v>
      </c>
      <c r="BR91" s="1">
        <v>6.7577139999999994E-2</v>
      </c>
      <c r="BS91" s="1" t="s">
        <v>169</v>
      </c>
      <c r="BT91" s="1" t="s">
        <v>169</v>
      </c>
      <c r="BU91" s="1">
        <v>26356083.120000001</v>
      </c>
      <c r="BV91" s="1">
        <v>0</v>
      </c>
      <c r="BW91" s="1">
        <v>-82.34</v>
      </c>
      <c r="BX91" s="1">
        <v>-0.09</v>
      </c>
      <c r="BY91" s="1" t="s">
        <v>170</v>
      </c>
      <c r="BZ91" s="1">
        <v>-78038.69</v>
      </c>
      <c r="CA91" s="1" t="s">
        <v>250</v>
      </c>
      <c r="CB91" s="1" t="s">
        <v>251</v>
      </c>
      <c r="CC91" s="1">
        <v>-10536.53</v>
      </c>
      <c r="CD91" s="1">
        <v>-10536.53</v>
      </c>
      <c r="CE91" s="1">
        <v>89592.48</v>
      </c>
      <c r="CF91" s="1">
        <v>89592.48</v>
      </c>
      <c r="CG91" s="1">
        <v>0</v>
      </c>
      <c r="CH91" s="1">
        <v>1.4438757900000001</v>
      </c>
      <c r="CI91" s="1">
        <v>13.27863496</v>
      </c>
      <c r="CJ91" s="1">
        <v>17588381.91</v>
      </c>
      <c r="CK91" s="1">
        <v>1912503.72</v>
      </c>
      <c r="CL91" s="1">
        <v>6269233.6699999999</v>
      </c>
      <c r="CM91" s="1" t="s">
        <v>164</v>
      </c>
      <c r="CN91" s="1" t="s">
        <v>164</v>
      </c>
      <c r="CO91" s="1" t="s">
        <v>184</v>
      </c>
      <c r="CP91" s="1" t="s">
        <v>243</v>
      </c>
      <c r="CQ91" s="3" t="s">
        <v>252</v>
      </c>
      <c r="CR91" s="1">
        <v>0</v>
      </c>
      <c r="CS91" s="1" t="s">
        <v>243</v>
      </c>
      <c r="CT91" s="1">
        <v>7.240808E-2</v>
      </c>
      <c r="CV91" s="1">
        <v>0</v>
      </c>
      <c r="CW91" s="1">
        <v>-219173.26</v>
      </c>
      <c r="DA91" s="1">
        <v>1355558.46</v>
      </c>
      <c r="DB91" s="1">
        <v>0</v>
      </c>
      <c r="DC91" s="1">
        <v>2520.3126550000002</v>
      </c>
      <c r="DD91" s="1">
        <v>52555.483399999997</v>
      </c>
      <c r="DE91" s="1">
        <v>-296353.43</v>
      </c>
      <c r="DF91" s="1">
        <v>92570020.519999996</v>
      </c>
      <c r="DG91" s="1">
        <v>-82.34</v>
      </c>
      <c r="DH91" s="1">
        <v>394770.09</v>
      </c>
      <c r="DI91" s="1">
        <v>0.29803809999999997</v>
      </c>
      <c r="DK91" s="1">
        <v>0</v>
      </c>
      <c r="DL91" s="1">
        <v>0</v>
      </c>
      <c r="DM91" s="1">
        <v>-296353.43</v>
      </c>
      <c r="DN91" s="1">
        <v>0</v>
      </c>
      <c r="DO91" s="1">
        <v>0</v>
      </c>
      <c r="DP91" s="1">
        <v>16777215</v>
      </c>
      <c r="DQ91" s="1">
        <v>0</v>
      </c>
      <c r="DR91" s="1">
        <v>0</v>
      </c>
      <c r="DS91" s="1">
        <v>0</v>
      </c>
      <c r="DT91" s="1">
        <v>0</v>
      </c>
      <c r="DU91" s="1">
        <v>0</v>
      </c>
      <c r="DV91" s="1">
        <v>89510.14</v>
      </c>
      <c r="DW91" s="1">
        <v>89510.14</v>
      </c>
      <c r="DX91" s="1">
        <v>31345322.399999999</v>
      </c>
      <c r="DY91" s="1">
        <v>-1110160.2399999984</v>
      </c>
      <c r="DZ91" s="1">
        <v>92570020.519999966</v>
      </c>
      <c r="EA91" s="1">
        <v>0</v>
      </c>
      <c r="EB91" s="1">
        <v>0</v>
      </c>
      <c r="EC91" s="1" t="s">
        <v>176</v>
      </c>
      <c r="EE91" s="1">
        <v>0</v>
      </c>
      <c r="EF91" s="1">
        <v>3</v>
      </c>
      <c r="EG91" s="1">
        <v>0</v>
      </c>
      <c r="EH91" s="3">
        <v>9.6694520000000006E-2</v>
      </c>
      <c r="EI91" s="1">
        <v>0</v>
      </c>
      <c r="EL91" s="1">
        <v>0</v>
      </c>
      <c r="EM91" s="1">
        <v>0</v>
      </c>
      <c r="EN91" s="1">
        <v>1633661.45</v>
      </c>
      <c r="EO91" s="1">
        <v>1.2333592799999999</v>
      </c>
      <c r="ER91" s="1">
        <v>89.597589041096001</v>
      </c>
      <c r="ES91" s="1">
        <v>1</v>
      </c>
      <c r="ET91" s="3">
        <v>4.9835605789999997</v>
      </c>
      <c r="EU91" s="3">
        <v>2.82647301</v>
      </c>
      <c r="EV91" s="3">
        <v>2.4122364094190001</v>
      </c>
      <c r="EW91" s="3">
        <v>2.8712328770000002</v>
      </c>
      <c r="EX91" s="3">
        <v>9.8941997000000004E-2</v>
      </c>
      <c r="EY91" s="3">
        <v>32</v>
      </c>
      <c r="EZ91" s="3">
        <v>1048</v>
      </c>
      <c r="FA91" s="1">
        <v>0</v>
      </c>
      <c r="FB91" s="1">
        <v>0</v>
      </c>
      <c r="FC91" s="3">
        <v>1.1608384270000001</v>
      </c>
      <c r="FD91" s="1">
        <v>0</v>
      </c>
      <c r="FE91" s="1">
        <v>0</v>
      </c>
    </row>
    <row r="92" spans="1:161" x14ac:dyDescent="0.3">
      <c r="A92" s="1">
        <v>16975437</v>
      </c>
      <c r="B92" s="1">
        <v>128</v>
      </c>
      <c r="C92" s="1">
        <v>3598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1</v>
      </c>
      <c r="J92" s="3">
        <v>1</v>
      </c>
      <c r="K92" s="1">
        <v>100000</v>
      </c>
      <c r="L92" s="1">
        <v>100000</v>
      </c>
      <c r="M92" s="1">
        <v>100000</v>
      </c>
      <c r="N92" s="3">
        <v>100000</v>
      </c>
      <c r="O92" s="1">
        <v>107294</v>
      </c>
      <c r="P92" s="1">
        <v>107294</v>
      </c>
      <c r="Q92" s="1">
        <v>107294</v>
      </c>
      <c r="R92" s="1">
        <v>107294</v>
      </c>
      <c r="S92" s="1">
        <v>100000</v>
      </c>
      <c r="T92" s="1">
        <v>100000</v>
      </c>
      <c r="U92" s="1">
        <v>100000</v>
      </c>
      <c r="V92" s="1">
        <v>100000</v>
      </c>
      <c r="W92" s="1">
        <v>0</v>
      </c>
      <c r="X92" s="1">
        <v>0</v>
      </c>
      <c r="Y92" s="1">
        <v>0</v>
      </c>
      <c r="Z92" s="1">
        <v>0</v>
      </c>
      <c r="AA92" s="1">
        <v>-4366.54</v>
      </c>
      <c r="AB92" s="1">
        <v>-4366.54</v>
      </c>
      <c r="AC92" s="1">
        <v>-4366.54</v>
      </c>
      <c r="AD92" s="1">
        <v>-4366.54</v>
      </c>
      <c r="AE92" s="3" t="s">
        <v>278</v>
      </c>
      <c r="AF92" s="3" t="s">
        <v>161</v>
      </c>
      <c r="AG92" s="1" t="s">
        <v>970</v>
      </c>
      <c r="AH92" s="3" t="s">
        <v>279</v>
      </c>
      <c r="AI92" s="1">
        <v>4</v>
      </c>
      <c r="AJ92" s="3" t="s">
        <v>165</v>
      </c>
      <c r="AK92" s="1" t="s">
        <v>176</v>
      </c>
      <c r="AL92" s="3">
        <v>99.102112131631998</v>
      </c>
      <c r="AM92" s="3">
        <v>99.079672131148996</v>
      </c>
      <c r="AN92" s="3">
        <v>99079.67</v>
      </c>
      <c r="AO92" s="3">
        <v>99079.67</v>
      </c>
      <c r="AP92" s="1" t="s">
        <v>164</v>
      </c>
      <c r="AQ92" s="1">
        <v>4</v>
      </c>
      <c r="AR92" s="1" t="s">
        <v>165</v>
      </c>
      <c r="AS92" s="3">
        <v>132534288.59999999</v>
      </c>
      <c r="AT92" s="1" t="s">
        <v>176</v>
      </c>
      <c r="AU92" s="1">
        <v>1</v>
      </c>
      <c r="AV92" s="1">
        <v>1</v>
      </c>
      <c r="AW92" s="3" t="s">
        <v>180</v>
      </c>
      <c r="AX92" s="3" t="s">
        <v>167</v>
      </c>
      <c r="AY92" s="1">
        <v>0</v>
      </c>
      <c r="AZ92">
        <v>999999999</v>
      </c>
      <c r="BA92" s="3">
        <v>8205251.6799999997</v>
      </c>
      <c r="BB92" s="1">
        <v>1</v>
      </c>
      <c r="BD92" s="1" t="s">
        <v>971</v>
      </c>
      <c r="BE92" s="1">
        <v>1</v>
      </c>
      <c r="BF92" s="1">
        <v>1</v>
      </c>
      <c r="BG92" s="1" t="s">
        <v>168</v>
      </c>
      <c r="BH92" s="1">
        <v>0</v>
      </c>
      <c r="BI92" s="1">
        <v>31345322.399999999</v>
      </c>
      <c r="BJ92" s="1">
        <v>0</v>
      </c>
      <c r="BK92" s="1">
        <v>123618989.48999999</v>
      </c>
      <c r="BL92" s="1">
        <v>132456249.91</v>
      </c>
      <c r="BM92" s="1">
        <v>596150.00000000012</v>
      </c>
      <c r="BN92" s="1">
        <v>9219855.2300000004</v>
      </c>
      <c r="BO92" s="1">
        <v>23.664660909999998</v>
      </c>
      <c r="BP92" s="1">
        <v>0.45007313999999998</v>
      </c>
      <c r="BQ92" s="1">
        <v>6.9606796500000003</v>
      </c>
      <c r="BR92" s="1">
        <v>7.4801809999999996E-2</v>
      </c>
      <c r="BS92" s="1" t="s">
        <v>169</v>
      </c>
      <c r="BT92" s="1" t="s">
        <v>169</v>
      </c>
      <c r="BU92" s="1">
        <v>26356083.120000001</v>
      </c>
      <c r="BV92" s="1">
        <v>0</v>
      </c>
      <c r="BW92" s="1">
        <v>-22.44</v>
      </c>
      <c r="BX92" s="1">
        <v>-0.02</v>
      </c>
      <c r="BY92" s="1" t="s">
        <v>170</v>
      </c>
      <c r="BZ92" s="1">
        <v>-78038.69</v>
      </c>
      <c r="CA92" s="1" t="s">
        <v>250</v>
      </c>
      <c r="CB92" s="1" t="s">
        <v>251</v>
      </c>
      <c r="CC92" s="1">
        <v>-3825.35</v>
      </c>
      <c r="CD92" s="1">
        <v>-3825.35</v>
      </c>
      <c r="CE92" s="1">
        <v>99102.11</v>
      </c>
      <c r="CF92" s="1">
        <v>99102.11</v>
      </c>
      <c r="CG92" s="1">
        <v>0</v>
      </c>
      <c r="CH92" s="1">
        <v>1.4438757900000001</v>
      </c>
      <c r="CI92" s="1">
        <v>13.27863496</v>
      </c>
      <c r="CJ92" s="1">
        <v>17588381.91</v>
      </c>
      <c r="CK92" s="1">
        <v>1912503.72</v>
      </c>
      <c r="CL92" s="1">
        <v>6269233.6699999999</v>
      </c>
      <c r="CM92" s="1" t="s">
        <v>164</v>
      </c>
      <c r="CN92" s="1" t="s">
        <v>164</v>
      </c>
      <c r="CO92" s="1" t="s">
        <v>184</v>
      </c>
      <c r="CP92" s="1" t="s">
        <v>243</v>
      </c>
      <c r="CQ92" s="3" t="s">
        <v>252</v>
      </c>
      <c r="CR92" s="1">
        <v>0</v>
      </c>
      <c r="CS92" s="1" t="s">
        <v>243</v>
      </c>
      <c r="CT92" s="1">
        <v>8.0149230000000002E-2</v>
      </c>
      <c r="CV92" s="1">
        <v>0</v>
      </c>
      <c r="CW92" s="1">
        <v>-219173.26</v>
      </c>
      <c r="DA92" s="1">
        <v>1355558.46</v>
      </c>
      <c r="DB92" s="1">
        <v>0</v>
      </c>
      <c r="DC92" s="1">
        <v>2520.3126550000002</v>
      </c>
      <c r="DD92" s="1">
        <v>52555.483399999997</v>
      </c>
      <c r="DE92" s="1">
        <v>-296353.43</v>
      </c>
      <c r="DF92" s="1">
        <v>92570020.519999996</v>
      </c>
      <c r="DG92" s="1">
        <v>-22.44</v>
      </c>
      <c r="DH92" s="1">
        <v>394770.09</v>
      </c>
      <c r="DI92" s="1">
        <v>0.29803809999999997</v>
      </c>
      <c r="DK92" s="1">
        <v>0</v>
      </c>
      <c r="DL92" s="1">
        <v>0</v>
      </c>
      <c r="DM92" s="1">
        <v>-296353.43</v>
      </c>
      <c r="DN92" s="1">
        <v>0</v>
      </c>
      <c r="DO92" s="1">
        <v>0</v>
      </c>
      <c r="DP92" s="1">
        <v>16777215</v>
      </c>
      <c r="DQ92" s="1">
        <v>0</v>
      </c>
      <c r="DR92" s="1">
        <v>0</v>
      </c>
      <c r="DS92" s="1">
        <v>0</v>
      </c>
      <c r="DT92" s="1">
        <v>0</v>
      </c>
      <c r="DU92" s="1">
        <v>0</v>
      </c>
      <c r="DV92" s="1">
        <v>99079.67</v>
      </c>
      <c r="DW92" s="1">
        <v>99079.67</v>
      </c>
      <c r="DX92" s="1">
        <v>31345322.399999999</v>
      </c>
      <c r="DY92" s="1">
        <v>-1110160.2399999984</v>
      </c>
      <c r="DZ92" s="1">
        <v>92570020.519999966</v>
      </c>
      <c r="EA92" s="1">
        <v>0</v>
      </c>
      <c r="EB92" s="1">
        <v>0</v>
      </c>
      <c r="EC92" s="1" t="s">
        <v>176</v>
      </c>
      <c r="EE92" s="1">
        <v>0</v>
      </c>
      <c r="EF92" s="1">
        <v>3</v>
      </c>
      <c r="EG92" s="1">
        <v>0</v>
      </c>
      <c r="EH92" s="3">
        <v>0.10703214</v>
      </c>
      <c r="EI92" s="1">
        <v>0</v>
      </c>
      <c r="EL92" s="1">
        <v>0</v>
      </c>
      <c r="EM92" s="1">
        <v>0</v>
      </c>
      <c r="EN92" s="1">
        <v>1633661.45</v>
      </c>
      <c r="EO92" s="1">
        <v>1.2333592799999999</v>
      </c>
      <c r="ER92" s="1">
        <v>99.100316939888998</v>
      </c>
      <c r="ES92" s="1">
        <v>1</v>
      </c>
      <c r="ET92" s="3">
        <v>4.6722177509999998</v>
      </c>
      <c r="EU92" s="3">
        <v>1.2746041800000001</v>
      </c>
      <c r="EV92" s="3">
        <v>1.206754580401</v>
      </c>
      <c r="EW92" s="3">
        <v>1.298630137</v>
      </c>
      <c r="EX92" s="3">
        <v>2.6603735E-2</v>
      </c>
      <c r="EY92" s="3">
        <v>15</v>
      </c>
      <c r="EZ92" s="3">
        <v>474</v>
      </c>
      <c r="FA92" s="1">
        <v>0</v>
      </c>
      <c r="FB92" s="1">
        <v>0</v>
      </c>
      <c r="FC92" s="3">
        <v>-1.650073517</v>
      </c>
      <c r="FD92" s="1">
        <v>0</v>
      </c>
      <c r="FE92" s="1">
        <v>0</v>
      </c>
    </row>
    <row r="93" spans="1:161" x14ac:dyDescent="0.3">
      <c r="A93" s="1">
        <v>16975574</v>
      </c>
      <c r="B93" s="1">
        <v>128</v>
      </c>
      <c r="C93" s="1">
        <v>9505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100</v>
      </c>
      <c r="J93" s="3">
        <v>100</v>
      </c>
      <c r="K93" s="1">
        <v>100000</v>
      </c>
      <c r="L93" s="1">
        <v>100000</v>
      </c>
      <c r="M93" s="1">
        <v>100000</v>
      </c>
      <c r="N93" s="3">
        <v>100000</v>
      </c>
      <c r="O93" s="1">
        <v>100879.5</v>
      </c>
      <c r="P93" s="1">
        <v>100879.5</v>
      </c>
      <c r="Q93" s="1">
        <v>100879.5</v>
      </c>
      <c r="R93" s="1">
        <v>100879.5</v>
      </c>
      <c r="S93" s="1">
        <v>100000</v>
      </c>
      <c r="T93" s="1">
        <v>100000</v>
      </c>
      <c r="U93" s="1">
        <v>100000</v>
      </c>
      <c r="V93" s="1">
        <v>100000</v>
      </c>
      <c r="W93" s="1">
        <v>0</v>
      </c>
      <c r="X93" s="1">
        <v>0</v>
      </c>
      <c r="Y93" s="1">
        <v>0</v>
      </c>
      <c r="Z93" s="1">
        <v>0</v>
      </c>
      <c r="AA93" s="1">
        <v>-237.32</v>
      </c>
      <c r="AB93" s="1">
        <v>-237.32</v>
      </c>
      <c r="AC93" s="1">
        <v>-237.32</v>
      </c>
      <c r="AD93" s="1">
        <v>-237.32</v>
      </c>
      <c r="AE93" s="3" t="s">
        <v>280</v>
      </c>
      <c r="AF93" s="3" t="s">
        <v>161</v>
      </c>
      <c r="AG93" s="1" t="s">
        <v>970</v>
      </c>
      <c r="AH93" s="3" t="s">
        <v>281</v>
      </c>
      <c r="AI93" s="1">
        <v>4</v>
      </c>
      <c r="AJ93" s="3" t="s">
        <v>165</v>
      </c>
      <c r="AK93" s="1" t="s">
        <v>191</v>
      </c>
      <c r="AL93" s="3">
        <v>94.829370983879002</v>
      </c>
      <c r="AM93" s="3">
        <v>94.803040983605996</v>
      </c>
      <c r="AN93" s="3">
        <v>94803.04</v>
      </c>
      <c r="AO93" s="3">
        <v>94803.04</v>
      </c>
      <c r="AP93" s="1" t="s">
        <v>164</v>
      </c>
      <c r="AQ93" s="1">
        <v>4</v>
      </c>
      <c r="AR93" s="1" t="s">
        <v>165</v>
      </c>
      <c r="AS93" s="3">
        <v>132534288.59999999</v>
      </c>
      <c r="AT93" s="1" t="s">
        <v>176</v>
      </c>
      <c r="AU93" s="1">
        <v>1</v>
      </c>
      <c r="AV93" s="1">
        <v>1</v>
      </c>
      <c r="AW93" s="3" t="s">
        <v>196</v>
      </c>
      <c r="AX93" s="3" t="s">
        <v>282</v>
      </c>
      <c r="AY93" s="1">
        <v>0</v>
      </c>
      <c r="BA93" s="3">
        <v>8205251.6799999997</v>
      </c>
      <c r="BB93" s="1">
        <v>1</v>
      </c>
      <c r="BD93" s="1" t="s">
        <v>971</v>
      </c>
      <c r="BE93" s="1">
        <v>1</v>
      </c>
      <c r="BF93" s="1">
        <v>1</v>
      </c>
      <c r="BG93" s="1" t="s">
        <v>168</v>
      </c>
      <c r="BH93" s="1">
        <v>0</v>
      </c>
      <c r="BI93" s="1">
        <v>31345322.399999999</v>
      </c>
      <c r="BJ93" s="1">
        <v>0</v>
      </c>
      <c r="BK93" s="1">
        <v>123618989.48999999</v>
      </c>
      <c r="BL93" s="1">
        <v>132456249.91</v>
      </c>
      <c r="BM93" s="1">
        <v>596150.00000000012</v>
      </c>
      <c r="BN93" s="1">
        <v>9219855.2300000004</v>
      </c>
      <c r="BO93" s="1">
        <v>23.664660909999998</v>
      </c>
      <c r="BP93" s="1">
        <v>0.45007313999999998</v>
      </c>
      <c r="BQ93" s="1">
        <v>6.9606796500000003</v>
      </c>
      <c r="BR93" s="1">
        <v>7.1573100000000001E-2</v>
      </c>
      <c r="BS93" s="1" t="s">
        <v>169</v>
      </c>
      <c r="BT93" s="1" t="s">
        <v>169</v>
      </c>
      <c r="BU93" s="1">
        <v>26356083.120000001</v>
      </c>
      <c r="BV93" s="1">
        <v>0</v>
      </c>
      <c r="BW93" s="1">
        <v>-26.33</v>
      </c>
      <c r="BX93" s="1">
        <v>-0.03</v>
      </c>
      <c r="BY93" s="1" t="s">
        <v>170</v>
      </c>
      <c r="BZ93" s="1">
        <v>-78038.69</v>
      </c>
      <c r="CA93" s="1" t="s">
        <v>250</v>
      </c>
      <c r="CB93" s="1" t="s">
        <v>251</v>
      </c>
      <c r="CC93" s="1">
        <v>-5812.81</v>
      </c>
      <c r="CD93" s="1">
        <v>-5812.81</v>
      </c>
      <c r="CE93" s="1">
        <v>94829.37</v>
      </c>
      <c r="CF93" s="1">
        <v>94829.37</v>
      </c>
      <c r="CG93" s="1">
        <v>0</v>
      </c>
      <c r="CH93" s="1">
        <v>1.4438757900000001</v>
      </c>
      <c r="CI93" s="1">
        <v>13.27863496</v>
      </c>
      <c r="CJ93" s="1">
        <v>17588381.91</v>
      </c>
      <c r="CK93" s="1">
        <v>1912503.72</v>
      </c>
      <c r="CL93" s="1">
        <v>6269233.6699999999</v>
      </c>
      <c r="CM93" s="1" t="s">
        <v>164</v>
      </c>
      <c r="CN93" s="1" t="s">
        <v>164</v>
      </c>
      <c r="CO93" s="1" t="s">
        <v>184</v>
      </c>
      <c r="CP93" s="1" t="s">
        <v>243</v>
      </c>
      <c r="CQ93" s="3" t="s">
        <v>252</v>
      </c>
      <c r="CR93" s="1">
        <v>0</v>
      </c>
      <c r="CS93" s="1" t="s">
        <v>243</v>
      </c>
      <c r="CT93" s="1">
        <v>7.6689709999999994E-2</v>
      </c>
      <c r="CV93" s="1">
        <v>0</v>
      </c>
      <c r="CW93" s="1">
        <v>-219173.26</v>
      </c>
      <c r="DA93" s="1">
        <v>1355558.46</v>
      </c>
      <c r="DB93" s="1">
        <v>0</v>
      </c>
      <c r="DC93" s="1">
        <v>2520.3126550000002</v>
      </c>
      <c r="DD93" s="1">
        <v>52555.483399999997</v>
      </c>
      <c r="DE93" s="1">
        <v>-296353.43</v>
      </c>
      <c r="DF93" s="1">
        <v>92570020.519999996</v>
      </c>
      <c r="DG93" s="1">
        <v>-26.33</v>
      </c>
      <c r="DH93" s="1">
        <v>394770.09</v>
      </c>
      <c r="DI93" s="1">
        <v>0.29803809999999997</v>
      </c>
      <c r="DK93" s="1">
        <v>0</v>
      </c>
      <c r="DL93" s="1">
        <v>0</v>
      </c>
      <c r="DM93" s="1">
        <v>-296353.43</v>
      </c>
      <c r="DN93" s="1">
        <v>0</v>
      </c>
      <c r="DO93" s="1">
        <v>0</v>
      </c>
      <c r="DP93" s="1">
        <v>16777215</v>
      </c>
      <c r="DQ93" s="1">
        <v>0</v>
      </c>
      <c r="DR93" s="1">
        <v>0</v>
      </c>
      <c r="DS93" s="1">
        <v>0</v>
      </c>
      <c r="DT93" s="1">
        <v>0</v>
      </c>
      <c r="DU93" s="1">
        <v>0</v>
      </c>
      <c r="DV93" s="1">
        <v>94803.04</v>
      </c>
      <c r="DW93" s="1">
        <v>94803.04</v>
      </c>
      <c r="DX93" s="1">
        <v>31345322.399999999</v>
      </c>
      <c r="DY93" s="1">
        <v>-1110160.2399999984</v>
      </c>
      <c r="DZ93" s="1">
        <v>92570020.519999966</v>
      </c>
      <c r="EA93" s="1">
        <v>0</v>
      </c>
      <c r="EB93" s="1">
        <v>0</v>
      </c>
      <c r="EC93" s="1" t="s">
        <v>176</v>
      </c>
      <c r="EE93" s="1">
        <v>0</v>
      </c>
      <c r="EF93" s="1">
        <v>3</v>
      </c>
      <c r="EG93" s="1">
        <v>0</v>
      </c>
      <c r="EH93" s="3">
        <v>0.10241225</v>
      </c>
      <c r="EI93" s="1">
        <v>0</v>
      </c>
      <c r="EL93" s="1">
        <v>0</v>
      </c>
      <c r="EM93" s="1">
        <v>0</v>
      </c>
      <c r="EN93" s="1">
        <v>1633661.45</v>
      </c>
      <c r="EO93" s="1">
        <v>1.2333592799999999</v>
      </c>
      <c r="ER93" s="1">
        <v>94.803150273224006</v>
      </c>
      <c r="ES93" s="1">
        <v>1</v>
      </c>
      <c r="ET93" s="3">
        <v>4.8985321769999999</v>
      </c>
      <c r="EU93" s="3">
        <v>1.433205767</v>
      </c>
      <c r="EV93" s="3">
        <v>1.295274765616</v>
      </c>
      <c r="EW93" s="3">
        <v>1.4410958899999999</v>
      </c>
      <c r="EX93" s="3">
        <v>3.1736994999999997E-2</v>
      </c>
      <c r="EY93" s="3">
        <v>16</v>
      </c>
      <c r="EZ93" s="3">
        <v>526</v>
      </c>
      <c r="FA93" s="1">
        <v>0</v>
      </c>
      <c r="FB93" s="1">
        <v>0</v>
      </c>
      <c r="FC93" s="3">
        <v>0.44903524099999997</v>
      </c>
      <c r="FD93" s="1">
        <v>0</v>
      </c>
      <c r="FE93" s="1">
        <v>0</v>
      </c>
    </row>
    <row r="94" spans="1:161" x14ac:dyDescent="0.3">
      <c r="A94" s="1">
        <v>16975470</v>
      </c>
      <c r="B94" s="1">
        <v>128</v>
      </c>
      <c r="C94" s="1">
        <v>9302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2</v>
      </c>
      <c r="J94" s="3">
        <v>2</v>
      </c>
      <c r="K94" s="1">
        <v>200000</v>
      </c>
      <c r="L94" s="1">
        <v>200000</v>
      </c>
      <c r="M94" s="1">
        <v>200000</v>
      </c>
      <c r="N94" s="3">
        <v>200000</v>
      </c>
      <c r="O94" s="1">
        <v>182042</v>
      </c>
      <c r="P94" s="1">
        <v>182042</v>
      </c>
      <c r="Q94" s="1">
        <v>182042</v>
      </c>
      <c r="R94" s="1">
        <v>182042</v>
      </c>
      <c r="S94" s="1">
        <v>200000</v>
      </c>
      <c r="T94" s="1">
        <v>200000</v>
      </c>
      <c r="U94" s="1">
        <v>200000</v>
      </c>
      <c r="V94" s="1">
        <v>200000</v>
      </c>
      <c r="W94" s="1">
        <v>0</v>
      </c>
      <c r="X94" s="1">
        <v>0</v>
      </c>
      <c r="Y94" s="1">
        <v>0</v>
      </c>
      <c r="Z94" s="1">
        <v>0</v>
      </c>
      <c r="AA94" s="1">
        <v>6250.43</v>
      </c>
      <c r="AB94" s="1">
        <v>6250.43</v>
      </c>
      <c r="AC94" s="1">
        <v>6250.43</v>
      </c>
      <c r="AD94" s="1">
        <v>6250.43</v>
      </c>
      <c r="AE94" s="3" t="s">
        <v>283</v>
      </c>
      <c r="AF94" s="3" t="s">
        <v>161</v>
      </c>
      <c r="AG94" s="1" t="s">
        <v>970</v>
      </c>
      <c r="AH94" s="3" t="s">
        <v>284</v>
      </c>
      <c r="AI94" s="1">
        <v>4</v>
      </c>
      <c r="AJ94" s="3" t="s">
        <v>165</v>
      </c>
      <c r="AK94" s="1" t="s">
        <v>176</v>
      </c>
      <c r="AL94" s="3">
        <v>86.322655819271006</v>
      </c>
      <c r="AM94" s="3">
        <v>86.364950819672003</v>
      </c>
      <c r="AN94" s="3">
        <v>172729.9</v>
      </c>
      <c r="AO94" s="3">
        <v>172729.9</v>
      </c>
      <c r="AP94" s="1" t="s">
        <v>164</v>
      </c>
      <c r="AQ94" s="1">
        <v>4</v>
      </c>
      <c r="AR94" s="1" t="s">
        <v>165</v>
      </c>
      <c r="AS94" s="3">
        <v>132534288.59999999</v>
      </c>
      <c r="AT94" s="1" t="s">
        <v>176</v>
      </c>
      <c r="AU94" s="1">
        <v>1</v>
      </c>
      <c r="AV94" s="1">
        <v>1</v>
      </c>
      <c r="AW94" s="3" t="s">
        <v>196</v>
      </c>
      <c r="AX94" s="3" t="s">
        <v>282</v>
      </c>
      <c r="AY94" s="1">
        <v>0</v>
      </c>
      <c r="BA94" s="3">
        <v>8205251.6799999997</v>
      </c>
      <c r="BB94" s="1">
        <v>1</v>
      </c>
      <c r="BD94" s="1" t="s">
        <v>971</v>
      </c>
      <c r="BE94" s="1">
        <v>1</v>
      </c>
      <c r="BF94" s="1">
        <v>1</v>
      </c>
      <c r="BG94" s="1" t="s">
        <v>168</v>
      </c>
      <c r="BH94" s="1">
        <v>0</v>
      </c>
      <c r="BI94" s="1">
        <v>31345322.399999999</v>
      </c>
      <c r="BJ94" s="1">
        <v>0</v>
      </c>
      <c r="BK94" s="1">
        <v>123618989.48999999</v>
      </c>
      <c r="BL94" s="1">
        <v>132456249.91</v>
      </c>
      <c r="BM94" s="1">
        <v>596150.00000000012</v>
      </c>
      <c r="BN94" s="1">
        <v>9219855.2300000004</v>
      </c>
      <c r="BO94" s="1">
        <v>23.664660909999998</v>
      </c>
      <c r="BP94" s="1">
        <v>0.45007313999999998</v>
      </c>
      <c r="BQ94" s="1">
        <v>6.9606796500000003</v>
      </c>
      <c r="BR94" s="1">
        <v>0.13040525</v>
      </c>
      <c r="BS94" s="1" t="s">
        <v>169</v>
      </c>
      <c r="BT94" s="1" t="s">
        <v>169</v>
      </c>
      <c r="BU94" s="1">
        <v>26356083.120000001</v>
      </c>
      <c r="BV94" s="1">
        <v>0</v>
      </c>
      <c r="BW94" s="1">
        <v>84.59</v>
      </c>
      <c r="BX94" s="1">
        <v>0.05</v>
      </c>
      <c r="BY94" s="1" t="s">
        <v>170</v>
      </c>
      <c r="BZ94" s="1">
        <v>-78038.69</v>
      </c>
      <c r="CA94" s="1" t="s">
        <v>250</v>
      </c>
      <c r="CB94" s="1" t="s">
        <v>251</v>
      </c>
      <c r="CC94" s="1">
        <v>-15647.12</v>
      </c>
      <c r="CD94" s="1">
        <v>-15647.12</v>
      </c>
      <c r="CE94" s="1">
        <v>172645.31</v>
      </c>
      <c r="CF94" s="1">
        <v>172645.31</v>
      </c>
      <c r="CG94" s="1">
        <v>0</v>
      </c>
      <c r="CH94" s="1">
        <v>1.4438757900000001</v>
      </c>
      <c r="CI94" s="1">
        <v>13.27863496</v>
      </c>
      <c r="CJ94" s="1">
        <v>17588381.91</v>
      </c>
      <c r="CK94" s="1">
        <v>1912503.72</v>
      </c>
      <c r="CL94" s="1">
        <v>6269233.6699999999</v>
      </c>
      <c r="CM94" s="1" t="s">
        <v>164</v>
      </c>
      <c r="CN94" s="1" t="s">
        <v>164</v>
      </c>
      <c r="CO94" s="1" t="s">
        <v>184</v>
      </c>
      <c r="CP94" s="1" t="s">
        <v>243</v>
      </c>
      <c r="CQ94" s="3" t="s">
        <v>252</v>
      </c>
      <c r="CR94" s="1">
        <v>0</v>
      </c>
      <c r="CS94" s="1" t="s">
        <v>243</v>
      </c>
      <c r="CT94" s="1">
        <v>0.13972763999999999</v>
      </c>
      <c r="CV94" s="1">
        <v>0</v>
      </c>
      <c r="CW94" s="1">
        <v>-219173.26</v>
      </c>
      <c r="DA94" s="1">
        <v>1355558.46</v>
      </c>
      <c r="DB94" s="1">
        <v>0</v>
      </c>
      <c r="DC94" s="1">
        <v>2520.3126550000002</v>
      </c>
      <c r="DD94" s="1">
        <v>52555.483399999997</v>
      </c>
      <c r="DE94" s="1">
        <v>-296353.43</v>
      </c>
      <c r="DF94" s="1">
        <v>92570020.519999996</v>
      </c>
      <c r="DG94" s="1">
        <v>84.59</v>
      </c>
      <c r="DH94" s="1">
        <v>394770.09</v>
      </c>
      <c r="DI94" s="1">
        <v>0.29803809999999997</v>
      </c>
      <c r="DK94" s="1">
        <v>0</v>
      </c>
      <c r="DL94" s="1">
        <v>0</v>
      </c>
      <c r="DM94" s="1">
        <v>-296353.43</v>
      </c>
      <c r="DN94" s="1">
        <v>0</v>
      </c>
      <c r="DO94" s="1">
        <v>0</v>
      </c>
      <c r="DP94" s="1">
        <v>16777215</v>
      </c>
      <c r="DQ94" s="1">
        <v>0</v>
      </c>
      <c r="DR94" s="1">
        <v>0</v>
      </c>
      <c r="DS94" s="1">
        <v>0</v>
      </c>
      <c r="DT94" s="1">
        <v>0</v>
      </c>
      <c r="DU94" s="1">
        <v>0</v>
      </c>
      <c r="DV94" s="1">
        <v>172729.9</v>
      </c>
      <c r="DW94" s="1">
        <v>172729.9</v>
      </c>
      <c r="DX94" s="1">
        <v>31345322.399999999</v>
      </c>
      <c r="DY94" s="1">
        <v>-1110160.2399999984</v>
      </c>
      <c r="DZ94" s="1">
        <v>92570020.519999966</v>
      </c>
      <c r="EA94" s="1">
        <v>0</v>
      </c>
      <c r="EB94" s="1">
        <v>0</v>
      </c>
      <c r="EC94" s="1" t="s">
        <v>176</v>
      </c>
      <c r="EE94" s="1">
        <v>0</v>
      </c>
      <c r="EF94" s="1">
        <v>3</v>
      </c>
      <c r="EG94" s="1">
        <v>0</v>
      </c>
      <c r="EH94" s="3">
        <v>0.18659377999999999</v>
      </c>
      <c r="EI94" s="1">
        <v>0</v>
      </c>
      <c r="EL94" s="1">
        <v>0</v>
      </c>
      <c r="EM94" s="1">
        <v>0</v>
      </c>
      <c r="EN94" s="1">
        <v>1633661.45</v>
      </c>
      <c r="EO94" s="1">
        <v>1.2333592799999999</v>
      </c>
      <c r="ER94" s="1">
        <v>86.407852459015999</v>
      </c>
      <c r="ES94" s="1">
        <v>1</v>
      </c>
      <c r="ET94" s="3">
        <v>6.0367722959999996</v>
      </c>
      <c r="EU94" s="3">
        <v>3.4212360909999999</v>
      </c>
      <c r="EV94" s="3">
        <v>2.7879164649849999</v>
      </c>
      <c r="EW94" s="3">
        <v>3.5068493150000002</v>
      </c>
      <c r="EX94" s="3">
        <v>0.13608491</v>
      </c>
      <c r="EY94" s="3">
        <v>39</v>
      </c>
      <c r="EZ94" s="3">
        <v>1280</v>
      </c>
      <c r="FA94" s="1">
        <v>0</v>
      </c>
      <c r="FB94" s="1">
        <v>0</v>
      </c>
      <c r="FC94" s="3">
        <v>4.437538215</v>
      </c>
      <c r="FD94" s="1">
        <v>0</v>
      </c>
      <c r="FE94" s="1">
        <v>0</v>
      </c>
    </row>
    <row r="95" spans="1:161" x14ac:dyDescent="0.3">
      <c r="A95" s="1">
        <v>16975447</v>
      </c>
      <c r="B95" s="1">
        <v>128</v>
      </c>
      <c r="C95" s="1">
        <v>9414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300</v>
      </c>
      <c r="J95" s="3">
        <v>300</v>
      </c>
      <c r="K95" s="1">
        <v>300000</v>
      </c>
      <c r="L95" s="1">
        <v>300000</v>
      </c>
      <c r="M95" s="1">
        <v>300000</v>
      </c>
      <c r="N95" s="3">
        <v>300000</v>
      </c>
      <c r="O95" s="1">
        <v>300511</v>
      </c>
      <c r="P95" s="1">
        <v>300511</v>
      </c>
      <c r="Q95" s="1">
        <v>300511</v>
      </c>
      <c r="R95" s="1">
        <v>300511</v>
      </c>
      <c r="S95" s="1">
        <v>300000</v>
      </c>
      <c r="T95" s="1">
        <v>300000</v>
      </c>
      <c r="U95" s="1">
        <v>300000</v>
      </c>
      <c r="V95" s="1">
        <v>300000</v>
      </c>
      <c r="W95" s="1">
        <v>0</v>
      </c>
      <c r="X95" s="1">
        <v>0</v>
      </c>
      <c r="Y95" s="1">
        <v>0</v>
      </c>
      <c r="Z95" s="1">
        <v>0</v>
      </c>
      <c r="AA95" s="1">
        <v>1794.24</v>
      </c>
      <c r="AB95" s="1">
        <v>1794.24</v>
      </c>
      <c r="AC95" s="1">
        <v>1794.24</v>
      </c>
      <c r="AD95" s="1">
        <v>1794.24</v>
      </c>
      <c r="AE95" s="3" t="s">
        <v>285</v>
      </c>
      <c r="AF95" s="3" t="s">
        <v>161</v>
      </c>
      <c r="AG95" s="1" t="s">
        <v>970</v>
      </c>
      <c r="AH95" s="3" t="s">
        <v>286</v>
      </c>
      <c r="AI95" s="1">
        <v>4</v>
      </c>
      <c r="AJ95" s="3" t="s">
        <v>165</v>
      </c>
      <c r="AK95" s="1" t="s">
        <v>191</v>
      </c>
      <c r="AL95" s="3">
        <v>88.918944812071999</v>
      </c>
      <c r="AM95" s="3">
        <v>88.718811475410007</v>
      </c>
      <c r="AN95" s="3">
        <v>266156.43</v>
      </c>
      <c r="AO95" s="3">
        <v>266156.43</v>
      </c>
      <c r="AP95" s="1" t="s">
        <v>164</v>
      </c>
      <c r="AQ95" s="1">
        <v>4</v>
      </c>
      <c r="AR95" s="1" t="s">
        <v>165</v>
      </c>
      <c r="AS95" s="3">
        <v>132534288.59999999</v>
      </c>
      <c r="AT95" s="1" t="s">
        <v>176</v>
      </c>
      <c r="AU95" s="1">
        <v>1</v>
      </c>
      <c r="AV95" s="1">
        <v>1</v>
      </c>
      <c r="AW95" s="3" t="s">
        <v>196</v>
      </c>
      <c r="AX95" s="3" t="s">
        <v>282</v>
      </c>
      <c r="AY95" s="1">
        <v>0</v>
      </c>
      <c r="BA95" s="3">
        <v>8205251.6799999997</v>
      </c>
      <c r="BB95" s="1">
        <v>1</v>
      </c>
      <c r="BD95" s="1" t="s">
        <v>971</v>
      </c>
      <c r="BE95" s="1">
        <v>1</v>
      </c>
      <c r="BF95" s="1">
        <v>1</v>
      </c>
      <c r="BG95" s="1" t="s">
        <v>168</v>
      </c>
      <c r="BH95" s="1">
        <v>0</v>
      </c>
      <c r="BI95" s="1">
        <v>31345322.399999999</v>
      </c>
      <c r="BJ95" s="1">
        <v>0</v>
      </c>
      <c r="BK95" s="1">
        <v>123618989.48999999</v>
      </c>
      <c r="BL95" s="1">
        <v>132456249.91</v>
      </c>
      <c r="BM95" s="1">
        <v>596150.00000000012</v>
      </c>
      <c r="BN95" s="1">
        <v>9219855.2300000004</v>
      </c>
      <c r="BO95" s="1">
        <v>23.664660909999998</v>
      </c>
      <c r="BP95" s="1">
        <v>0.45007313999999998</v>
      </c>
      <c r="BQ95" s="1">
        <v>6.9606796500000003</v>
      </c>
      <c r="BR95" s="1">
        <v>0.20093912999999999</v>
      </c>
      <c r="BS95" s="1" t="s">
        <v>169</v>
      </c>
      <c r="BT95" s="1" t="s">
        <v>169</v>
      </c>
      <c r="BU95" s="1">
        <v>26356083.120000001</v>
      </c>
      <c r="BV95" s="1">
        <v>0</v>
      </c>
      <c r="BW95" s="1">
        <v>-600.4</v>
      </c>
      <c r="BX95" s="1">
        <v>-0.22</v>
      </c>
      <c r="BY95" s="1" t="s">
        <v>170</v>
      </c>
      <c r="BZ95" s="1">
        <v>-78038.69</v>
      </c>
      <c r="CA95" s="1" t="s">
        <v>250</v>
      </c>
      <c r="CB95" s="1" t="s">
        <v>251</v>
      </c>
      <c r="CC95" s="1">
        <v>-35548.410000000003</v>
      </c>
      <c r="CD95" s="1">
        <v>-35548.410000000003</v>
      </c>
      <c r="CE95" s="1">
        <v>266756.83</v>
      </c>
      <c r="CF95" s="1">
        <v>266756.83</v>
      </c>
      <c r="CG95" s="1">
        <v>0</v>
      </c>
      <c r="CH95" s="1">
        <v>1.4438757900000001</v>
      </c>
      <c r="CI95" s="1">
        <v>13.27863496</v>
      </c>
      <c r="CJ95" s="1">
        <v>17588381.91</v>
      </c>
      <c r="CK95" s="1">
        <v>1912503.72</v>
      </c>
      <c r="CL95" s="1">
        <v>6269233.6699999999</v>
      </c>
      <c r="CM95" s="1" t="s">
        <v>164</v>
      </c>
      <c r="CN95" s="1" t="s">
        <v>164</v>
      </c>
      <c r="CO95" s="1" t="s">
        <v>184</v>
      </c>
      <c r="CP95" s="1" t="s">
        <v>243</v>
      </c>
      <c r="CQ95" s="3" t="s">
        <v>252</v>
      </c>
      <c r="CR95" s="1">
        <v>0</v>
      </c>
      <c r="CS95" s="1" t="s">
        <v>243</v>
      </c>
      <c r="CT95" s="1">
        <v>0.21530384</v>
      </c>
      <c r="CV95" s="1">
        <v>0</v>
      </c>
      <c r="CW95" s="1">
        <v>-219173.26</v>
      </c>
      <c r="DA95" s="1">
        <v>1355558.46</v>
      </c>
      <c r="DB95" s="1">
        <v>0</v>
      </c>
      <c r="DC95" s="1">
        <v>2520.3126550000002</v>
      </c>
      <c r="DD95" s="1">
        <v>52555.483399999997</v>
      </c>
      <c r="DE95" s="1">
        <v>-296353.43</v>
      </c>
      <c r="DF95" s="1">
        <v>92570020.519999996</v>
      </c>
      <c r="DG95" s="1">
        <v>-600.4</v>
      </c>
      <c r="DH95" s="1">
        <v>394770.09</v>
      </c>
      <c r="DI95" s="1">
        <v>0.29803809999999997</v>
      </c>
      <c r="DK95" s="1">
        <v>0</v>
      </c>
      <c r="DL95" s="1">
        <v>0</v>
      </c>
      <c r="DM95" s="1">
        <v>-296353.43</v>
      </c>
      <c r="DN95" s="1">
        <v>0</v>
      </c>
      <c r="DO95" s="1">
        <v>0</v>
      </c>
      <c r="DP95" s="1">
        <v>16777215</v>
      </c>
      <c r="DQ95" s="1">
        <v>0</v>
      </c>
      <c r="DR95" s="1">
        <v>0</v>
      </c>
      <c r="DS95" s="1">
        <v>0</v>
      </c>
      <c r="DT95" s="1">
        <v>0</v>
      </c>
      <c r="DU95" s="1">
        <v>0</v>
      </c>
      <c r="DV95" s="1">
        <v>266156.43</v>
      </c>
      <c r="DW95" s="1">
        <v>266156.43</v>
      </c>
      <c r="DX95" s="1">
        <v>31345322.399999999</v>
      </c>
      <c r="DY95" s="1">
        <v>-1110160.2399999984</v>
      </c>
      <c r="DZ95" s="1">
        <v>92570020.519999966</v>
      </c>
      <c r="EA95" s="1">
        <v>0</v>
      </c>
      <c r="EB95" s="1">
        <v>0</v>
      </c>
      <c r="EC95" s="1" t="s">
        <v>176</v>
      </c>
      <c r="EE95" s="1">
        <v>0</v>
      </c>
      <c r="EF95" s="1">
        <v>3</v>
      </c>
      <c r="EG95" s="1">
        <v>0</v>
      </c>
      <c r="EH95" s="3">
        <v>0.28751904</v>
      </c>
      <c r="EI95" s="1">
        <v>0</v>
      </c>
      <c r="EL95" s="1">
        <v>0</v>
      </c>
      <c r="EM95" s="1">
        <v>0</v>
      </c>
      <c r="EN95" s="1">
        <v>1633661.45</v>
      </c>
      <c r="EO95" s="1">
        <v>1.2333592799999999</v>
      </c>
      <c r="ER95" s="1">
        <v>88.874188524591005</v>
      </c>
      <c r="ES95" s="1">
        <v>1</v>
      </c>
      <c r="ET95" s="3">
        <v>5.2094030719999997</v>
      </c>
      <c r="EU95" s="3">
        <v>3.992327956</v>
      </c>
      <c r="EV95" s="3">
        <v>3.3724638393849999</v>
      </c>
      <c r="EW95" s="3">
        <v>4.1726027400000003</v>
      </c>
      <c r="EX95" s="3">
        <v>0.18435394799999999</v>
      </c>
      <c r="EY95" s="3">
        <v>46</v>
      </c>
      <c r="EZ95" s="3">
        <v>1523</v>
      </c>
      <c r="FA95" s="1">
        <v>0</v>
      </c>
      <c r="FB95" s="1">
        <v>0</v>
      </c>
      <c r="FC95" s="3">
        <v>2.108340498</v>
      </c>
      <c r="FD95" s="1">
        <v>0</v>
      </c>
      <c r="FE95" s="1">
        <v>0</v>
      </c>
    </row>
    <row r="96" spans="1:161" x14ac:dyDescent="0.3">
      <c r="A96" s="1">
        <v>16975480</v>
      </c>
      <c r="B96" s="1">
        <v>128</v>
      </c>
      <c r="C96" s="1">
        <v>9072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3</v>
      </c>
      <c r="J96" s="3">
        <v>3</v>
      </c>
      <c r="K96" s="1">
        <v>300000</v>
      </c>
      <c r="L96" s="1">
        <v>300000</v>
      </c>
      <c r="M96" s="1">
        <v>300000</v>
      </c>
      <c r="N96" s="3">
        <v>300000</v>
      </c>
      <c r="O96" s="1">
        <v>301255.5</v>
      </c>
      <c r="P96" s="1">
        <v>301255.5</v>
      </c>
      <c r="Q96" s="1">
        <v>301255.5</v>
      </c>
      <c r="R96" s="1">
        <v>301255.5</v>
      </c>
      <c r="S96" s="1">
        <v>300000</v>
      </c>
      <c r="T96" s="1">
        <v>300000</v>
      </c>
      <c r="U96" s="1">
        <v>300000</v>
      </c>
      <c r="V96" s="1">
        <v>300000</v>
      </c>
      <c r="W96" s="1">
        <v>0</v>
      </c>
      <c r="X96" s="1">
        <v>0</v>
      </c>
      <c r="Y96" s="1">
        <v>0</v>
      </c>
      <c r="Z96" s="1">
        <v>0</v>
      </c>
      <c r="AA96" s="1">
        <v>-507.75</v>
      </c>
      <c r="AB96" s="1">
        <v>-507.75</v>
      </c>
      <c r="AC96" s="1">
        <v>-507.75</v>
      </c>
      <c r="AD96" s="1">
        <v>-507.75</v>
      </c>
      <c r="AE96" s="3" t="s">
        <v>287</v>
      </c>
      <c r="AF96" s="3" t="s">
        <v>161</v>
      </c>
      <c r="AG96" s="1" t="s">
        <v>970</v>
      </c>
      <c r="AH96" s="3" t="s">
        <v>288</v>
      </c>
      <c r="AI96" s="1">
        <v>4</v>
      </c>
      <c r="AJ96" s="3" t="s">
        <v>165</v>
      </c>
      <c r="AK96" s="1" t="s">
        <v>176</v>
      </c>
      <c r="AL96" s="3">
        <v>97.853082951081007</v>
      </c>
      <c r="AM96" s="3">
        <v>97.920122950819007</v>
      </c>
      <c r="AN96" s="3">
        <v>293760.37</v>
      </c>
      <c r="AO96" s="3">
        <v>293760.37</v>
      </c>
      <c r="AP96" s="1" t="s">
        <v>164</v>
      </c>
      <c r="AQ96" s="1">
        <v>4</v>
      </c>
      <c r="AR96" s="1" t="s">
        <v>165</v>
      </c>
      <c r="AS96" s="3">
        <v>132534288.59999999</v>
      </c>
      <c r="AT96" s="1" t="s">
        <v>176</v>
      </c>
      <c r="AU96" s="1">
        <v>1</v>
      </c>
      <c r="AV96" s="1">
        <v>1</v>
      </c>
      <c r="AW96" s="3" t="s">
        <v>196</v>
      </c>
      <c r="AX96" s="3" t="s">
        <v>282</v>
      </c>
      <c r="AY96" s="1">
        <v>0</v>
      </c>
      <c r="BA96" s="3">
        <v>8205251.6799999997</v>
      </c>
      <c r="BB96" s="1">
        <v>1</v>
      </c>
      <c r="BD96" s="1" t="s">
        <v>971</v>
      </c>
      <c r="BE96" s="1">
        <v>1</v>
      </c>
      <c r="BF96" s="1">
        <v>1</v>
      </c>
      <c r="BG96" s="1" t="s">
        <v>168</v>
      </c>
      <c r="BH96" s="1">
        <v>0</v>
      </c>
      <c r="BI96" s="1">
        <v>31345322.399999999</v>
      </c>
      <c r="BJ96" s="1">
        <v>0</v>
      </c>
      <c r="BK96" s="1">
        <v>123618989.48999999</v>
      </c>
      <c r="BL96" s="1">
        <v>132456249.91</v>
      </c>
      <c r="BM96" s="1">
        <v>596150.00000000012</v>
      </c>
      <c r="BN96" s="1">
        <v>9219855.2300000004</v>
      </c>
      <c r="BO96" s="1">
        <v>23.664660909999998</v>
      </c>
      <c r="BP96" s="1">
        <v>0.45007313999999998</v>
      </c>
      <c r="BQ96" s="1">
        <v>6.9606796500000003</v>
      </c>
      <c r="BR96" s="1">
        <v>0.22177917</v>
      </c>
      <c r="BS96" s="1" t="s">
        <v>169</v>
      </c>
      <c r="BT96" s="1" t="s">
        <v>169</v>
      </c>
      <c r="BU96" s="1">
        <v>26356083.120000001</v>
      </c>
      <c r="BV96" s="1">
        <v>0</v>
      </c>
      <c r="BW96" s="1">
        <v>201.12</v>
      </c>
      <c r="BX96" s="1">
        <v>7.0000000000000007E-2</v>
      </c>
      <c r="BY96" s="1" t="s">
        <v>170</v>
      </c>
      <c r="BZ96" s="1">
        <v>-78038.69</v>
      </c>
      <c r="CA96" s="1" t="s">
        <v>250</v>
      </c>
      <c r="CB96" s="1" t="s">
        <v>251</v>
      </c>
      <c r="CC96" s="1">
        <v>-7188.5</v>
      </c>
      <c r="CD96" s="1">
        <v>-7188.5</v>
      </c>
      <c r="CE96" s="1">
        <v>293559.25</v>
      </c>
      <c r="CF96" s="1">
        <v>293559.25</v>
      </c>
      <c r="CG96" s="1">
        <v>0</v>
      </c>
      <c r="CH96" s="1">
        <v>1.4438757900000001</v>
      </c>
      <c r="CI96" s="1">
        <v>13.27863496</v>
      </c>
      <c r="CJ96" s="1">
        <v>17588381.91</v>
      </c>
      <c r="CK96" s="1">
        <v>1912503.72</v>
      </c>
      <c r="CL96" s="1">
        <v>6269233.6699999999</v>
      </c>
      <c r="CM96" s="1" t="s">
        <v>164</v>
      </c>
      <c r="CN96" s="1" t="s">
        <v>164</v>
      </c>
      <c r="CO96" s="1" t="s">
        <v>184</v>
      </c>
      <c r="CP96" s="1" t="s">
        <v>243</v>
      </c>
      <c r="CQ96" s="3" t="s">
        <v>252</v>
      </c>
      <c r="CR96" s="1">
        <v>0</v>
      </c>
      <c r="CS96" s="1" t="s">
        <v>243</v>
      </c>
      <c r="CT96" s="1">
        <v>0.23763369000000001</v>
      </c>
      <c r="CV96" s="1">
        <v>0</v>
      </c>
      <c r="CW96" s="1">
        <v>-219173.26</v>
      </c>
      <c r="DA96" s="1">
        <v>1355558.46</v>
      </c>
      <c r="DB96" s="1">
        <v>0</v>
      </c>
      <c r="DC96" s="1">
        <v>2520.3126550000002</v>
      </c>
      <c r="DD96" s="1">
        <v>52555.483399999997</v>
      </c>
      <c r="DE96" s="1">
        <v>-296353.43</v>
      </c>
      <c r="DF96" s="1">
        <v>92570020.519999996</v>
      </c>
      <c r="DG96" s="1">
        <v>201.12</v>
      </c>
      <c r="DH96" s="1">
        <v>394770.09</v>
      </c>
      <c r="DI96" s="1">
        <v>0.29803809999999997</v>
      </c>
      <c r="DK96" s="1">
        <v>0</v>
      </c>
      <c r="DL96" s="1">
        <v>0</v>
      </c>
      <c r="DM96" s="1">
        <v>-296353.43</v>
      </c>
      <c r="DN96" s="1">
        <v>0</v>
      </c>
      <c r="DO96" s="1">
        <v>0</v>
      </c>
      <c r="DP96" s="1">
        <v>16777215</v>
      </c>
      <c r="DQ96" s="1">
        <v>0</v>
      </c>
      <c r="DR96" s="1">
        <v>0</v>
      </c>
      <c r="DS96" s="1">
        <v>0</v>
      </c>
      <c r="DT96" s="1">
        <v>0</v>
      </c>
      <c r="DU96" s="1">
        <v>0</v>
      </c>
      <c r="DV96" s="1">
        <v>293760.37</v>
      </c>
      <c r="DW96" s="1">
        <v>293760.37</v>
      </c>
      <c r="DX96" s="1">
        <v>31345322.399999999</v>
      </c>
      <c r="DY96" s="1">
        <v>-1110160.2399999984</v>
      </c>
      <c r="DZ96" s="1">
        <v>92570020.519999966</v>
      </c>
      <c r="EA96" s="1">
        <v>0</v>
      </c>
      <c r="EB96" s="1">
        <v>0</v>
      </c>
      <c r="EC96" s="1" t="s">
        <v>176</v>
      </c>
      <c r="EE96" s="1">
        <v>0</v>
      </c>
      <c r="EF96" s="1">
        <v>3</v>
      </c>
      <c r="EG96" s="1">
        <v>0</v>
      </c>
      <c r="EH96" s="3">
        <v>0.31733855999999999</v>
      </c>
      <c r="EI96" s="1">
        <v>0</v>
      </c>
      <c r="EL96" s="1">
        <v>0</v>
      </c>
      <c r="EM96" s="1">
        <v>0</v>
      </c>
      <c r="EN96" s="1">
        <v>1633661.45</v>
      </c>
      <c r="EO96" s="1">
        <v>1.2333592799999999</v>
      </c>
      <c r="ER96" s="1">
        <v>97.874109289616996</v>
      </c>
      <c r="ES96" s="1">
        <v>1</v>
      </c>
      <c r="ET96" s="3">
        <v>5.8315694909999998</v>
      </c>
      <c r="EU96" s="3">
        <v>1.2095728640000001</v>
      </c>
      <c r="EV96" s="3">
        <v>1.1186252568740001</v>
      </c>
      <c r="EW96" s="3">
        <v>1.2328767119999999</v>
      </c>
      <c r="EX96" s="3">
        <v>2.3996460000000001E-2</v>
      </c>
      <c r="EY96" s="3">
        <v>14</v>
      </c>
      <c r="EZ96" s="3">
        <v>450</v>
      </c>
      <c r="FA96" s="1">
        <v>0</v>
      </c>
      <c r="FB96" s="1">
        <v>0</v>
      </c>
      <c r="FC96" s="3">
        <v>3.6100068319999998</v>
      </c>
      <c r="FD96" s="1">
        <v>0</v>
      </c>
      <c r="FE96" s="1">
        <v>0</v>
      </c>
    </row>
    <row r="97" spans="1:161" x14ac:dyDescent="0.3">
      <c r="A97" s="1">
        <v>16975433</v>
      </c>
      <c r="B97" s="1">
        <v>128</v>
      </c>
      <c r="C97" s="1">
        <v>9301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1</v>
      </c>
      <c r="J97" s="3">
        <v>1</v>
      </c>
      <c r="K97" s="1">
        <v>100000</v>
      </c>
      <c r="L97" s="1">
        <v>100000</v>
      </c>
      <c r="M97" s="1">
        <v>100000</v>
      </c>
      <c r="N97" s="3">
        <v>100000</v>
      </c>
      <c r="O97" s="1">
        <v>100274</v>
      </c>
      <c r="P97" s="1">
        <v>100274</v>
      </c>
      <c r="Q97" s="1">
        <v>100274</v>
      </c>
      <c r="R97" s="1">
        <v>100274</v>
      </c>
      <c r="S97" s="1">
        <v>100000</v>
      </c>
      <c r="T97" s="1">
        <v>100000</v>
      </c>
      <c r="U97" s="1">
        <v>100000</v>
      </c>
      <c r="V97" s="1">
        <v>100000</v>
      </c>
      <c r="W97" s="1">
        <v>0</v>
      </c>
      <c r="X97" s="1">
        <v>0</v>
      </c>
      <c r="Y97" s="1">
        <v>0</v>
      </c>
      <c r="Z97" s="1">
        <v>0</v>
      </c>
      <c r="AA97" s="1">
        <v>1064.8900000000001</v>
      </c>
      <c r="AB97" s="1">
        <v>1064.8900000000001</v>
      </c>
      <c r="AC97" s="1">
        <v>1064.8900000000001</v>
      </c>
      <c r="AD97" s="1">
        <v>1064.8900000000001</v>
      </c>
      <c r="AE97" s="3" t="s">
        <v>289</v>
      </c>
      <c r="AF97" s="3" t="s">
        <v>161</v>
      </c>
      <c r="AG97" s="1" t="s">
        <v>970</v>
      </c>
      <c r="AH97" s="3" t="s">
        <v>290</v>
      </c>
      <c r="AI97" s="1">
        <v>4</v>
      </c>
      <c r="AJ97" s="3" t="s">
        <v>165</v>
      </c>
      <c r="AK97" s="1" t="s">
        <v>176</v>
      </c>
      <c r="AL97" s="3">
        <v>88.966483111981006</v>
      </c>
      <c r="AM97" s="3">
        <v>89.045713114752004</v>
      </c>
      <c r="AN97" s="3">
        <v>89045.71</v>
      </c>
      <c r="AO97" s="3">
        <v>89045.71</v>
      </c>
      <c r="AP97" s="1" t="s">
        <v>164</v>
      </c>
      <c r="AQ97" s="1">
        <v>4</v>
      </c>
      <c r="AR97" s="1" t="s">
        <v>165</v>
      </c>
      <c r="AS97" s="3">
        <v>132534288.59999999</v>
      </c>
      <c r="AT97" s="1" t="s">
        <v>176</v>
      </c>
      <c r="AU97" s="1">
        <v>1</v>
      </c>
      <c r="AV97" s="1">
        <v>1</v>
      </c>
      <c r="AW97" s="3" t="s">
        <v>196</v>
      </c>
      <c r="AX97" s="3" t="s">
        <v>282</v>
      </c>
      <c r="AY97" s="1">
        <v>0</v>
      </c>
      <c r="BA97" s="3">
        <v>8205251.6799999997</v>
      </c>
      <c r="BB97" s="1">
        <v>1</v>
      </c>
      <c r="BD97" s="1" t="s">
        <v>971</v>
      </c>
      <c r="BE97" s="1">
        <v>1</v>
      </c>
      <c r="BF97" s="1">
        <v>1</v>
      </c>
      <c r="BG97" s="1" t="s">
        <v>168</v>
      </c>
      <c r="BH97" s="1">
        <v>0</v>
      </c>
      <c r="BI97" s="1">
        <v>31345322.399999999</v>
      </c>
      <c r="BJ97" s="1">
        <v>0</v>
      </c>
      <c r="BK97" s="1">
        <v>123618989.48999999</v>
      </c>
      <c r="BL97" s="1">
        <v>132456249.91</v>
      </c>
      <c r="BM97" s="1">
        <v>596150.00000000012</v>
      </c>
      <c r="BN97" s="1">
        <v>9219855.2300000004</v>
      </c>
      <c r="BO97" s="1">
        <v>23.664660909999998</v>
      </c>
      <c r="BP97" s="1">
        <v>0.45007313999999998</v>
      </c>
      <c r="BQ97" s="1">
        <v>6.9606796500000003</v>
      </c>
      <c r="BR97" s="1">
        <v>6.7226510000000003E-2</v>
      </c>
      <c r="BS97" s="1" t="s">
        <v>169</v>
      </c>
      <c r="BT97" s="1" t="s">
        <v>169</v>
      </c>
      <c r="BU97" s="1">
        <v>26356083.120000001</v>
      </c>
      <c r="BV97" s="1">
        <v>0</v>
      </c>
      <c r="BW97" s="1">
        <v>79.23</v>
      </c>
      <c r="BX97" s="1">
        <v>0.09</v>
      </c>
      <c r="BY97" s="1" t="s">
        <v>170</v>
      </c>
      <c r="BZ97" s="1">
        <v>-78038.69</v>
      </c>
      <c r="CA97" s="1" t="s">
        <v>250</v>
      </c>
      <c r="CB97" s="1" t="s">
        <v>251</v>
      </c>
      <c r="CC97" s="1">
        <v>-12372.41</v>
      </c>
      <c r="CD97" s="1">
        <v>-12372.41</v>
      </c>
      <c r="CE97" s="1">
        <v>88966.48</v>
      </c>
      <c r="CF97" s="1">
        <v>88966.48</v>
      </c>
      <c r="CG97" s="1">
        <v>0</v>
      </c>
      <c r="CH97" s="1">
        <v>1.4438757900000001</v>
      </c>
      <c r="CI97" s="1">
        <v>13.27863496</v>
      </c>
      <c r="CJ97" s="1">
        <v>17588381.91</v>
      </c>
      <c r="CK97" s="1">
        <v>1912503.72</v>
      </c>
      <c r="CL97" s="1">
        <v>6269233.6699999999</v>
      </c>
      <c r="CM97" s="1" t="s">
        <v>164</v>
      </c>
      <c r="CN97" s="1" t="s">
        <v>164</v>
      </c>
      <c r="CO97" s="1" t="s">
        <v>184</v>
      </c>
      <c r="CP97" s="1" t="s">
        <v>243</v>
      </c>
      <c r="CQ97" s="3" t="s">
        <v>252</v>
      </c>
      <c r="CR97" s="1">
        <v>0</v>
      </c>
      <c r="CS97" s="1" t="s">
        <v>243</v>
      </c>
      <c r="CT97" s="1">
        <v>7.2032390000000002E-2</v>
      </c>
      <c r="CV97" s="1">
        <v>0</v>
      </c>
      <c r="CW97" s="1">
        <v>-219173.26</v>
      </c>
      <c r="DA97" s="1">
        <v>1355558.46</v>
      </c>
      <c r="DB97" s="1">
        <v>0</v>
      </c>
      <c r="DC97" s="1">
        <v>2520.3126550000002</v>
      </c>
      <c r="DD97" s="1">
        <v>52555.483399999997</v>
      </c>
      <c r="DE97" s="1">
        <v>-296353.43</v>
      </c>
      <c r="DF97" s="1">
        <v>92570020.519999996</v>
      </c>
      <c r="DG97" s="1">
        <v>79.23</v>
      </c>
      <c r="DH97" s="1">
        <v>394770.09</v>
      </c>
      <c r="DI97" s="1">
        <v>0.29803809999999997</v>
      </c>
      <c r="DK97" s="1">
        <v>0</v>
      </c>
      <c r="DL97" s="1">
        <v>0</v>
      </c>
      <c r="DM97" s="1">
        <v>-296353.43</v>
      </c>
      <c r="DN97" s="1">
        <v>0</v>
      </c>
      <c r="DO97" s="1">
        <v>0</v>
      </c>
      <c r="DP97" s="1">
        <v>16777215</v>
      </c>
      <c r="DQ97" s="1">
        <v>0</v>
      </c>
      <c r="DR97" s="1">
        <v>0</v>
      </c>
      <c r="DS97" s="1">
        <v>0</v>
      </c>
      <c r="DT97" s="1">
        <v>0</v>
      </c>
      <c r="DU97" s="1">
        <v>0</v>
      </c>
      <c r="DV97" s="1">
        <v>89045.71</v>
      </c>
      <c r="DW97" s="1">
        <v>89045.71</v>
      </c>
      <c r="DX97" s="1">
        <v>31345322.399999999</v>
      </c>
      <c r="DY97" s="1">
        <v>-1110160.2399999984</v>
      </c>
      <c r="DZ97" s="1">
        <v>92570020.519999966</v>
      </c>
      <c r="EA97" s="1">
        <v>0</v>
      </c>
      <c r="EB97" s="1">
        <v>0</v>
      </c>
      <c r="EC97" s="1" t="s">
        <v>176</v>
      </c>
      <c r="EE97" s="1">
        <v>0</v>
      </c>
      <c r="EF97" s="1">
        <v>3</v>
      </c>
      <c r="EG97" s="1">
        <v>0</v>
      </c>
      <c r="EH97" s="3">
        <v>9.6192819999999998E-2</v>
      </c>
      <c r="EI97" s="1">
        <v>0</v>
      </c>
      <c r="EL97" s="1">
        <v>0</v>
      </c>
      <c r="EM97" s="1">
        <v>0</v>
      </c>
      <c r="EN97" s="1">
        <v>1633661.45</v>
      </c>
      <c r="EO97" s="1">
        <v>1.2333592799999999</v>
      </c>
      <c r="ER97" s="1">
        <v>89.066967213113998</v>
      </c>
      <c r="ES97" s="1">
        <v>1</v>
      </c>
      <c r="ET97" s="3">
        <v>6.754535615</v>
      </c>
      <c r="EU97" s="3">
        <v>4.7118637200000002</v>
      </c>
      <c r="EV97" s="3">
        <v>3.931181088133</v>
      </c>
      <c r="EW97" s="3">
        <v>5.2356164380000001</v>
      </c>
      <c r="EX97" s="3">
        <v>0.250044873</v>
      </c>
      <c r="EY97" s="3">
        <v>53</v>
      </c>
      <c r="EZ97" s="3">
        <v>1911</v>
      </c>
      <c r="FA97" s="1">
        <v>0</v>
      </c>
      <c r="FB97" s="1">
        <v>0</v>
      </c>
      <c r="FC97" s="3">
        <v>4.1135227419999998</v>
      </c>
      <c r="FD97" s="1">
        <v>0</v>
      </c>
      <c r="FE97" s="1">
        <v>0</v>
      </c>
    </row>
    <row r="98" spans="1:161" x14ac:dyDescent="0.3">
      <c r="A98" s="1">
        <v>16975400</v>
      </c>
      <c r="B98" s="1">
        <v>128</v>
      </c>
      <c r="C98" s="1">
        <v>9392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1</v>
      </c>
      <c r="J98" s="3">
        <v>1</v>
      </c>
      <c r="K98" s="1">
        <v>100000</v>
      </c>
      <c r="L98" s="1">
        <v>100000</v>
      </c>
      <c r="M98" s="1">
        <v>100000</v>
      </c>
      <c r="N98" s="3">
        <v>100000</v>
      </c>
      <c r="O98" s="1">
        <v>99550</v>
      </c>
      <c r="P98" s="1">
        <v>99550</v>
      </c>
      <c r="Q98" s="1">
        <v>99550</v>
      </c>
      <c r="R98" s="1">
        <v>99550</v>
      </c>
      <c r="S98" s="1">
        <v>100000</v>
      </c>
      <c r="T98" s="1">
        <v>100000</v>
      </c>
      <c r="U98" s="1">
        <v>100000</v>
      </c>
      <c r="V98" s="1">
        <v>100000</v>
      </c>
      <c r="W98" s="1">
        <v>0</v>
      </c>
      <c r="X98" s="1">
        <v>0</v>
      </c>
      <c r="Y98" s="1">
        <v>0</v>
      </c>
      <c r="Z98" s="1">
        <v>0</v>
      </c>
      <c r="AA98" s="1">
        <v>-623.02</v>
      </c>
      <c r="AB98" s="1">
        <v>-623.02</v>
      </c>
      <c r="AC98" s="1">
        <v>-623.02</v>
      </c>
      <c r="AD98" s="1">
        <v>-623.02</v>
      </c>
      <c r="AE98" s="3" t="s">
        <v>291</v>
      </c>
      <c r="AF98" s="3" t="s">
        <v>161</v>
      </c>
      <c r="AG98" s="1" t="s">
        <v>970</v>
      </c>
      <c r="AH98" s="3" t="s">
        <v>292</v>
      </c>
      <c r="AI98" s="1">
        <v>4</v>
      </c>
      <c r="AJ98" s="3" t="s">
        <v>165</v>
      </c>
      <c r="AK98" s="1" t="s">
        <v>191</v>
      </c>
      <c r="AL98" s="3">
        <v>98.175232950237003</v>
      </c>
      <c r="AM98" s="3">
        <v>98.194622950820005</v>
      </c>
      <c r="AN98" s="3">
        <v>98194.62</v>
      </c>
      <c r="AO98" s="3">
        <v>98194.62</v>
      </c>
      <c r="AP98" s="1" t="s">
        <v>164</v>
      </c>
      <c r="AQ98" s="1">
        <v>4</v>
      </c>
      <c r="AR98" s="1" t="s">
        <v>165</v>
      </c>
      <c r="AS98" s="3">
        <v>132534288.59999999</v>
      </c>
      <c r="AT98" s="1" t="s">
        <v>176</v>
      </c>
      <c r="AU98" s="1">
        <v>1</v>
      </c>
      <c r="AV98" s="1">
        <v>1</v>
      </c>
      <c r="AW98" s="3" t="s">
        <v>196</v>
      </c>
      <c r="AX98" s="3" t="s">
        <v>282</v>
      </c>
      <c r="AY98" s="1">
        <v>0</v>
      </c>
      <c r="BA98" s="3">
        <v>8205251.6799999997</v>
      </c>
      <c r="BB98" s="1">
        <v>1</v>
      </c>
      <c r="BD98" s="1" t="s">
        <v>971</v>
      </c>
      <c r="BE98" s="1">
        <v>1</v>
      </c>
      <c r="BF98" s="1">
        <v>1</v>
      </c>
      <c r="BG98" s="1" t="s">
        <v>168</v>
      </c>
      <c r="BH98" s="1">
        <v>0</v>
      </c>
      <c r="BI98" s="1">
        <v>31345322.399999999</v>
      </c>
      <c r="BJ98" s="1">
        <v>0</v>
      </c>
      <c r="BK98" s="1">
        <v>123618989.48999999</v>
      </c>
      <c r="BL98" s="1">
        <v>132456249.91</v>
      </c>
      <c r="BM98" s="1">
        <v>596150.00000000012</v>
      </c>
      <c r="BN98" s="1">
        <v>9219855.2300000004</v>
      </c>
      <c r="BO98" s="1">
        <v>23.664660909999998</v>
      </c>
      <c r="BP98" s="1">
        <v>0.45007313999999998</v>
      </c>
      <c r="BQ98" s="1">
        <v>6.9606796500000003</v>
      </c>
      <c r="BR98" s="1">
        <v>7.4133630000000006E-2</v>
      </c>
      <c r="BS98" s="1" t="s">
        <v>169</v>
      </c>
      <c r="BT98" s="1" t="s">
        <v>169</v>
      </c>
      <c r="BU98" s="1">
        <v>26356083.120000001</v>
      </c>
      <c r="BV98" s="1">
        <v>0</v>
      </c>
      <c r="BW98" s="1">
        <v>19.39</v>
      </c>
      <c r="BX98" s="1">
        <v>0.02</v>
      </c>
      <c r="BY98" s="1" t="s">
        <v>170</v>
      </c>
      <c r="BZ98" s="1">
        <v>-78038.69</v>
      </c>
      <c r="CA98" s="1" t="s">
        <v>250</v>
      </c>
      <c r="CB98" s="1" t="s">
        <v>251</v>
      </c>
      <c r="CC98" s="1">
        <v>-751.75</v>
      </c>
      <c r="CD98" s="1">
        <v>-751.75</v>
      </c>
      <c r="CE98" s="1">
        <v>98175.23</v>
      </c>
      <c r="CF98" s="1">
        <v>98175.23</v>
      </c>
      <c r="CG98" s="1">
        <v>0</v>
      </c>
      <c r="CH98" s="1">
        <v>1.4438757900000001</v>
      </c>
      <c r="CI98" s="1">
        <v>13.27863496</v>
      </c>
      <c r="CJ98" s="1">
        <v>17588381.91</v>
      </c>
      <c r="CK98" s="1">
        <v>1912503.72</v>
      </c>
      <c r="CL98" s="1">
        <v>6269233.6699999999</v>
      </c>
      <c r="CM98" s="1" t="s">
        <v>164</v>
      </c>
      <c r="CN98" s="1" t="s">
        <v>164</v>
      </c>
      <c r="CO98" s="1" t="s">
        <v>184</v>
      </c>
      <c r="CP98" s="1" t="s">
        <v>243</v>
      </c>
      <c r="CQ98" s="3" t="s">
        <v>252</v>
      </c>
      <c r="CR98" s="1">
        <v>0</v>
      </c>
      <c r="CS98" s="1" t="s">
        <v>243</v>
      </c>
      <c r="CT98" s="1">
        <v>7.9433279999999995E-2</v>
      </c>
      <c r="CV98" s="1">
        <v>0</v>
      </c>
      <c r="CW98" s="1">
        <v>-219173.26</v>
      </c>
      <c r="DA98" s="1">
        <v>1355558.46</v>
      </c>
      <c r="DB98" s="1">
        <v>0</v>
      </c>
      <c r="DC98" s="1">
        <v>2520.3126550000002</v>
      </c>
      <c r="DD98" s="1">
        <v>52555.483399999997</v>
      </c>
      <c r="DE98" s="1">
        <v>-296353.43</v>
      </c>
      <c r="DF98" s="1">
        <v>92570020.519999996</v>
      </c>
      <c r="DG98" s="1">
        <v>19.39</v>
      </c>
      <c r="DH98" s="1">
        <v>394770.09</v>
      </c>
      <c r="DI98" s="1">
        <v>0.29803809999999997</v>
      </c>
      <c r="DK98" s="1">
        <v>0</v>
      </c>
      <c r="DL98" s="1">
        <v>0</v>
      </c>
      <c r="DM98" s="1">
        <v>-296353.43</v>
      </c>
      <c r="DN98" s="1">
        <v>0</v>
      </c>
      <c r="DO98" s="1">
        <v>0</v>
      </c>
      <c r="DP98" s="1">
        <v>16777215</v>
      </c>
      <c r="DQ98" s="1">
        <v>0</v>
      </c>
      <c r="DR98" s="1">
        <v>0</v>
      </c>
      <c r="DS98" s="1">
        <v>0</v>
      </c>
      <c r="DT98" s="1">
        <v>0</v>
      </c>
      <c r="DU98" s="1">
        <v>0</v>
      </c>
      <c r="DV98" s="1">
        <v>98194.62</v>
      </c>
      <c r="DW98" s="1">
        <v>98194.62</v>
      </c>
      <c r="DX98" s="1">
        <v>31345322.399999999</v>
      </c>
      <c r="DY98" s="1">
        <v>-1110160.2399999984</v>
      </c>
      <c r="DZ98" s="1">
        <v>92570020.519999966</v>
      </c>
      <c r="EA98" s="1">
        <v>0</v>
      </c>
      <c r="EB98" s="1">
        <v>0</v>
      </c>
      <c r="EC98" s="1" t="s">
        <v>176</v>
      </c>
      <c r="EE98" s="1">
        <v>0</v>
      </c>
      <c r="EF98" s="1">
        <v>3</v>
      </c>
      <c r="EG98" s="1">
        <v>0</v>
      </c>
      <c r="EH98" s="3">
        <v>0.10607605000000001</v>
      </c>
      <c r="EI98" s="1">
        <v>0</v>
      </c>
      <c r="EL98" s="1">
        <v>0</v>
      </c>
      <c r="EM98" s="1">
        <v>0</v>
      </c>
      <c r="EN98" s="1">
        <v>1633661.45</v>
      </c>
      <c r="EO98" s="1">
        <v>1.2333592799999999</v>
      </c>
      <c r="ER98" s="1">
        <v>98.187658469946001</v>
      </c>
      <c r="ES98" s="1">
        <v>1</v>
      </c>
      <c r="ET98" s="3">
        <v>4.995514848</v>
      </c>
      <c r="EU98" s="3">
        <v>0.78142076500000002</v>
      </c>
      <c r="EV98" s="3">
        <v>0.73075383537100003</v>
      </c>
      <c r="EW98" s="3">
        <v>0.78356164399999995</v>
      </c>
      <c r="EX98" s="3">
        <v>1.2627284000000001E-2</v>
      </c>
      <c r="EY98" s="3">
        <v>9</v>
      </c>
      <c r="EZ98" s="3">
        <v>286</v>
      </c>
      <c r="FA98" s="1">
        <v>0</v>
      </c>
      <c r="FB98" s="1">
        <v>0</v>
      </c>
      <c r="FC98" s="3">
        <v>3.1602647240000001</v>
      </c>
      <c r="FD98" s="1">
        <v>0</v>
      </c>
      <c r="FE98" s="1">
        <v>0</v>
      </c>
    </row>
    <row r="99" spans="1:161" x14ac:dyDescent="0.3">
      <c r="A99" s="1">
        <v>16975445</v>
      </c>
      <c r="B99" s="1">
        <v>128</v>
      </c>
      <c r="C99" s="1">
        <v>9606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2</v>
      </c>
      <c r="J99" s="3">
        <v>2</v>
      </c>
      <c r="K99" s="1">
        <v>200000</v>
      </c>
      <c r="L99" s="1">
        <v>200000</v>
      </c>
      <c r="M99" s="1">
        <v>200000</v>
      </c>
      <c r="N99" s="3">
        <v>200000</v>
      </c>
      <c r="O99" s="1">
        <v>200366</v>
      </c>
      <c r="P99" s="1">
        <v>200366</v>
      </c>
      <c r="Q99" s="1">
        <v>200366</v>
      </c>
      <c r="R99" s="1">
        <v>200366</v>
      </c>
      <c r="S99" s="1">
        <v>200000</v>
      </c>
      <c r="T99" s="1">
        <v>200000</v>
      </c>
      <c r="U99" s="1">
        <v>200000</v>
      </c>
      <c r="V99" s="1">
        <v>200000</v>
      </c>
      <c r="W99" s="1">
        <v>0</v>
      </c>
      <c r="X99" s="1">
        <v>0</v>
      </c>
      <c r="Y99" s="1">
        <v>0</v>
      </c>
      <c r="Z99" s="1">
        <v>0</v>
      </c>
      <c r="AA99" s="1">
        <v>-431.88</v>
      </c>
      <c r="AB99" s="1">
        <v>-431.88</v>
      </c>
      <c r="AC99" s="1">
        <v>-431.88</v>
      </c>
      <c r="AD99" s="1">
        <v>-431.88</v>
      </c>
      <c r="AE99" s="3" t="s">
        <v>293</v>
      </c>
      <c r="AF99" s="3" t="s">
        <v>161</v>
      </c>
      <c r="AG99" s="1" t="s">
        <v>970</v>
      </c>
      <c r="AH99" s="3" t="s">
        <v>294</v>
      </c>
      <c r="AI99" s="1">
        <v>4</v>
      </c>
      <c r="AJ99" s="3" t="s">
        <v>165</v>
      </c>
      <c r="AK99" s="1" t="s">
        <v>191</v>
      </c>
      <c r="AL99" s="3">
        <v>101.053754589279</v>
      </c>
      <c r="AM99" s="3">
        <v>101.11210958904201</v>
      </c>
      <c r="AN99" s="3">
        <v>202224.22</v>
      </c>
      <c r="AO99" s="3">
        <v>202224.22</v>
      </c>
      <c r="AP99" s="1" t="s">
        <v>164</v>
      </c>
      <c r="AQ99" s="1">
        <v>4</v>
      </c>
      <c r="AR99" s="1" t="s">
        <v>165</v>
      </c>
      <c r="AS99" s="3">
        <v>132534288.59999999</v>
      </c>
      <c r="AT99" s="1" t="s">
        <v>176</v>
      </c>
      <c r="AU99" s="1">
        <v>1</v>
      </c>
      <c r="AV99" s="1">
        <v>1</v>
      </c>
      <c r="AW99" s="3" t="s">
        <v>196</v>
      </c>
      <c r="AX99" s="3" t="s">
        <v>282</v>
      </c>
      <c r="AY99" s="1">
        <v>0</v>
      </c>
      <c r="BA99" s="3">
        <v>8205251.6799999997</v>
      </c>
      <c r="BB99" s="1">
        <v>1</v>
      </c>
      <c r="BD99" s="1" t="s">
        <v>971</v>
      </c>
      <c r="BE99" s="1">
        <v>1</v>
      </c>
      <c r="BF99" s="1">
        <v>1</v>
      </c>
      <c r="BG99" s="1" t="s">
        <v>168</v>
      </c>
      <c r="BH99" s="1">
        <v>0</v>
      </c>
      <c r="BI99" s="1">
        <v>31345322.399999999</v>
      </c>
      <c r="BJ99" s="1">
        <v>0</v>
      </c>
      <c r="BK99" s="1">
        <v>123618989.48999999</v>
      </c>
      <c r="BL99" s="1">
        <v>132456249.91</v>
      </c>
      <c r="BM99" s="1">
        <v>596150.00000000012</v>
      </c>
      <c r="BN99" s="1">
        <v>9219855.2300000004</v>
      </c>
      <c r="BO99" s="1">
        <v>23.664660909999998</v>
      </c>
      <c r="BP99" s="1">
        <v>0.45007313999999998</v>
      </c>
      <c r="BQ99" s="1">
        <v>6.9606796500000003</v>
      </c>
      <c r="BR99" s="1">
        <v>0.15267246000000001</v>
      </c>
      <c r="BS99" s="1" t="s">
        <v>169</v>
      </c>
      <c r="BT99" s="1" t="s">
        <v>169</v>
      </c>
      <c r="BU99" s="1">
        <v>26356083.120000001</v>
      </c>
      <c r="BV99" s="1">
        <v>0</v>
      </c>
      <c r="BW99" s="1">
        <v>116.71</v>
      </c>
      <c r="BX99" s="1">
        <v>0.06</v>
      </c>
      <c r="BY99" s="1" t="s">
        <v>170</v>
      </c>
      <c r="BZ99" s="1">
        <v>-78038.69</v>
      </c>
      <c r="CA99" s="1" t="s">
        <v>250</v>
      </c>
      <c r="CB99" s="1" t="s">
        <v>251</v>
      </c>
      <c r="CC99" s="1">
        <v>2173.39</v>
      </c>
      <c r="CD99" s="1">
        <v>2173.39</v>
      </c>
      <c r="CE99" s="1">
        <v>202107.51</v>
      </c>
      <c r="CF99" s="1">
        <v>202107.51</v>
      </c>
      <c r="CG99" s="1">
        <v>0</v>
      </c>
      <c r="CH99" s="1">
        <v>1.4438757900000001</v>
      </c>
      <c r="CI99" s="1">
        <v>13.27863496</v>
      </c>
      <c r="CJ99" s="1">
        <v>17588381.91</v>
      </c>
      <c r="CK99" s="1">
        <v>1912503.72</v>
      </c>
      <c r="CL99" s="1">
        <v>6269233.6699999999</v>
      </c>
      <c r="CM99" s="1" t="s">
        <v>164</v>
      </c>
      <c r="CN99" s="1" t="s">
        <v>164</v>
      </c>
      <c r="CO99" s="1" t="s">
        <v>184</v>
      </c>
      <c r="CP99" s="1" t="s">
        <v>243</v>
      </c>
      <c r="CQ99" s="3" t="s">
        <v>252</v>
      </c>
      <c r="CR99" s="1">
        <v>0</v>
      </c>
      <c r="CS99" s="1" t="s">
        <v>243</v>
      </c>
      <c r="CT99" s="1">
        <v>0.1635867</v>
      </c>
      <c r="CV99" s="1">
        <v>0</v>
      </c>
      <c r="CW99" s="1">
        <v>-219173.26</v>
      </c>
      <c r="DA99" s="1">
        <v>1355558.46</v>
      </c>
      <c r="DB99" s="1">
        <v>0</v>
      </c>
      <c r="DC99" s="1">
        <v>2520.3126550000002</v>
      </c>
      <c r="DD99" s="1">
        <v>52555.483399999997</v>
      </c>
      <c r="DE99" s="1">
        <v>-296353.43</v>
      </c>
      <c r="DF99" s="1">
        <v>92570020.519999996</v>
      </c>
      <c r="DG99" s="1">
        <v>116.71</v>
      </c>
      <c r="DH99" s="1">
        <v>394770.09</v>
      </c>
      <c r="DI99" s="1">
        <v>0.29803809999999997</v>
      </c>
      <c r="DK99" s="1">
        <v>0</v>
      </c>
      <c r="DL99" s="1">
        <v>0</v>
      </c>
      <c r="DM99" s="1">
        <v>-296353.43</v>
      </c>
      <c r="DN99" s="1">
        <v>0</v>
      </c>
      <c r="DO99" s="1">
        <v>0</v>
      </c>
      <c r="DP99" s="1">
        <v>16777215</v>
      </c>
      <c r="DQ99" s="1">
        <v>0</v>
      </c>
      <c r="DR99" s="1">
        <v>0</v>
      </c>
      <c r="DS99" s="1">
        <v>0</v>
      </c>
      <c r="DT99" s="1">
        <v>0</v>
      </c>
      <c r="DU99" s="1">
        <v>0</v>
      </c>
      <c r="DV99" s="1">
        <v>202224.22</v>
      </c>
      <c r="DW99" s="1">
        <v>202224.22</v>
      </c>
      <c r="DX99" s="1">
        <v>31345322.399999999</v>
      </c>
      <c r="DY99" s="1">
        <v>-1110160.2399999984</v>
      </c>
      <c r="DZ99" s="1">
        <v>92570020.519999966</v>
      </c>
      <c r="EA99" s="1">
        <v>0</v>
      </c>
      <c r="EB99" s="1">
        <v>0</v>
      </c>
      <c r="EC99" s="1" t="s">
        <v>176</v>
      </c>
      <c r="EE99" s="1">
        <v>0</v>
      </c>
      <c r="EF99" s="1">
        <v>3</v>
      </c>
      <c r="EG99" s="1">
        <v>0</v>
      </c>
      <c r="EH99" s="3">
        <v>0.21845540999999999</v>
      </c>
      <c r="EI99" s="1">
        <v>0</v>
      </c>
      <c r="EL99" s="1">
        <v>0</v>
      </c>
      <c r="EM99" s="1">
        <v>0</v>
      </c>
      <c r="EN99" s="1">
        <v>1633661.45</v>
      </c>
      <c r="EO99" s="1">
        <v>1.2333592799999999</v>
      </c>
      <c r="ER99" s="1">
        <v>101.12665753424599</v>
      </c>
      <c r="ES99" s="1">
        <v>1</v>
      </c>
      <c r="ET99" s="3">
        <v>4.0677991699999998</v>
      </c>
      <c r="EU99" s="3">
        <v>0.123287671</v>
      </c>
      <c r="EV99" s="3">
        <v>0.11980334147500001</v>
      </c>
      <c r="EW99" s="3">
        <v>0.123287671</v>
      </c>
      <c r="EX99" s="3">
        <v>1.2787269999999999E-3</v>
      </c>
      <c r="EY99" s="3">
        <v>1</v>
      </c>
      <c r="EZ99" s="3">
        <v>45</v>
      </c>
      <c r="FA99" s="1">
        <v>0</v>
      </c>
      <c r="FB99" s="1">
        <v>0</v>
      </c>
      <c r="FC99" s="3">
        <v>12.290191415000001</v>
      </c>
      <c r="FD99" s="1">
        <v>0</v>
      </c>
      <c r="FE99" s="1">
        <v>0</v>
      </c>
    </row>
    <row r="100" spans="1:161" x14ac:dyDescent="0.3">
      <c r="A100" s="1">
        <v>16975438</v>
      </c>
      <c r="B100" s="1">
        <v>128</v>
      </c>
      <c r="C100" s="1">
        <v>9788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1</v>
      </c>
      <c r="J100" s="3">
        <v>1</v>
      </c>
      <c r="K100" s="1">
        <v>100000</v>
      </c>
      <c r="L100" s="1">
        <v>100000</v>
      </c>
      <c r="M100" s="1">
        <v>100000</v>
      </c>
      <c r="N100" s="3">
        <v>100000</v>
      </c>
      <c r="O100" s="1">
        <v>99810</v>
      </c>
      <c r="P100" s="1">
        <v>99810</v>
      </c>
      <c r="Q100" s="1">
        <v>99810</v>
      </c>
      <c r="R100" s="1">
        <v>99810</v>
      </c>
      <c r="S100" s="1">
        <v>100000</v>
      </c>
      <c r="T100" s="1">
        <v>100000</v>
      </c>
      <c r="U100" s="1">
        <v>100000</v>
      </c>
      <c r="V100" s="1">
        <v>100000</v>
      </c>
      <c r="W100" s="1">
        <v>0</v>
      </c>
      <c r="X100" s="1">
        <v>0</v>
      </c>
      <c r="Y100" s="1">
        <v>0</v>
      </c>
      <c r="Z100" s="1">
        <v>0</v>
      </c>
      <c r="AA100" s="1">
        <v>306.95</v>
      </c>
      <c r="AB100" s="1">
        <v>306.95</v>
      </c>
      <c r="AC100" s="1">
        <v>306.95</v>
      </c>
      <c r="AD100" s="1">
        <v>306.95</v>
      </c>
      <c r="AE100" s="3" t="s">
        <v>296</v>
      </c>
      <c r="AF100" s="3" t="s">
        <v>161</v>
      </c>
      <c r="AG100" s="1" t="s">
        <v>970</v>
      </c>
      <c r="AH100" s="3" t="s">
        <v>297</v>
      </c>
      <c r="AI100" s="1">
        <v>4</v>
      </c>
      <c r="AJ100" s="3" t="s">
        <v>165</v>
      </c>
      <c r="AK100" s="1" t="s">
        <v>191</v>
      </c>
      <c r="AL100" s="3">
        <v>100.09899999999899</v>
      </c>
      <c r="AM100" s="3">
        <v>100.139499999999</v>
      </c>
      <c r="AN100" s="3">
        <v>100139.5</v>
      </c>
      <c r="AO100" s="3">
        <v>100139.5</v>
      </c>
      <c r="AP100" s="1" t="s">
        <v>164</v>
      </c>
      <c r="AQ100" s="1">
        <v>4</v>
      </c>
      <c r="AR100" s="1" t="s">
        <v>165</v>
      </c>
      <c r="AS100" s="3">
        <v>132534288.59999999</v>
      </c>
      <c r="AT100" s="1" t="s">
        <v>176</v>
      </c>
      <c r="AU100" s="1">
        <v>1</v>
      </c>
      <c r="AV100" s="1">
        <v>1</v>
      </c>
      <c r="AW100" s="3" t="s">
        <v>196</v>
      </c>
      <c r="AX100" s="3" t="s">
        <v>295</v>
      </c>
      <c r="AY100" s="1">
        <v>0</v>
      </c>
      <c r="BA100" s="3">
        <v>8205251.6799999997</v>
      </c>
      <c r="BB100" s="1">
        <v>1</v>
      </c>
      <c r="BD100" s="1" t="s">
        <v>971</v>
      </c>
      <c r="BE100" s="1">
        <v>1</v>
      </c>
      <c r="BF100" s="1">
        <v>1</v>
      </c>
      <c r="BG100" s="1" t="s">
        <v>168</v>
      </c>
      <c r="BH100" s="1">
        <v>0</v>
      </c>
      <c r="BI100" s="1">
        <v>31345322.399999999</v>
      </c>
      <c r="BJ100" s="1">
        <v>0</v>
      </c>
      <c r="BK100" s="1">
        <v>123618989.48999999</v>
      </c>
      <c r="BL100" s="1">
        <v>132456249.91</v>
      </c>
      <c r="BM100" s="1">
        <v>596150.00000000012</v>
      </c>
      <c r="BN100" s="1">
        <v>9219855.2300000004</v>
      </c>
      <c r="BO100" s="1">
        <v>23.664660909999998</v>
      </c>
      <c r="BP100" s="1">
        <v>0.45007313999999998</v>
      </c>
      <c r="BQ100" s="1">
        <v>6.9606796500000003</v>
      </c>
      <c r="BR100" s="1">
        <v>7.5601940000000006E-2</v>
      </c>
      <c r="BS100" s="1" t="s">
        <v>169</v>
      </c>
      <c r="BT100" s="1" t="s">
        <v>169</v>
      </c>
      <c r="BU100" s="1">
        <v>26356083.120000001</v>
      </c>
      <c r="BV100" s="1">
        <v>0</v>
      </c>
      <c r="BW100" s="1">
        <v>40.5</v>
      </c>
      <c r="BX100" s="1">
        <v>0.04</v>
      </c>
      <c r="BY100" s="1" t="s">
        <v>170</v>
      </c>
      <c r="BZ100" s="1">
        <v>-78038.69</v>
      </c>
      <c r="CA100" s="1" t="s">
        <v>250</v>
      </c>
      <c r="CB100" s="1" t="s">
        <v>251</v>
      </c>
      <c r="CC100" s="1">
        <v>-17.95</v>
      </c>
      <c r="CD100" s="1">
        <v>-17.95</v>
      </c>
      <c r="CE100" s="1">
        <v>100099</v>
      </c>
      <c r="CF100" s="1">
        <v>100099</v>
      </c>
      <c r="CG100" s="1">
        <v>0</v>
      </c>
      <c r="CH100" s="1">
        <v>1.4438757900000001</v>
      </c>
      <c r="CI100" s="1">
        <v>13.27863496</v>
      </c>
      <c r="CJ100" s="1">
        <v>17588381.91</v>
      </c>
      <c r="CK100" s="1">
        <v>1912503.72</v>
      </c>
      <c r="CL100" s="1">
        <v>6269233.6699999999</v>
      </c>
      <c r="CM100" s="1" t="s">
        <v>164</v>
      </c>
      <c r="CN100" s="1" t="s">
        <v>164</v>
      </c>
      <c r="CO100" s="1" t="s">
        <v>184</v>
      </c>
      <c r="CP100" s="1" t="s">
        <v>243</v>
      </c>
      <c r="CQ100" s="3" t="s">
        <v>252</v>
      </c>
      <c r="CR100" s="1">
        <v>0</v>
      </c>
      <c r="CS100" s="1" t="s">
        <v>243</v>
      </c>
      <c r="CT100" s="1">
        <v>8.100657E-2</v>
      </c>
      <c r="CV100" s="1">
        <v>0</v>
      </c>
      <c r="CW100" s="1">
        <v>-219173.26</v>
      </c>
      <c r="DA100" s="1">
        <v>1355558.46</v>
      </c>
      <c r="DB100" s="1">
        <v>0</v>
      </c>
      <c r="DC100" s="1">
        <v>2520.3126550000002</v>
      </c>
      <c r="DD100" s="1">
        <v>52555.483399999997</v>
      </c>
      <c r="DE100" s="1">
        <v>-296353.43</v>
      </c>
      <c r="DF100" s="1">
        <v>92570020.519999996</v>
      </c>
      <c r="DG100" s="1">
        <v>40.5</v>
      </c>
      <c r="DH100" s="1">
        <v>394770.09</v>
      </c>
      <c r="DI100" s="1">
        <v>0.29803809999999997</v>
      </c>
      <c r="DK100" s="1">
        <v>0</v>
      </c>
      <c r="DL100" s="1">
        <v>0</v>
      </c>
      <c r="DM100" s="1">
        <v>-296353.43</v>
      </c>
      <c r="DN100" s="1">
        <v>0</v>
      </c>
      <c r="DO100" s="1">
        <v>0</v>
      </c>
      <c r="DP100" s="1">
        <v>16777215</v>
      </c>
      <c r="DQ100" s="1">
        <v>0</v>
      </c>
      <c r="DR100" s="1">
        <v>0</v>
      </c>
      <c r="DS100" s="1">
        <v>0</v>
      </c>
      <c r="DT100" s="1">
        <v>0</v>
      </c>
      <c r="DU100" s="1">
        <v>0</v>
      </c>
      <c r="DV100" s="1">
        <v>100139.5</v>
      </c>
      <c r="DW100" s="1">
        <v>100139.5</v>
      </c>
      <c r="DX100" s="1">
        <v>31345322.399999999</v>
      </c>
      <c r="DY100" s="1">
        <v>-1110160.2399999984</v>
      </c>
      <c r="DZ100" s="1">
        <v>92570020.519999966</v>
      </c>
      <c r="EA100" s="1">
        <v>0</v>
      </c>
      <c r="EB100" s="1">
        <v>0</v>
      </c>
      <c r="EC100" s="1" t="s">
        <v>176</v>
      </c>
      <c r="EE100" s="1">
        <v>0</v>
      </c>
      <c r="EF100" s="1">
        <v>3</v>
      </c>
      <c r="EG100" s="1">
        <v>0</v>
      </c>
      <c r="EH100" s="3">
        <v>0.10817702999999999</v>
      </c>
      <c r="EI100" s="1">
        <v>0</v>
      </c>
      <c r="EL100" s="1">
        <v>0</v>
      </c>
      <c r="EM100" s="1">
        <v>0</v>
      </c>
      <c r="EN100" s="1">
        <v>1633661.45</v>
      </c>
      <c r="EO100" s="1">
        <v>1.2333592799999999</v>
      </c>
      <c r="ER100" s="1">
        <v>100.147833333335</v>
      </c>
      <c r="ES100" s="1">
        <v>1</v>
      </c>
      <c r="ET100" s="3">
        <v>4.5213764220000003</v>
      </c>
      <c r="EU100" s="3">
        <v>0.197222222</v>
      </c>
      <c r="EV100" s="3">
        <v>0.195306150387</v>
      </c>
      <c r="EW100" s="3">
        <v>1.4438356160000001</v>
      </c>
      <c r="EX100" s="3">
        <v>2.3087009999999998E-3</v>
      </c>
      <c r="EY100" s="3">
        <v>2</v>
      </c>
      <c r="EZ100" s="3">
        <v>527</v>
      </c>
      <c r="FA100" s="1">
        <v>0</v>
      </c>
      <c r="FB100" s="1">
        <v>0</v>
      </c>
      <c r="FC100" s="3">
        <v>4.7699076610000004</v>
      </c>
      <c r="FD100" s="1">
        <v>0</v>
      </c>
      <c r="FE100" s="1">
        <v>0</v>
      </c>
    </row>
    <row r="101" spans="1:161" x14ac:dyDescent="0.3">
      <c r="A101" s="1">
        <v>16975479</v>
      </c>
      <c r="B101" s="1">
        <v>128</v>
      </c>
      <c r="C101" s="1">
        <v>9074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3</v>
      </c>
      <c r="J101" s="3">
        <v>3</v>
      </c>
      <c r="K101" s="1">
        <v>300000</v>
      </c>
      <c r="L101" s="1">
        <v>300000</v>
      </c>
      <c r="M101" s="1">
        <v>300000</v>
      </c>
      <c r="N101" s="3">
        <v>300000</v>
      </c>
      <c r="O101" s="1">
        <v>299533</v>
      </c>
      <c r="P101" s="1">
        <v>299533</v>
      </c>
      <c r="Q101" s="1">
        <v>299533</v>
      </c>
      <c r="R101" s="1">
        <v>299533</v>
      </c>
      <c r="S101" s="1">
        <v>300000</v>
      </c>
      <c r="T101" s="1">
        <v>300000</v>
      </c>
      <c r="U101" s="1">
        <v>300000</v>
      </c>
      <c r="V101" s="1">
        <v>300000</v>
      </c>
      <c r="W101" s="1">
        <v>0</v>
      </c>
      <c r="X101" s="1">
        <v>0</v>
      </c>
      <c r="Y101" s="1">
        <v>0</v>
      </c>
      <c r="Z101" s="1">
        <v>0</v>
      </c>
      <c r="AA101" s="1">
        <v>-219.04</v>
      </c>
      <c r="AB101" s="1">
        <v>-219.04</v>
      </c>
      <c r="AC101" s="1">
        <v>-219.04</v>
      </c>
      <c r="AD101" s="1">
        <v>-219.04</v>
      </c>
      <c r="AE101" s="3" t="s">
        <v>298</v>
      </c>
      <c r="AF101" s="3" t="s">
        <v>161</v>
      </c>
      <c r="AG101" s="1" t="s">
        <v>970</v>
      </c>
      <c r="AH101" s="3" t="s">
        <v>299</v>
      </c>
      <c r="AI101" s="1">
        <v>4</v>
      </c>
      <c r="AJ101" s="3" t="s">
        <v>165</v>
      </c>
      <c r="AK101" s="1" t="s">
        <v>191</v>
      </c>
      <c r="AL101" s="3">
        <v>98.461820639227994</v>
      </c>
      <c r="AM101" s="3">
        <v>98.468273972603001</v>
      </c>
      <c r="AN101" s="3">
        <v>295404.82</v>
      </c>
      <c r="AO101" s="3">
        <v>295404.82</v>
      </c>
      <c r="AP101" s="1" t="s">
        <v>164</v>
      </c>
      <c r="AQ101" s="1">
        <v>4</v>
      </c>
      <c r="AR101" s="1" t="s">
        <v>165</v>
      </c>
      <c r="AS101" s="3">
        <v>132534288.59999999</v>
      </c>
      <c r="AT101" s="1" t="s">
        <v>176</v>
      </c>
      <c r="AU101" s="1">
        <v>1</v>
      </c>
      <c r="AV101" s="1">
        <v>1</v>
      </c>
      <c r="AW101" s="3" t="s">
        <v>196</v>
      </c>
      <c r="AX101" s="3" t="s">
        <v>295</v>
      </c>
      <c r="AY101" s="1">
        <v>0</v>
      </c>
      <c r="BA101" s="3">
        <v>8205251.6799999997</v>
      </c>
      <c r="BB101" s="1">
        <v>1</v>
      </c>
      <c r="BD101" s="1" t="s">
        <v>971</v>
      </c>
      <c r="BE101" s="1">
        <v>1</v>
      </c>
      <c r="BF101" s="1">
        <v>1</v>
      </c>
      <c r="BG101" s="1" t="s">
        <v>168</v>
      </c>
      <c r="BH101" s="1">
        <v>0</v>
      </c>
      <c r="BI101" s="1">
        <v>31345322.399999999</v>
      </c>
      <c r="BJ101" s="1">
        <v>0</v>
      </c>
      <c r="BK101" s="1">
        <v>123618989.48999999</v>
      </c>
      <c r="BL101" s="1">
        <v>132456249.91</v>
      </c>
      <c r="BM101" s="1">
        <v>596150.00000000012</v>
      </c>
      <c r="BN101" s="1">
        <v>9219855.2300000004</v>
      </c>
      <c r="BO101" s="1">
        <v>23.664660909999998</v>
      </c>
      <c r="BP101" s="1">
        <v>0.45007313999999998</v>
      </c>
      <c r="BQ101" s="1">
        <v>6.9606796500000003</v>
      </c>
      <c r="BR101" s="1">
        <v>0.22302067</v>
      </c>
      <c r="BS101" s="1" t="s">
        <v>169</v>
      </c>
      <c r="BT101" s="1" t="s">
        <v>169</v>
      </c>
      <c r="BU101" s="1">
        <v>26356083.120000001</v>
      </c>
      <c r="BV101" s="1">
        <v>0</v>
      </c>
      <c r="BW101" s="1">
        <v>19.36</v>
      </c>
      <c r="BX101" s="1">
        <v>0.01</v>
      </c>
      <c r="BY101" s="1" t="s">
        <v>170</v>
      </c>
      <c r="BZ101" s="1">
        <v>-78038.69</v>
      </c>
      <c r="CA101" s="1" t="s">
        <v>250</v>
      </c>
      <c r="CB101" s="1" t="s">
        <v>251</v>
      </c>
      <c r="CC101" s="1">
        <v>-3928.5</v>
      </c>
      <c r="CD101" s="1">
        <v>-3928.5</v>
      </c>
      <c r="CE101" s="1">
        <v>295385.46000000002</v>
      </c>
      <c r="CF101" s="1">
        <v>295385.46000000002</v>
      </c>
      <c r="CG101" s="1">
        <v>0</v>
      </c>
      <c r="CH101" s="1">
        <v>1.4438757900000001</v>
      </c>
      <c r="CI101" s="1">
        <v>13.27863496</v>
      </c>
      <c r="CJ101" s="1">
        <v>17588381.91</v>
      </c>
      <c r="CK101" s="1">
        <v>1912503.72</v>
      </c>
      <c r="CL101" s="1">
        <v>6269233.6699999999</v>
      </c>
      <c r="CM101" s="1" t="s">
        <v>164</v>
      </c>
      <c r="CN101" s="1" t="s">
        <v>164</v>
      </c>
      <c r="CO101" s="1" t="s">
        <v>184</v>
      </c>
      <c r="CP101" s="1" t="s">
        <v>243</v>
      </c>
      <c r="CQ101" s="3" t="s">
        <v>252</v>
      </c>
      <c r="CR101" s="1">
        <v>0</v>
      </c>
      <c r="CS101" s="1" t="s">
        <v>243</v>
      </c>
      <c r="CT101" s="1">
        <v>0.23896395000000001</v>
      </c>
      <c r="CV101" s="1">
        <v>0</v>
      </c>
      <c r="CW101" s="1">
        <v>-219173.26</v>
      </c>
      <c r="DA101" s="1">
        <v>1355558.46</v>
      </c>
      <c r="DB101" s="1">
        <v>0</v>
      </c>
      <c r="DC101" s="1">
        <v>2520.3126550000002</v>
      </c>
      <c r="DD101" s="1">
        <v>52555.483399999997</v>
      </c>
      <c r="DE101" s="1">
        <v>-296353.43</v>
      </c>
      <c r="DF101" s="1">
        <v>92570020.519999996</v>
      </c>
      <c r="DG101" s="1">
        <v>19.36</v>
      </c>
      <c r="DH101" s="1">
        <v>394770.09</v>
      </c>
      <c r="DI101" s="1">
        <v>0.29803809999999997</v>
      </c>
      <c r="DK101" s="1">
        <v>0</v>
      </c>
      <c r="DL101" s="1">
        <v>0</v>
      </c>
      <c r="DM101" s="1">
        <v>-296353.43</v>
      </c>
      <c r="DN101" s="1">
        <v>0</v>
      </c>
      <c r="DO101" s="1">
        <v>0</v>
      </c>
      <c r="DP101" s="1">
        <v>16777215</v>
      </c>
      <c r="DQ101" s="1">
        <v>0</v>
      </c>
      <c r="DR101" s="1">
        <v>0</v>
      </c>
      <c r="DS101" s="1">
        <v>0</v>
      </c>
      <c r="DT101" s="1">
        <v>0</v>
      </c>
      <c r="DU101" s="1">
        <v>0</v>
      </c>
      <c r="DV101" s="1">
        <v>295404.82</v>
      </c>
      <c r="DW101" s="1">
        <v>295404.82</v>
      </c>
      <c r="DX101" s="1">
        <v>31345322.399999999</v>
      </c>
      <c r="DY101" s="1">
        <v>-1110160.2399999984</v>
      </c>
      <c r="DZ101" s="1">
        <v>92570020.519999966</v>
      </c>
      <c r="EA101" s="1">
        <v>0</v>
      </c>
      <c r="EB101" s="1">
        <v>0</v>
      </c>
      <c r="EC101" s="1" t="s">
        <v>176</v>
      </c>
      <c r="EE101" s="1">
        <v>0</v>
      </c>
      <c r="EF101" s="1">
        <v>3</v>
      </c>
      <c r="EG101" s="1">
        <v>0</v>
      </c>
      <c r="EH101" s="3">
        <v>0.31911499999999998</v>
      </c>
      <c r="EI101" s="1">
        <v>0</v>
      </c>
      <c r="EL101" s="1">
        <v>0</v>
      </c>
      <c r="EM101" s="1">
        <v>0</v>
      </c>
      <c r="EN101" s="1">
        <v>1633661.45</v>
      </c>
      <c r="EO101" s="1">
        <v>1.2333592799999999</v>
      </c>
      <c r="ER101" s="1">
        <v>98.396034246575994</v>
      </c>
      <c r="ES101" s="1">
        <v>1</v>
      </c>
      <c r="ET101" s="3">
        <v>8.3303423500000005</v>
      </c>
      <c r="EU101" s="3">
        <v>0.29589041100000002</v>
      </c>
      <c r="EV101" s="3">
        <v>0.26875612463800003</v>
      </c>
      <c r="EW101" s="3">
        <v>0.29589041100000002</v>
      </c>
      <c r="EX101" s="3">
        <v>3.2673749999999999E-3</v>
      </c>
      <c r="EY101" s="3">
        <v>3</v>
      </c>
      <c r="EZ101" s="3">
        <v>108</v>
      </c>
      <c r="FA101" s="1">
        <v>0</v>
      </c>
      <c r="FB101" s="1">
        <v>0</v>
      </c>
      <c r="FC101" s="3">
        <v>3.1106580730000002</v>
      </c>
      <c r="FD101" s="1">
        <v>0</v>
      </c>
      <c r="FE101" s="1">
        <v>0</v>
      </c>
    </row>
    <row r="102" spans="1:161" x14ac:dyDescent="0.3">
      <c r="A102" s="1">
        <v>16975432</v>
      </c>
      <c r="B102" s="1">
        <v>128</v>
      </c>
      <c r="C102" s="1">
        <v>10263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1</v>
      </c>
      <c r="J102" s="3">
        <v>1</v>
      </c>
      <c r="K102" s="1">
        <v>100000</v>
      </c>
      <c r="L102" s="1">
        <v>100000</v>
      </c>
      <c r="M102" s="1">
        <v>100000</v>
      </c>
      <c r="N102" s="3">
        <v>100000</v>
      </c>
      <c r="O102" s="1">
        <v>98461</v>
      </c>
      <c r="P102" s="1">
        <v>98461</v>
      </c>
      <c r="Q102" s="1">
        <v>98461</v>
      </c>
      <c r="R102" s="1">
        <v>98461</v>
      </c>
      <c r="S102" s="1">
        <v>100000</v>
      </c>
      <c r="T102" s="1">
        <v>100000</v>
      </c>
      <c r="U102" s="1">
        <v>100000</v>
      </c>
      <c r="V102" s="1">
        <v>100000</v>
      </c>
      <c r="W102" s="1">
        <v>181.85</v>
      </c>
      <c r="X102" s="1">
        <v>181.85</v>
      </c>
      <c r="Y102" s="1">
        <v>181.85</v>
      </c>
      <c r="Z102" s="1">
        <v>181.85</v>
      </c>
      <c r="AA102" s="1">
        <v>2465.7399999999998</v>
      </c>
      <c r="AB102" s="1">
        <v>2465.7399999999998</v>
      </c>
      <c r="AC102" s="1">
        <v>2465.7399999999998</v>
      </c>
      <c r="AD102" s="1">
        <v>2465.7399999999998</v>
      </c>
      <c r="AE102" s="3" t="s">
        <v>300</v>
      </c>
      <c r="AF102" s="3" t="s">
        <v>161</v>
      </c>
      <c r="AG102" s="1" t="s">
        <v>970</v>
      </c>
      <c r="AH102" s="3" t="s">
        <v>301</v>
      </c>
      <c r="AI102" s="1">
        <v>4</v>
      </c>
      <c r="AJ102" s="3" t="s">
        <v>165</v>
      </c>
      <c r="AK102" s="1" t="s">
        <v>191</v>
      </c>
      <c r="AL102" s="3">
        <v>101.09784000000001</v>
      </c>
      <c r="AM102" s="3">
        <v>100</v>
      </c>
      <c r="AN102" s="3">
        <v>100000</v>
      </c>
      <c r="AO102" s="3">
        <v>100000</v>
      </c>
      <c r="AP102" s="1" t="s">
        <v>164</v>
      </c>
      <c r="AQ102" s="1">
        <v>4</v>
      </c>
      <c r="AR102" s="1" t="s">
        <v>165</v>
      </c>
      <c r="AS102" s="3">
        <v>132534288.59999999</v>
      </c>
      <c r="AT102" s="1" t="s">
        <v>176</v>
      </c>
      <c r="AU102" s="1">
        <v>1</v>
      </c>
      <c r="AV102" s="1">
        <v>1</v>
      </c>
      <c r="AW102" s="3" t="s">
        <v>196</v>
      </c>
      <c r="AX102" s="3" t="s">
        <v>295</v>
      </c>
      <c r="AY102" s="1">
        <v>0</v>
      </c>
      <c r="BA102" s="3">
        <v>8205251.6799999997</v>
      </c>
      <c r="BB102" s="1">
        <v>1</v>
      </c>
      <c r="BD102" s="1" t="s">
        <v>971</v>
      </c>
      <c r="BE102" s="1">
        <v>1</v>
      </c>
      <c r="BF102" s="1">
        <v>1</v>
      </c>
      <c r="BG102" s="1" t="s">
        <v>168</v>
      </c>
      <c r="BH102" s="1">
        <v>0</v>
      </c>
      <c r="BI102" s="1">
        <v>31345322.399999999</v>
      </c>
      <c r="BJ102" s="1">
        <v>0</v>
      </c>
      <c r="BK102" s="1">
        <v>123618989.48999999</v>
      </c>
      <c r="BL102" s="1">
        <v>132456249.91</v>
      </c>
      <c r="BM102" s="1">
        <v>596150.00000000012</v>
      </c>
      <c r="BN102" s="1">
        <v>9219855.2300000004</v>
      </c>
      <c r="BO102" s="1">
        <v>23.664660909999998</v>
      </c>
      <c r="BP102" s="1">
        <v>0.45007313999999998</v>
      </c>
      <c r="BQ102" s="1">
        <v>6.9606796500000003</v>
      </c>
      <c r="BR102" s="1">
        <v>7.5496629999999995E-2</v>
      </c>
      <c r="BS102" s="1" t="s">
        <v>169</v>
      </c>
      <c r="BT102" s="1" t="s">
        <v>169</v>
      </c>
      <c r="BU102" s="1">
        <v>26356083.120000001</v>
      </c>
      <c r="BV102" s="1">
        <v>0</v>
      </c>
      <c r="BW102" s="1">
        <v>-1097.8399999999999</v>
      </c>
      <c r="BX102" s="1">
        <v>-1.0900000000000001</v>
      </c>
      <c r="BY102" s="1" t="s">
        <v>170</v>
      </c>
      <c r="BZ102" s="1">
        <v>-78038.69</v>
      </c>
      <c r="CA102" s="1" t="s">
        <v>250</v>
      </c>
      <c r="CB102" s="1" t="s">
        <v>251</v>
      </c>
      <c r="CC102" s="1">
        <v>-10.75</v>
      </c>
      <c r="CD102" s="1">
        <v>-10.75</v>
      </c>
      <c r="CE102" s="1">
        <v>101097.84</v>
      </c>
      <c r="CF102" s="1">
        <v>101097.84</v>
      </c>
      <c r="CG102" s="1">
        <v>0</v>
      </c>
      <c r="CH102" s="1">
        <v>1.4438757900000001</v>
      </c>
      <c r="CI102" s="1">
        <v>13.27863496</v>
      </c>
      <c r="CJ102" s="1">
        <v>17588381.91</v>
      </c>
      <c r="CK102" s="1">
        <v>1912503.72</v>
      </c>
      <c r="CL102" s="1">
        <v>6269233.6699999999</v>
      </c>
      <c r="CM102" s="1" t="s">
        <v>164</v>
      </c>
      <c r="CN102" s="1" t="s">
        <v>164</v>
      </c>
      <c r="CO102" s="1" t="s">
        <v>184</v>
      </c>
      <c r="CP102" s="1" t="s">
        <v>243</v>
      </c>
      <c r="CQ102" s="3" t="s">
        <v>252</v>
      </c>
      <c r="CR102" s="1">
        <v>0</v>
      </c>
      <c r="CS102" s="1" t="s">
        <v>243</v>
      </c>
      <c r="CT102" s="1">
        <v>8.0893720000000002E-2</v>
      </c>
      <c r="CV102" s="1">
        <v>0</v>
      </c>
      <c r="CW102" s="1">
        <v>-219173.26</v>
      </c>
      <c r="DA102" s="1">
        <v>1355558.46</v>
      </c>
      <c r="DB102" s="1">
        <v>0</v>
      </c>
      <c r="DC102" s="1">
        <v>2520.3126550000002</v>
      </c>
      <c r="DD102" s="1">
        <v>52555.483399999997</v>
      </c>
      <c r="DE102" s="1">
        <v>-296353.43</v>
      </c>
      <c r="DF102" s="1">
        <v>92570020.519999996</v>
      </c>
      <c r="DG102" s="1">
        <v>-1097.8399999999999</v>
      </c>
      <c r="DH102" s="1">
        <v>394770.09</v>
      </c>
      <c r="DI102" s="1">
        <v>0.29803809999999997</v>
      </c>
      <c r="DK102" s="1">
        <v>0</v>
      </c>
      <c r="DL102" s="1">
        <v>0</v>
      </c>
      <c r="DM102" s="1">
        <v>-296353.43</v>
      </c>
      <c r="DN102" s="1">
        <v>0</v>
      </c>
      <c r="DO102" s="1">
        <v>0</v>
      </c>
      <c r="DP102" s="1">
        <v>16777215</v>
      </c>
      <c r="DQ102" s="1">
        <v>0</v>
      </c>
      <c r="DR102" s="1">
        <v>0</v>
      </c>
      <c r="DS102" s="1">
        <v>0</v>
      </c>
      <c r="DT102" s="1">
        <v>0</v>
      </c>
      <c r="DU102" s="1">
        <v>0</v>
      </c>
      <c r="DV102" s="1">
        <v>100000</v>
      </c>
      <c r="DW102" s="1">
        <v>100000</v>
      </c>
      <c r="DX102" s="1">
        <v>31345322.399999999</v>
      </c>
      <c r="DY102" s="1">
        <v>-1110160.2399999984</v>
      </c>
      <c r="DZ102" s="1">
        <v>92570020.519999966</v>
      </c>
      <c r="EA102" s="1">
        <v>0</v>
      </c>
      <c r="EB102" s="1">
        <v>0</v>
      </c>
      <c r="EC102" s="1" t="s">
        <v>176</v>
      </c>
      <c r="EE102" s="1">
        <v>0</v>
      </c>
      <c r="EF102" s="1">
        <v>3</v>
      </c>
      <c r="EG102" s="1">
        <v>0</v>
      </c>
      <c r="EH102" s="3">
        <v>0.10802633</v>
      </c>
      <c r="EI102" s="1">
        <v>0</v>
      </c>
      <c r="EL102" s="1">
        <v>0</v>
      </c>
      <c r="EM102" s="1">
        <v>0</v>
      </c>
      <c r="EN102" s="1">
        <v>1633661.45</v>
      </c>
      <c r="EO102" s="1">
        <v>1.2333592799999999</v>
      </c>
      <c r="ER102" s="1">
        <v>101.115753424658</v>
      </c>
      <c r="ES102" s="1">
        <v>1</v>
      </c>
      <c r="ET102" s="3">
        <v>0</v>
      </c>
      <c r="EU102" s="3">
        <v>0</v>
      </c>
      <c r="EV102" s="3">
        <v>0</v>
      </c>
      <c r="EW102" s="3">
        <v>0</v>
      </c>
      <c r="EX102" s="3">
        <v>0</v>
      </c>
      <c r="EY102" s="3">
        <v>0</v>
      </c>
      <c r="EZ102" s="3">
        <v>0</v>
      </c>
      <c r="FA102" s="1">
        <v>0</v>
      </c>
      <c r="FB102" s="1">
        <v>0</v>
      </c>
      <c r="FC102" s="3">
        <v>0</v>
      </c>
      <c r="FD102" s="1">
        <v>0</v>
      </c>
      <c r="FE102" s="1">
        <v>0</v>
      </c>
    </row>
    <row r="103" spans="1:161" x14ac:dyDescent="0.3">
      <c r="A103" s="1">
        <v>16975543</v>
      </c>
      <c r="B103" s="1">
        <v>128</v>
      </c>
      <c r="C103" s="1">
        <v>9744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1000</v>
      </c>
      <c r="J103" s="3">
        <v>1000</v>
      </c>
      <c r="K103" s="1">
        <v>1000000</v>
      </c>
      <c r="L103" s="1">
        <v>1000000</v>
      </c>
      <c r="M103" s="1">
        <v>1000000</v>
      </c>
      <c r="N103" s="3">
        <v>1000000</v>
      </c>
      <c r="O103" s="1">
        <v>941150</v>
      </c>
      <c r="P103" s="1">
        <v>941150</v>
      </c>
      <c r="Q103" s="1">
        <v>941150</v>
      </c>
      <c r="R103" s="1">
        <v>941150</v>
      </c>
      <c r="S103" s="1">
        <v>1000000</v>
      </c>
      <c r="T103" s="1">
        <v>1000000</v>
      </c>
      <c r="U103" s="1">
        <v>1000000</v>
      </c>
      <c r="V103" s="1">
        <v>1000000</v>
      </c>
      <c r="W103" s="1">
        <v>390.41</v>
      </c>
      <c r="X103" s="1">
        <v>390.41</v>
      </c>
      <c r="Y103" s="1">
        <v>390.41</v>
      </c>
      <c r="Z103" s="1">
        <v>390.41</v>
      </c>
      <c r="AA103" s="1">
        <v>17031.990000000002</v>
      </c>
      <c r="AB103" s="1">
        <v>17031.990000000002</v>
      </c>
      <c r="AC103" s="1">
        <v>17031.990000000002</v>
      </c>
      <c r="AD103" s="1">
        <v>17031.990000000002</v>
      </c>
      <c r="AE103" s="3" t="s">
        <v>589</v>
      </c>
      <c r="AF103" s="3" t="s">
        <v>161</v>
      </c>
      <c r="AG103" s="1" t="s">
        <v>970</v>
      </c>
      <c r="AH103" s="3" t="s">
        <v>590</v>
      </c>
      <c r="AI103" s="1">
        <v>4</v>
      </c>
      <c r="AJ103" s="3" t="s">
        <v>165</v>
      </c>
      <c r="AK103" s="1" t="s">
        <v>191</v>
      </c>
      <c r="AL103" s="3">
        <v>95.251753219178994</v>
      </c>
      <c r="AM103" s="3">
        <v>95.251308219178</v>
      </c>
      <c r="AN103" s="3">
        <v>952513.08</v>
      </c>
      <c r="AO103" s="3">
        <v>952513.08</v>
      </c>
      <c r="AP103" s="1" t="s">
        <v>164</v>
      </c>
      <c r="AQ103" s="1">
        <v>4</v>
      </c>
      <c r="AR103" s="1" t="s">
        <v>165</v>
      </c>
      <c r="AS103" s="3">
        <v>132534288.59999999</v>
      </c>
      <c r="AT103" s="1" t="s">
        <v>176</v>
      </c>
      <c r="AU103" s="1">
        <v>1</v>
      </c>
      <c r="AV103" s="1">
        <v>1</v>
      </c>
      <c r="AW103" s="3" t="s">
        <v>196</v>
      </c>
      <c r="AX103" s="3" t="s">
        <v>295</v>
      </c>
      <c r="AY103" s="1">
        <v>0</v>
      </c>
      <c r="BA103" s="3">
        <v>8205251.6799999997</v>
      </c>
      <c r="BB103" s="1">
        <v>1</v>
      </c>
      <c r="BD103" s="1" t="s">
        <v>971</v>
      </c>
      <c r="BE103" s="1">
        <v>1</v>
      </c>
      <c r="BF103" s="1">
        <v>1</v>
      </c>
      <c r="BG103" s="1" t="s">
        <v>168</v>
      </c>
      <c r="BH103" s="1">
        <v>0</v>
      </c>
      <c r="BI103" s="1">
        <v>31345322.399999999</v>
      </c>
      <c r="BJ103" s="1">
        <v>0</v>
      </c>
      <c r="BK103" s="1">
        <v>123618989.48999999</v>
      </c>
      <c r="BL103" s="1">
        <v>132456249.91</v>
      </c>
      <c r="BM103" s="1">
        <v>596150.00000000012</v>
      </c>
      <c r="BN103" s="1">
        <v>9219855.2300000004</v>
      </c>
      <c r="BO103" s="1">
        <v>23.664660909999998</v>
      </c>
      <c r="BP103" s="1">
        <v>0.45007313999999998</v>
      </c>
      <c r="BQ103" s="1">
        <v>6.9606796500000003</v>
      </c>
      <c r="BR103" s="1">
        <v>0.71911524000000004</v>
      </c>
      <c r="BS103" s="1" t="s">
        <v>169</v>
      </c>
      <c r="BT103" s="1" t="s">
        <v>169</v>
      </c>
      <c r="BU103" s="1">
        <v>26356083.120000001</v>
      </c>
      <c r="BV103" s="1">
        <v>0</v>
      </c>
      <c r="BW103" s="1">
        <v>-4.45</v>
      </c>
      <c r="BX103" s="1">
        <v>0</v>
      </c>
      <c r="BY103" s="1" t="s">
        <v>170</v>
      </c>
      <c r="BZ103" s="1">
        <v>-78038.69</v>
      </c>
      <c r="CA103" s="1" t="s">
        <v>250</v>
      </c>
      <c r="CB103" s="1" t="s">
        <v>251</v>
      </c>
      <c r="CC103" s="1">
        <v>-6054.87</v>
      </c>
      <c r="CD103" s="1">
        <v>-6054.87</v>
      </c>
      <c r="CE103" s="1">
        <v>952517.53</v>
      </c>
      <c r="CF103" s="1">
        <v>952517.53</v>
      </c>
      <c r="CG103" s="1">
        <v>0</v>
      </c>
      <c r="CH103" s="1">
        <v>1.4438757900000001</v>
      </c>
      <c r="CI103" s="1">
        <v>13.27863496</v>
      </c>
      <c r="CJ103" s="1">
        <v>17588381.91</v>
      </c>
      <c r="CK103" s="1">
        <v>1912503.72</v>
      </c>
      <c r="CL103" s="1">
        <v>6269233.6699999999</v>
      </c>
      <c r="CM103" s="1" t="s">
        <v>164</v>
      </c>
      <c r="CN103" s="1" t="s">
        <v>164</v>
      </c>
      <c r="CO103" s="1" t="s">
        <v>184</v>
      </c>
      <c r="CP103" s="1" t="s">
        <v>243</v>
      </c>
      <c r="CQ103" s="3" t="s">
        <v>252</v>
      </c>
      <c r="CR103" s="1">
        <v>0</v>
      </c>
      <c r="CS103" s="1" t="s">
        <v>243</v>
      </c>
      <c r="CT103" s="1">
        <v>0.77052326999999998</v>
      </c>
      <c r="CV103" s="1">
        <v>0</v>
      </c>
      <c r="CW103" s="1">
        <v>-219173.26</v>
      </c>
      <c r="DA103" s="1">
        <v>1355558.46</v>
      </c>
      <c r="DB103" s="1">
        <v>0</v>
      </c>
      <c r="DC103" s="1">
        <v>2520.3126550000002</v>
      </c>
      <c r="DD103" s="1">
        <v>52555.483399999997</v>
      </c>
      <c r="DE103" s="1">
        <v>-296353.43</v>
      </c>
      <c r="DF103" s="1">
        <v>92570020.519999996</v>
      </c>
      <c r="DG103" s="1">
        <v>-4.45</v>
      </c>
      <c r="DH103" s="1">
        <v>394770.09</v>
      </c>
      <c r="DI103" s="1">
        <v>0.29803809999999997</v>
      </c>
      <c r="DK103" s="1">
        <v>0</v>
      </c>
      <c r="DL103" s="1">
        <v>0</v>
      </c>
      <c r="DM103" s="1">
        <v>-296353.43</v>
      </c>
      <c r="DN103" s="1">
        <v>0</v>
      </c>
      <c r="DO103" s="1">
        <v>0</v>
      </c>
      <c r="DP103" s="1">
        <v>16777215</v>
      </c>
      <c r="DQ103" s="1">
        <v>0</v>
      </c>
      <c r="DR103" s="1">
        <v>0</v>
      </c>
      <c r="DS103" s="1">
        <v>0</v>
      </c>
      <c r="DT103" s="1">
        <v>0</v>
      </c>
      <c r="DU103" s="1">
        <v>0</v>
      </c>
      <c r="DV103" s="1">
        <v>952513.08</v>
      </c>
      <c r="DW103" s="1">
        <v>952513.08</v>
      </c>
      <c r="DX103" s="1">
        <v>31345322.399999999</v>
      </c>
      <c r="DY103" s="1">
        <v>-1110160.2399999984</v>
      </c>
      <c r="DZ103" s="1">
        <v>92570020.519999966</v>
      </c>
      <c r="EA103" s="1">
        <v>0</v>
      </c>
      <c r="EB103" s="1">
        <v>0</v>
      </c>
      <c r="EC103" s="1" t="s">
        <v>176</v>
      </c>
      <c r="EE103" s="1">
        <v>0</v>
      </c>
      <c r="EF103" s="1">
        <v>3</v>
      </c>
      <c r="EG103" s="1">
        <v>0</v>
      </c>
      <c r="EH103" s="3">
        <v>1.0289649700000001</v>
      </c>
      <c r="EI103" s="1">
        <v>0</v>
      </c>
      <c r="EL103" s="1">
        <v>0</v>
      </c>
      <c r="EM103" s="1">
        <v>0</v>
      </c>
      <c r="EN103" s="1">
        <v>1633661.45</v>
      </c>
      <c r="EO103" s="1">
        <v>1.2333592799999999</v>
      </c>
      <c r="ER103" s="1">
        <v>95.230123287671006</v>
      </c>
      <c r="ES103" s="1">
        <v>1</v>
      </c>
      <c r="ET103" s="3">
        <v>4.1361242809999998</v>
      </c>
      <c r="EU103" s="3">
        <v>1.3289166649999999</v>
      </c>
      <c r="EV103" s="3">
        <v>1.215264143407</v>
      </c>
      <c r="EW103" s="3">
        <v>1.3342465750000001</v>
      </c>
      <c r="EX103" s="3">
        <v>2.8563489000000001E-2</v>
      </c>
      <c r="EY103" s="3">
        <v>15</v>
      </c>
      <c r="EZ103" s="3">
        <v>487</v>
      </c>
      <c r="FA103" s="1">
        <v>0</v>
      </c>
      <c r="FB103" s="1">
        <v>0</v>
      </c>
      <c r="FC103" s="3">
        <v>5.0632469660000003</v>
      </c>
      <c r="FD103" s="1">
        <v>0</v>
      </c>
      <c r="FE103" s="1">
        <v>0</v>
      </c>
    </row>
    <row r="104" spans="1:161" x14ac:dyDescent="0.3">
      <c r="A104" s="1">
        <v>16975476</v>
      </c>
      <c r="B104" s="1">
        <v>128</v>
      </c>
      <c r="C104" s="1">
        <v>9241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3</v>
      </c>
      <c r="J104" s="3">
        <v>3</v>
      </c>
      <c r="K104" s="1">
        <v>300000</v>
      </c>
      <c r="L104" s="1">
        <v>300000</v>
      </c>
      <c r="M104" s="1">
        <v>300000</v>
      </c>
      <c r="N104" s="3">
        <v>300000</v>
      </c>
      <c r="O104" s="1">
        <v>308510</v>
      </c>
      <c r="P104" s="1">
        <v>308510</v>
      </c>
      <c r="Q104" s="1">
        <v>308510</v>
      </c>
      <c r="R104" s="1">
        <v>308510</v>
      </c>
      <c r="S104" s="1">
        <v>300000</v>
      </c>
      <c r="T104" s="1">
        <v>300000</v>
      </c>
      <c r="U104" s="1">
        <v>300000</v>
      </c>
      <c r="V104" s="1">
        <v>300000</v>
      </c>
      <c r="W104" s="1">
        <v>0</v>
      </c>
      <c r="X104" s="1">
        <v>0</v>
      </c>
      <c r="Y104" s="1">
        <v>0</v>
      </c>
      <c r="Z104" s="1">
        <v>0</v>
      </c>
      <c r="AA104" s="1">
        <v>-5640.96</v>
      </c>
      <c r="AB104" s="1">
        <v>-5640.96</v>
      </c>
      <c r="AC104" s="1">
        <v>-5640.96</v>
      </c>
      <c r="AD104" s="1">
        <v>-5640.96</v>
      </c>
      <c r="AE104" s="3" t="s">
        <v>302</v>
      </c>
      <c r="AF104" s="3" t="s">
        <v>161</v>
      </c>
      <c r="AG104" s="1" t="s">
        <v>970</v>
      </c>
      <c r="AH104" s="3" t="s">
        <v>303</v>
      </c>
      <c r="AI104" s="1">
        <v>4</v>
      </c>
      <c r="AJ104" s="3" t="s">
        <v>165</v>
      </c>
      <c r="AK104" s="1" t="s">
        <v>191</v>
      </c>
      <c r="AL104" s="3">
        <v>95.935231257121998</v>
      </c>
      <c r="AM104" s="3">
        <v>95.913024590164</v>
      </c>
      <c r="AN104" s="3">
        <v>287739.07</v>
      </c>
      <c r="AO104" s="3">
        <v>287739.07</v>
      </c>
      <c r="AP104" s="1" t="s">
        <v>164</v>
      </c>
      <c r="AQ104" s="1">
        <v>4</v>
      </c>
      <c r="AR104" s="1" t="s">
        <v>165</v>
      </c>
      <c r="AS104" s="3">
        <v>132534288.59999999</v>
      </c>
      <c r="AT104" s="1" t="s">
        <v>176</v>
      </c>
      <c r="AU104" s="1">
        <v>1</v>
      </c>
      <c r="AV104" s="1">
        <v>1</v>
      </c>
      <c r="AW104" s="3" t="s">
        <v>196</v>
      </c>
      <c r="AX104" s="3" t="s">
        <v>197</v>
      </c>
      <c r="AY104" s="1">
        <v>0</v>
      </c>
      <c r="BA104" s="3">
        <v>8205251.6799999997</v>
      </c>
      <c r="BB104" s="1">
        <v>1</v>
      </c>
      <c r="BD104" s="1" t="s">
        <v>971</v>
      </c>
      <c r="BE104" s="1">
        <v>1</v>
      </c>
      <c r="BF104" s="1">
        <v>1</v>
      </c>
      <c r="BG104" s="1" t="s">
        <v>168</v>
      </c>
      <c r="BH104" s="1">
        <v>0</v>
      </c>
      <c r="BI104" s="1">
        <v>31345322.399999999</v>
      </c>
      <c r="BJ104" s="1">
        <v>0</v>
      </c>
      <c r="BK104" s="1">
        <v>123618989.48999999</v>
      </c>
      <c r="BL104" s="1">
        <v>132456249.91</v>
      </c>
      <c r="BM104" s="1">
        <v>596150.00000000012</v>
      </c>
      <c r="BN104" s="1">
        <v>9219855.2300000004</v>
      </c>
      <c r="BO104" s="1">
        <v>23.664660909999998</v>
      </c>
      <c r="BP104" s="1">
        <v>0.45007313999999998</v>
      </c>
      <c r="BQ104" s="1">
        <v>6.9606796500000003</v>
      </c>
      <c r="BR104" s="1">
        <v>0.21723329</v>
      </c>
      <c r="BS104" s="1" t="s">
        <v>169</v>
      </c>
      <c r="BT104" s="1" t="s">
        <v>169</v>
      </c>
      <c r="BU104" s="1">
        <v>26356083.120000001</v>
      </c>
      <c r="BV104" s="1">
        <v>0</v>
      </c>
      <c r="BW104" s="1">
        <v>-66.62</v>
      </c>
      <c r="BX104" s="1">
        <v>-0.02</v>
      </c>
      <c r="BY104" s="1" t="s">
        <v>170</v>
      </c>
      <c r="BZ104" s="1">
        <v>-78038.69</v>
      </c>
      <c r="CA104" s="1" t="s">
        <v>250</v>
      </c>
      <c r="CB104" s="1" t="s">
        <v>251</v>
      </c>
      <c r="CC104" s="1">
        <v>-15063.35</v>
      </c>
      <c r="CD104" s="1">
        <v>-15063.35</v>
      </c>
      <c r="CE104" s="1">
        <v>287805.69</v>
      </c>
      <c r="CF104" s="1">
        <v>287805.69</v>
      </c>
      <c r="CG104" s="1">
        <v>0</v>
      </c>
      <c r="CH104" s="1">
        <v>1.4438757900000001</v>
      </c>
      <c r="CI104" s="1">
        <v>13.27863496</v>
      </c>
      <c r="CJ104" s="1">
        <v>17588381.91</v>
      </c>
      <c r="CK104" s="1">
        <v>1912503.72</v>
      </c>
      <c r="CL104" s="1">
        <v>6269233.6699999999</v>
      </c>
      <c r="CM104" s="1" t="s">
        <v>164</v>
      </c>
      <c r="CN104" s="1" t="s">
        <v>164</v>
      </c>
      <c r="CO104" s="1" t="s">
        <v>184</v>
      </c>
      <c r="CP104" s="1" t="s">
        <v>243</v>
      </c>
      <c r="CQ104" s="3" t="s">
        <v>252</v>
      </c>
      <c r="CR104" s="1">
        <v>0</v>
      </c>
      <c r="CS104" s="1" t="s">
        <v>243</v>
      </c>
      <c r="CT104" s="1">
        <v>0.23276284</v>
      </c>
      <c r="CV104" s="1">
        <v>0</v>
      </c>
      <c r="CW104" s="1">
        <v>-219173.26</v>
      </c>
      <c r="DA104" s="1">
        <v>1355558.46</v>
      </c>
      <c r="DB104" s="1">
        <v>0</v>
      </c>
      <c r="DC104" s="1">
        <v>2520.3126550000002</v>
      </c>
      <c r="DD104" s="1">
        <v>52555.483399999997</v>
      </c>
      <c r="DE104" s="1">
        <v>-296353.43</v>
      </c>
      <c r="DF104" s="1">
        <v>92570020.519999996</v>
      </c>
      <c r="DG104" s="1">
        <v>-66.62</v>
      </c>
      <c r="DH104" s="1">
        <v>394770.09</v>
      </c>
      <c r="DI104" s="1">
        <v>0.29803809999999997</v>
      </c>
      <c r="DK104" s="1">
        <v>0</v>
      </c>
      <c r="DL104" s="1">
        <v>0</v>
      </c>
      <c r="DM104" s="1">
        <v>-296353.43</v>
      </c>
      <c r="DN104" s="1">
        <v>0</v>
      </c>
      <c r="DO104" s="1">
        <v>0</v>
      </c>
      <c r="DP104" s="1">
        <v>16777215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287739.07</v>
      </c>
      <c r="DW104" s="1">
        <v>287739.07</v>
      </c>
      <c r="DX104" s="1">
        <v>31345322.399999999</v>
      </c>
      <c r="DY104" s="1">
        <v>-1110160.2399999984</v>
      </c>
      <c r="DZ104" s="1">
        <v>92570020.519999966</v>
      </c>
      <c r="EA104" s="1">
        <v>0</v>
      </c>
      <c r="EB104" s="1">
        <v>0</v>
      </c>
      <c r="EC104" s="1" t="s">
        <v>176</v>
      </c>
      <c r="EE104" s="1">
        <v>0</v>
      </c>
      <c r="EF104" s="1">
        <v>3</v>
      </c>
      <c r="EG104" s="1">
        <v>0</v>
      </c>
      <c r="EH104" s="3">
        <v>0.31083397000000001</v>
      </c>
      <c r="EI104" s="1">
        <v>0</v>
      </c>
      <c r="EL104" s="1">
        <v>0</v>
      </c>
      <c r="EM104" s="1">
        <v>0</v>
      </c>
      <c r="EN104" s="1">
        <v>1633661.45</v>
      </c>
      <c r="EO104" s="1">
        <v>1.2333592799999999</v>
      </c>
      <c r="ER104" s="1">
        <v>95.967426229508007</v>
      </c>
      <c r="ES104" s="1">
        <v>1</v>
      </c>
      <c r="ET104" s="3">
        <v>4.7392660129999999</v>
      </c>
      <c r="EU104" s="3">
        <v>1.447693656</v>
      </c>
      <c r="EV104" s="3">
        <v>1.326450331785</v>
      </c>
      <c r="EW104" s="3">
        <v>1.4602739730000001</v>
      </c>
      <c r="EX104" s="3">
        <v>3.2377004000000001E-2</v>
      </c>
      <c r="EY104" s="3">
        <v>17</v>
      </c>
      <c r="EZ104" s="3">
        <v>533</v>
      </c>
      <c r="FA104" s="1">
        <v>0</v>
      </c>
      <c r="FB104" s="1">
        <v>0</v>
      </c>
      <c r="FC104" s="3">
        <v>-0.144254992</v>
      </c>
      <c r="FD104" s="1">
        <v>0</v>
      </c>
      <c r="FE104" s="1">
        <v>0</v>
      </c>
    </row>
    <row r="105" spans="1:161" x14ac:dyDescent="0.3">
      <c r="A105" s="1">
        <v>16975481</v>
      </c>
      <c r="B105" s="1">
        <v>128</v>
      </c>
      <c r="C105" s="1">
        <v>6337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500</v>
      </c>
      <c r="J105" s="3">
        <v>500</v>
      </c>
      <c r="K105" s="1">
        <v>500000</v>
      </c>
      <c r="L105" s="1">
        <v>500000</v>
      </c>
      <c r="M105" s="1">
        <v>500000</v>
      </c>
      <c r="N105" s="3">
        <v>500000</v>
      </c>
      <c r="O105" s="1">
        <v>500611.66</v>
      </c>
      <c r="P105" s="1">
        <v>500611.66</v>
      </c>
      <c r="Q105" s="1">
        <v>500611.66</v>
      </c>
      <c r="R105" s="1">
        <v>500611.66</v>
      </c>
      <c r="S105" s="1">
        <v>500000</v>
      </c>
      <c r="T105" s="1">
        <v>500000</v>
      </c>
      <c r="U105" s="1">
        <v>500000</v>
      </c>
      <c r="V105" s="1">
        <v>500000</v>
      </c>
      <c r="W105" s="1">
        <v>0</v>
      </c>
      <c r="X105" s="1">
        <v>0</v>
      </c>
      <c r="Y105" s="1">
        <v>0</v>
      </c>
      <c r="Z105" s="1">
        <v>0</v>
      </c>
      <c r="AA105" s="1">
        <v>6193.69</v>
      </c>
      <c r="AB105" s="1">
        <v>6193.69</v>
      </c>
      <c r="AC105" s="1">
        <v>6193.69</v>
      </c>
      <c r="AD105" s="1">
        <v>6193.69</v>
      </c>
      <c r="AE105" s="3" t="s">
        <v>682</v>
      </c>
      <c r="AF105" s="3" t="s">
        <v>161</v>
      </c>
      <c r="AG105" s="1" t="s">
        <v>970</v>
      </c>
      <c r="AH105" s="3" t="s">
        <v>304</v>
      </c>
      <c r="AI105" s="1">
        <v>4</v>
      </c>
      <c r="AJ105" s="3" t="s">
        <v>165</v>
      </c>
      <c r="AK105" s="1" t="s">
        <v>176</v>
      </c>
      <c r="AL105" s="3">
        <v>97.560165999999995</v>
      </c>
      <c r="AM105" s="3">
        <v>97.487250000000003</v>
      </c>
      <c r="AN105" s="3">
        <v>487436.25</v>
      </c>
      <c r="AO105" s="3">
        <v>487436.25</v>
      </c>
      <c r="AP105" s="1" t="s">
        <v>164</v>
      </c>
      <c r="AQ105" s="1">
        <v>4</v>
      </c>
      <c r="AR105" s="1" t="s">
        <v>165</v>
      </c>
      <c r="AS105" s="3">
        <v>132534288.59999999</v>
      </c>
      <c r="AT105" s="1" t="s">
        <v>176</v>
      </c>
      <c r="AU105" s="1">
        <v>1</v>
      </c>
      <c r="AV105" s="1">
        <v>1</v>
      </c>
      <c r="AW105" s="3" t="s">
        <v>196</v>
      </c>
      <c r="AX105" s="3" t="s">
        <v>197</v>
      </c>
      <c r="AY105" s="1">
        <v>0</v>
      </c>
      <c r="BA105" s="3">
        <v>8205251.6799999997</v>
      </c>
      <c r="BB105" s="1">
        <v>1</v>
      </c>
      <c r="BD105" s="1" t="s">
        <v>971</v>
      </c>
      <c r="BE105" s="1">
        <v>1</v>
      </c>
      <c r="BF105" s="1">
        <v>1</v>
      </c>
      <c r="BG105" s="1" t="s">
        <v>168</v>
      </c>
      <c r="BH105" s="1">
        <v>0</v>
      </c>
      <c r="BI105" s="1">
        <v>31345322.399999999</v>
      </c>
      <c r="BJ105" s="1">
        <v>0</v>
      </c>
      <c r="BK105" s="1">
        <v>123618989.48999999</v>
      </c>
      <c r="BL105" s="1">
        <v>132456249.91</v>
      </c>
      <c r="BM105" s="1">
        <v>596150.00000000012</v>
      </c>
      <c r="BN105" s="1">
        <v>9219855.2300000004</v>
      </c>
      <c r="BO105" s="1">
        <v>23.664660909999998</v>
      </c>
      <c r="BP105" s="1">
        <v>0.45007313999999998</v>
      </c>
      <c r="BQ105" s="1">
        <v>6.9606796500000003</v>
      </c>
      <c r="BR105" s="1">
        <v>0.36799791999999998</v>
      </c>
      <c r="BS105" s="1" t="s">
        <v>169</v>
      </c>
      <c r="BT105" s="1" t="s">
        <v>169</v>
      </c>
      <c r="BU105" s="1">
        <v>26356083.120000001</v>
      </c>
      <c r="BV105" s="1">
        <v>0</v>
      </c>
      <c r="BW105" s="1">
        <v>-364.58</v>
      </c>
      <c r="BX105" s="1">
        <v>-7.0000000000000007E-2</v>
      </c>
      <c r="BY105" s="1" t="s">
        <v>170</v>
      </c>
      <c r="BZ105" s="1">
        <v>-78038.69</v>
      </c>
      <c r="CA105" s="1" t="s">
        <v>250</v>
      </c>
      <c r="CB105" s="1" t="s">
        <v>251</v>
      </c>
      <c r="CC105" s="1">
        <v>-19004.52</v>
      </c>
      <c r="CD105" s="1">
        <v>-19004.52</v>
      </c>
      <c r="CE105" s="1">
        <v>487800.83</v>
      </c>
      <c r="CF105" s="1">
        <v>487800.83</v>
      </c>
      <c r="CG105" s="1">
        <v>0</v>
      </c>
      <c r="CH105" s="1">
        <v>1.4438757900000001</v>
      </c>
      <c r="CI105" s="1">
        <v>13.27863496</v>
      </c>
      <c r="CJ105" s="1">
        <v>17588381.91</v>
      </c>
      <c r="CK105" s="1">
        <v>1912503.72</v>
      </c>
      <c r="CL105" s="1">
        <v>6269233.6699999999</v>
      </c>
      <c r="CM105" s="1" t="s">
        <v>164</v>
      </c>
      <c r="CN105" s="1" t="s">
        <v>164</v>
      </c>
      <c r="CO105" s="1" t="s">
        <v>184</v>
      </c>
      <c r="CP105" s="1" t="s">
        <v>243</v>
      </c>
      <c r="CQ105" s="3" t="s">
        <v>252</v>
      </c>
      <c r="CR105" s="1">
        <v>0</v>
      </c>
      <c r="CS105" s="1" t="s">
        <v>243</v>
      </c>
      <c r="CT105" s="1">
        <v>0.39430532000000001</v>
      </c>
      <c r="CV105" s="1">
        <v>0</v>
      </c>
      <c r="CW105" s="1">
        <v>-219173.26</v>
      </c>
      <c r="DA105" s="1">
        <v>1355558.46</v>
      </c>
      <c r="DB105" s="1">
        <v>0</v>
      </c>
      <c r="DC105" s="1">
        <v>2520.3126550000002</v>
      </c>
      <c r="DD105" s="1">
        <v>52555.483399999997</v>
      </c>
      <c r="DE105" s="1">
        <v>-296353.43</v>
      </c>
      <c r="DF105" s="1">
        <v>92570020.519999996</v>
      </c>
      <c r="DG105" s="1">
        <v>-364.58</v>
      </c>
      <c r="DH105" s="1">
        <v>394770.09</v>
      </c>
      <c r="DI105" s="1">
        <v>0.29803809999999997</v>
      </c>
      <c r="DK105" s="1">
        <v>0</v>
      </c>
      <c r="DL105" s="1">
        <v>0</v>
      </c>
      <c r="DM105" s="1">
        <v>-296353.43</v>
      </c>
      <c r="DN105" s="1">
        <v>0</v>
      </c>
      <c r="DO105" s="1">
        <v>0</v>
      </c>
      <c r="DP105" s="1">
        <v>16777215</v>
      </c>
      <c r="DQ105" s="1">
        <v>0</v>
      </c>
      <c r="DR105" s="1">
        <v>0</v>
      </c>
      <c r="DS105" s="1">
        <v>0</v>
      </c>
      <c r="DT105" s="1">
        <v>0</v>
      </c>
      <c r="DU105" s="1">
        <v>0</v>
      </c>
      <c r="DV105" s="1">
        <v>487436.25</v>
      </c>
      <c r="DW105" s="1">
        <v>487436.25</v>
      </c>
      <c r="DX105" s="1">
        <v>31345322.399999999</v>
      </c>
      <c r="DY105" s="1">
        <v>-1110160.2399999984</v>
      </c>
      <c r="DZ105" s="1">
        <v>92570020.519999966</v>
      </c>
      <c r="EA105" s="1">
        <v>0</v>
      </c>
      <c r="EB105" s="1">
        <v>0</v>
      </c>
      <c r="EC105" s="1" t="s">
        <v>176</v>
      </c>
      <c r="EE105" s="1">
        <v>0</v>
      </c>
      <c r="EF105" s="1">
        <v>3</v>
      </c>
      <c r="EG105" s="1">
        <v>0</v>
      </c>
      <c r="EH105" s="3">
        <v>0.52655951000000001</v>
      </c>
      <c r="EI105" s="1">
        <v>0</v>
      </c>
      <c r="EL105" s="1">
        <v>0</v>
      </c>
      <c r="EM105" s="1">
        <v>0</v>
      </c>
      <c r="EN105" s="1">
        <v>1633661.45</v>
      </c>
      <c r="EO105" s="1">
        <v>1.2333592799999999</v>
      </c>
      <c r="ER105" s="1">
        <v>97.578222222221996</v>
      </c>
      <c r="ES105" s="1">
        <v>1</v>
      </c>
      <c r="ET105" s="3">
        <v>4.890366341</v>
      </c>
      <c r="EU105" s="3">
        <v>2.4571863060000001</v>
      </c>
      <c r="EV105" s="3">
        <v>2.340450413813</v>
      </c>
      <c r="EW105" s="3">
        <v>2.5780821920000001</v>
      </c>
      <c r="EX105" s="3">
        <v>8.2931864999999994E-2</v>
      </c>
      <c r="EY105" s="3">
        <v>29</v>
      </c>
      <c r="EZ105" s="3">
        <v>941</v>
      </c>
      <c r="FA105" s="1">
        <v>0</v>
      </c>
      <c r="FB105" s="1">
        <v>0</v>
      </c>
      <c r="FC105" s="3">
        <v>3.7978799900000002</v>
      </c>
      <c r="FD105" s="1">
        <v>0</v>
      </c>
      <c r="FE105" s="1">
        <v>0</v>
      </c>
    </row>
    <row r="106" spans="1:161" x14ac:dyDescent="0.3">
      <c r="A106" s="1">
        <v>16975471</v>
      </c>
      <c r="B106" s="1">
        <v>128</v>
      </c>
      <c r="C106" s="1">
        <v>9042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3</v>
      </c>
      <c r="J106" s="3">
        <v>3</v>
      </c>
      <c r="K106" s="1">
        <v>300000</v>
      </c>
      <c r="L106" s="1">
        <v>300000</v>
      </c>
      <c r="M106" s="1">
        <v>300000</v>
      </c>
      <c r="N106" s="3">
        <v>300000</v>
      </c>
      <c r="O106" s="1">
        <v>315324</v>
      </c>
      <c r="P106" s="1">
        <v>315324</v>
      </c>
      <c r="Q106" s="1">
        <v>315324</v>
      </c>
      <c r="R106" s="1">
        <v>315324</v>
      </c>
      <c r="S106" s="1">
        <v>300000</v>
      </c>
      <c r="T106" s="1">
        <v>300000</v>
      </c>
      <c r="U106" s="1">
        <v>300000</v>
      </c>
      <c r="V106" s="1">
        <v>300000</v>
      </c>
      <c r="W106" s="1">
        <v>0</v>
      </c>
      <c r="X106" s="1">
        <v>0</v>
      </c>
      <c r="Y106" s="1">
        <v>0</v>
      </c>
      <c r="Z106" s="1">
        <v>0</v>
      </c>
      <c r="AA106" s="1">
        <v>-12767.51</v>
      </c>
      <c r="AB106" s="1">
        <v>-12767.51</v>
      </c>
      <c r="AC106" s="1">
        <v>-12767.51</v>
      </c>
      <c r="AD106" s="1">
        <v>-12767.51</v>
      </c>
      <c r="AE106" s="3" t="s">
        <v>305</v>
      </c>
      <c r="AF106" s="3" t="s">
        <v>161</v>
      </c>
      <c r="AG106" s="1" t="s">
        <v>970</v>
      </c>
      <c r="AH106" s="3" t="s">
        <v>306</v>
      </c>
      <c r="AI106" s="1">
        <v>4</v>
      </c>
      <c r="AJ106" s="3" t="s">
        <v>165</v>
      </c>
      <c r="AK106" s="1" t="s">
        <v>191</v>
      </c>
      <c r="AL106" s="3">
        <v>95.808770655456996</v>
      </c>
      <c r="AM106" s="3">
        <v>95.849860655737999</v>
      </c>
      <c r="AN106" s="3">
        <v>287549.58</v>
      </c>
      <c r="AO106" s="3">
        <v>287549.58</v>
      </c>
      <c r="AP106" s="1" t="s">
        <v>164</v>
      </c>
      <c r="AQ106" s="1">
        <v>4</v>
      </c>
      <c r="AR106" s="1" t="s">
        <v>165</v>
      </c>
      <c r="AS106" s="3">
        <v>132534288.59999999</v>
      </c>
      <c r="AT106" s="1" t="s">
        <v>176</v>
      </c>
      <c r="AU106" s="1">
        <v>1</v>
      </c>
      <c r="AV106" s="1">
        <v>1</v>
      </c>
      <c r="AW106" s="3" t="s">
        <v>196</v>
      </c>
      <c r="AX106" s="3" t="s">
        <v>197</v>
      </c>
      <c r="AY106" s="1">
        <v>0</v>
      </c>
      <c r="BA106" s="3">
        <v>8205251.6799999997</v>
      </c>
      <c r="BB106" s="1">
        <v>1</v>
      </c>
      <c r="BD106" s="1" t="s">
        <v>971</v>
      </c>
      <c r="BE106" s="1">
        <v>1</v>
      </c>
      <c r="BF106" s="1">
        <v>1</v>
      </c>
      <c r="BG106" s="1" t="s">
        <v>168</v>
      </c>
      <c r="BH106" s="1">
        <v>0</v>
      </c>
      <c r="BI106" s="1">
        <v>31345322.399999999</v>
      </c>
      <c r="BJ106" s="1">
        <v>0</v>
      </c>
      <c r="BK106" s="1">
        <v>123618989.48999999</v>
      </c>
      <c r="BL106" s="1">
        <v>132456249.91</v>
      </c>
      <c r="BM106" s="1">
        <v>596150.00000000012</v>
      </c>
      <c r="BN106" s="1">
        <v>9219855.2300000004</v>
      </c>
      <c r="BO106" s="1">
        <v>23.664660909999998</v>
      </c>
      <c r="BP106" s="1">
        <v>0.45007313999999998</v>
      </c>
      <c r="BQ106" s="1">
        <v>6.9606796500000003</v>
      </c>
      <c r="BR106" s="1">
        <v>0.21709023</v>
      </c>
      <c r="BS106" s="1" t="s">
        <v>169</v>
      </c>
      <c r="BT106" s="1" t="s">
        <v>169</v>
      </c>
      <c r="BU106" s="1">
        <v>26356083.120000001</v>
      </c>
      <c r="BV106" s="1">
        <v>0</v>
      </c>
      <c r="BW106" s="1">
        <v>123.27</v>
      </c>
      <c r="BX106" s="1">
        <v>0.04</v>
      </c>
      <c r="BY106" s="1" t="s">
        <v>170</v>
      </c>
      <c r="BZ106" s="1">
        <v>-78038.69</v>
      </c>
      <c r="CA106" s="1" t="s">
        <v>250</v>
      </c>
      <c r="CB106" s="1" t="s">
        <v>251</v>
      </c>
      <c r="CC106" s="1">
        <v>-15130.18</v>
      </c>
      <c r="CD106" s="1">
        <v>-15130.18</v>
      </c>
      <c r="CE106" s="1">
        <v>287426.31</v>
      </c>
      <c r="CF106" s="1">
        <v>287426.31</v>
      </c>
      <c r="CG106" s="1">
        <v>0</v>
      </c>
      <c r="CH106" s="1">
        <v>1.4438757900000001</v>
      </c>
      <c r="CI106" s="1">
        <v>13.27863496</v>
      </c>
      <c r="CJ106" s="1">
        <v>17588381.91</v>
      </c>
      <c r="CK106" s="1">
        <v>1912503.72</v>
      </c>
      <c r="CL106" s="1">
        <v>6269233.6699999999</v>
      </c>
      <c r="CM106" s="1" t="s">
        <v>164</v>
      </c>
      <c r="CN106" s="1" t="s">
        <v>164</v>
      </c>
      <c r="CO106" s="1" t="s">
        <v>184</v>
      </c>
      <c r="CP106" s="1" t="s">
        <v>243</v>
      </c>
      <c r="CQ106" s="3" t="s">
        <v>252</v>
      </c>
      <c r="CR106" s="1">
        <v>0</v>
      </c>
      <c r="CS106" s="1" t="s">
        <v>243</v>
      </c>
      <c r="CT106" s="1">
        <v>0.23260955</v>
      </c>
      <c r="CV106" s="1">
        <v>0</v>
      </c>
      <c r="CW106" s="1">
        <v>-219173.26</v>
      </c>
      <c r="DA106" s="1">
        <v>1355558.46</v>
      </c>
      <c r="DB106" s="1">
        <v>0</v>
      </c>
      <c r="DC106" s="1">
        <v>2520.3126550000002</v>
      </c>
      <c r="DD106" s="1">
        <v>52555.483399999997</v>
      </c>
      <c r="DE106" s="1">
        <v>-296353.43</v>
      </c>
      <c r="DF106" s="1">
        <v>92570020.519999996</v>
      </c>
      <c r="DG106" s="1">
        <v>123.27</v>
      </c>
      <c r="DH106" s="1">
        <v>394770.09</v>
      </c>
      <c r="DI106" s="1">
        <v>0.29803809999999997</v>
      </c>
      <c r="DK106" s="1">
        <v>0</v>
      </c>
      <c r="DL106" s="1">
        <v>0</v>
      </c>
      <c r="DM106" s="1">
        <v>-296353.43</v>
      </c>
      <c r="DN106" s="1">
        <v>0</v>
      </c>
      <c r="DO106" s="1">
        <v>0</v>
      </c>
      <c r="DP106" s="1">
        <v>16777215</v>
      </c>
      <c r="DQ106" s="1">
        <v>0</v>
      </c>
      <c r="DR106" s="1">
        <v>0</v>
      </c>
      <c r="DS106" s="1">
        <v>0</v>
      </c>
      <c r="DT106" s="1">
        <v>0</v>
      </c>
      <c r="DU106" s="1">
        <v>0</v>
      </c>
      <c r="DV106" s="1">
        <v>287549.58</v>
      </c>
      <c r="DW106" s="1">
        <v>287549.58</v>
      </c>
      <c r="DX106" s="1">
        <v>31345322.399999999</v>
      </c>
      <c r="DY106" s="1">
        <v>-1110160.2399999984</v>
      </c>
      <c r="DZ106" s="1">
        <v>92570020.519999966</v>
      </c>
      <c r="EA106" s="1">
        <v>0</v>
      </c>
      <c r="EB106" s="1">
        <v>0</v>
      </c>
      <c r="EC106" s="1" t="s">
        <v>176</v>
      </c>
      <c r="EE106" s="1">
        <v>0</v>
      </c>
      <c r="EF106" s="1">
        <v>3</v>
      </c>
      <c r="EG106" s="1">
        <v>0</v>
      </c>
      <c r="EH106" s="3">
        <v>0.31062927000000001</v>
      </c>
      <c r="EI106" s="1">
        <v>0</v>
      </c>
      <c r="EL106" s="1">
        <v>0</v>
      </c>
      <c r="EM106" s="1">
        <v>0</v>
      </c>
      <c r="EN106" s="1">
        <v>1633661.45</v>
      </c>
      <c r="EO106" s="1">
        <v>1.2333592799999999</v>
      </c>
      <c r="ER106" s="1">
        <v>95.778163934426999</v>
      </c>
      <c r="ES106" s="1">
        <v>1</v>
      </c>
      <c r="ET106" s="3">
        <v>5.711427231</v>
      </c>
      <c r="EU106" s="3">
        <v>1.6963600940000001</v>
      </c>
      <c r="EV106" s="3">
        <v>1.536960188386</v>
      </c>
      <c r="EW106" s="3">
        <v>1.7205479450000001</v>
      </c>
      <c r="EX106" s="3">
        <v>4.1075406000000002E-2</v>
      </c>
      <c r="EY106" s="3">
        <v>19</v>
      </c>
      <c r="EZ106" s="3">
        <v>628</v>
      </c>
      <c r="FA106" s="1">
        <v>0</v>
      </c>
      <c r="FB106" s="1">
        <v>0</v>
      </c>
      <c r="FC106" s="3">
        <v>7.6123912000000002E-2</v>
      </c>
      <c r="FD106" s="1">
        <v>0</v>
      </c>
      <c r="FE106" s="1">
        <v>0</v>
      </c>
    </row>
    <row r="107" spans="1:161" x14ac:dyDescent="0.3">
      <c r="A107" s="1">
        <v>16975491</v>
      </c>
      <c r="B107" s="1">
        <v>128</v>
      </c>
      <c r="C107" s="1">
        <v>9395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600</v>
      </c>
      <c r="J107" s="3">
        <v>600</v>
      </c>
      <c r="K107" s="1">
        <v>600000</v>
      </c>
      <c r="L107" s="1">
        <v>600000</v>
      </c>
      <c r="M107" s="1">
        <v>600000</v>
      </c>
      <c r="N107" s="3">
        <v>600000</v>
      </c>
      <c r="O107" s="1">
        <v>599850</v>
      </c>
      <c r="P107" s="1">
        <v>599850</v>
      </c>
      <c r="Q107" s="1">
        <v>599850</v>
      </c>
      <c r="R107" s="1">
        <v>599850</v>
      </c>
      <c r="S107" s="1">
        <v>600000</v>
      </c>
      <c r="T107" s="1">
        <v>600000</v>
      </c>
      <c r="U107" s="1">
        <v>600000</v>
      </c>
      <c r="V107" s="1">
        <v>600000</v>
      </c>
      <c r="W107" s="1">
        <v>0</v>
      </c>
      <c r="X107" s="1">
        <v>0</v>
      </c>
      <c r="Y107" s="1">
        <v>0</v>
      </c>
      <c r="Z107" s="1">
        <v>0</v>
      </c>
      <c r="AA107" s="1">
        <v>-475.03</v>
      </c>
      <c r="AB107" s="1">
        <v>-475.03</v>
      </c>
      <c r="AC107" s="1">
        <v>-475.03</v>
      </c>
      <c r="AD107" s="1">
        <v>-475.03</v>
      </c>
      <c r="AE107" s="3" t="s">
        <v>307</v>
      </c>
      <c r="AF107" s="3" t="s">
        <v>161</v>
      </c>
      <c r="AG107" s="1" t="s">
        <v>970</v>
      </c>
      <c r="AH107" s="3" t="s">
        <v>308</v>
      </c>
      <c r="AI107" s="1">
        <v>4</v>
      </c>
      <c r="AJ107" s="3" t="s">
        <v>165</v>
      </c>
      <c r="AK107" s="1" t="s">
        <v>267</v>
      </c>
      <c r="AL107" s="3">
        <v>81.097623907518994</v>
      </c>
      <c r="AM107" s="3">
        <v>81.039065573770998</v>
      </c>
      <c r="AN107" s="3">
        <v>486234.39</v>
      </c>
      <c r="AO107" s="3">
        <v>486234.39</v>
      </c>
      <c r="AP107" s="1" t="s">
        <v>164</v>
      </c>
      <c r="AQ107" s="1">
        <v>4</v>
      </c>
      <c r="AR107" s="1" t="s">
        <v>165</v>
      </c>
      <c r="AS107" s="3">
        <v>132534288.59999999</v>
      </c>
      <c r="AT107" s="1" t="s">
        <v>176</v>
      </c>
      <c r="AU107" s="1">
        <v>1</v>
      </c>
      <c r="AV107" s="1">
        <v>1</v>
      </c>
      <c r="AW107" s="3" t="s">
        <v>196</v>
      </c>
      <c r="AX107" s="3" t="s">
        <v>197</v>
      </c>
      <c r="AY107" s="1">
        <v>0</v>
      </c>
      <c r="BA107" s="3">
        <v>8205251.6799999997</v>
      </c>
      <c r="BB107" s="1">
        <v>1</v>
      </c>
      <c r="BD107" s="1" t="s">
        <v>971</v>
      </c>
      <c r="BE107" s="1">
        <v>1</v>
      </c>
      <c r="BF107" s="1">
        <v>1</v>
      </c>
      <c r="BG107" s="1" t="s">
        <v>168</v>
      </c>
      <c r="BH107" s="1">
        <v>0</v>
      </c>
      <c r="BI107" s="1">
        <v>31345322.399999999</v>
      </c>
      <c r="BJ107" s="1">
        <v>0</v>
      </c>
      <c r="BK107" s="1">
        <v>123618989.48999999</v>
      </c>
      <c r="BL107" s="1">
        <v>132456249.91</v>
      </c>
      <c r="BM107" s="1">
        <v>596150.00000000012</v>
      </c>
      <c r="BN107" s="1">
        <v>9219855.2300000004</v>
      </c>
      <c r="BO107" s="1">
        <v>23.664660909999998</v>
      </c>
      <c r="BP107" s="1">
        <v>0.45007313999999998</v>
      </c>
      <c r="BQ107" s="1">
        <v>6.9606796500000003</v>
      </c>
      <c r="BR107" s="1">
        <v>0.36709056000000001</v>
      </c>
      <c r="BS107" s="1" t="s">
        <v>169</v>
      </c>
      <c r="BT107" s="1" t="s">
        <v>169</v>
      </c>
      <c r="BU107" s="1">
        <v>26356083.120000001</v>
      </c>
      <c r="BV107" s="1">
        <v>0</v>
      </c>
      <c r="BW107" s="1">
        <v>-351.35</v>
      </c>
      <c r="BX107" s="1">
        <v>-7.0000000000000007E-2</v>
      </c>
      <c r="BY107" s="1" t="s">
        <v>170</v>
      </c>
      <c r="BZ107" s="1">
        <v>-78038.69</v>
      </c>
      <c r="CA107" s="1" t="s">
        <v>250</v>
      </c>
      <c r="CB107" s="1" t="s">
        <v>251</v>
      </c>
      <c r="CC107" s="1">
        <v>-112789.23</v>
      </c>
      <c r="CD107" s="1">
        <v>-112789.23</v>
      </c>
      <c r="CE107" s="1">
        <v>486585.74</v>
      </c>
      <c r="CF107" s="1">
        <v>486585.74</v>
      </c>
      <c r="CG107" s="1">
        <v>0</v>
      </c>
      <c r="CH107" s="1">
        <v>1.4438757900000001</v>
      </c>
      <c r="CI107" s="1">
        <v>13.27863496</v>
      </c>
      <c r="CJ107" s="1">
        <v>17588381.91</v>
      </c>
      <c r="CK107" s="1">
        <v>1912503.72</v>
      </c>
      <c r="CL107" s="1">
        <v>6269233.6699999999</v>
      </c>
      <c r="CM107" s="1" t="s">
        <v>164</v>
      </c>
      <c r="CN107" s="1" t="s">
        <v>164</v>
      </c>
      <c r="CO107" s="1" t="s">
        <v>184</v>
      </c>
      <c r="CP107" s="1" t="s">
        <v>243</v>
      </c>
      <c r="CQ107" s="3" t="s">
        <v>252</v>
      </c>
      <c r="CR107" s="1">
        <v>0</v>
      </c>
      <c r="CS107" s="1" t="s">
        <v>243</v>
      </c>
      <c r="CT107" s="1">
        <v>0.39333309</v>
      </c>
      <c r="CV107" s="1">
        <v>0</v>
      </c>
      <c r="CW107" s="1">
        <v>-219173.26</v>
      </c>
      <c r="DA107" s="1">
        <v>1355558.46</v>
      </c>
      <c r="DB107" s="1">
        <v>0</v>
      </c>
      <c r="DC107" s="1">
        <v>2520.3126550000002</v>
      </c>
      <c r="DD107" s="1">
        <v>52555.483399999997</v>
      </c>
      <c r="DE107" s="1">
        <v>-296353.43</v>
      </c>
      <c r="DF107" s="1">
        <v>92570020.519999996</v>
      </c>
      <c r="DG107" s="1">
        <v>-351.35</v>
      </c>
      <c r="DH107" s="1">
        <v>394770.09</v>
      </c>
      <c r="DI107" s="1">
        <v>0.29803809999999997</v>
      </c>
      <c r="DK107" s="1">
        <v>0</v>
      </c>
      <c r="DL107" s="1">
        <v>0</v>
      </c>
      <c r="DM107" s="1">
        <v>-296353.43</v>
      </c>
      <c r="DN107" s="1">
        <v>0</v>
      </c>
      <c r="DO107" s="1">
        <v>0</v>
      </c>
      <c r="DP107" s="1">
        <v>16777215</v>
      </c>
      <c r="DQ107" s="1">
        <v>0</v>
      </c>
      <c r="DR107" s="1">
        <v>0</v>
      </c>
      <c r="DS107" s="1">
        <v>0</v>
      </c>
      <c r="DT107" s="1">
        <v>0</v>
      </c>
      <c r="DU107" s="1">
        <v>0</v>
      </c>
      <c r="DV107" s="1">
        <v>486234.39</v>
      </c>
      <c r="DW107" s="1">
        <v>486234.39</v>
      </c>
      <c r="DX107" s="1">
        <v>31345322.399999999</v>
      </c>
      <c r="DY107" s="1">
        <v>-1110160.2399999984</v>
      </c>
      <c r="DZ107" s="1">
        <v>92570020.519999966</v>
      </c>
      <c r="EA107" s="1">
        <v>0</v>
      </c>
      <c r="EB107" s="1">
        <v>0</v>
      </c>
      <c r="EC107" s="1" t="s">
        <v>176</v>
      </c>
      <c r="EE107" s="1">
        <v>0</v>
      </c>
      <c r="EF107" s="1">
        <v>3</v>
      </c>
      <c r="EG107" s="1">
        <v>0</v>
      </c>
      <c r="EH107" s="3">
        <v>0.52526119000000004</v>
      </c>
      <c r="EI107" s="1">
        <v>0</v>
      </c>
      <c r="EL107" s="1">
        <v>0</v>
      </c>
      <c r="EM107" s="1">
        <v>0</v>
      </c>
      <c r="EN107" s="1">
        <v>1633661.45</v>
      </c>
      <c r="EO107" s="1">
        <v>1.2333592799999999</v>
      </c>
      <c r="ER107" s="1">
        <v>81.212918032787002</v>
      </c>
      <c r="ES107" s="1">
        <v>1</v>
      </c>
      <c r="ET107" s="3">
        <v>7.3820346429999999</v>
      </c>
      <c r="EU107" s="3">
        <v>4.3282865230000001</v>
      </c>
      <c r="EV107" s="3">
        <v>3.2734784716059999</v>
      </c>
      <c r="EW107" s="3">
        <v>4.553424658</v>
      </c>
      <c r="EX107" s="3">
        <v>0.20508358099999999</v>
      </c>
      <c r="EY107" s="3">
        <v>48</v>
      </c>
      <c r="EZ107" s="3">
        <v>1662</v>
      </c>
      <c r="FA107" s="1">
        <v>0</v>
      </c>
      <c r="FB107" s="1">
        <v>0</v>
      </c>
      <c r="FC107" s="3">
        <v>2.3625518159999999</v>
      </c>
      <c r="FD107" s="1">
        <v>0</v>
      </c>
      <c r="FE107" s="1">
        <v>0</v>
      </c>
    </row>
    <row r="108" spans="1:161" x14ac:dyDescent="0.3">
      <c r="A108" s="1">
        <v>16975490</v>
      </c>
      <c r="B108" s="1">
        <v>128</v>
      </c>
      <c r="C108" s="1">
        <v>5760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600</v>
      </c>
      <c r="J108" s="3">
        <v>600</v>
      </c>
      <c r="K108" s="1">
        <v>600000</v>
      </c>
      <c r="L108" s="1">
        <v>600000</v>
      </c>
      <c r="M108" s="1">
        <v>600000</v>
      </c>
      <c r="N108" s="3">
        <v>600000</v>
      </c>
      <c r="O108" s="1">
        <v>602452</v>
      </c>
      <c r="P108" s="1">
        <v>602452</v>
      </c>
      <c r="Q108" s="1">
        <v>602452</v>
      </c>
      <c r="R108" s="1">
        <v>602452</v>
      </c>
      <c r="S108" s="1">
        <v>600000</v>
      </c>
      <c r="T108" s="1">
        <v>600000</v>
      </c>
      <c r="U108" s="1">
        <v>600000</v>
      </c>
      <c r="V108" s="1">
        <v>600000</v>
      </c>
      <c r="W108" s="1">
        <v>0</v>
      </c>
      <c r="X108" s="1">
        <v>0</v>
      </c>
      <c r="Y108" s="1">
        <v>0</v>
      </c>
      <c r="Z108" s="1">
        <v>0</v>
      </c>
      <c r="AA108" s="1">
        <v>5940.9</v>
      </c>
      <c r="AB108" s="1">
        <v>5940.9</v>
      </c>
      <c r="AC108" s="1">
        <v>5940.9</v>
      </c>
      <c r="AD108" s="1">
        <v>5940.9</v>
      </c>
      <c r="AE108" s="3" t="s">
        <v>309</v>
      </c>
      <c r="AF108" s="3" t="s">
        <v>161</v>
      </c>
      <c r="AG108" s="1" t="s">
        <v>970</v>
      </c>
      <c r="AH108" s="3" t="s">
        <v>310</v>
      </c>
      <c r="AI108" s="1">
        <v>4</v>
      </c>
      <c r="AJ108" s="3" t="s">
        <v>165</v>
      </c>
      <c r="AK108" s="1" t="s">
        <v>191</v>
      </c>
      <c r="AL108" s="3">
        <v>95.728357328035003</v>
      </c>
      <c r="AM108" s="3">
        <v>95.834212328766</v>
      </c>
      <c r="AN108" s="3">
        <v>575005.27</v>
      </c>
      <c r="AO108" s="3">
        <v>575005.27</v>
      </c>
      <c r="AP108" s="1" t="s">
        <v>164</v>
      </c>
      <c r="AQ108" s="1">
        <v>4</v>
      </c>
      <c r="AR108" s="1" t="s">
        <v>165</v>
      </c>
      <c r="AS108" s="3">
        <v>132534288.59999999</v>
      </c>
      <c r="AT108" s="1" t="s">
        <v>176</v>
      </c>
      <c r="AU108" s="1">
        <v>1</v>
      </c>
      <c r="AV108" s="1">
        <v>1</v>
      </c>
      <c r="AW108" s="3" t="s">
        <v>196</v>
      </c>
      <c r="AX108" s="3" t="s">
        <v>211</v>
      </c>
      <c r="AY108" s="1">
        <v>0</v>
      </c>
      <c r="BA108" s="3">
        <v>8205251.6799999997</v>
      </c>
      <c r="BB108" s="1">
        <v>1</v>
      </c>
      <c r="BD108" s="1" t="s">
        <v>971</v>
      </c>
      <c r="BE108" s="1">
        <v>1</v>
      </c>
      <c r="BF108" s="1">
        <v>1</v>
      </c>
      <c r="BG108" s="1" t="s">
        <v>168</v>
      </c>
      <c r="BH108" s="1">
        <v>0</v>
      </c>
      <c r="BI108" s="1">
        <v>31345322.399999999</v>
      </c>
      <c r="BJ108" s="1">
        <v>0</v>
      </c>
      <c r="BK108" s="1">
        <v>123618989.48999999</v>
      </c>
      <c r="BL108" s="1">
        <v>132456249.91</v>
      </c>
      <c r="BM108" s="1">
        <v>596150.00000000012</v>
      </c>
      <c r="BN108" s="1">
        <v>9219855.2300000004</v>
      </c>
      <c r="BO108" s="1">
        <v>23.664660909999998</v>
      </c>
      <c r="BP108" s="1">
        <v>0.45007313999999998</v>
      </c>
      <c r="BQ108" s="1">
        <v>6.9606796500000003</v>
      </c>
      <c r="BR108" s="1">
        <v>0.43410957999999999</v>
      </c>
      <c r="BS108" s="1" t="s">
        <v>169</v>
      </c>
      <c r="BT108" s="1" t="s">
        <v>169</v>
      </c>
      <c r="BU108" s="1">
        <v>26356083.120000001</v>
      </c>
      <c r="BV108" s="1">
        <v>0</v>
      </c>
      <c r="BW108" s="1">
        <v>635.13</v>
      </c>
      <c r="BX108" s="1">
        <v>0.11</v>
      </c>
      <c r="BY108" s="1" t="s">
        <v>170</v>
      </c>
      <c r="BZ108" s="1">
        <v>-78038.69</v>
      </c>
      <c r="CA108" s="1" t="s">
        <v>250</v>
      </c>
      <c r="CB108" s="1" t="s">
        <v>251</v>
      </c>
      <c r="CC108" s="1">
        <v>-34022.76</v>
      </c>
      <c r="CD108" s="1">
        <v>-34022.76</v>
      </c>
      <c r="CE108" s="1">
        <v>574370.14</v>
      </c>
      <c r="CF108" s="1">
        <v>574370.14</v>
      </c>
      <c r="CG108" s="1">
        <v>0</v>
      </c>
      <c r="CH108" s="1">
        <v>1.4438757900000001</v>
      </c>
      <c r="CI108" s="1">
        <v>13.27863496</v>
      </c>
      <c r="CJ108" s="1">
        <v>17588381.91</v>
      </c>
      <c r="CK108" s="1">
        <v>1912503.72</v>
      </c>
      <c r="CL108" s="1">
        <v>6269233.6699999999</v>
      </c>
      <c r="CM108" s="1" t="s">
        <v>164</v>
      </c>
      <c r="CN108" s="1" t="s">
        <v>164</v>
      </c>
      <c r="CO108" s="1" t="s">
        <v>184</v>
      </c>
      <c r="CP108" s="1" t="s">
        <v>243</v>
      </c>
      <c r="CQ108" s="3" t="s">
        <v>252</v>
      </c>
      <c r="CR108" s="1">
        <v>0</v>
      </c>
      <c r="CS108" s="1" t="s">
        <v>243</v>
      </c>
      <c r="CT108" s="1">
        <v>0.46514316</v>
      </c>
      <c r="CV108" s="1">
        <v>0</v>
      </c>
      <c r="CW108" s="1">
        <v>-219173.26</v>
      </c>
      <c r="DA108" s="1">
        <v>1355558.46</v>
      </c>
      <c r="DB108" s="1">
        <v>0</v>
      </c>
      <c r="DC108" s="1">
        <v>2520.3126550000002</v>
      </c>
      <c r="DD108" s="1">
        <v>52555.483399999997</v>
      </c>
      <c r="DE108" s="1">
        <v>-296353.43</v>
      </c>
      <c r="DF108" s="1">
        <v>92570020.519999996</v>
      </c>
      <c r="DG108" s="1">
        <v>635.13</v>
      </c>
      <c r="DH108" s="1">
        <v>394770.09</v>
      </c>
      <c r="DI108" s="1">
        <v>0.29803809999999997</v>
      </c>
      <c r="DK108" s="1">
        <v>0</v>
      </c>
      <c r="DL108" s="1">
        <v>0</v>
      </c>
      <c r="DM108" s="1">
        <v>-296353.43</v>
      </c>
      <c r="DN108" s="1">
        <v>0</v>
      </c>
      <c r="DO108" s="1">
        <v>0</v>
      </c>
      <c r="DP108" s="1">
        <v>16777215</v>
      </c>
      <c r="DQ108" s="1">
        <v>0</v>
      </c>
      <c r="DR108" s="1">
        <v>0</v>
      </c>
      <c r="DS108" s="1">
        <v>0</v>
      </c>
      <c r="DT108" s="1">
        <v>0</v>
      </c>
      <c r="DU108" s="1">
        <v>0</v>
      </c>
      <c r="DV108" s="1">
        <v>575005.27</v>
      </c>
      <c r="DW108" s="1">
        <v>575005.27</v>
      </c>
      <c r="DX108" s="1">
        <v>31345322.399999999</v>
      </c>
      <c r="DY108" s="1">
        <v>-1110160.2399999984</v>
      </c>
      <c r="DZ108" s="1">
        <v>92570020.519999966</v>
      </c>
      <c r="EA108" s="1">
        <v>0</v>
      </c>
      <c r="EB108" s="1">
        <v>0</v>
      </c>
      <c r="EC108" s="1" t="s">
        <v>176</v>
      </c>
      <c r="EE108" s="1">
        <v>0</v>
      </c>
      <c r="EF108" s="1">
        <v>3</v>
      </c>
      <c r="EG108" s="1">
        <v>0</v>
      </c>
      <c r="EH108" s="3">
        <v>0.62115712000000001</v>
      </c>
      <c r="EI108" s="1">
        <v>0</v>
      </c>
      <c r="EL108" s="1">
        <v>0</v>
      </c>
      <c r="EM108" s="1">
        <v>0</v>
      </c>
      <c r="EN108" s="1">
        <v>1633661.45</v>
      </c>
      <c r="EO108" s="1">
        <v>1.2333592799999999</v>
      </c>
      <c r="ER108" s="1">
        <v>95.811260273973005</v>
      </c>
      <c r="ES108" s="1">
        <v>1</v>
      </c>
      <c r="ET108" s="3">
        <v>6.599157183</v>
      </c>
      <c r="EU108" s="3">
        <v>1.1695416700000001</v>
      </c>
      <c r="EV108" s="3">
        <v>1.0511833697040001</v>
      </c>
      <c r="EW108" s="3">
        <v>1.189041096</v>
      </c>
      <c r="EX108" s="3">
        <v>2.2474371E-2</v>
      </c>
      <c r="EY108" s="3">
        <v>13</v>
      </c>
      <c r="EZ108" s="3">
        <v>434</v>
      </c>
      <c r="FA108" s="1">
        <v>0</v>
      </c>
      <c r="FB108" s="1">
        <v>0</v>
      </c>
      <c r="FC108" s="3">
        <v>2.4129003770000002</v>
      </c>
      <c r="FD108" s="1">
        <v>0</v>
      </c>
      <c r="FE108" s="1">
        <v>0</v>
      </c>
    </row>
    <row r="109" spans="1:161" x14ac:dyDescent="0.3">
      <c r="A109" s="1">
        <v>16975450</v>
      </c>
      <c r="B109" s="1">
        <v>128</v>
      </c>
      <c r="C109" s="1">
        <v>9326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400</v>
      </c>
      <c r="J109" s="3">
        <v>400</v>
      </c>
      <c r="K109" s="1">
        <v>400000</v>
      </c>
      <c r="L109" s="1">
        <v>400000</v>
      </c>
      <c r="M109" s="1">
        <v>400000</v>
      </c>
      <c r="N109" s="3">
        <v>400000</v>
      </c>
      <c r="O109" s="1">
        <v>401946</v>
      </c>
      <c r="P109" s="1">
        <v>401946</v>
      </c>
      <c r="Q109" s="1">
        <v>401946</v>
      </c>
      <c r="R109" s="1">
        <v>401946</v>
      </c>
      <c r="S109" s="1">
        <v>400000</v>
      </c>
      <c r="T109" s="1">
        <v>400000</v>
      </c>
      <c r="U109" s="1">
        <v>400000</v>
      </c>
      <c r="V109" s="1">
        <v>400000</v>
      </c>
      <c r="W109" s="1">
        <v>0</v>
      </c>
      <c r="X109" s="1">
        <v>0</v>
      </c>
      <c r="Y109" s="1">
        <v>0</v>
      </c>
      <c r="Z109" s="1">
        <v>0</v>
      </c>
      <c r="AA109" s="1">
        <v>7540.4</v>
      </c>
      <c r="AB109" s="1">
        <v>7540.4</v>
      </c>
      <c r="AC109" s="1">
        <v>7540.4</v>
      </c>
      <c r="AD109" s="1">
        <v>7540.4</v>
      </c>
      <c r="AE109" s="3" t="s">
        <v>761</v>
      </c>
      <c r="AF109" s="3" t="s">
        <v>161</v>
      </c>
      <c r="AG109" s="1" t="s">
        <v>970</v>
      </c>
      <c r="AH109" s="3" t="s">
        <v>311</v>
      </c>
      <c r="AI109" s="1">
        <v>4</v>
      </c>
      <c r="AJ109" s="3" t="s">
        <v>165</v>
      </c>
      <c r="AK109" s="1" t="s">
        <v>176</v>
      </c>
      <c r="AL109" s="3">
        <v>96.219261110426004</v>
      </c>
      <c r="AM109" s="3">
        <v>96.278611111111005</v>
      </c>
      <c r="AN109" s="3">
        <v>385114.44</v>
      </c>
      <c r="AO109" s="3">
        <v>385114.44</v>
      </c>
      <c r="AP109" s="1" t="s">
        <v>164</v>
      </c>
      <c r="AQ109" s="1">
        <v>4</v>
      </c>
      <c r="AR109" s="1" t="s">
        <v>165</v>
      </c>
      <c r="AS109" s="3">
        <v>132534288.59999999</v>
      </c>
      <c r="AT109" s="1" t="s">
        <v>176</v>
      </c>
      <c r="AU109" s="1">
        <v>1</v>
      </c>
      <c r="AV109" s="1">
        <v>1</v>
      </c>
      <c r="AW109" s="3" t="s">
        <v>196</v>
      </c>
      <c r="AX109" s="3" t="s">
        <v>312</v>
      </c>
      <c r="AY109" s="1">
        <v>0</v>
      </c>
      <c r="BA109" s="3">
        <v>8205251.6799999997</v>
      </c>
      <c r="BB109" s="1">
        <v>1</v>
      </c>
      <c r="BD109" s="1" t="s">
        <v>971</v>
      </c>
      <c r="BE109" s="1">
        <v>1</v>
      </c>
      <c r="BF109" s="1">
        <v>1</v>
      </c>
      <c r="BG109" s="1" t="s">
        <v>168</v>
      </c>
      <c r="BH109" s="1">
        <v>0</v>
      </c>
      <c r="BI109" s="1">
        <v>31345322.399999999</v>
      </c>
      <c r="BJ109" s="1">
        <v>0</v>
      </c>
      <c r="BK109" s="1">
        <v>123618989.48999999</v>
      </c>
      <c r="BL109" s="1">
        <v>132456249.91</v>
      </c>
      <c r="BM109" s="1">
        <v>596150.00000000012</v>
      </c>
      <c r="BN109" s="1">
        <v>9219855.2300000004</v>
      </c>
      <c r="BO109" s="1">
        <v>23.664660909999998</v>
      </c>
      <c r="BP109" s="1">
        <v>0.45007313999999998</v>
      </c>
      <c r="BQ109" s="1">
        <v>6.9606796500000003</v>
      </c>
      <c r="BR109" s="1">
        <v>0.29074841000000001</v>
      </c>
      <c r="BS109" s="1" t="s">
        <v>169</v>
      </c>
      <c r="BT109" s="1" t="s">
        <v>169</v>
      </c>
      <c r="BU109" s="1">
        <v>26356083.120000001</v>
      </c>
      <c r="BV109" s="1">
        <v>0</v>
      </c>
      <c r="BW109" s="1">
        <v>237.4</v>
      </c>
      <c r="BX109" s="1">
        <v>0.06</v>
      </c>
      <c r="BY109" s="1" t="s">
        <v>170</v>
      </c>
      <c r="BZ109" s="1">
        <v>-78038.69</v>
      </c>
      <c r="CA109" s="1" t="s">
        <v>250</v>
      </c>
      <c r="CB109" s="1" t="s">
        <v>251</v>
      </c>
      <c r="CC109" s="1">
        <v>-24609.360000000001</v>
      </c>
      <c r="CD109" s="1">
        <v>-24609.360000000001</v>
      </c>
      <c r="CE109" s="1">
        <v>384877.04</v>
      </c>
      <c r="CF109" s="1">
        <v>384877.04</v>
      </c>
      <c r="CG109" s="1">
        <v>0</v>
      </c>
      <c r="CH109" s="1">
        <v>1.4438757900000001</v>
      </c>
      <c r="CI109" s="1">
        <v>13.27863496</v>
      </c>
      <c r="CJ109" s="1">
        <v>17588381.91</v>
      </c>
      <c r="CK109" s="1">
        <v>1912503.72</v>
      </c>
      <c r="CL109" s="1">
        <v>6269233.6699999999</v>
      </c>
      <c r="CM109" s="1" t="s">
        <v>164</v>
      </c>
      <c r="CN109" s="1" t="s">
        <v>164</v>
      </c>
      <c r="CO109" s="1" t="s">
        <v>184</v>
      </c>
      <c r="CP109" s="1" t="s">
        <v>243</v>
      </c>
      <c r="CQ109" s="3" t="s">
        <v>252</v>
      </c>
      <c r="CR109" s="1">
        <v>0</v>
      </c>
      <c r="CS109" s="1" t="s">
        <v>243</v>
      </c>
      <c r="CT109" s="1">
        <v>0.31153340000000002</v>
      </c>
      <c r="CV109" s="1">
        <v>0</v>
      </c>
      <c r="CW109" s="1">
        <v>-219173.26</v>
      </c>
      <c r="DA109" s="1">
        <v>1355558.46</v>
      </c>
      <c r="DB109" s="1">
        <v>0</v>
      </c>
      <c r="DC109" s="1">
        <v>2520.3126550000002</v>
      </c>
      <c r="DD109" s="1">
        <v>52555.483399999997</v>
      </c>
      <c r="DE109" s="1">
        <v>-296353.43</v>
      </c>
      <c r="DF109" s="1">
        <v>92570020.519999996</v>
      </c>
      <c r="DG109" s="1">
        <v>237.4</v>
      </c>
      <c r="DH109" s="1">
        <v>394770.09</v>
      </c>
      <c r="DI109" s="1">
        <v>0.29803809999999997</v>
      </c>
      <c r="DK109" s="1">
        <v>0</v>
      </c>
      <c r="DL109" s="1">
        <v>0</v>
      </c>
      <c r="DM109" s="1">
        <v>-296353.43</v>
      </c>
      <c r="DN109" s="1">
        <v>0</v>
      </c>
      <c r="DO109" s="1">
        <v>0</v>
      </c>
      <c r="DP109" s="1">
        <v>16777215</v>
      </c>
      <c r="DQ109" s="1">
        <v>0</v>
      </c>
      <c r="DR109" s="1">
        <v>0</v>
      </c>
      <c r="DS109" s="1">
        <v>0</v>
      </c>
      <c r="DT109" s="1">
        <v>0</v>
      </c>
      <c r="DU109" s="1">
        <v>0</v>
      </c>
      <c r="DV109" s="1">
        <v>385114.44</v>
      </c>
      <c r="DW109" s="1">
        <v>385114.44</v>
      </c>
      <c r="DX109" s="1">
        <v>31345322.399999999</v>
      </c>
      <c r="DY109" s="1">
        <v>-1110160.2399999984</v>
      </c>
      <c r="DZ109" s="1">
        <v>92570020.519999966</v>
      </c>
      <c r="EA109" s="1">
        <v>0</v>
      </c>
      <c r="EB109" s="1">
        <v>0</v>
      </c>
      <c r="EC109" s="1" t="s">
        <v>176</v>
      </c>
      <c r="EE109" s="1">
        <v>0</v>
      </c>
      <c r="EF109" s="1">
        <v>3</v>
      </c>
      <c r="EG109" s="1">
        <v>0</v>
      </c>
      <c r="EH109" s="3">
        <v>0.41602500999999997</v>
      </c>
      <c r="EI109" s="1">
        <v>0</v>
      </c>
      <c r="EL109" s="1">
        <v>0</v>
      </c>
      <c r="EM109" s="1">
        <v>0</v>
      </c>
      <c r="EN109" s="1">
        <v>1633661.45</v>
      </c>
      <c r="EO109" s="1">
        <v>1.2333592799999999</v>
      </c>
      <c r="ER109" s="1">
        <v>96.248999999999995</v>
      </c>
      <c r="ES109" s="1">
        <v>1</v>
      </c>
      <c r="ET109" s="3">
        <v>12.475562083</v>
      </c>
      <c r="EU109" s="3">
        <v>0.73991120700000002</v>
      </c>
      <c r="EV109" s="3">
        <v>0.67034263159100005</v>
      </c>
      <c r="EW109" s="3">
        <v>0.75068493199999997</v>
      </c>
      <c r="EX109" s="3">
        <v>1.1450195E-2</v>
      </c>
      <c r="EY109" s="3">
        <v>8</v>
      </c>
      <c r="EZ109" s="3">
        <v>274</v>
      </c>
      <c r="FA109" s="1">
        <v>0</v>
      </c>
      <c r="FB109" s="1">
        <v>0</v>
      </c>
      <c r="FC109" s="3">
        <v>6.1143715480000003</v>
      </c>
      <c r="FD109" s="1">
        <v>0</v>
      </c>
      <c r="FE109" s="1">
        <v>0</v>
      </c>
    </row>
    <row r="110" spans="1:161" x14ac:dyDescent="0.3">
      <c r="A110" s="1">
        <v>16975457</v>
      </c>
      <c r="B110" s="1">
        <v>128</v>
      </c>
      <c r="C110" s="1">
        <v>8816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400</v>
      </c>
      <c r="J110" s="3">
        <v>400</v>
      </c>
      <c r="K110" s="1">
        <v>400000</v>
      </c>
      <c r="L110" s="1">
        <v>400000</v>
      </c>
      <c r="M110" s="1">
        <v>400000</v>
      </c>
      <c r="N110" s="3">
        <v>400000</v>
      </c>
      <c r="O110" s="1">
        <v>419730</v>
      </c>
      <c r="P110" s="1">
        <v>419730</v>
      </c>
      <c r="Q110" s="1">
        <v>419730</v>
      </c>
      <c r="R110" s="1">
        <v>419730</v>
      </c>
      <c r="S110" s="1">
        <v>400000</v>
      </c>
      <c r="T110" s="1">
        <v>400000</v>
      </c>
      <c r="U110" s="1">
        <v>400000</v>
      </c>
      <c r="V110" s="1">
        <v>400000</v>
      </c>
      <c r="W110" s="1">
        <v>0</v>
      </c>
      <c r="X110" s="1">
        <v>0</v>
      </c>
      <c r="Y110" s="1">
        <v>0</v>
      </c>
      <c r="Z110" s="1">
        <v>0</v>
      </c>
      <c r="AA110" s="1">
        <v>-6571.07</v>
      </c>
      <c r="AB110" s="1">
        <v>-6571.07</v>
      </c>
      <c r="AC110" s="1">
        <v>-6571.07</v>
      </c>
      <c r="AD110" s="1">
        <v>-6571.07</v>
      </c>
      <c r="AE110" s="3" t="s">
        <v>314</v>
      </c>
      <c r="AF110" s="3" t="s">
        <v>161</v>
      </c>
      <c r="AG110" s="1" t="s">
        <v>970</v>
      </c>
      <c r="AH110" s="3" t="s">
        <v>315</v>
      </c>
      <c r="AI110" s="1">
        <v>4</v>
      </c>
      <c r="AJ110" s="3" t="s">
        <v>165</v>
      </c>
      <c r="AK110" s="1" t="s">
        <v>191</v>
      </c>
      <c r="AL110" s="3">
        <v>97.872603288194</v>
      </c>
      <c r="AM110" s="3">
        <v>97.807623287671007</v>
      </c>
      <c r="AN110" s="3">
        <v>391230.49</v>
      </c>
      <c r="AO110" s="3">
        <v>391230.49</v>
      </c>
      <c r="AP110" s="1" t="s">
        <v>164</v>
      </c>
      <c r="AQ110" s="1">
        <v>4</v>
      </c>
      <c r="AR110" s="1" t="s">
        <v>165</v>
      </c>
      <c r="AS110" s="3">
        <v>132534288.59999999</v>
      </c>
      <c r="AT110" s="1" t="s">
        <v>176</v>
      </c>
      <c r="AU110" s="1">
        <v>1</v>
      </c>
      <c r="AV110" s="1">
        <v>1</v>
      </c>
      <c r="AW110" s="3" t="s">
        <v>202</v>
      </c>
      <c r="AX110" s="3" t="s">
        <v>313</v>
      </c>
      <c r="AY110" s="1">
        <v>0</v>
      </c>
      <c r="AZ110" s="1"/>
      <c r="BA110" s="3">
        <v>8205251.6799999997</v>
      </c>
      <c r="BB110" s="1">
        <v>1</v>
      </c>
      <c r="BD110" s="1" t="s">
        <v>971</v>
      </c>
      <c r="BE110" s="1">
        <v>1</v>
      </c>
      <c r="BF110" s="1">
        <v>1</v>
      </c>
      <c r="BG110" s="1" t="s">
        <v>168</v>
      </c>
      <c r="BH110" s="1">
        <v>0</v>
      </c>
      <c r="BI110" s="1">
        <v>31345322.399999999</v>
      </c>
      <c r="BJ110" s="1">
        <v>0</v>
      </c>
      <c r="BK110" s="1">
        <v>123618989.48999999</v>
      </c>
      <c r="BL110" s="1">
        <v>132456249.91</v>
      </c>
      <c r="BM110" s="1">
        <v>596150.00000000012</v>
      </c>
      <c r="BN110" s="1">
        <v>9219855.2300000004</v>
      </c>
      <c r="BO110" s="1">
        <v>23.664660909999998</v>
      </c>
      <c r="BP110" s="1">
        <v>0.45007313999999998</v>
      </c>
      <c r="BQ110" s="1">
        <v>6.9606796500000003</v>
      </c>
      <c r="BR110" s="1">
        <v>0.29536582</v>
      </c>
      <c r="BS110" s="1" t="s">
        <v>169</v>
      </c>
      <c r="BT110" s="1" t="s">
        <v>169</v>
      </c>
      <c r="BU110" s="1">
        <v>26356083.120000001</v>
      </c>
      <c r="BV110" s="1">
        <v>0</v>
      </c>
      <c r="BW110" s="1">
        <v>-259.92</v>
      </c>
      <c r="BX110" s="1">
        <v>-0.06</v>
      </c>
      <c r="BY110" s="1" t="s">
        <v>170</v>
      </c>
      <c r="BZ110" s="1">
        <v>-78038.69</v>
      </c>
      <c r="CA110" s="1" t="s">
        <v>250</v>
      </c>
      <c r="CB110" s="1" t="s">
        <v>251</v>
      </c>
      <c r="CC110" s="1">
        <v>-21668.52</v>
      </c>
      <c r="CD110" s="1">
        <v>-21668.52</v>
      </c>
      <c r="CE110" s="1">
        <v>391490.41</v>
      </c>
      <c r="CF110" s="1">
        <v>391490.41</v>
      </c>
      <c r="CG110" s="1">
        <v>0</v>
      </c>
      <c r="CH110" s="1">
        <v>1.4438757900000001</v>
      </c>
      <c r="CI110" s="1">
        <v>13.27863496</v>
      </c>
      <c r="CJ110" s="1">
        <v>17588381.91</v>
      </c>
      <c r="CK110" s="1">
        <v>1912503.72</v>
      </c>
      <c r="CL110" s="1">
        <v>6269233.6699999999</v>
      </c>
      <c r="CM110" s="1" t="s">
        <v>164</v>
      </c>
      <c r="CN110" s="1" t="s">
        <v>164</v>
      </c>
      <c r="CO110" s="1" t="s">
        <v>184</v>
      </c>
      <c r="CP110" s="1" t="s">
        <v>243</v>
      </c>
      <c r="CQ110" s="3" t="s">
        <v>252</v>
      </c>
      <c r="CR110" s="1">
        <v>0</v>
      </c>
      <c r="CS110" s="1" t="s">
        <v>243</v>
      </c>
      <c r="CT110" s="1">
        <v>0.31648090000000001</v>
      </c>
      <c r="CV110" s="1">
        <v>0</v>
      </c>
      <c r="CW110" s="1">
        <v>-219173.26</v>
      </c>
      <c r="DA110" s="1">
        <v>1355558.46</v>
      </c>
      <c r="DB110" s="1">
        <v>0</v>
      </c>
      <c r="DC110" s="1">
        <v>2520.3126550000002</v>
      </c>
      <c r="DD110" s="1">
        <v>52555.483399999997</v>
      </c>
      <c r="DE110" s="1">
        <v>-296353.43</v>
      </c>
      <c r="DF110" s="1">
        <v>92570020.519999996</v>
      </c>
      <c r="DG110" s="1">
        <v>-259.92</v>
      </c>
      <c r="DH110" s="1">
        <v>394770.09</v>
      </c>
      <c r="DI110" s="1">
        <v>0.29803809999999997</v>
      </c>
      <c r="DK110" s="1">
        <v>0</v>
      </c>
      <c r="DL110" s="1">
        <v>0</v>
      </c>
      <c r="DM110" s="1">
        <v>-296353.43</v>
      </c>
      <c r="DN110" s="1">
        <v>0</v>
      </c>
      <c r="DO110" s="1">
        <v>0</v>
      </c>
      <c r="DP110" s="1">
        <v>16777215</v>
      </c>
      <c r="DQ110" s="1">
        <v>0</v>
      </c>
      <c r="DR110" s="1">
        <v>0</v>
      </c>
      <c r="DS110" s="1">
        <v>0</v>
      </c>
      <c r="DT110" s="1">
        <v>0</v>
      </c>
      <c r="DU110" s="1">
        <v>0</v>
      </c>
      <c r="DV110" s="1">
        <v>391230.49</v>
      </c>
      <c r="DW110" s="1">
        <v>391230.49</v>
      </c>
      <c r="DX110" s="1">
        <v>31345322.399999999</v>
      </c>
      <c r="DY110" s="1">
        <v>-1110160.2399999984</v>
      </c>
      <c r="DZ110" s="1">
        <v>92570020.519999966</v>
      </c>
      <c r="EA110" s="1">
        <v>0</v>
      </c>
      <c r="EB110" s="1">
        <v>0</v>
      </c>
      <c r="EC110" s="1" t="s">
        <v>176</v>
      </c>
      <c r="EE110" s="1">
        <v>0</v>
      </c>
      <c r="EF110" s="1">
        <v>3</v>
      </c>
      <c r="EG110" s="1">
        <v>0</v>
      </c>
      <c r="EH110" s="3">
        <v>0.42263195999999997</v>
      </c>
      <c r="EI110" s="1">
        <v>0</v>
      </c>
      <c r="EL110" s="1">
        <v>0</v>
      </c>
      <c r="EM110" s="1">
        <v>0</v>
      </c>
      <c r="EN110" s="1">
        <v>1633661.45</v>
      </c>
      <c r="EO110" s="1">
        <v>1.2333592799999999</v>
      </c>
      <c r="ER110" s="1">
        <v>97.872616438356999</v>
      </c>
      <c r="ES110" s="1">
        <v>1</v>
      </c>
      <c r="ET110" s="3">
        <v>4.7014460800000002</v>
      </c>
      <c r="EU110" s="3">
        <v>1.8422954600000001</v>
      </c>
      <c r="EV110" s="3">
        <v>1.7221374074910001</v>
      </c>
      <c r="EW110" s="3">
        <v>1.9041095889999999</v>
      </c>
      <c r="EX110" s="3">
        <v>4.8523648000000003E-2</v>
      </c>
      <c r="EY110" s="3">
        <v>21</v>
      </c>
      <c r="EZ110" s="3">
        <v>695</v>
      </c>
      <c r="FA110" s="1">
        <v>0</v>
      </c>
      <c r="FB110" s="1">
        <v>0</v>
      </c>
      <c r="FC110" s="3">
        <v>0.82013898600000001</v>
      </c>
      <c r="FD110" s="1">
        <v>0</v>
      </c>
      <c r="FE110" s="1">
        <v>0</v>
      </c>
    </row>
    <row r="111" spans="1:161" x14ac:dyDescent="0.3">
      <c r="A111" s="1">
        <v>16975456</v>
      </c>
      <c r="B111" s="1">
        <v>128</v>
      </c>
      <c r="C111" s="1">
        <v>3715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400</v>
      </c>
      <c r="J111" s="3">
        <v>400</v>
      </c>
      <c r="K111" s="1">
        <v>400000</v>
      </c>
      <c r="L111" s="1">
        <v>400000</v>
      </c>
      <c r="M111" s="1">
        <v>400000</v>
      </c>
      <c r="N111" s="3">
        <v>400000</v>
      </c>
      <c r="O111" s="1">
        <v>414877</v>
      </c>
      <c r="P111" s="1">
        <v>414877</v>
      </c>
      <c r="Q111" s="1">
        <v>414877</v>
      </c>
      <c r="R111" s="1">
        <v>414877</v>
      </c>
      <c r="S111" s="1">
        <v>400000</v>
      </c>
      <c r="T111" s="1">
        <v>400000</v>
      </c>
      <c r="U111" s="1">
        <v>400000</v>
      </c>
      <c r="V111" s="1">
        <v>400000</v>
      </c>
      <c r="W111" s="1">
        <v>0</v>
      </c>
      <c r="X111" s="1">
        <v>0</v>
      </c>
      <c r="Y111" s="1">
        <v>0</v>
      </c>
      <c r="Z111" s="1">
        <v>0</v>
      </c>
      <c r="AA111" s="1">
        <v>-6950.32</v>
      </c>
      <c r="AB111" s="1">
        <v>-6950.32</v>
      </c>
      <c r="AC111" s="1">
        <v>-6950.32</v>
      </c>
      <c r="AD111" s="1">
        <v>-6950.32</v>
      </c>
      <c r="AE111" s="3" t="s">
        <v>316</v>
      </c>
      <c r="AF111" s="3" t="s">
        <v>161</v>
      </c>
      <c r="AG111" s="1" t="s">
        <v>970</v>
      </c>
      <c r="AH111" s="3" t="s">
        <v>317</v>
      </c>
      <c r="AI111" s="1">
        <v>4</v>
      </c>
      <c r="AJ111" s="3" t="s">
        <v>165</v>
      </c>
      <c r="AK111" s="1" t="s">
        <v>267</v>
      </c>
      <c r="AL111" s="3">
        <v>100.94006633670099</v>
      </c>
      <c r="AM111" s="3">
        <v>101.034143835617</v>
      </c>
      <c r="AN111" s="3">
        <v>404136.58</v>
      </c>
      <c r="AO111" s="3">
        <v>404136.58</v>
      </c>
      <c r="AP111" s="1" t="s">
        <v>164</v>
      </c>
      <c r="AQ111" s="1">
        <v>4</v>
      </c>
      <c r="AR111" s="1" t="s">
        <v>165</v>
      </c>
      <c r="AS111" s="3">
        <v>132534288.59999999</v>
      </c>
      <c r="AT111" s="1" t="s">
        <v>176</v>
      </c>
      <c r="AU111" s="1">
        <v>1</v>
      </c>
      <c r="AV111" s="1">
        <v>1</v>
      </c>
      <c r="AW111" s="3" t="s">
        <v>202</v>
      </c>
      <c r="AX111" s="3" t="s">
        <v>203</v>
      </c>
      <c r="AY111" s="1">
        <v>0</v>
      </c>
      <c r="BA111" s="3">
        <v>8205251.6799999997</v>
      </c>
      <c r="BB111" s="1">
        <v>1</v>
      </c>
      <c r="BD111" s="1" t="s">
        <v>971</v>
      </c>
      <c r="BE111" s="1">
        <v>1</v>
      </c>
      <c r="BF111" s="1">
        <v>1</v>
      </c>
      <c r="BG111" s="1" t="s">
        <v>168</v>
      </c>
      <c r="BH111" s="1">
        <v>0</v>
      </c>
      <c r="BI111" s="1">
        <v>31345322.399999999</v>
      </c>
      <c r="BJ111" s="1">
        <v>0</v>
      </c>
      <c r="BK111" s="1">
        <v>123618989.48999999</v>
      </c>
      <c r="BL111" s="1">
        <v>132456249.91</v>
      </c>
      <c r="BM111" s="1">
        <v>596150.00000000012</v>
      </c>
      <c r="BN111" s="1">
        <v>9219855.2300000004</v>
      </c>
      <c r="BO111" s="1">
        <v>23.664660909999998</v>
      </c>
      <c r="BP111" s="1">
        <v>0.45007313999999998</v>
      </c>
      <c r="BQ111" s="1">
        <v>6.9606796500000003</v>
      </c>
      <c r="BR111" s="1">
        <v>0.30510947999999999</v>
      </c>
      <c r="BS111" s="1" t="s">
        <v>169</v>
      </c>
      <c r="BT111" s="1" t="s">
        <v>169</v>
      </c>
      <c r="BU111" s="1">
        <v>26356083.120000001</v>
      </c>
      <c r="BV111" s="1">
        <v>0</v>
      </c>
      <c r="BW111" s="1">
        <v>376.31</v>
      </c>
      <c r="BX111" s="1">
        <v>0.09</v>
      </c>
      <c r="BY111" s="1" t="s">
        <v>170</v>
      </c>
      <c r="BZ111" s="1">
        <v>-78038.69</v>
      </c>
      <c r="CA111" s="1" t="s">
        <v>250</v>
      </c>
      <c r="CB111" s="1" t="s">
        <v>251</v>
      </c>
      <c r="CC111" s="1">
        <v>-4166.41</v>
      </c>
      <c r="CD111" s="1">
        <v>-4166.41</v>
      </c>
      <c r="CE111" s="1">
        <v>403760.27</v>
      </c>
      <c r="CF111" s="1">
        <v>403760.27</v>
      </c>
      <c r="CG111" s="1">
        <v>0</v>
      </c>
      <c r="CH111" s="1">
        <v>1.4438757900000001</v>
      </c>
      <c r="CI111" s="1">
        <v>13.27863496</v>
      </c>
      <c r="CJ111" s="1">
        <v>17588381.91</v>
      </c>
      <c r="CK111" s="1">
        <v>1912503.72</v>
      </c>
      <c r="CL111" s="1">
        <v>6269233.6699999999</v>
      </c>
      <c r="CM111" s="1" t="s">
        <v>164</v>
      </c>
      <c r="CN111" s="1" t="s">
        <v>164</v>
      </c>
      <c r="CO111" s="1" t="s">
        <v>184</v>
      </c>
      <c r="CP111" s="1" t="s">
        <v>243</v>
      </c>
      <c r="CQ111" s="3" t="s">
        <v>252</v>
      </c>
      <c r="CR111" s="1">
        <v>0</v>
      </c>
      <c r="CS111" s="1" t="s">
        <v>243</v>
      </c>
      <c r="CT111" s="1">
        <v>0.32692112000000001</v>
      </c>
      <c r="CV111" s="1">
        <v>0</v>
      </c>
      <c r="CW111" s="1">
        <v>-219173.26</v>
      </c>
      <c r="DA111" s="1">
        <v>1355558.46</v>
      </c>
      <c r="DB111" s="1">
        <v>0</v>
      </c>
      <c r="DC111" s="1">
        <v>2520.3126550000002</v>
      </c>
      <c r="DD111" s="1">
        <v>52555.483399999997</v>
      </c>
      <c r="DE111" s="1">
        <v>-296353.43</v>
      </c>
      <c r="DF111" s="1">
        <v>92570020.519999996</v>
      </c>
      <c r="DG111" s="1">
        <v>376.31</v>
      </c>
      <c r="DH111" s="1">
        <v>394770.09</v>
      </c>
      <c r="DI111" s="1">
        <v>0.29803809999999997</v>
      </c>
      <c r="DK111" s="1">
        <v>0</v>
      </c>
      <c r="DL111" s="1">
        <v>0</v>
      </c>
      <c r="DM111" s="1">
        <v>-296353.43</v>
      </c>
      <c r="DN111" s="1">
        <v>0</v>
      </c>
      <c r="DO111" s="1">
        <v>0</v>
      </c>
      <c r="DP111" s="1">
        <v>16777215</v>
      </c>
      <c r="DQ111" s="1">
        <v>0</v>
      </c>
      <c r="DR111" s="1">
        <v>0</v>
      </c>
      <c r="DS111" s="1">
        <v>0</v>
      </c>
      <c r="DT111" s="1">
        <v>0</v>
      </c>
      <c r="DU111" s="1">
        <v>0</v>
      </c>
      <c r="DV111" s="1">
        <v>404136.58</v>
      </c>
      <c r="DW111" s="1">
        <v>404136.58</v>
      </c>
      <c r="DX111" s="1">
        <v>31345322.399999999</v>
      </c>
      <c r="DY111" s="1">
        <v>-1110160.2399999984</v>
      </c>
      <c r="DZ111" s="1">
        <v>92570020.519999966</v>
      </c>
      <c r="EA111" s="1">
        <v>0</v>
      </c>
      <c r="EB111" s="1">
        <v>0</v>
      </c>
      <c r="EC111" s="1" t="s">
        <v>176</v>
      </c>
      <c r="EE111" s="1">
        <v>0</v>
      </c>
      <c r="EF111" s="1">
        <v>3</v>
      </c>
      <c r="EG111" s="1">
        <v>0</v>
      </c>
      <c r="EH111" s="3">
        <v>0.43657393</v>
      </c>
      <c r="EI111" s="1">
        <v>0</v>
      </c>
      <c r="EL111" s="1">
        <v>0</v>
      </c>
      <c r="EM111" s="1">
        <v>0</v>
      </c>
      <c r="EN111" s="1">
        <v>1633661.45</v>
      </c>
      <c r="EO111" s="1">
        <v>1.2333592799999999</v>
      </c>
      <c r="ER111" s="1">
        <v>100.99795205479499</v>
      </c>
      <c r="ES111" s="1">
        <v>1</v>
      </c>
      <c r="ET111" s="3">
        <v>10.125869715</v>
      </c>
      <c r="EU111" s="3">
        <v>9.8630137000000007E-2</v>
      </c>
      <c r="EV111" s="3">
        <v>9.0455057623999996E-2</v>
      </c>
      <c r="EW111" s="3">
        <v>9.8630137000000007E-2</v>
      </c>
      <c r="EX111" s="3">
        <v>8.9347500000000002E-4</v>
      </c>
      <c r="EY111" s="3">
        <v>1</v>
      </c>
      <c r="EZ111" s="3">
        <v>36</v>
      </c>
      <c r="FA111" s="1">
        <v>0</v>
      </c>
      <c r="FB111" s="1">
        <v>0</v>
      </c>
      <c r="FC111" s="3">
        <v>-15.895807032</v>
      </c>
      <c r="FD111" s="1">
        <v>0</v>
      </c>
      <c r="FE111" s="1">
        <v>0</v>
      </c>
    </row>
    <row r="112" spans="1:161" x14ac:dyDescent="0.3">
      <c r="A112" s="1">
        <v>16975350</v>
      </c>
      <c r="B112" s="1">
        <v>128</v>
      </c>
      <c r="C112" s="1">
        <v>7112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200</v>
      </c>
      <c r="J112" s="3">
        <v>200</v>
      </c>
      <c r="K112" s="1">
        <v>200000</v>
      </c>
      <c r="L112" s="1">
        <v>200000</v>
      </c>
      <c r="M112" s="1">
        <v>200000</v>
      </c>
      <c r="N112" s="3">
        <v>189573.46</v>
      </c>
      <c r="O112" s="1">
        <v>203056</v>
      </c>
      <c r="P112" s="1">
        <v>192470.14</v>
      </c>
      <c r="Q112" s="1">
        <v>203056</v>
      </c>
      <c r="R112" s="1">
        <v>192470.14</v>
      </c>
      <c r="S112" s="1">
        <v>200000</v>
      </c>
      <c r="T112" s="1">
        <v>189573.46</v>
      </c>
      <c r="U112" s="1">
        <v>200000</v>
      </c>
      <c r="V112" s="1">
        <v>189573.46</v>
      </c>
      <c r="W112" s="1">
        <v>0</v>
      </c>
      <c r="X112" s="1">
        <v>0</v>
      </c>
      <c r="Y112" s="1">
        <v>0</v>
      </c>
      <c r="Z112" s="1">
        <v>0</v>
      </c>
      <c r="AA112" s="1">
        <v>4106.7700000000004</v>
      </c>
      <c r="AB112" s="1">
        <v>3884.2</v>
      </c>
      <c r="AC112" s="1">
        <v>4106.7700000000004</v>
      </c>
      <c r="AD112" s="1">
        <v>3884.2</v>
      </c>
      <c r="AE112" s="3" t="s">
        <v>318</v>
      </c>
      <c r="AF112" s="3" t="s">
        <v>161</v>
      </c>
      <c r="AG112" s="1" t="s">
        <v>970</v>
      </c>
      <c r="AH112" s="3" t="s">
        <v>319</v>
      </c>
      <c r="AI112" s="1">
        <v>5</v>
      </c>
      <c r="AJ112" s="3" t="s">
        <v>162</v>
      </c>
      <c r="AK112" s="1" t="s">
        <v>163</v>
      </c>
      <c r="AL112" s="3">
        <v>92.336748331367005</v>
      </c>
      <c r="AM112" s="3">
        <v>92.227958333333007</v>
      </c>
      <c r="AN112" s="3">
        <v>184455.92</v>
      </c>
      <c r="AO112" s="3">
        <v>175940.4</v>
      </c>
      <c r="AP112" s="1" t="s">
        <v>164</v>
      </c>
      <c r="AQ112" s="1">
        <v>4</v>
      </c>
      <c r="AR112" s="1" t="s">
        <v>165</v>
      </c>
      <c r="AS112" s="3">
        <v>132534288.59999999</v>
      </c>
      <c r="AT112" s="1" t="s">
        <v>176</v>
      </c>
      <c r="AU112" s="1">
        <v>1</v>
      </c>
      <c r="AV112" s="1">
        <v>1</v>
      </c>
      <c r="AW112" s="3" t="s">
        <v>202</v>
      </c>
      <c r="AX112" s="3" t="s">
        <v>203</v>
      </c>
      <c r="AY112" s="1">
        <v>0</v>
      </c>
      <c r="BA112" s="3">
        <v>8205251.6799999997</v>
      </c>
      <c r="BB112" s="1">
        <v>1.0484</v>
      </c>
      <c r="BD112" s="1" t="s">
        <v>971</v>
      </c>
      <c r="BE112" s="1">
        <v>1</v>
      </c>
      <c r="BF112" s="1">
        <v>1</v>
      </c>
      <c r="BG112" s="1" t="s">
        <v>168</v>
      </c>
      <c r="BH112" s="1">
        <v>0</v>
      </c>
      <c r="BI112" s="1">
        <v>31345322.399999999</v>
      </c>
      <c r="BJ112" s="1">
        <v>0</v>
      </c>
      <c r="BK112" s="1">
        <v>123618989.48999999</v>
      </c>
      <c r="BL112" s="1">
        <v>132456249.91</v>
      </c>
      <c r="BM112" s="1">
        <v>596150.00000000012</v>
      </c>
      <c r="BN112" s="1">
        <v>9219855.2300000004</v>
      </c>
      <c r="BO112" s="1">
        <v>23.664660909999998</v>
      </c>
      <c r="BP112" s="1">
        <v>0.45007313999999998</v>
      </c>
      <c r="BQ112" s="1">
        <v>6.9606796500000003</v>
      </c>
      <c r="BR112" s="1">
        <v>0.13282906999999999</v>
      </c>
      <c r="BS112" s="1" t="s">
        <v>169</v>
      </c>
      <c r="BT112" s="1" t="s">
        <v>169</v>
      </c>
      <c r="BU112" s="1">
        <v>26356083.120000001</v>
      </c>
      <c r="BV112" s="1">
        <v>0</v>
      </c>
      <c r="BW112" s="1">
        <v>1275.22</v>
      </c>
      <c r="BX112" s="1">
        <v>-0.12</v>
      </c>
      <c r="BY112" s="1" t="s">
        <v>170</v>
      </c>
      <c r="BZ112" s="1">
        <v>-78038.69</v>
      </c>
      <c r="CA112" s="1" t="s">
        <v>250</v>
      </c>
      <c r="CB112" s="1" t="s">
        <v>251</v>
      </c>
      <c r="CC112" s="1">
        <v>-22489.27</v>
      </c>
      <c r="CD112" s="1">
        <v>-21689.16</v>
      </c>
      <c r="CE112" s="1">
        <v>184673.5</v>
      </c>
      <c r="CF112" s="1">
        <v>174665.18</v>
      </c>
      <c r="CG112" s="1">
        <v>0</v>
      </c>
      <c r="CH112" s="1">
        <v>1.4438757900000001</v>
      </c>
      <c r="CI112" s="1">
        <v>13.27863496</v>
      </c>
      <c r="CJ112" s="1">
        <v>17588381.91</v>
      </c>
      <c r="CK112" s="1">
        <v>1912503.72</v>
      </c>
      <c r="CL112" s="1">
        <v>6269233.6699999999</v>
      </c>
      <c r="CM112" s="1" t="s">
        <v>164</v>
      </c>
      <c r="CN112" s="1" t="s">
        <v>164</v>
      </c>
      <c r="CO112" s="1" t="s">
        <v>184</v>
      </c>
      <c r="CP112" s="1" t="s">
        <v>243</v>
      </c>
      <c r="CQ112" s="3" t="s">
        <v>252</v>
      </c>
      <c r="CR112" s="1">
        <v>0</v>
      </c>
      <c r="CS112" s="1" t="s">
        <v>243</v>
      </c>
      <c r="CT112" s="1">
        <v>0.14232474000000001</v>
      </c>
      <c r="CV112" s="1">
        <v>0</v>
      </c>
      <c r="CW112" s="1">
        <v>-219173.26</v>
      </c>
      <c r="DA112" s="1">
        <v>1355558.46</v>
      </c>
      <c r="DB112" s="1">
        <v>0</v>
      </c>
      <c r="DC112" s="1">
        <v>2520.3126550000002</v>
      </c>
      <c r="DD112" s="1">
        <v>52555.483399999997</v>
      </c>
      <c r="DE112" s="1">
        <v>-296353.43</v>
      </c>
      <c r="DF112" s="1">
        <v>92570020.519999996</v>
      </c>
      <c r="DG112" s="1">
        <v>-217.58</v>
      </c>
      <c r="DH112" s="1">
        <v>394770.09</v>
      </c>
      <c r="DI112" s="1">
        <v>0.29803809999999997</v>
      </c>
      <c r="DK112" s="1">
        <v>0</v>
      </c>
      <c r="DL112" s="1">
        <v>0</v>
      </c>
      <c r="DM112" s="1">
        <v>-296353.43</v>
      </c>
      <c r="DN112" s="1">
        <v>0</v>
      </c>
      <c r="DO112" s="1">
        <v>0</v>
      </c>
      <c r="DP112" s="1">
        <v>16777215</v>
      </c>
      <c r="DQ112" s="1">
        <v>0</v>
      </c>
      <c r="DR112" s="1">
        <v>0</v>
      </c>
      <c r="DS112" s="1">
        <v>0</v>
      </c>
      <c r="DT112" s="1">
        <v>0</v>
      </c>
      <c r="DU112" s="1">
        <v>0</v>
      </c>
      <c r="DV112" s="1">
        <v>184455.92</v>
      </c>
      <c r="DW112" s="1">
        <v>175940.4</v>
      </c>
      <c r="DX112" s="1">
        <v>31345322.399999999</v>
      </c>
      <c r="DY112" s="1">
        <v>-1110160.2399999984</v>
      </c>
      <c r="DZ112" s="1">
        <v>92570020.519999966</v>
      </c>
      <c r="EA112" s="1">
        <v>0</v>
      </c>
      <c r="EB112" s="1">
        <v>0</v>
      </c>
      <c r="EC112" s="1" t="s">
        <v>176</v>
      </c>
      <c r="EE112" s="1">
        <v>0</v>
      </c>
      <c r="EF112" s="1">
        <v>3</v>
      </c>
      <c r="EG112" s="1">
        <v>0</v>
      </c>
      <c r="EH112" s="3">
        <v>0.19006197</v>
      </c>
      <c r="EI112" s="1">
        <v>0</v>
      </c>
      <c r="EL112" s="1">
        <v>0</v>
      </c>
      <c r="EM112" s="1">
        <v>0</v>
      </c>
      <c r="EN112" s="1">
        <v>1633661.45</v>
      </c>
      <c r="EO112" s="1">
        <v>1.2333592799999999</v>
      </c>
      <c r="ER112" s="1">
        <v>92.372055555556003</v>
      </c>
      <c r="ES112" s="1">
        <v>1.0572999999999999</v>
      </c>
      <c r="ET112" s="3">
        <v>23.381066111999999</v>
      </c>
      <c r="EU112" s="3">
        <v>0.827766012</v>
      </c>
      <c r="EV112" s="3">
        <v>0.68459202355299997</v>
      </c>
      <c r="EW112" s="3">
        <v>0.84657534199999995</v>
      </c>
      <c r="EX112" s="3">
        <v>1.2192794E-2</v>
      </c>
      <c r="EY112" s="3">
        <v>9</v>
      </c>
      <c r="EZ112" s="3">
        <v>309</v>
      </c>
      <c r="FA112" s="1">
        <v>0</v>
      </c>
      <c r="FB112" s="1">
        <v>0</v>
      </c>
      <c r="FC112" s="3">
        <v>10.075338824999999</v>
      </c>
      <c r="FD112" s="1">
        <v>0</v>
      </c>
      <c r="FE112" s="1">
        <v>0</v>
      </c>
    </row>
    <row r="113" spans="1:161" x14ac:dyDescent="0.3">
      <c r="A113" s="1">
        <v>16975514</v>
      </c>
      <c r="B113" s="1">
        <v>128</v>
      </c>
      <c r="C113" s="1">
        <v>4611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600</v>
      </c>
      <c r="J113" s="3">
        <v>600</v>
      </c>
      <c r="K113" s="1">
        <v>600000</v>
      </c>
      <c r="L113" s="1">
        <v>600000</v>
      </c>
      <c r="M113" s="1">
        <v>600000</v>
      </c>
      <c r="N113" s="3">
        <v>522437.29</v>
      </c>
      <c r="O113" s="1">
        <v>590175</v>
      </c>
      <c r="P113" s="1">
        <v>513560.68</v>
      </c>
      <c r="Q113" s="1">
        <v>590175</v>
      </c>
      <c r="R113" s="1">
        <v>513560.68</v>
      </c>
      <c r="S113" s="1">
        <v>600000</v>
      </c>
      <c r="T113" s="1">
        <v>522437.29</v>
      </c>
      <c r="U113" s="1">
        <v>600000</v>
      </c>
      <c r="V113" s="1">
        <v>522437.29</v>
      </c>
      <c r="W113" s="1">
        <v>0</v>
      </c>
      <c r="X113" s="1">
        <v>0</v>
      </c>
      <c r="Y113" s="1">
        <v>0</v>
      </c>
      <c r="Z113" s="1">
        <v>0</v>
      </c>
      <c r="AA113" s="1">
        <v>4163.8500000000004</v>
      </c>
      <c r="AB113" s="1">
        <v>3938.19</v>
      </c>
      <c r="AC113" s="1">
        <v>4163.8500000000004</v>
      </c>
      <c r="AD113" s="1">
        <v>3938.19</v>
      </c>
      <c r="AE113" s="3" t="s">
        <v>320</v>
      </c>
      <c r="AF113" s="3" t="s">
        <v>161</v>
      </c>
      <c r="AG113" s="1" t="s">
        <v>970</v>
      </c>
      <c r="AH113" s="3" t="s">
        <v>321</v>
      </c>
      <c r="AI113" s="1">
        <v>5</v>
      </c>
      <c r="AJ113" s="3" t="s">
        <v>162</v>
      </c>
      <c r="AK113" s="1" t="s">
        <v>179</v>
      </c>
      <c r="AL113" s="3">
        <v>97.546791666667005</v>
      </c>
      <c r="AM113" s="3">
        <v>97.590416666666997</v>
      </c>
      <c r="AN113" s="3">
        <v>585542.5</v>
      </c>
      <c r="AO113" s="3">
        <v>558510.59</v>
      </c>
      <c r="AP113" s="1" t="s">
        <v>164</v>
      </c>
      <c r="AQ113" s="1">
        <v>4</v>
      </c>
      <c r="AR113" s="1" t="s">
        <v>165</v>
      </c>
      <c r="AS113" s="3">
        <v>132534288.59999999</v>
      </c>
      <c r="AT113" s="1" t="s">
        <v>176</v>
      </c>
      <c r="AU113" s="1">
        <v>1</v>
      </c>
      <c r="AV113" s="1">
        <v>1</v>
      </c>
      <c r="AW113" s="3" t="s">
        <v>202</v>
      </c>
      <c r="AX113" s="3" t="s">
        <v>322</v>
      </c>
      <c r="AY113" s="1">
        <v>0</v>
      </c>
      <c r="BA113" s="3">
        <v>8205251.6799999997</v>
      </c>
      <c r="BB113" s="1">
        <v>1.0484</v>
      </c>
      <c r="BD113" s="1" t="s">
        <v>971</v>
      </c>
      <c r="BE113" s="1">
        <v>1</v>
      </c>
      <c r="BF113" s="1">
        <v>1</v>
      </c>
      <c r="BG113" s="1" t="s">
        <v>168</v>
      </c>
      <c r="BH113" s="1">
        <v>0</v>
      </c>
      <c r="BI113" s="1">
        <v>31345322.399999999</v>
      </c>
      <c r="BJ113" s="1">
        <v>0</v>
      </c>
      <c r="BK113" s="1">
        <v>123618989.48999999</v>
      </c>
      <c r="BL113" s="1">
        <v>132456249.91</v>
      </c>
      <c r="BM113" s="1">
        <v>596150.00000000012</v>
      </c>
      <c r="BN113" s="1">
        <v>9219855.2300000004</v>
      </c>
      <c r="BO113" s="1">
        <v>23.664660909999998</v>
      </c>
      <c r="BP113" s="1">
        <v>0.45007313999999998</v>
      </c>
      <c r="BQ113" s="1">
        <v>6.9606796500000003</v>
      </c>
      <c r="BR113" s="1">
        <v>0.42165665000000002</v>
      </c>
      <c r="BS113" s="1" t="s">
        <v>169</v>
      </c>
      <c r="BT113" s="1" t="s">
        <v>169</v>
      </c>
      <c r="BU113" s="1">
        <v>26356083.120000001</v>
      </c>
      <c r="BV113" s="1">
        <v>0</v>
      </c>
      <c r="BW113" s="1">
        <v>4948.92</v>
      </c>
      <c r="BX113" s="1">
        <v>0.04</v>
      </c>
      <c r="BY113" s="1" t="s">
        <v>170</v>
      </c>
      <c r="BZ113" s="1">
        <v>-78038.69</v>
      </c>
      <c r="CA113" s="1" t="s">
        <v>250</v>
      </c>
      <c r="CB113" s="1" t="s">
        <v>251</v>
      </c>
      <c r="CC113" s="1">
        <v>-9058.1</v>
      </c>
      <c r="CD113" s="1">
        <v>36062.800000000003</v>
      </c>
      <c r="CE113" s="1">
        <v>585280.75</v>
      </c>
      <c r="CF113" s="1">
        <v>553561.67000000004</v>
      </c>
      <c r="CG113" s="1">
        <v>0</v>
      </c>
      <c r="CH113" s="1">
        <v>1.4438757900000001</v>
      </c>
      <c r="CI113" s="1">
        <v>13.27863496</v>
      </c>
      <c r="CJ113" s="1">
        <v>17588381.91</v>
      </c>
      <c r="CK113" s="1">
        <v>1912503.72</v>
      </c>
      <c r="CL113" s="1">
        <v>6269233.6699999999</v>
      </c>
      <c r="CM113" s="1" t="s">
        <v>164</v>
      </c>
      <c r="CN113" s="1" t="s">
        <v>164</v>
      </c>
      <c r="CO113" s="1" t="s">
        <v>184</v>
      </c>
      <c r="CP113" s="1" t="s">
        <v>243</v>
      </c>
      <c r="CQ113" s="3" t="s">
        <v>252</v>
      </c>
      <c r="CR113" s="1">
        <v>0</v>
      </c>
      <c r="CS113" s="1" t="s">
        <v>243</v>
      </c>
      <c r="CT113" s="1">
        <v>0.45179999999999998</v>
      </c>
      <c r="CV113" s="1">
        <v>0</v>
      </c>
      <c r="CW113" s="1">
        <v>-219173.26</v>
      </c>
      <c r="DA113" s="1">
        <v>1355558.46</v>
      </c>
      <c r="DB113" s="1">
        <v>0</v>
      </c>
      <c r="DC113" s="1">
        <v>2520.3126550000002</v>
      </c>
      <c r="DD113" s="1">
        <v>52555.483399999997</v>
      </c>
      <c r="DE113" s="1">
        <v>-296353.43</v>
      </c>
      <c r="DF113" s="1">
        <v>92570020.519999996</v>
      </c>
      <c r="DG113" s="1">
        <v>261.75</v>
      </c>
      <c r="DH113" s="1">
        <v>394770.09</v>
      </c>
      <c r="DI113" s="1">
        <v>0.29803809999999997</v>
      </c>
      <c r="DK113" s="1">
        <v>0</v>
      </c>
      <c r="DL113" s="1">
        <v>0</v>
      </c>
      <c r="DM113" s="1">
        <v>-296353.43</v>
      </c>
      <c r="DN113" s="1">
        <v>0</v>
      </c>
      <c r="DO113" s="1">
        <v>0</v>
      </c>
      <c r="DP113" s="1">
        <v>16777215</v>
      </c>
      <c r="DQ113" s="1">
        <v>0</v>
      </c>
      <c r="DR113" s="1">
        <v>0</v>
      </c>
      <c r="DS113" s="1">
        <v>0</v>
      </c>
      <c r="DT113" s="1">
        <v>0</v>
      </c>
      <c r="DU113" s="1">
        <v>0</v>
      </c>
      <c r="DV113" s="1">
        <v>585542.5</v>
      </c>
      <c r="DW113" s="1">
        <v>558510.59</v>
      </c>
      <c r="DX113" s="1">
        <v>31345322.399999999</v>
      </c>
      <c r="DY113" s="1">
        <v>-1110160.2399999984</v>
      </c>
      <c r="DZ113" s="1">
        <v>92570020.519999966</v>
      </c>
      <c r="EA113" s="1">
        <v>0</v>
      </c>
      <c r="EB113" s="1">
        <v>0</v>
      </c>
      <c r="EC113" s="1" t="s">
        <v>176</v>
      </c>
      <c r="EE113" s="1">
        <v>0</v>
      </c>
      <c r="EF113" s="1">
        <v>3</v>
      </c>
      <c r="EG113" s="1">
        <v>0</v>
      </c>
      <c r="EH113" s="3">
        <v>0.60333851999999999</v>
      </c>
      <c r="EI113" s="1">
        <v>0</v>
      </c>
      <c r="EL113" s="1">
        <v>0</v>
      </c>
      <c r="EM113" s="1">
        <v>0</v>
      </c>
      <c r="EN113" s="1">
        <v>1633661.45</v>
      </c>
      <c r="EO113" s="1">
        <v>1.2333592799999999</v>
      </c>
      <c r="ER113" s="1">
        <v>97.516708333333</v>
      </c>
      <c r="ES113" s="1">
        <v>1.0572999999999999</v>
      </c>
      <c r="ET113" s="3">
        <v>8.2631601910000008</v>
      </c>
      <c r="EU113" s="3">
        <v>0.70868134000000005</v>
      </c>
      <c r="EV113" s="3">
        <v>0.66366294876300003</v>
      </c>
      <c r="EW113" s="3">
        <v>0.71506849299999997</v>
      </c>
      <c r="EX113" s="3">
        <v>1.117903E-2</v>
      </c>
      <c r="EY113" s="3">
        <v>8</v>
      </c>
      <c r="EZ113" s="3">
        <v>261</v>
      </c>
      <c r="FA113" s="1">
        <v>0</v>
      </c>
      <c r="FB113" s="1">
        <v>0</v>
      </c>
      <c r="FC113" s="3">
        <v>6.9518987509999999</v>
      </c>
      <c r="FD113" s="1">
        <v>0</v>
      </c>
      <c r="FE113" s="1">
        <v>0</v>
      </c>
    </row>
    <row r="114" spans="1:161" x14ac:dyDescent="0.3">
      <c r="A114" s="1">
        <v>16975603</v>
      </c>
      <c r="B114" s="1">
        <v>128</v>
      </c>
      <c r="C114" s="1">
        <v>9362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200</v>
      </c>
      <c r="J114" s="3">
        <v>200</v>
      </c>
      <c r="K114" s="1">
        <v>200000</v>
      </c>
      <c r="L114" s="1">
        <v>200000</v>
      </c>
      <c r="M114" s="1">
        <v>200000</v>
      </c>
      <c r="N114" s="3">
        <v>200000</v>
      </c>
      <c r="O114" s="1">
        <v>201510</v>
      </c>
      <c r="P114" s="1">
        <v>201510</v>
      </c>
      <c r="Q114" s="1">
        <v>201510</v>
      </c>
      <c r="R114" s="1">
        <v>201510</v>
      </c>
      <c r="S114" s="1">
        <v>200000</v>
      </c>
      <c r="T114" s="1">
        <v>200000</v>
      </c>
      <c r="U114" s="1">
        <v>200000</v>
      </c>
      <c r="V114" s="1">
        <v>200000</v>
      </c>
      <c r="W114" s="1">
        <v>0</v>
      </c>
      <c r="X114" s="1">
        <v>0</v>
      </c>
      <c r="Y114" s="1">
        <v>0</v>
      </c>
      <c r="Z114" s="1">
        <v>0</v>
      </c>
      <c r="AA114" s="1">
        <v>3088.62</v>
      </c>
      <c r="AB114" s="1">
        <v>3088.62</v>
      </c>
      <c r="AC114" s="1">
        <v>3088.62</v>
      </c>
      <c r="AD114" s="1">
        <v>3088.62</v>
      </c>
      <c r="AE114" s="3" t="s">
        <v>762</v>
      </c>
      <c r="AF114" s="3" t="s">
        <v>161</v>
      </c>
      <c r="AG114" s="1" t="s">
        <v>970</v>
      </c>
      <c r="AH114" s="3" t="s">
        <v>323</v>
      </c>
      <c r="AI114" s="1">
        <v>4</v>
      </c>
      <c r="AJ114" s="3" t="s">
        <v>165</v>
      </c>
      <c r="AK114" s="1" t="s">
        <v>191</v>
      </c>
      <c r="AL114" s="3">
        <v>90.906163335013005</v>
      </c>
      <c r="AM114" s="3">
        <v>90.997833333334</v>
      </c>
      <c r="AN114" s="3">
        <v>181995.67</v>
      </c>
      <c r="AO114" s="3">
        <v>181995.67</v>
      </c>
      <c r="AP114" s="1" t="s">
        <v>164</v>
      </c>
      <c r="AQ114" s="1">
        <v>4</v>
      </c>
      <c r="AR114" s="1" t="s">
        <v>165</v>
      </c>
      <c r="AS114" s="3">
        <v>132534288.59999999</v>
      </c>
      <c r="AT114" s="1" t="s">
        <v>176</v>
      </c>
      <c r="AU114" s="1">
        <v>1</v>
      </c>
      <c r="AV114" s="1">
        <v>1</v>
      </c>
      <c r="AW114" s="3" t="s">
        <v>202</v>
      </c>
      <c r="AX114" s="3" t="s">
        <v>324</v>
      </c>
      <c r="AY114" s="1">
        <v>0</v>
      </c>
      <c r="BA114" s="3">
        <v>8205251.6799999997</v>
      </c>
      <c r="BB114" s="1">
        <v>1</v>
      </c>
      <c r="BD114" s="1" t="s">
        <v>971</v>
      </c>
      <c r="BE114" s="1">
        <v>1</v>
      </c>
      <c r="BF114" s="1">
        <v>1</v>
      </c>
      <c r="BG114" s="1" t="s">
        <v>168</v>
      </c>
      <c r="BH114" s="1">
        <v>0</v>
      </c>
      <c r="BI114" s="1">
        <v>31345322.399999999</v>
      </c>
      <c r="BJ114" s="1">
        <v>0</v>
      </c>
      <c r="BK114" s="1">
        <v>123618989.48999999</v>
      </c>
      <c r="BL114" s="1">
        <v>132456249.91</v>
      </c>
      <c r="BM114" s="1">
        <v>596150.00000000012</v>
      </c>
      <c r="BN114" s="1">
        <v>9219855.2300000004</v>
      </c>
      <c r="BO114" s="1">
        <v>23.664660909999998</v>
      </c>
      <c r="BP114" s="1">
        <v>0.45007313999999998</v>
      </c>
      <c r="BQ114" s="1">
        <v>6.9606796500000003</v>
      </c>
      <c r="BR114" s="1">
        <v>0.13740058999999999</v>
      </c>
      <c r="BS114" s="1" t="s">
        <v>169</v>
      </c>
      <c r="BT114" s="1" t="s">
        <v>169</v>
      </c>
      <c r="BU114" s="1">
        <v>26356083.120000001</v>
      </c>
      <c r="BV114" s="1">
        <v>0</v>
      </c>
      <c r="BW114" s="1">
        <v>183.34</v>
      </c>
      <c r="BX114" s="1">
        <v>0.1</v>
      </c>
      <c r="BY114" s="1" t="s">
        <v>170</v>
      </c>
      <c r="BZ114" s="1">
        <v>-78038.69</v>
      </c>
      <c r="CA114" s="1" t="s">
        <v>250</v>
      </c>
      <c r="CB114" s="1" t="s">
        <v>251</v>
      </c>
      <c r="CC114" s="1">
        <v>-22786.29</v>
      </c>
      <c r="CD114" s="1">
        <v>-22786.29</v>
      </c>
      <c r="CE114" s="1">
        <v>181812.33</v>
      </c>
      <c r="CF114" s="1">
        <v>181812.33</v>
      </c>
      <c r="CG114" s="1">
        <v>0</v>
      </c>
      <c r="CH114" s="1">
        <v>1.4438757900000001</v>
      </c>
      <c r="CI114" s="1">
        <v>13.27863496</v>
      </c>
      <c r="CJ114" s="1">
        <v>17588381.91</v>
      </c>
      <c r="CK114" s="1">
        <v>1912503.72</v>
      </c>
      <c r="CL114" s="1">
        <v>6269233.6699999999</v>
      </c>
      <c r="CM114" s="1" t="s">
        <v>164</v>
      </c>
      <c r="CN114" s="1" t="s">
        <v>164</v>
      </c>
      <c r="CO114" s="1" t="s">
        <v>184</v>
      </c>
      <c r="CP114" s="1" t="s">
        <v>243</v>
      </c>
      <c r="CQ114" s="3" t="s">
        <v>252</v>
      </c>
      <c r="CR114" s="1">
        <v>0</v>
      </c>
      <c r="CS114" s="1" t="s">
        <v>243</v>
      </c>
      <c r="CT114" s="1">
        <v>0.14722307000000001</v>
      </c>
      <c r="CV114" s="1">
        <v>0</v>
      </c>
      <c r="CW114" s="1">
        <v>-219173.26</v>
      </c>
      <c r="DA114" s="1">
        <v>1355558.46</v>
      </c>
      <c r="DB114" s="1">
        <v>0</v>
      </c>
      <c r="DC114" s="1">
        <v>2520.3126550000002</v>
      </c>
      <c r="DD114" s="1">
        <v>52555.483399999997</v>
      </c>
      <c r="DE114" s="1">
        <v>-296353.43</v>
      </c>
      <c r="DF114" s="1">
        <v>92570020.519999996</v>
      </c>
      <c r="DG114" s="1">
        <v>183.34</v>
      </c>
      <c r="DH114" s="1">
        <v>394770.09</v>
      </c>
      <c r="DI114" s="1">
        <v>0.29803809999999997</v>
      </c>
      <c r="DK114" s="1">
        <v>0</v>
      </c>
      <c r="DL114" s="1">
        <v>0</v>
      </c>
      <c r="DM114" s="1">
        <v>-296353.43</v>
      </c>
      <c r="DN114" s="1">
        <v>0</v>
      </c>
      <c r="DO114" s="1">
        <v>0</v>
      </c>
      <c r="DP114" s="1">
        <v>16777215</v>
      </c>
      <c r="DQ114" s="1">
        <v>0</v>
      </c>
      <c r="DR114" s="1">
        <v>0</v>
      </c>
      <c r="DS114" s="1">
        <v>0</v>
      </c>
      <c r="DT114" s="1">
        <v>0</v>
      </c>
      <c r="DU114" s="1">
        <v>0</v>
      </c>
      <c r="DV114" s="1">
        <v>181995.67</v>
      </c>
      <c r="DW114" s="1">
        <v>181995.67</v>
      </c>
      <c r="DX114" s="1">
        <v>31345322.399999999</v>
      </c>
      <c r="DY114" s="1">
        <v>-1110160.2399999984</v>
      </c>
      <c r="DZ114" s="1">
        <v>92570020.519999966</v>
      </c>
      <c r="EA114" s="1">
        <v>0</v>
      </c>
      <c r="EB114" s="1">
        <v>0</v>
      </c>
      <c r="EC114" s="1" t="s">
        <v>176</v>
      </c>
      <c r="EE114" s="1">
        <v>0</v>
      </c>
      <c r="EF114" s="1">
        <v>3</v>
      </c>
      <c r="EG114" s="1">
        <v>0</v>
      </c>
      <c r="EH114" s="3">
        <v>0.19660325000000001</v>
      </c>
      <c r="EI114" s="1">
        <v>0</v>
      </c>
      <c r="EL114" s="1">
        <v>0</v>
      </c>
      <c r="EM114" s="1">
        <v>0</v>
      </c>
      <c r="EN114" s="1">
        <v>1633661.45</v>
      </c>
      <c r="EO114" s="1">
        <v>1.2333592799999999</v>
      </c>
      <c r="ER114" s="1">
        <v>90.874111111112001</v>
      </c>
      <c r="ES114" s="1">
        <v>1</v>
      </c>
      <c r="ET114" s="3">
        <v>19.512447786999999</v>
      </c>
      <c r="EU114" s="3">
        <v>0.77696115300000002</v>
      </c>
      <c r="EV114" s="3">
        <v>0.64329521901599995</v>
      </c>
      <c r="EW114" s="3">
        <v>0.78630137</v>
      </c>
      <c r="EX114" s="3">
        <v>1.1498187999999999E-2</v>
      </c>
      <c r="EY114" s="3">
        <v>8</v>
      </c>
      <c r="EZ114" s="3">
        <v>287</v>
      </c>
      <c r="FA114" s="1">
        <v>0</v>
      </c>
      <c r="FB114" s="1">
        <v>0</v>
      </c>
      <c r="FC114" s="3">
        <v>4.6502442080000002</v>
      </c>
      <c r="FD114" s="1">
        <v>0</v>
      </c>
      <c r="FE114" s="1">
        <v>0</v>
      </c>
    </row>
    <row r="115" spans="1:161" x14ac:dyDescent="0.3">
      <c r="A115" s="1">
        <v>16975349</v>
      </c>
      <c r="B115" s="1">
        <v>128</v>
      </c>
      <c r="C115" s="1">
        <v>9263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1</v>
      </c>
      <c r="J115" s="3">
        <v>1</v>
      </c>
      <c r="K115" s="1">
        <v>100000</v>
      </c>
      <c r="L115" s="1">
        <v>100000</v>
      </c>
      <c r="M115" s="1">
        <v>100000</v>
      </c>
      <c r="N115" s="3">
        <v>100000</v>
      </c>
      <c r="O115" s="1">
        <v>115136</v>
      </c>
      <c r="P115" s="1">
        <v>115136</v>
      </c>
      <c r="Q115" s="1">
        <v>115136</v>
      </c>
      <c r="R115" s="1">
        <v>115136</v>
      </c>
      <c r="S115" s="1">
        <v>100000</v>
      </c>
      <c r="T115" s="1">
        <v>100000</v>
      </c>
      <c r="U115" s="1">
        <v>100000</v>
      </c>
      <c r="V115" s="1">
        <v>100000</v>
      </c>
      <c r="W115" s="1">
        <v>0</v>
      </c>
      <c r="X115" s="1">
        <v>0</v>
      </c>
      <c r="Y115" s="1">
        <v>0</v>
      </c>
      <c r="Z115" s="1">
        <v>0</v>
      </c>
      <c r="AA115" s="1">
        <v>-9556.06</v>
      </c>
      <c r="AB115" s="1">
        <v>-9556.06</v>
      </c>
      <c r="AC115" s="1">
        <v>-9556.06</v>
      </c>
      <c r="AD115" s="1">
        <v>-9556.06</v>
      </c>
      <c r="AE115" s="3" t="s">
        <v>325</v>
      </c>
      <c r="AF115" s="3" t="s">
        <v>161</v>
      </c>
      <c r="AG115" s="1" t="s">
        <v>970</v>
      </c>
      <c r="AH115" s="3" t="s">
        <v>326</v>
      </c>
      <c r="AI115" s="1">
        <v>4</v>
      </c>
      <c r="AJ115" s="3" t="s">
        <v>165</v>
      </c>
      <c r="AK115" s="1" t="s">
        <v>191</v>
      </c>
      <c r="AL115" s="3">
        <v>103.055871857648</v>
      </c>
      <c r="AM115" s="3">
        <v>103.071021857921</v>
      </c>
      <c r="AN115" s="3">
        <v>103071.02</v>
      </c>
      <c r="AO115" s="3">
        <v>103071.02</v>
      </c>
      <c r="AP115" s="1" t="s">
        <v>164</v>
      </c>
      <c r="AQ115" s="1">
        <v>4</v>
      </c>
      <c r="AR115" s="1" t="s">
        <v>165</v>
      </c>
      <c r="AS115" s="3">
        <v>132534288.59999999</v>
      </c>
      <c r="AT115" s="1" t="s">
        <v>176</v>
      </c>
      <c r="AU115" s="1">
        <v>1</v>
      </c>
      <c r="AV115" s="1">
        <v>1</v>
      </c>
      <c r="AW115" s="3" t="s">
        <v>202</v>
      </c>
      <c r="AX115" s="3" t="s">
        <v>205</v>
      </c>
      <c r="AY115" s="1">
        <v>0</v>
      </c>
      <c r="BA115" s="3">
        <v>8205251.6799999997</v>
      </c>
      <c r="BB115" s="1">
        <v>1</v>
      </c>
      <c r="BD115" s="1" t="s">
        <v>971</v>
      </c>
      <c r="BE115" s="1">
        <v>1</v>
      </c>
      <c r="BF115" s="1">
        <v>1</v>
      </c>
      <c r="BG115" s="1" t="s">
        <v>168</v>
      </c>
      <c r="BH115" s="1">
        <v>0</v>
      </c>
      <c r="BI115" s="1">
        <v>31345322.399999999</v>
      </c>
      <c r="BJ115" s="1">
        <v>0</v>
      </c>
      <c r="BK115" s="1">
        <v>123618989.48999999</v>
      </c>
      <c r="BL115" s="1">
        <v>132456249.91</v>
      </c>
      <c r="BM115" s="1">
        <v>596150.00000000012</v>
      </c>
      <c r="BN115" s="1">
        <v>9219855.2300000004</v>
      </c>
      <c r="BO115" s="1">
        <v>23.664660909999998</v>
      </c>
      <c r="BP115" s="1">
        <v>0.45007313999999998</v>
      </c>
      <c r="BQ115" s="1">
        <v>6.9606796500000003</v>
      </c>
      <c r="BR115" s="1">
        <v>7.7815140000000005E-2</v>
      </c>
      <c r="BS115" s="1" t="s">
        <v>169</v>
      </c>
      <c r="BT115" s="1" t="s">
        <v>169</v>
      </c>
      <c r="BU115" s="1">
        <v>26356083.120000001</v>
      </c>
      <c r="BV115" s="1">
        <v>0</v>
      </c>
      <c r="BW115" s="1">
        <v>15.15</v>
      </c>
      <c r="BX115" s="1">
        <v>0.02</v>
      </c>
      <c r="BY115" s="1" t="s">
        <v>170</v>
      </c>
      <c r="BZ115" s="1">
        <v>-78038.69</v>
      </c>
      <c r="CA115" s="1" t="s">
        <v>250</v>
      </c>
      <c r="CB115" s="1" t="s">
        <v>251</v>
      </c>
      <c r="CC115" s="1">
        <v>-2524.0700000000002</v>
      </c>
      <c r="CD115" s="1">
        <v>-2524.0700000000002</v>
      </c>
      <c r="CE115" s="1">
        <v>103055.87</v>
      </c>
      <c r="CF115" s="1">
        <v>103055.87</v>
      </c>
      <c r="CG115" s="1">
        <v>0</v>
      </c>
      <c r="CH115" s="1">
        <v>1.4438757900000001</v>
      </c>
      <c r="CI115" s="1">
        <v>13.27863496</v>
      </c>
      <c r="CJ115" s="1">
        <v>17588381.91</v>
      </c>
      <c r="CK115" s="1">
        <v>1912503.72</v>
      </c>
      <c r="CL115" s="1">
        <v>6269233.6699999999</v>
      </c>
      <c r="CM115" s="1" t="s">
        <v>164</v>
      </c>
      <c r="CN115" s="1" t="s">
        <v>164</v>
      </c>
      <c r="CO115" s="1" t="s">
        <v>184</v>
      </c>
      <c r="CP115" s="1" t="s">
        <v>243</v>
      </c>
      <c r="CQ115" s="3" t="s">
        <v>252</v>
      </c>
      <c r="CR115" s="1">
        <v>0</v>
      </c>
      <c r="CS115" s="1" t="s">
        <v>243</v>
      </c>
      <c r="CT115" s="1">
        <v>8.3377980000000004E-2</v>
      </c>
      <c r="CV115" s="1">
        <v>0</v>
      </c>
      <c r="CW115" s="1">
        <v>-219173.26</v>
      </c>
      <c r="DA115" s="1">
        <v>1355558.46</v>
      </c>
      <c r="DB115" s="1">
        <v>0</v>
      </c>
      <c r="DC115" s="1">
        <v>2520.3126550000002</v>
      </c>
      <c r="DD115" s="1">
        <v>52555.483399999997</v>
      </c>
      <c r="DE115" s="1">
        <v>-296353.43</v>
      </c>
      <c r="DF115" s="1">
        <v>92570020.519999996</v>
      </c>
      <c r="DG115" s="1">
        <v>15.15</v>
      </c>
      <c r="DH115" s="1">
        <v>394770.09</v>
      </c>
      <c r="DI115" s="1">
        <v>0.29803809999999997</v>
      </c>
      <c r="DK115" s="1">
        <v>0</v>
      </c>
      <c r="DL115" s="1">
        <v>0</v>
      </c>
      <c r="DM115" s="1">
        <v>-296353.43</v>
      </c>
      <c r="DN115" s="1">
        <v>0</v>
      </c>
      <c r="DO115" s="1">
        <v>0</v>
      </c>
      <c r="DP115" s="1">
        <v>16777215</v>
      </c>
      <c r="DQ115" s="1">
        <v>0</v>
      </c>
      <c r="DR115" s="1">
        <v>0</v>
      </c>
      <c r="DS115" s="1">
        <v>0</v>
      </c>
      <c r="DT115" s="1">
        <v>0</v>
      </c>
      <c r="DU115" s="1">
        <v>0</v>
      </c>
      <c r="DV115" s="1">
        <v>103071.02</v>
      </c>
      <c r="DW115" s="1">
        <v>103071.02</v>
      </c>
      <c r="DX115" s="1">
        <v>31345322.399999999</v>
      </c>
      <c r="DY115" s="1">
        <v>-1110160.2399999984</v>
      </c>
      <c r="DZ115" s="1">
        <v>92570020.519999966</v>
      </c>
      <c r="EA115" s="1">
        <v>0</v>
      </c>
      <c r="EB115" s="1">
        <v>0</v>
      </c>
      <c r="EC115" s="1" t="s">
        <v>176</v>
      </c>
      <c r="EE115" s="1">
        <v>0</v>
      </c>
      <c r="EF115" s="1">
        <v>3</v>
      </c>
      <c r="EG115" s="1">
        <v>0</v>
      </c>
      <c r="EH115" s="3">
        <v>0.11134384</v>
      </c>
      <c r="EI115" s="1">
        <v>0</v>
      </c>
      <c r="EL115" s="1">
        <v>0</v>
      </c>
      <c r="EM115" s="1">
        <v>0</v>
      </c>
      <c r="EN115" s="1">
        <v>1633661.45</v>
      </c>
      <c r="EO115" s="1">
        <v>1.2333592799999999</v>
      </c>
      <c r="ER115" s="1">
        <v>103.077469945354</v>
      </c>
      <c r="ES115" s="1">
        <v>1</v>
      </c>
      <c r="ET115" s="3">
        <v>3.9819623370000001</v>
      </c>
      <c r="EU115" s="3">
        <v>0.68579235000000005</v>
      </c>
      <c r="EV115" s="3">
        <v>0.67982694988500003</v>
      </c>
      <c r="EW115" s="3">
        <v>0.68767123299999999</v>
      </c>
      <c r="EX115" s="3">
        <v>1.0692535E-2</v>
      </c>
      <c r="EY115" s="3">
        <v>8</v>
      </c>
      <c r="EZ115" s="3">
        <v>251</v>
      </c>
      <c r="FA115" s="1">
        <v>0</v>
      </c>
      <c r="FB115" s="1">
        <v>0</v>
      </c>
      <c r="FC115" s="3">
        <v>-11.509453098</v>
      </c>
      <c r="FD115" s="1">
        <v>0</v>
      </c>
      <c r="FE115" s="1">
        <v>0</v>
      </c>
    </row>
    <row r="116" spans="1:161" x14ac:dyDescent="0.3">
      <c r="A116" s="1">
        <v>16975354</v>
      </c>
      <c r="B116" s="1">
        <v>128</v>
      </c>
      <c r="C116" s="1">
        <v>9275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200</v>
      </c>
      <c r="J116" s="3">
        <v>200</v>
      </c>
      <c r="K116" s="1">
        <v>200000</v>
      </c>
      <c r="L116" s="1">
        <v>200000</v>
      </c>
      <c r="M116" s="1">
        <v>200000</v>
      </c>
      <c r="N116" s="3">
        <v>200000</v>
      </c>
      <c r="O116" s="1">
        <v>230666</v>
      </c>
      <c r="P116" s="1">
        <v>230666</v>
      </c>
      <c r="Q116" s="1">
        <v>230666</v>
      </c>
      <c r="R116" s="1">
        <v>230666</v>
      </c>
      <c r="S116" s="1">
        <v>200000</v>
      </c>
      <c r="T116" s="1">
        <v>200000</v>
      </c>
      <c r="U116" s="1">
        <v>200000</v>
      </c>
      <c r="V116" s="1">
        <v>200000</v>
      </c>
      <c r="W116" s="1">
        <v>0</v>
      </c>
      <c r="X116" s="1">
        <v>0</v>
      </c>
      <c r="Y116" s="1">
        <v>0</v>
      </c>
      <c r="Z116" s="1">
        <v>0</v>
      </c>
      <c r="AA116" s="1">
        <v>-15620.6</v>
      </c>
      <c r="AB116" s="1">
        <v>-15620.6</v>
      </c>
      <c r="AC116" s="1">
        <v>-15620.6</v>
      </c>
      <c r="AD116" s="1">
        <v>-15620.6</v>
      </c>
      <c r="AE116" s="3" t="s">
        <v>327</v>
      </c>
      <c r="AF116" s="3" t="s">
        <v>161</v>
      </c>
      <c r="AG116" s="1" t="s">
        <v>970</v>
      </c>
      <c r="AH116" s="3" t="s">
        <v>328</v>
      </c>
      <c r="AI116" s="1">
        <v>4</v>
      </c>
      <c r="AJ116" s="3" t="s">
        <v>165</v>
      </c>
      <c r="AK116" s="1" t="s">
        <v>191</v>
      </c>
      <c r="AL116" s="3">
        <v>100.417350382702</v>
      </c>
      <c r="AM116" s="3">
        <v>100.368210382515</v>
      </c>
      <c r="AN116" s="3">
        <v>200736.42</v>
      </c>
      <c r="AO116" s="3">
        <v>200736.42</v>
      </c>
      <c r="AP116" s="1" t="s">
        <v>164</v>
      </c>
      <c r="AQ116" s="1">
        <v>4</v>
      </c>
      <c r="AR116" s="1" t="s">
        <v>165</v>
      </c>
      <c r="AS116" s="3">
        <v>132534288.59999999</v>
      </c>
      <c r="AT116" s="1" t="s">
        <v>176</v>
      </c>
      <c r="AU116" s="1">
        <v>1</v>
      </c>
      <c r="AV116" s="1">
        <v>1</v>
      </c>
      <c r="AW116" s="3" t="s">
        <v>202</v>
      </c>
      <c r="AX116" s="3" t="s">
        <v>205</v>
      </c>
      <c r="AY116" s="1">
        <v>0</v>
      </c>
      <c r="BA116" s="3">
        <v>8205251.6799999997</v>
      </c>
      <c r="BB116" s="1">
        <v>1</v>
      </c>
      <c r="BD116" s="1" t="s">
        <v>971</v>
      </c>
      <c r="BE116" s="1">
        <v>1</v>
      </c>
      <c r="BF116" s="1">
        <v>1</v>
      </c>
      <c r="BG116" s="1" t="s">
        <v>168</v>
      </c>
      <c r="BH116" s="1">
        <v>0</v>
      </c>
      <c r="BI116" s="1">
        <v>31345322.399999999</v>
      </c>
      <c r="BJ116" s="1">
        <v>0</v>
      </c>
      <c r="BK116" s="1">
        <v>123618989.48999999</v>
      </c>
      <c r="BL116" s="1">
        <v>132456249.91</v>
      </c>
      <c r="BM116" s="1">
        <v>596150.00000000012</v>
      </c>
      <c r="BN116" s="1">
        <v>9219855.2300000004</v>
      </c>
      <c r="BO116" s="1">
        <v>23.664660909999998</v>
      </c>
      <c r="BP116" s="1">
        <v>0.45007313999999998</v>
      </c>
      <c r="BQ116" s="1">
        <v>6.9606796500000003</v>
      </c>
      <c r="BR116" s="1">
        <v>0.15154922000000001</v>
      </c>
      <c r="BS116" s="1" t="s">
        <v>169</v>
      </c>
      <c r="BT116" s="1" t="s">
        <v>169</v>
      </c>
      <c r="BU116" s="1">
        <v>26356083.120000001</v>
      </c>
      <c r="BV116" s="1">
        <v>0</v>
      </c>
      <c r="BW116" s="1">
        <v>-98.28</v>
      </c>
      <c r="BX116" s="1">
        <v>-0.05</v>
      </c>
      <c r="BY116" s="1" t="s">
        <v>170</v>
      </c>
      <c r="BZ116" s="1">
        <v>-78038.69</v>
      </c>
      <c r="CA116" s="1" t="s">
        <v>250</v>
      </c>
      <c r="CB116" s="1" t="s">
        <v>251</v>
      </c>
      <c r="CC116" s="1">
        <v>-14210.7</v>
      </c>
      <c r="CD116" s="1">
        <v>-14210.7</v>
      </c>
      <c r="CE116" s="1">
        <v>200834.7</v>
      </c>
      <c r="CF116" s="1">
        <v>200834.7</v>
      </c>
      <c r="CG116" s="1">
        <v>0</v>
      </c>
      <c r="CH116" s="1">
        <v>1.4438757900000001</v>
      </c>
      <c r="CI116" s="1">
        <v>13.27863496</v>
      </c>
      <c r="CJ116" s="1">
        <v>17588381.91</v>
      </c>
      <c r="CK116" s="1">
        <v>1912503.72</v>
      </c>
      <c r="CL116" s="1">
        <v>6269233.6699999999</v>
      </c>
      <c r="CM116" s="1" t="s">
        <v>164</v>
      </c>
      <c r="CN116" s="1" t="s">
        <v>164</v>
      </c>
      <c r="CO116" s="1" t="s">
        <v>184</v>
      </c>
      <c r="CP116" s="1" t="s">
        <v>243</v>
      </c>
      <c r="CQ116" s="3" t="s">
        <v>252</v>
      </c>
      <c r="CR116" s="1">
        <v>0</v>
      </c>
      <c r="CS116" s="1" t="s">
        <v>243</v>
      </c>
      <c r="CT116" s="1">
        <v>0.16238316</v>
      </c>
      <c r="CV116" s="1">
        <v>0</v>
      </c>
      <c r="CW116" s="1">
        <v>-219173.26</v>
      </c>
      <c r="DA116" s="1">
        <v>1355558.46</v>
      </c>
      <c r="DB116" s="1">
        <v>0</v>
      </c>
      <c r="DC116" s="1">
        <v>2520.3126550000002</v>
      </c>
      <c r="DD116" s="1">
        <v>52555.483399999997</v>
      </c>
      <c r="DE116" s="1">
        <v>-296353.43</v>
      </c>
      <c r="DF116" s="1">
        <v>92570020.519999996</v>
      </c>
      <c r="DG116" s="1">
        <v>-98.28</v>
      </c>
      <c r="DH116" s="1">
        <v>394770.09</v>
      </c>
      <c r="DI116" s="1">
        <v>0.29803809999999997</v>
      </c>
      <c r="DK116" s="1">
        <v>0</v>
      </c>
      <c r="DL116" s="1">
        <v>0</v>
      </c>
      <c r="DM116" s="1">
        <v>-296353.43</v>
      </c>
      <c r="DN116" s="1">
        <v>0</v>
      </c>
      <c r="DO116" s="1">
        <v>0</v>
      </c>
      <c r="DP116" s="1">
        <v>16777215</v>
      </c>
      <c r="DQ116" s="1">
        <v>0</v>
      </c>
      <c r="DR116" s="1">
        <v>0</v>
      </c>
      <c r="DS116" s="1">
        <v>0</v>
      </c>
      <c r="DT116" s="1">
        <v>0</v>
      </c>
      <c r="DU116" s="1">
        <v>0</v>
      </c>
      <c r="DV116" s="1">
        <v>200736.42</v>
      </c>
      <c r="DW116" s="1">
        <v>200736.42</v>
      </c>
      <c r="DX116" s="1">
        <v>31345322.399999999</v>
      </c>
      <c r="DY116" s="1">
        <v>-1110160.2399999984</v>
      </c>
      <c r="DZ116" s="1">
        <v>92570020.519999966</v>
      </c>
      <c r="EA116" s="1">
        <v>0</v>
      </c>
      <c r="EB116" s="1">
        <v>0</v>
      </c>
      <c r="EC116" s="1" t="s">
        <v>176</v>
      </c>
      <c r="EE116" s="1">
        <v>0</v>
      </c>
      <c r="EF116" s="1">
        <v>3</v>
      </c>
      <c r="EG116" s="1">
        <v>0</v>
      </c>
      <c r="EH116" s="3">
        <v>0.21684819999999999</v>
      </c>
      <c r="EI116" s="1">
        <v>0</v>
      </c>
      <c r="EL116" s="1">
        <v>0</v>
      </c>
      <c r="EM116" s="1">
        <v>0</v>
      </c>
      <c r="EN116" s="1">
        <v>1633661.45</v>
      </c>
      <c r="EO116" s="1">
        <v>1.2333592799999999</v>
      </c>
      <c r="ER116" s="1">
        <v>100.427256830603</v>
      </c>
      <c r="ES116" s="1">
        <v>1</v>
      </c>
      <c r="ET116" s="3">
        <v>4.2446919989999996</v>
      </c>
      <c r="EU116" s="3">
        <v>1.9144181250000001</v>
      </c>
      <c r="EV116" s="3">
        <v>1.8443122336060001</v>
      </c>
      <c r="EW116" s="3">
        <v>1.95890411</v>
      </c>
      <c r="EX116" s="3">
        <v>5.1712072999999997E-2</v>
      </c>
      <c r="EY116" s="3">
        <v>22</v>
      </c>
      <c r="EZ116" s="3">
        <v>715</v>
      </c>
      <c r="FA116" s="1">
        <v>0</v>
      </c>
      <c r="FB116" s="1">
        <v>0</v>
      </c>
      <c r="FC116" s="3">
        <v>-3.0198656169999998</v>
      </c>
      <c r="FD116" s="1">
        <v>0</v>
      </c>
      <c r="FE116" s="1">
        <v>0</v>
      </c>
    </row>
    <row r="117" spans="1:161" x14ac:dyDescent="0.3">
      <c r="A117" s="1">
        <v>16975449</v>
      </c>
      <c r="B117" s="1">
        <v>128</v>
      </c>
      <c r="C117" s="1">
        <v>9260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400</v>
      </c>
      <c r="J117" s="3">
        <v>400</v>
      </c>
      <c r="K117" s="1">
        <v>400000</v>
      </c>
      <c r="L117" s="1">
        <v>400000</v>
      </c>
      <c r="M117" s="1">
        <v>400000</v>
      </c>
      <c r="N117" s="3">
        <v>400000</v>
      </c>
      <c r="O117" s="1">
        <v>415304</v>
      </c>
      <c r="P117" s="1">
        <v>415304</v>
      </c>
      <c r="Q117" s="1">
        <v>415304</v>
      </c>
      <c r="R117" s="1">
        <v>415304</v>
      </c>
      <c r="S117" s="1">
        <v>400000</v>
      </c>
      <c r="T117" s="1">
        <v>400000</v>
      </c>
      <c r="U117" s="1">
        <v>400000</v>
      </c>
      <c r="V117" s="1">
        <v>400000</v>
      </c>
      <c r="W117" s="1">
        <v>0</v>
      </c>
      <c r="X117" s="1">
        <v>0</v>
      </c>
      <c r="Y117" s="1">
        <v>0</v>
      </c>
      <c r="Z117" s="1">
        <v>0</v>
      </c>
      <c r="AA117" s="1">
        <v>-5094.5200000000004</v>
      </c>
      <c r="AB117" s="1">
        <v>-5094.5200000000004</v>
      </c>
      <c r="AC117" s="1">
        <v>-5094.5200000000004</v>
      </c>
      <c r="AD117" s="1">
        <v>-5094.5200000000004</v>
      </c>
      <c r="AE117" s="3" t="s">
        <v>329</v>
      </c>
      <c r="AF117" s="3" t="s">
        <v>161</v>
      </c>
      <c r="AG117" s="1" t="s">
        <v>970</v>
      </c>
      <c r="AH117" s="3" t="s">
        <v>330</v>
      </c>
      <c r="AI117" s="1">
        <v>4</v>
      </c>
      <c r="AJ117" s="3" t="s">
        <v>165</v>
      </c>
      <c r="AK117" s="1" t="s">
        <v>191</v>
      </c>
      <c r="AL117" s="3">
        <v>94.295018156561</v>
      </c>
      <c r="AM117" s="3">
        <v>94.176860655737997</v>
      </c>
      <c r="AN117" s="3">
        <v>376707.44</v>
      </c>
      <c r="AO117" s="3">
        <v>376707.44</v>
      </c>
      <c r="AP117" s="1" t="s">
        <v>164</v>
      </c>
      <c r="AQ117" s="1">
        <v>4</v>
      </c>
      <c r="AR117" s="1" t="s">
        <v>165</v>
      </c>
      <c r="AS117" s="3">
        <v>132534288.59999999</v>
      </c>
      <c r="AT117" s="1" t="s">
        <v>176</v>
      </c>
      <c r="AU117" s="1">
        <v>1</v>
      </c>
      <c r="AV117" s="1">
        <v>1</v>
      </c>
      <c r="AW117" s="3" t="s">
        <v>202</v>
      </c>
      <c r="AX117" s="3" t="s">
        <v>205</v>
      </c>
      <c r="AY117" s="1">
        <v>0</v>
      </c>
      <c r="BA117" s="3">
        <v>8205251.6799999997</v>
      </c>
      <c r="BB117" s="1">
        <v>1</v>
      </c>
      <c r="BD117" s="1" t="s">
        <v>971</v>
      </c>
      <c r="BE117" s="1">
        <v>1</v>
      </c>
      <c r="BF117" s="1">
        <v>1</v>
      </c>
      <c r="BG117" s="1" t="s">
        <v>168</v>
      </c>
      <c r="BH117" s="1">
        <v>0</v>
      </c>
      <c r="BI117" s="1">
        <v>31345322.399999999</v>
      </c>
      <c r="BJ117" s="1">
        <v>0</v>
      </c>
      <c r="BK117" s="1">
        <v>123618989.48999999</v>
      </c>
      <c r="BL117" s="1">
        <v>132456249.91</v>
      </c>
      <c r="BM117" s="1">
        <v>596150.00000000012</v>
      </c>
      <c r="BN117" s="1">
        <v>9219855.2300000004</v>
      </c>
      <c r="BO117" s="1">
        <v>23.664660909999998</v>
      </c>
      <c r="BP117" s="1">
        <v>0.45007313999999998</v>
      </c>
      <c r="BQ117" s="1">
        <v>6.9606796500000003</v>
      </c>
      <c r="BR117" s="1">
        <v>0.28440141000000002</v>
      </c>
      <c r="BS117" s="1" t="s">
        <v>169</v>
      </c>
      <c r="BT117" s="1" t="s">
        <v>169</v>
      </c>
      <c r="BU117" s="1">
        <v>26356083.120000001</v>
      </c>
      <c r="BV117" s="1">
        <v>0</v>
      </c>
      <c r="BW117" s="1">
        <v>-472.63</v>
      </c>
      <c r="BX117" s="1">
        <v>-0.13</v>
      </c>
      <c r="BY117" s="1" t="s">
        <v>170</v>
      </c>
      <c r="BZ117" s="1">
        <v>-78038.69</v>
      </c>
      <c r="CA117" s="1" t="s">
        <v>250</v>
      </c>
      <c r="CB117" s="1" t="s">
        <v>251</v>
      </c>
      <c r="CC117" s="1">
        <v>-33029.410000000003</v>
      </c>
      <c r="CD117" s="1">
        <v>-33029.410000000003</v>
      </c>
      <c r="CE117" s="1">
        <v>377180.07</v>
      </c>
      <c r="CF117" s="1">
        <v>377180.07</v>
      </c>
      <c r="CG117" s="1">
        <v>0</v>
      </c>
      <c r="CH117" s="1">
        <v>1.4438757900000001</v>
      </c>
      <c r="CI117" s="1">
        <v>13.27863496</v>
      </c>
      <c r="CJ117" s="1">
        <v>17588381.91</v>
      </c>
      <c r="CK117" s="1">
        <v>1912503.72</v>
      </c>
      <c r="CL117" s="1">
        <v>6269233.6699999999</v>
      </c>
      <c r="CM117" s="1" t="s">
        <v>164</v>
      </c>
      <c r="CN117" s="1" t="s">
        <v>164</v>
      </c>
      <c r="CO117" s="1" t="s">
        <v>184</v>
      </c>
      <c r="CP117" s="1" t="s">
        <v>243</v>
      </c>
      <c r="CQ117" s="3" t="s">
        <v>252</v>
      </c>
      <c r="CR117" s="1">
        <v>0</v>
      </c>
      <c r="CS117" s="1" t="s">
        <v>243</v>
      </c>
      <c r="CT117" s="1">
        <v>0.30473265999999999</v>
      </c>
      <c r="CV117" s="1">
        <v>0</v>
      </c>
      <c r="CW117" s="1">
        <v>-219173.26</v>
      </c>
      <c r="DA117" s="1">
        <v>1355558.46</v>
      </c>
      <c r="DB117" s="1">
        <v>0</v>
      </c>
      <c r="DC117" s="1">
        <v>2520.3126550000002</v>
      </c>
      <c r="DD117" s="1">
        <v>52555.483399999997</v>
      </c>
      <c r="DE117" s="1">
        <v>-296353.43</v>
      </c>
      <c r="DF117" s="1">
        <v>92570020.519999996</v>
      </c>
      <c r="DG117" s="1">
        <v>-472.63</v>
      </c>
      <c r="DH117" s="1">
        <v>394770.09</v>
      </c>
      <c r="DI117" s="1">
        <v>0.29803809999999997</v>
      </c>
      <c r="DK117" s="1">
        <v>0</v>
      </c>
      <c r="DL117" s="1">
        <v>0</v>
      </c>
      <c r="DM117" s="1">
        <v>-296353.43</v>
      </c>
      <c r="DN117" s="1">
        <v>0</v>
      </c>
      <c r="DO117" s="1">
        <v>0</v>
      </c>
      <c r="DP117" s="1">
        <v>16777215</v>
      </c>
      <c r="DQ117" s="1">
        <v>0</v>
      </c>
      <c r="DR117" s="1">
        <v>0</v>
      </c>
      <c r="DS117" s="1">
        <v>0</v>
      </c>
      <c r="DT117" s="1">
        <v>0</v>
      </c>
      <c r="DU117" s="1">
        <v>0</v>
      </c>
      <c r="DV117" s="1">
        <v>376707.44</v>
      </c>
      <c r="DW117" s="1">
        <v>376707.44</v>
      </c>
      <c r="DX117" s="1">
        <v>31345322.399999999</v>
      </c>
      <c r="DY117" s="1">
        <v>-1110160.2399999984</v>
      </c>
      <c r="DZ117" s="1">
        <v>92570020.519999966</v>
      </c>
      <c r="EA117" s="1">
        <v>0</v>
      </c>
      <c r="EB117" s="1">
        <v>0</v>
      </c>
      <c r="EC117" s="1" t="s">
        <v>176</v>
      </c>
      <c r="EE117" s="1">
        <v>0</v>
      </c>
      <c r="EF117" s="1">
        <v>3</v>
      </c>
      <c r="EG117" s="1">
        <v>0</v>
      </c>
      <c r="EH117" s="3">
        <v>0.40694323999999998</v>
      </c>
      <c r="EI117" s="1">
        <v>0</v>
      </c>
      <c r="EL117" s="1">
        <v>0</v>
      </c>
      <c r="EM117" s="1">
        <v>0</v>
      </c>
      <c r="EN117" s="1">
        <v>1633661.45</v>
      </c>
      <c r="EO117" s="1">
        <v>1.2333592799999999</v>
      </c>
      <c r="ER117" s="1">
        <v>94.277579234973004</v>
      </c>
      <c r="ES117" s="1">
        <v>1</v>
      </c>
      <c r="ET117" s="3">
        <v>4.1925116090000003</v>
      </c>
      <c r="EU117" s="3">
        <v>2.678928338</v>
      </c>
      <c r="EV117" s="3">
        <v>2.42400221246</v>
      </c>
      <c r="EW117" s="3">
        <v>2.7342465749999998</v>
      </c>
      <c r="EX117" s="3">
        <v>9.1580757999999998E-2</v>
      </c>
      <c r="EY117" s="3">
        <v>31</v>
      </c>
      <c r="EZ117" s="3">
        <v>998</v>
      </c>
      <c r="FA117" s="1">
        <v>0</v>
      </c>
      <c r="FB117" s="1">
        <v>0</v>
      </c>
      <c r="FC117" s="3">
        <v>0.50916922499999995</v>
      </c>
      <c r="FD117" s="1">
        <v>0</v>
      </c>
      <c r="FE117" s="1">
        <v>0</v>
      </c>
    </row>
    <row r="118" spans="1:161" x14ac:dyDescent="0.3">
      <c r="A118" s="1">
        <v>16975536</v>
      </c>
      <c r="B118" s="1">
        <v>128</v>
      </c>
      <c r="C118" s="1">
        <v>7213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900</v>
      </c>
      <c r="J118" s="3">
        <v>900</v>
      </c>
      <c r="K118" s="1">
        <v>900000</v>
      </c>
      <c r="L118" s="1">
        <v>900000</v>
      </c>
      <c r="M118" s="1">
        <v>900000</v>
      </c>
      <c r="N118" s="3">
        <v>900000</v>
      </c>
      <c r="O118" s="1">
        <v>905552</v>
      </c>
      <c r="P118" s="1">
        <v>905552</v>
      </c>
      <c r="Q118" s="1">
        <v>905552</v>
      </c>
      <c r="R118" s="1">
        <v>905552</v>
      </c>
      <c r="S118" s="1">
        <v>900000</v>
      </c>
      <c r="T118" s="1">
        <v>900000</v>
      </c>
      <c r="U118" s="1">
        <v>900000</v>
      </c>
      <c r="V118" s="1">
        <v>900000</v>
      </c>
      <c r="W118" s="1">
        <v>0</v>
      </c>
      <c r="X118" s="1">
        <v>0</v>
      </c>
      <c r="Y118" s="1">
        <v>0</v>
      </c>
      <c r="Z118" s="1">
        <v>0</v>
      </c>
      <c r="AA118" s="1">
        <v>-2957.79</v>
      </c>
      <c r="AB118" s="1">
        <v>-2957.79</v>
      </c>
      <c r="AC118" s="1">
        <v>-2957.79</v>
      </c>
      <c r="AD118" s="1">
        <v>-2957.79</v>
      </c>
      <c r="AE118" s="3" t="s">
        <v>331</v>
      </c>
      <c r="AF118" s="3" t="s">
        <v>161</v>
      </c>
      <c r="AG118" s="1" t="s">
        <v>970</v>
      </c>
      <c r="AH118" s="3" t="s">
        <v>332</v>
      </c>
      <c r="AI118" s="1">
        <v>4</v>
      </c>
      <c r="AJ118" s="3" t="s">
        <v>165</v>
      </c>
      <c r="AK118" s="1" t="s">
        <v>163</v>
      </c>
      <c r="AL118" s="3">
        <v>91.064144188380993</v>
      </c>
      <c r="AM118" s="3">
        <v>90.689415300546003</v>
      </c>
      <c r="AN118" s="3">
        <v>816204.74</v>
      </c>
      <c r="AO118" s="3">
        <v>816204.74</v>
      </c>
      <c r="AP118" s="1" t="s">
        <v>164</v>
      </c>
      <c r="AQ118" s="1">
        <v>4</v>
      </c>
      <c r="AR118" s="1" t="s">
        <v>165</v>
      </c>
      <c r="AS118" s="3">
        <v>132534288.59999999</v>
      </c>
      <c r="AT118" s="1" t="s">
        <v>176</v>
      </c>
      <c r="AU118" s="1">
        <v>1</v>
      </c>
      <c r="AV118" s="1">
        <v>1</v>
      </c>
      <c r="AW118" s="3" t="s">
        <v>202</v>
      </c>
      <c r="AX118" s="3" t="s">
        <v>205</v>
      </c>
      <c r="AY118" s="1">
        <v>0</v>
      </c>
      <c r="BA118" s="3">
        <v>8205251.6799999997</v>
      </c>
      <c r="BB118" s="1">
        <v>1</v>
      </c>
      <c r="BD118" s="1" t="s">
        <v>971</v>
      </c>
      <c r="BE118" s="1">
        <v>1</v>
      </c>
      <c r="BF118" s="1">
        <v>1</v>
      </c>
      <c r="BG118" s="1" t="s">
        <v>168</v>
      </c>
      <c r="BH118" s="1">
        <v>0</v>
      </c>
      <c r="BI118" s="1">
        <v>31345322.399999999</v>
      </c>
      <c r="BJ118" s="1">
        <v>0</v>
      </c>
      <c r="BK118" s="1">
        <v>123618989.48999999</v>
      </c>
      <c r="BL118" s="1">
        <v>132456249.91</v>
      </c>
      <c r="BM118" s="1">
        <v>596150.00000000012</v>
      </c>
      <c r="BN118" s="1">
        <v>9219855.2300000004</v>
      </c>
      <c r="BO118" s="1">
        <v>23.664660909999998</v>
      </c>
      <c r="BP118" s="1">
        <v>0.45007313999999998</v>
      </c>
      <c r="BQ118" s="1">
        <v>6.9606796500000003</v>
      </c>
      <c r="BR118" s="1">
        <v>0.61620704000000004</v>
      </c>
      <c r="BS118" s="1" t="s">
        <v>169</v>
      </c>
      <c r="BT118" s="1" t="s">
        <v>169</v>
      </c>
      <c r="BU118" s="1">
        <v>26356083.120000001</v>
      </c>
      <c r="BV118" s="1">
        <v>0</v>
      </c>
      <c r="BW118" s="1">
        <v>-3372.56</v>
      </c>
      <c r="BX118" s="1">
        <v>-0.41</v>
      </c>
      <c r="BY118" s="1" t="s">
        <v>170</v>
      </c>
      <c r="BZ118" s="1">
        <v>-78038.69</v>
      </c>
      <c r="CA118" s="1" t="s">
        <v>250</v>
      </c>
      <c r="CB118" s="1" t="s">
        <v>251</v>
      </c>
      <c r="CC118" s="1">
        <v>-83016.91</v>
      </c>
      <c r="CD118" s="1">
        <v>-83016.91</v>
      </c>
      <c r="CE118" s="1">
        <v>819577.3</v>
      </c>
      <c r="CF118" s="1">
        <v>819577.3</v>
      </c>
      <c r="CG118" s="1">
        <v>0</v>
      </c>
      <c r="CH118" s="1">
        <v>1.4438757900000001</v>
      </c>
      <c r="CI118" s="1">
        <v>13.27863496</v>
      </c>
      <c r="CJ118" s="1">
        <v>17588381.91</v>
      </c>
      <c r="CK118" s="1">
        <v>1912503.72</v>
      </c>
      <c r="CL118" s="1">
        <v>6269233.6699999999</v>
      </c>
      <c r="CM118" s="1" t="s">
        <v>164</v>
      </c>
      <c r="CN118" s="1" t="s">
        <v>164</v>
      </c>
      <c r="CO118" s="1" t="s">
        <v>184</v>
      </c>
      <c r="CP118" s="1" t="s">
        <v>243</v>
      </c>
      <c r="CQ118" s="3" t="s">
        <v>252</v>
      </c>
      <c r="CR118" s="1">
        <v>0</v>
      </c>
      <c r="CS118" s="1" t="s">
        <v>243</v>
      </c>
      <c r="CT118" s="1">
        <v>0.66025838000000003</v>
      </c>
      <c r="CV118" s="1">
        <v>0</v>
      </c>
      <c r="CW118" s="1">
        <v>-219173.26</v>
      </c>
      <c r="DA118" s="1">
        <v>1355558.46</v>
      </c>
      <c r="DB118" s="1">
        <v>0</v>
      </c>
      <c r="DC118" s="1">
        <v>2520.3126550000002</v>
      </c>
      <c r="DD118" s="1">
        <v>52555.483399999997</v>
      </c>
      <c r="DE118" s="1">
        <v>-296353.43</v>
      </c>
      <c r="DF118" s="1">
        <v>92570020.519999996</v>
      </c>
      <c r="DG118" s="1">
        <v>-3372.56</v>
      </c>
      <c r="DH118" s="1">
        <v>394770.09</v>
      </c>
      <c r="DI118" s="1">
        <v>0.29803809999999997</v>
      </c>
      <c r="DK118" s="1">
        <v>0</v>
      </c>
      <c r="DL118" s="1">
        <v>0</v>
      </c>
      <c r="DM118" s="1">
        <v>-296353.43</v>
      </c>
      <c r="DN118" s="1">
        <v>0</v>
      </c>
      <c r="DO118" s="1">
        <v>0</v>
      </c>
      <c r="DP118" s="1">
        <v>16777215</v>
      </c>
      <c r="DQ118" s="1">
        <v>0</v>
      </c>
      <c r="DR118" s="1">
        <v>0</v>
      </c>
      <c r="DS118" s="1">
        <v>0</v>
      </c>
      <c r="DT118" s="1">
        <v>0</v>
      </c>
      <c r="DU118" s="1">
        <v>0</v>
      </c>
      <c r="DV118" s="1">
        <v>816204.74</v>
      </c>
      <c r="DW118" s="1">
        <v>816204.74</v>
      </c>
      <c r="DX118" s="1">
        <v>31345322.399999999</v>
      </c>
      <c r="DY118" s="1">
        <v>-1110160.2399999984</v>
      </c>
      <c r="DZ118" s="1">
        <v>92570020.519999966</v>
      </c>
      <c r="EA118" s="1">
        <v>0</v>
      </c>
      <c r="EB118" s="1">
        <v>0</v>
      </c>
      <c r="EC118" s="1" t="s">
        <v>176</v>
      </c>
      <c r="EE118" s="1">
        <v>0</v>
      </c>
      <c r="EF118" s="1">
        <v>3</v>
      </c>
      <c r="EG118" s="1">
        <v>0</v>
      </c>
      <c r="EH118" s="3">
        <v>0.88171606000000002</v>
      </c>
      <c r="EI118" s="1">
        <v>0</v>
      </c>
      <c r="EL118" s="1">
        <v>0</v>
      </c>
      <c r="EM118" s="1">
        <v>0</v>
      </c>
      <c r="EN118" s="1">
        <v>1633661.45</v>
      </c>
      <c r="EO118" s="1">
        <v>1.2333592799999999</v>
      </c>
      <c r="ER118" s="1">
        <v>90.792658469944996</v>
      </c>
      <c r="ES118" s="1">
        <v>1</v>
      </c>
      <c r="ET118" s="3">
        <v>5.840047083</v>
      </c>
      <c r="EU118" s="3">
        <v>2.3557211059999998</v>
      </c>
      <c r="EV118" s="3">
        <v>2.020805807376</v>
      </c>
      <c r="EW118" s="3">
        <v>2.394520548</v>
      </c>
      <c r="EX118" s="3">
        <v>7.1028650999999998E-2</v>
      </c>
      <c r="EY118" s="3">
        <v>27</v>
      </c>
      <c r="EZ118" s="3">
        <v>874</v>
      </c>
      <c r="FA118" s="1">
        <v>0</v>
      </c>
      <c r="FB118" s="1">
        <v>0</v>
      </c>
      <c r="FC118" s="3">
        <v>1.325247705</v>
      </c>
      <c r="FD118" s="1">
        <v>0</v>
      </c>
      <c r="FE118" s="1">
        <v>0</v>
      </c>
    </row>
    <row r="119" spans="1:161" x14ac:dyDescent="0.3">
      <c r="A119" s="1">
        <v>16975575</v>
      </c>
      <c r="B119" s="1">
        <v>128</v>
      </c>
      <c r="C119" s="1">
        <v>9259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100</v>
      </c>
      <c r="J119" s="3">
        <v>100</v>
      </c>
      <c r="K119" s="1">
        <v>100000</v>
      </c>
      <c r="L119" s="1">
        <v>100000</v>
      </c>
      <c r="M119" s="1">
        <v>100000</v>
      </c>
      <c r="N119" s="3">
        <v>100000</v>
      </c>
      <c r="O119" s="1">
        <v>105058</v>
      </c>
      <c r="P119" s="1">
        <v>105058</v>
      </c>
      <c r="Q119" s="1">
        <v>105058</v>
      </c>
      <c r="R119" s="1">
        <v>105058</v>
      </c>
      <c r="S119" s="1">
        <v>100000</v>
      </c>
      <c r="T119" s="1">
        <v>100000</v>
      </c>
      <c r="U119" s="1">
        <v>100000</v>
      </c>
      <c r="V119" s="1">
        <v>100000</v>
      </c>
      <c r="W119" s="1">
        <v>0</v>
      </c>
      <c r="X119" s="1">
        <v>0</v>
      </c>
      <c r="Y119" s="1">
        <v>0</v>
      </c>
      <c r="Z119" s="1">
        <v>0</v>
      </c>
      <c r="AA119" s="1">
        <v>-393.87</v>
      </c>
      <c r="AB119" s="1">
        <v>-393.87</v>
      </c>
      <c r="AC119" s="1">
        <v>-393.87</v>
      </c>
      <c r="AD119" s="1">
        <v>-393.87</v>
      </c>
      <c r="AE119" s="3" t="s">
        <v>333</v>
      </c>
      <c r="AF119" s="3" t="s">
        <v>161</v>
      </c>
      <c r="AG119" s="1" t="s">
        <v>970</v>
      </c>
      <c r="AH119" s="3" t="s">
        <v>334</v>
      </c>
      <c r="AI119" s="1">
        <v>4</v>
      </c>
      <c r="AJ119" s="3" t="s">
        <v>165</v>
      </c>
      <c r="AK119" s="1" t="s">
        <v>191</v>
      </c>
      <c r="AL119" s="3">
        <v>89.382843988131995</v>
      </c>
      <c r="AM119" s="3">
        <v>89.034773972601997</v>
      </c>
      <c r="AN119" s="3">
        <v>89034.77</v>
      </c>
      <c r="AO119" s="3">
        <v>89034.77</v>
      </c>
      <c r="AP119" s="1" t="s">
        <v>164</v>
      </c>
      <c r="AQ119" s="1">
        <v>4</v>
      </c>
      <c r="AR119" s="1" t="s">
        <v>165</v>
      </c>
      <c r="AS119" s="3">
        <v>132534288.59999999</v>
      </c>
      <c r="AT119" s="1" t="s">
        <v>176</v>
      </c>
      <c r="AU119" s="1">
        <v>1</v>
      </c>
      <c r="AV119" s="1">
        <v>1</v>
      </c>
      <c r="AW119" s="3" t="s">
        <v>202</v>
      </c>
      <c r="AX119" s="3" t="s">
        <v>205</v>
      </c>
      <c r="AY119" s="1">
        <v>0</v>
      </c>
      <c r="BA119" s="3">
        <v>8205251.6799999997</v>
      </c>
      <c r="BB119" s="1">
        <v>1</v>
      </c>
      <c r="BD119" s="1" t="s">
        <v>971</v>
      </c>
      <c r="BE119" s="1">
        <v>1</v>
      </c>
      <c r="BF119" s="1">
        <v>1</v>
      </c>
      <c r="BG119" s="1" t="s">
        <v>168</v>
      </c>
      <c r="BH119" s="1">
        <v>0</v>
      </c>
      <c r="BI119" s="1">
        <v>31345322.399999999</v>
      </c>
      <c r="BJ119" s="1">
        <v>0</v>
      </c>
      <c r="BK119" s="1">
        <v>123618989.48999999</v>
      </c>
      <c r="BL119" s="1">
        <v>132456249.91</v>
      </c>
      <c r="BM119" s="1">
        <v>596150.00000000012</v>
      </c>
      <c r="BN119" s="1">
        <v>9219855.2300000004</v>
      </c>
      <c r="BO119" s="1">
        <v>23.664660909999998</v>
      </c>
      <c r="BP119" s="1">
        <v>0.45007313999999998</v>
      </c>
      <c r="BQ119" s="1">
        <v>6.9606796500000003</v>
      </c>
      <c r="BR119" s="1">
        <v>6.7218249999999993E-2</v>
      </c>
      <c r="BS119" s="1" t="s">
        <v>169</v>
      </c>
      <c r="BT119" s="1" t="s">
        <v>169</v>
      </c>
      <c r="BU119" s="1">
        <v>26356083.120000001</v>
      </c>
      <c r="BV119" s="1">
        <v>0</v>
      </c>
      <c r="BW119" s="1">
        <v>-348.07</v>
      </c>
      <c r="BX119" s="1">
        <v>-0.39</v>
      </c>
      <c r="BY119" s="1" t="s">
        <v>170</v>
      </c>
      <c r="BZ119" s="1">
        <v>-78038.69</v>
      </c>
      <c r="CA119" s="1" t="s">
        <v>250</v>
      </c>
      <c r="CB119" s="1" t="s">
        <v>251</v>
      </c>
      <c r="CC119" s="1">
        <v>-15281.29</v>
      </c>
      <c r="CD119" s="1">
        <v>-15281.29</v>
      </c>
      <c r="CE119" s="1">
        <v>89382.84</v>
      </c>
      <c r="CF119" s="1">
        <v>89382.84</v>
      </c>
      <c r="CG119" s="1">
        <v>0</v>
      </c>
      <c r="CH119" s="1">
        <v>1.4438757900000001</v>
      </c>
      <c r="CI119" s="1">
        <v>13.27863496</v>
      </c>
      <c r="CJ119" s="1">
        <v>17588381.91</v>
      </c>
      <c r="CK119" s="1">
        <v>1912503.72</v>
      </c>
      <c r="CL119" s="1">
        <v>6269233.6699999999</v>
      </c>
      <c r="CM119" s="1" t="s">
        <v>164</v>
      </c>
      <c r="CN119" s="1" t="s">
        <v>164</v>
      </c>
      <c r="CO119" s="1" t="s">
        <v>184</v>
      </c>
      <c r="CP119" s="1" t="s">
        <v>243</v>
      </c>
      <c r="CQ119" s="3" t="s">
        <v>252</v>
      </c>
      <c r="CR119" s="1">
        <v>0</v>
      </c>
      <c r="CS119" s="1" t="s">
        <v>243</v>
      </c>
      <c r="CT119" s="1">
        <v>7.2023539999999997E-2</v>
      </c>
      <c r="CV119" s="1">
        <v>0</v>
      </c>
      <c r="CW119" s="1">
        <v>-219173.26</v>
      </c>
      <c r="DA119" s="1">
        <v>1355558.46</v>
      </c>
      <c r="DB119" s="1">
        <v>0</v>
      </c>
      <c r="DC119" s="1">
        <v>2520.3126550000002</v>
      </c>
      <c r="DD119" s="1">
        <v>52555.483399999997</v>
      </c>
      <c r="DE119" s="1">
        <v>-296353.43</v>
      </c>
      <c r="DF119" s="1">
        <v>92570020.519999996</v>
      </c>
      <c r="DG119" s="1">
        <v>-348.07</v>
      </c>
      <c r="DH119" s="1">
        <v>394770.09</v>
      </c>
      <c r="DI119" s="1">
        <v>0.29803809999999997</v>
      </c>
      <c r="DK119" s="1">
        <v>0</v>
      </c>
      <c r="DL119" s="1">
        <v>0</v>
      </c>
      <c r="DM119" s="1">
        <v>-296353.43</v>
      </c>
      <c r="DN119" s="1">
        <v>0</v>
      </c>
      <c r="DO119" s="1">
        <v>0</v>
      </c>
      <c r="DP119" s="1">
        <v>16777215</v>
      </c>
      <c r="DQ119" s="1">
        <v>0</v>
      </c>
      <c r="DR119" s="1">
        <v>0</v>
      </c>
      <c r="DS119" s="1">
        <v>0</v>
      </c>
      <c r="DT119" s="1">
        <v>0</v>
      </c>
      <c r="DU119" s="1">
        <v>0</v>
      </c>
      <c r="DV119" s="1">
        <v>89034.77</v>
      </c>
      <c r="DW119" s="1">
        <v>89034.77</v>
      </c>
      <c r="DX119" s="1">
        <v>31345322.399999999</v>
      </c>
      <c r="DY119" s="1">
        <v>-1110160.2399999984</v>
      </c>
      <c r="DZ119" s="1">
        <v>92570020.519999966</v>
      </c>
      <c r="EA119" s="1">
        <v>0</v>
      </c>
      <c r="EB119" s="1">
        <v>0</v>
      </c>
      <c r="EC119" s="1" t="s">
        <v>176</v>
      </c>
      <c r="EE119" s="1">
        <v>0</v>
      </c>
      <c r="EF119" s="1">
        <v>3</v>
      </c>
      <c r="EG119" s="1">
        <v>0</v>
      </c>
      <c r="EH119" s="3">
        <v>9.6181000000000003E-2</v>
      </c>
      <c r="EI119" s="1">
        <v>0</v>
      </c>
      <c r="EL119" s="1">
        <v>0</v>
      </c>
      <c r="EM119" s="1">
        <v>0</v>
      </c>
      <c r="EN119" s="1">
        <v>1633661.45</v>
      </c>
      <c r="EO119" s="1">
        <v>1.2333592799999999</v>
      </c>
      <c r="ER119" s="1">
        <v>89.381794520547999</v>
      </c>
      <c r="ES119" s="1">
        <v>1</v>
      </c>
      <c r="ET119" s="3">
        <v>4.8631502529999997</v>
      </c>
      <c r="EU119" s="3">
        <v>4.6356747399999998</v>
      </c>
      <c r="EV119" s="3">
        <v>3.9512920039239998</v>
      </c>
      <c r="EW119" s="3">
        <v>4.9287671230000001</v>
      </c>
      <c r="EX119" s="3">
        <v>0.24611122499999999</v>
      </c>
      <c r="EY119" s="3">
        <v>53</v>
      </c>
      <c r="EZ119" s="3">
        <v>1799</v>
      </c>
      <c r="FA119" s="1">
        <v>0</v>
      </c>
      <c r="FB119" s="1">
        <v>0</v>
      </c>
      <c r="FC119" s="3">
        <v>1.282582042</v>
      </c>
      <c r="FD119" s="1">
        <v>0</v>
      </c>
      <c r="FE119" s="1">
        <v>0</v>
      </c>
    </row>
    <row r="120" spans="1:161" x14ac:dyDescent="0.3">
      <c r="A120" s="1">
        <v>16975598</v>
      </c>
      <c r="B120" s="1">
        <v>128</v>
      </c>
      <c r="C120" s="1">
        <v>4482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149</v>
      </c>
      <c r="J120" s="3">
        <v>149</v>
      </c>
      <c r="K120" s="1">
        <v>149000</v>
      </c>
      <c r="L120" s="1">
        <v>149000</v>
      </c>
      <c r="M120" s="1">
        <v>149000</v>
      </c>
      <c r="N120" s="3">
        <v>149000</v>
      </c>
      <c r="O120" s="1">
        <v>155092.60999999999</v>
      </c>
      <c r="P120" s="1">
        <v>155092.60999999999</v>
      </c>
      <c r="Q120" s="1">
        <v>155092.60999999999</v>
      </c>
      <c r="R120" s="1">
        <v>155092.60999999999</v>
      </c>
      <c r="S120" s="1">
        <v>149000</v>
      </c>
      <c r="T120" s="1">
        <v>149000</v>
      </c>
      <c r="U120" s="1">
        <v>149000</v>
      </c>
      <c r="V120" s="1">
        <v>149000</v>
      </c>
      <c r="W120" s="1">
        <v>0</v>
      </c>
      <c r="X120" s="1">
        <v>0</v>
      </c>
      <c r="Y120" s="1">
        <v>0</v>
      </c>
      <c r="Z120" s="1">
        <v>0</v>
      </c>
      <c r="AA120" s="1">
        <v>-6591.97</v>
      </c>
      <c r="AB120" s="1">
        <v>-6591.97</v>
      </c>
      <c r="AC120" s="1">
        <v>-6591.97</v>
      </c>
      <c r="AD120" s="1">
        <v>-6591.97</v>
      </c>
      <c r="AE120" s="3" t="s">
        <v>335</v>
      </c>
      <c r="AF120" s="3" t="s">
        <v>161</v>
      </c>
      <c r="AG120" s="1" t="s">
        <v>970</v>
      </c>
      <c r="AH120" s="3" t="s">
        <v>336</v>
      </c>
      <c r="AI120" s="1">
        <v>4</v>
      </c>
      <c r="AJ120" s="3" t="s">
        <v>165</v>
      </c>
      <c r="AK120" s="1" t="s">
        <v>191</v>
      </c>
      <c r="AL120" s="3">
        <v>98.676999651886007</v>
      </c>
      <c r="AM120" s="3">
        <v>98.760133879780994</v>
      </c>
      <c r="AN120" s="3">
        <v>147152.6</v>
      </c>
      <c r="AO120" s="3">
        <v>147152.6</v>
      </c>
      <c r="AP120" s="1" t="s">
        <v>164</v>
      </c>
      <c r="AQ120" s="1">
        <v>4</v>
      </c>
      <c r="AR120" s="1" t="s">
        <v>165</v>
      </c>
      <c r="AS120" s="3">
        <v>132534288.59999999</v>
      </c>
      <c r="AT120" s="1" t="s">
        <v>176</v>
      </c>
      <c r="AU120" s="1">
        <v>1</v>
      </c>
      <c r="AV120" s="1">
        <v>1</v>
      </c>
      <c r="AW120" s="3" t="s">
        <v>202</v>
      </c>
      <c r="AX120" s="3" t="s">
        <v>167</v>
      </c>
      <c r="AY120" s="1">
        <v>0</v>
      </c>
      <c r="AZ120">
        <v>999999999</v>
      </c>
      <c r="BA120" s="3">
        <v>8205251.6799999997</v>
      </c>
      <c r="BB120" s="1">
        <v>1</v>
      </c>
      <c r="BD120" s="1" t="s">
        <v>971</v>
      </c>
      <c r="BE120" s="1">
        <v>1</v>
      </c>
      <c r="BF120" s="1">
        <v>1</v>
      </c>
      <c r="BG120" s="1" t="s">
        <v>168</v>
      </c>
      <c r="BH120" s="1">
        <v>0</v>
      </c>
      <c r="BI120" s="1">
        <v>31345322.399999999</v>
      </c>
      <c r="BJ120" s="1">
        <v>0</v>
      </c>
      <c r="BK120" s="1">
        <v>123618989.48999999</v>
      </c>
      <c r="BL120" s="1">
        <v>132456249.91</v>
      </c>
      <c r="BM120" s="1">
        <v>596150.00000000012</v>
      </c>
      <c r="BN120" s="1">
        <v>9219855.2300000004</v>
      </c>
      <c r="BO120" s="1">
        <v>23.664660909999998</v>
      </c>
      <c r="BP120" s="1">
        <v>0.45007313999999998</v>
      </c>
      <c r="BQ120" s="1">
        <v>6.9606796500000003</v>
      </c>
      <c r="BR120" s="1">
        <v>0.11109525000000001</v>
      </c>
      <c r="BS120" s="1" t="s">
        <v>169</v>
      </c>
      <c r="BT120" s="1" t="s">
        <v>169</v>
      </c>
      <c r="BU120" s="1">
        <v>26356083.120000001</v>
      </c>
      <c r="BV120" s="1">
        <v>0</v>
      </c>
      <c r="BW120" s="1">
        <v>123.87</v>
      </c>
      <c r="BX120" s="1">
        <v>0.08</v>
      </c>
      <c r="BY120" s="1" t="s">
        <v>170</v>
      </c>
      <c r="BZ120" s="1">
        <v>-78038.69</v>
      </c>
      <c r="CA120" s="1" t="s">
        <v>250</v>
      </c>
      <c r="CB120" s="1" t="s">
        <v>251</v>
      </c>
      <c r="CC120" s="1">
        <v>-1471.91</v>
      </c>
      <c r="CD120" s="1">
        <v>-1471.91</v>
      </c>
      <c r="CE120" s="1">
        <v>147028.73000000001</v>
      </c>
      <c r="CF120" s="1">
        <v>147028.73000000001</v>
      </c>
      <c r="CG120" s="1">
        <v>0</v>
      </c>
      <c r="CH120" s="1">
        <v>1.4438757900000001</v>
      </c>
      <c r="CI120" s="1">
        <v>13.27863496</v>
      </c>
      <c r="CJ120" s="1">
        <v>17588381.91</v>
      </c>
      <c r="CK120" s="1">
        <v>1912503.72</v>
      </c>
      <c r="CL120" s="1">
        <v>6269233.6699999999</v>
      </c>
      <c r="CM120" s="1" t="s">
        <v>164</v>
      </c>
      <c r="CN120" s="1" t="s">
        <v>164</v>
      </c>
      <c r="CO120" s="1" t="s">
        <v>184</v>
      </c>
      <c r="CP120" s="1" t="s">
        <v>243</v>
      </c>
      <c r="CQ120" s="3" t="s">
        <v>252</v>
      </c>
      <c r="CR120" s="1">
        <v>0</v>
      </c>
      <c r="CS120" s="1" t="s">
        <v>243</v>
      </c>
      <c r="CT120" s="1">
        <v>0.11903721</v>
      </c>
      <c r="CV120" s="1">
        <v>0</v>
      </c>
      <c r="CW120" s="1">
        <v>-219173.26</v>
      </c>
      <c r="DA120" s="1">
        <v>1355558.46</v>
      </c>
      <c r="DB120" s="1">
        <v>0</v>
      </c>
      <c r="DC120" s="1">
        <v>2520.3126550000002</v>
      </c>
      <c r="DD120" s="1">
        <v>52555.483399999997</v>
      </c>
      <c r="DE120" s="1">
        <v>-296353.43</v>
      </c>
      <c r="DF120" s="1">
        <v>92570020.519999996</v>
      </c>
      <c r="DG120" s="1">
        <v>123.87</v>
      </c>
      <c r="DH120" s="1">
        <v>394770.09</v>
      </c>
      <c r="DI120" s="1">
        <v>0.29803809999999997</v>
      </c>
      <c r="DK120" s="1">
        <v>0</v>
      </c>
      <c r="DL120" s="1">
        <v>0</v>
      </c>
      <c r="DM120" s="1">
        <v>-296353.43</v>
      </c>
      <c r="DN120" s="1">
        <v>0</v>
      </c>
      <c r="DO120" s="1">
        <v>0</v>
      </c>
      <c r="DP120" s="1">
        <v>16777215</v>
      </c>
      <c r="DQ120" s="1">
        <v>0</v>
      </c>
      <c r="DR120" s="1">
        <v>0</v>
      </c>
      <c r="DS120" s="1">
        <v>0</v>
      </c>
      <c r="DT120" s="1">
        <v>0</v>
      </c>
      <c r="DU120" s="1">
        <v>0</v>
      </c>
      <c r="DV120" s="1">
        <v>147152.6</v>
      </c>
      <c r="DW120" s="1">
        <v>147152.6</v>
      </c>
      <c r="DX120" s="1">
        <v>31345322.399999999</v>
      </c>
      <c r="DY120" s="1">
        <v>-1110160.2399999984</v>
      </c>
      <c r="DZ120" s="1">
        <v>92570020.519999966</v>
      </c>
      <c r="EA120" s="1">
        <v>0</v>
      </c>
      <c r="EB120" s="1">
        <v>0</v>
      </c>
      <c r="EC120" s="1" t="s">
        <v>176</v>
      </c>
      <c r="EE120" s="1">
        <v>0</v>
      </c>
      <c r="EF120" s="1">
        <v>3</v>
      </c>
      <c r="EG120" s="1">
        <v>0</v>
      </c>
      <c r="EH120" s="3">
        <v>0.15896356</v>
      </c>
      <c r="EI120" s="1">
        <v>0</v>
      </c>
      <c r="EL120" s="1">
        <v>0</v>
      </c>
      <c r="EM120" s="1">
        <v>0</v>
      </c>
      <c r="EN120" s="1">
        <v>1633661.45</v>
      </c>
      <c r="EO120" s="1">
        <v>1.2333592799999999</v>
      </c>
      <c r="ER120" s="1">
        <v>98.689081967212999</v>
      </c>
      <c r="ES120" s="1">
        <v>1</v>
      </c>
      <c r="ET120" s="3">
        <v>5.4188123409999998</v>
      </c>
      <c r="EU120" s="3">
        <v>0.56284153000000003</v>
      </c>
      <c r="EV120" s="3">
        <v>0.52691083015999995</v>
      </c>
      <c r="EW120" s="3">
        <v>0.56438356199999995</v>
      </c>
      <c r="EX120" s="3">
        <v>7.915254E-3</v>
      </c>
      <c r="EY120" s="3">
        <v>6</v>
      </c>
      <c r="EZ120" s="3">
        <v>206</v>
      </c>
      <c r="FA120" s="1">
        <v>0</v>
      </c>
      <c r="FB120" s="1">
        <v>0</v>
      </c>
      <c r="FC120" s="3">
        <v>-4.1012637820000002</v>
      </c>
      <c r="FD120" s="1">
        <v>0</v>
      </c>
      <c r="FE120" s="1">
        <v>0</v>
      </c>
    </row>
    <row r="121" spans="1:161" x14ac:dyDescent="0.3">
      <c r="A121" s="1">
        <v>16975518</v>
      </c>
      <c r="B121" s="1">
        <v>128</v>
      </c>
      <c r="C121" s="1">
        <v>8124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700</v>
      </c>
      <c r="J121" s="3">
        <v>700</v>
      </c>
      <c r="K121" s="1">
        <v>700000</v>
      </c>
      <c r="L121" s="1">
        <v>700000</v>
      </c>
      <c r="M121" s="1">
        <v>700000</v>
      </c>
      <c r="N121" s="3">
        <v>700000</v>
      </c>
      <c r="O121" s="1">
        <v>728989</v>
      </c>
      <c r="P121" s="1">
        <v>728989</v>
      </c>
      <c r="Q121" s="1">
        <v>728989</v>
      </c>
      <c r="R121" s="1">
        <v>728989</v>
      </c>
      <c r="S121" s="1">
        <v>700000</v>
      </c>
      <c r="T121" s="1">
        <v>700000</v>
      </c>
      <c r="U121" s="1">
        <v>700000</v>
      </c>
      <c r="V121" s="1">
        <v>700000</v>
      </c>
      <c r="W121" s="1">
        <v>0</v>
      </c>
      <c r="X121" s="1">
        <v>0</v>
      </c>
      <c r="Y121" s="1">
        <v>0</v>
      </c>
      <c r="Z121" s="1">
        <v>0</v>
      </c>
      <c r="AA121" s="1">
        <v>-17436.21</v>
      </c>
      <c r="AB121" s="1">
        <v>-17436.21</v>
      </c>
      <c r="AC121" s="1">
        <v>-17436.21</v>
      </c>
      <c r="AD121" s="1">
        <v>-17436.21</v>
      </c>
      <c r="AE121" s="3" t="s">
        <v>337</v>
      </c>
      <c r="AF121" s="3" t="s">
        <v>161</v>
      </c>
      <c r="AG121" s="1" t="s">
        <v>970</v>
      </c>
      <c r="AH121" s="3" t="s">
        <v>338</v>
      </c>
      <c r="AI121" s="1">
        <v>4</v>
      </c>
      <c r="AJ121" s="3" t="s">
        <v>165</v>
      </c>
      <c r="AK121" s="1" t="s">
        <v>191</v>
      </c>
      <c r="AL121" s="3">
        <v>94.536978914665994</v>
      </c>
      <c r="AM121" s="3">
        <v>94.604117486337998</v>
      </c>
      <c r="AN121" s="3">
        <v>662228.81999999995</v>
      </c>
      <c r="AO121" s="3">
        <v>662228.81999999995</v>
      </c>
      <c r="AP121" s="1" t="s">
        <v>164</v>
      </c>
      <c r="AQ121" s="1">
        <v>4</v>
      </c>
      <c r="AR121" s="1" t="s">
        <v>165</v>
      </c>
      <c r="AS121" s="3">
        <v>132534288.59999999</v>
      </c>
      <c r="AT121" s="1" t="s">
        <v>176</v>
      </c>
      <c r="AU121" s="1">
        <v>1</v>
      </c>
      <c r="AV121" s="1">
        <v>1</v>
      </c>
      <c r="AW121" s="3" t="s">
        <v>209</v>
      </c>
      <c r="AX121" s="3" t="s">
        <v>339</v>
      </c>
      <c r="AY121" s="1">
        <v>0</v>
      </c>
      <c r="BA121" s="3">
        <v>8205251.6799999997</v>
      </c>
      <c r="BB121" s="1">
        <v>1</v>
      </c>
      <c r="BD121" s="1" t="s">
        <v>971</v>
      </c>
      <c r="BE121" s="1">
        <v>1</v>
      </c>
      <c r="BF121" s="1">
        <v>1</v>
      </c>
      <c r="BG121" s="1" t="s">
        <v>168</v>
      </c>
      <c r="BH121" s="1">
        <v>0</v>
      </c>
      <c r="BI121" s="1">
        <v>31345322.399999999</v>
      </c>
      <c r="BJ121" s="1">
        <v>0</v>
      </c>
      <c r="BK121" s="1">
        <v>123618989.48999999</v>
      </c>
      <c r="BL121" s="1">
        <v>132456249.91</v>
      </c>
      <c r="BM121" s="1">
        <v>596150.00000000012</v>
      </c>
      <c r="BN121" s="1">
        <v>9219855.2300000004</v>
      </c>
      <c r="BO121" s="1">
        <v>23.664660909999998</v>
      </c>
      <c r="BP121" s="1">
        <v>0.45007313999999998</v>
      </c>
      <c r="BQ121" s="1">
        <v>6.9606796500000003</v>
      </c>
      <c r="BR121" s="1">
        <v>0.49996042000000002</v>
      </c>
      <c r="BS121" s="1" t="s">
        <v>169</v>
      </c>
      <c r="BT121" s="1" t="s">
        <v>169</v>
      </c>
      <c r="BU121" s="1">
        <v>26356083.120000001</v>
      </c>
      <c r="BV121" s="1">
        <v>0</v>
      </c>
      <c r="BW121" s="1">
        <v>469.97</v>
      </c>
      <c r="BX121" s="1">
        <v>7.0000000000000007E-2</v>
      </c>
      <c r="BY121" s="1" t="s">
        <v>170</v>
      </c>
      <c r="BZ121" s="1">
        <v>-78038.69</v>
      </c>
      <c r="CA121" s="1" t="s">
        <v>250</v>
      </c>
      <c r="CB121" s="1" t="s">
        <v>251</v>
      </c>
      <c r="CC121" s="1">
        <v>-49793.94</v>
      </c>
      <c r="CD121" s="1">
        <v>-49793.94</v>
      </c>
      <c r="CE121" s="1">
        <v>661758.85</v>
      </c>
      <c r="CF121" s="1">
        <v>661758.85</v>
      </c>
      <c r="CG121" s="1">
        <v>0</v>
      </c>
      <c r="CH121" s="1">
        <v>1.4438757900000001</v>
      </c>
      <c r="CI121" s="1">
        <v>13.27863496</v>
      </c>
      <c r="CJ121" s="1">
        <v>17588381.91</v>
      </c>
      <c r="CK121" s="1">
        <v>1912503.72</v>
      </c>
      <c r="CL121" s="1">
        <v>6269233.6699999999</v>
      </c>
      <c r="CM121" s="1" t="s">
        <v>164</v>
      </c>
      <c r="CN121" s="1" t="s">
        <v>164</v>
      </c>
      <c r="CO121" s="1" t="s">
        <v>184</v>
      </c>
      <c r="CP121" s="1" t="s">
        <v>243</v>
      </c>
      <c r="CQ121" s="3" t="s">
        <v>252</v>
      </c>
      <c r="CR121" s="1">
        <v>0</v>
      </c>
      <c r="CS121" s="1" t="s">
        <v>243</v>
      </c>
      <c r="CT121" s="1">
        <v>0.53570152999999998</v>
      </c>
      <c r="CV121" s="1">
        <v>0</v>
      </c>
      <c r="CW121" s="1">
        <v>-219173.26</v>
      </c>
      <c r="DA121" s="1">
        <v>1355558.46</v>
      </c>
      <c r="DB121" s="1">
        <v>0</v>
      </c>
      <c r="DC121" s="1">
        <v>2520.3126550000002</v>
      </c>
      <c r="DD121" s="1">
        <v>52555.483399999997</v>
      </c>
      <c r="DE121" s="1">
        <v>-296353.43</v>
      </c>
      <c r="DF121" s="1">
        <v>92570020.519999996</v>
      </c>
      <c r="DG121" s="1">
        <v>469.97</v>
      </c>
      <c r="DH121" s="1">
        <v>394770.09</v>
      </c>
      <c r="DI121" s="1">
        <v>0.29803809999999997</v>
      </c>
      <c r="DK121" s="1">
        <v>0</v>
      </c>
      <c r="DL121" s="1">
        <v>0</v>
      </c>
      <c r="DM121" s="1">
        <v>-296353.43</v>
      </c>
      <c r="DN121" s="1">
        <v>0</v>
      </c>
      <c r="DO121" s="1">
        <v>0</v>
      </c>
      <c r="DP121" s="1">
        <v>16777215</v>
      </c>
      <c r="DQ121" s="1">
        <v>0</v>
      </c>
      <c r="DR121" s="1">
        <v>0</v>
      </c>
      <c r="DS121" s="1">
        <v>0</v>
      </c>
      <c r="DT121" s="1">
        <v>0</v>
      </c>
      <c r="DU121" s="1">
        <v>0</v>
      </c>
      <c r="DV121" s="1">
        <v>662228.81999999995</v>
      </c>
      <c r="DW121" s="1">
        <v>662228.81999999995</v>
      </c>
      <c r="DX121" s="1">
        <v>31345322.399999999</v>
      </c>
      <c r="DY121" s="1">
        <v>-1110160.2399999984</v>
      </c>
      <c r="DZ121" s="1">
        <v>92570020.519999966</v>
      </c>
      <c r="EA121" s="1">
        <v>0</v>
      </c>
      <c r="EB121" s="1">
        <v>0</v>
      </c>
      <c r="EC121" s="1" t="s">
        <v>176</v>
      </c>
      <c r="EE121" s="1">
        <v>0</v>
      </c>
      <c r="EF121" s="1">
        <v>3</v>
      </c>
      <c r="EG121" s="1">
        <v>0</v>
      </c>
      <c r="EH121" s="3">
        <v>0.71538151999999999</v>
      </c>
      <c r="EI121" s="1">
        <v>0</v>
      </c>
      <c r="EL121" s="1">
        <v>0</v>
      </c>
      <c r="EM121" s="1">
        <v>0</v>
      </c>
      <c r="EN121" s="1">
        <v>1633661.45</v>
      </c>
      <c r="EO121" s="1">
        <v>1.2333592799999999</v>
      </c>
      <c r="ER121" s="1">
        <v>94.530737704917001</v>
      </c>
      <c r="ES121" s="1">
        <v>1</v>
      </c>
      <c r="ET121" s="3">
        <v>6.1059682239999997</v>
      </c>
      <c r="EU121" s="3">
        <v>0.72131147500000004</v>
      </c>
      <c r="EV121" s="3">
        <v>0.64262271994200004</v>
      </c>
      <c r="EW121" s="3">
        <v>2.4712328769999998</v>
      </c>
      <c r="EX121" s="3">
        <v>1.102815E-2</v>
      </c>
      <c r="EY121" s="3">
        <v>8</v>
      </c>
      <c r="EZ121" s="3">
        <v>902</v>
      </c>
      <c r="FA121" s="1">
        <v>0</v>
      </c>
      <c r="FB121" s="1">
        <v>0</v>
      </c>
      <c r="FC121" s="3">
        <v>1.895592843</v>
      </c>
      <c r="FD121" s="1">
        <v>0</v>
      </c>
      <c r="FE121" s="1">
        <v>0</v>
      </c>
    </row>
    <row r="122" spans="1:161" x14ac:dyDescent="0.3">
      <c r="A122" s="1">
        <v>16975600</v>
      </c>
      <c r="B122" s="1">
        <v>128</v>
      </c>
      <c r="C122" s="1">
        <v>9184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200</v>
      </c>
      <c r="J122" s="3">
        <v>200</v>
      </c>
      <c r="K122" s="1">
        <v>200000</v>
      </c>
      <c r="L122" s="1">
        <v>200000</v>
      </c>
      <c r="M122" s="1">
        <v>200000</v>
      </c>
      <c r="N122" s="3">
        <v>200000</v>
      </c>
      <c r="O122" s="1">
        <v>199122</v>
      </c>
      <c r="P122" s="1">
        <v>199122</v>
      </c>
      <c r="Q122" s="1">
        <v>199122</v>
      </c>
      <c r="R122" s="1">
        <v>199122</v>
      </c>
      <c r="S122" s="1">
        <v>200000</v>
      </c>
      <c r="T122" s="1">
        <v>200000</v>
      </c>
      <c r="U122" s="1">
        <v>200000</v>
      </c>
      <c r="V122" s="1">
        <v>200000</v>
      </c>
      <c r="W122" s="1">
        <v>0</v>
      </c>
      <c r="X122" s="1">
        <v>0</v>
      </c>
      <c r="Y122" s="1">
        <v>0</v>
      </c>
      <c r="Z122" s="1">
        <v>0</v>
      </c>
      <c r="AA122" s="1">
        <v>682.15</v>
      </c>
      <c r="AB122" s="1">
        <v>682.15</v>
      </c>
      <c r="AC122" s="1">
        <v>682.15</v>
      </c>
      <c r="AD122" s="1">
        <v>682.15</v>
      </c>
      <c r="AE122" s="3" t="s">
        <v>340</v>
      </c>
      <c r="AF122" s="3" t="s">
        <v>161</v>
      </c>
      <c r="AG122" s="1" t="s">
        <v>970</v>
      </c>
      <c r="AH122" s="3" t="s">
        <v>341</v>
      </c>
      <c r="AI122" s="1">
        <v>4</v>
      </c>
      <c r="AJ122" s="3" t="s">
        <v>165</v>
      </c>
      <c r="AK122" s="1" t="s">
        <v>191</v>
      </c>
      <c r="AL122" s="3">
        <v>86.423954726999995</v>
      </c>
      <c r="AM122" s="3">
        <v>86.494849726775996</v>
      </c>
      <c r="AN122" s="3">
        <v>172989.7</v>
      </c>
      <c r="AO122" s="3">
        <v>172989.7</v>
      </c>
      <c r="AP122" s="1" t="s">
        <v>164</v>
      </c>
      <c r="AQ122" s="1">
        <v>4</v>
      </c>
      <c r="AR122" s="1" t="s">
        <v>165</v>
      </c>
      <c r="AS122" s="3">
        <v>132534288.59999999</v>
      </c>
      <c r="AT122" s="1" t="s">
        <v>176</v>
      </c>
      <c r="AU122" s="1">
        <v>1</v>
      </c>
      <c r="AV122" s="1">
        <v>1</v>
      </c>
      <c r="AW122" s="3" t="s">
        <v>209</v>
      </c>
      <c r="AX122" s="3" t="s">
        <v>339</v>
      </c>
      <c r="AY122" s="1">
        <v>0</v>
      </c>
      <c r="BA122" s="3">
        <v>8205251.6799999997</v>
      </c>
      <c r="BB122" s="1">
        <v>1</v>
      </c>
      <c r="BD122" s="1" t="s">
        <v>971</v>
      </c>
      <c r="BE122" s="1">
        <v>1</v>
      </c>
      <c r="BF122" s="1">
        <v>1</v>
      </c>
      <c r="BG122" s="1" t="s">
        <v>168</v>
      </c>
      <c r="BH122" s="1">
        <v>0</v>
      </c>
      <c r="BI122" s="1">
        <v>31345322.399999999</v>
      </c>
      <c r="BJ122" s="1">
        <v>0</v>
      </c>
      <c r="BK122" s="1">
        <v>123618989.48999999</v>
      </c>
      <c r="BL122" s="1">
        <v>132456249.91</v>
      </c>
      <c r="BM122" s="1">
        <v>596150.00000000012</v>
      </c>
      <c r="BN122" s="1">
        <v>9219855.2300000004</v>
      </c>
      <c r="BO122" s="1">
        <v>23.664660909999998</v>
      </c>
      <c r="BP122" s="1">
        <v>0.45007313999999998</v>
      </c>
      <c r="BQ122" s="1">
        <v>6.9606796500000003</v>
      </c>
      <c r="BR122" s="1">
        <v>0.13060139000000001</v>
      </c>
      <c r="BS122" s="1" t="s">
        <v>169</v>
      </c>
      <c r="BT122" s="1" t="s">
        <v>169</v>
      </c>
      <c r="BU122" s="1">
        <v>26356083.120000001</v>
      </c>
      <c r="BV122" s="1">
        <v>0</v>
      </c>
      <c r="BW122" s="1">
        <v>141.79</v>
      </c>
      <c r="BX122" s="1">
        <v>0.08</v>
      </c>
      <c r="BY122" s="1" t="s">
        <v>170</v>
      </c>
      <c r="BZ122" s="1">
        <v>-78038.69</v>
      </c>
      <c r="CA122" s="1" t="s">
        <v>250</v>
      </c>
      <c r="CB122" s="1" t="s">
        <v>251</v>
      </c>
      <c r="CC122" s="1">
        <v>-26956.240000000002</v>
      </c>
      <c r="CD122" s="1">
        <v>-26956.240000000002</v>
      </c>
      <c r="CE122" s="1">
        <v>172847.91</v>
      </c>
      <c r="CF122" s="1">
        <v>172847.91</v>
      </c>
      <c r="CG122" s="1">
        <v>0</v>
      </c>
      <c r="CH122" s="1">
        <v>1.4438757900000001</v>
      </c>
      <c r="CI122" s="1">
        <v>13.27863496</v>
      </c>
      <c r="CJ122" s="1">
        <v>17588381.91</v>
      </c>
      <c r="CK122" s="1">
        <v>1912503.72</v>
      </c>
      <c r="CL122" s="1">
        <v>6269233.6699999999</v>
      </c>
      <c r="CM122" s="1" t="s">
        <v>164</v>
      </c>
      <c r="CN122" s="1" t="s">
        <v>164</v>
      </c>
      <c r="CO122" s="1" t="s">
        <v>184</v>
      </c>
      <c r="CP122" s="1" t="s">
        <v>243</v>
      </c>
      <c r="CQ122" s="3" t="s">
        <v>252</v>
      </c>
      <c r="CR122" s="1">
        <v>0</v>
      </c>
      <c r="CS122" s="1" t="s">
        <v>243</v>
      </c>
      <c r="CT122" s="1">
        <v>0.1399378</v>
      </c>
      <c r="CV122" s="1">
        <v>0</v>
      </c>
      <c r="CW122" s="1">
        <v>-219173.26</v>
      </c>
      <c r="DA122" s="1">
        <v>1355558.46</v>
      </c>
      <c r="DB122" s="1">
        <v>0</v>
      </c>
      <c r="DC122" s="1">
        <v>2520.3126550000002</v>
      </c>
      <c r="DD122" s="1">
        <v>52555.483399999997</v>
      </c>
      <c r="DE122" s="1">
        <v>-296353.43</v>
      </c>
      <c r="DF122" s="1">
        <v>92570020.519999996</v>
      </c>
      <c r="DG122" s="1">
        <v>141.79</v>
      </c>
      <c r="DH122" s="1">
        <v>394770.09</v>
      </c>
      <c r="DI122" s="1">
        <v>0.29803809999999997</v>
      </c>
      <c r="DK122" s="1">
        <v>0</v>
      </c>
      <c r="DL122" s="1">
        <v>0</v>
      </c>
      <c r="DM122" s="1">
        <v>-296353.43</v>
      </c>
      <c r="DN122" s="1">
        <v>0</v>
      </c>
      <c r="DO122" s="1">
        <v>0</v>
      </c>
      <c r="DP122" s="1">
        <v>16777215</v>
      </c>
      <c r="DQ122" s="1">
        <v>0</v>
      </c>
      <c r="DR122" s="1">
        <v>0</v>
      </c>
      <c r="DS122" s="1">
        <v>0</v>
      </c>
      <c r="DT122" s="1">
        <v>0</v>
      </c>
      <c r="DU122" s="1">
        <v>0</v>
      </c>
      <c r="DV122" s="1">
        <v>172989.7</v>
      </c>
      <c r="DW122" s="1">
        <v>172989.7</v>
      </c>
      <c r="DX122" s="1">
        <v>31345322.399999999</v>
      </c>
      <c r="DY122" s="1">
        <v>-1110160.2399999984</v>
      </c>
      <c r="DZ122" s="1">
        <v>92570020.519999966</v>
      </c>
      <c r="EA122" s="1">
        <v>0</v>
      </c>
      <c r="EB122" s="1">
        <v>0</v>
      </c>
      <c r="EC122" s="1" t="s">
        <v>176</v>
      </c>
      <c r="EE122" s="1">
        <v>0</v>
      </c>
      <c r="EF122" s="1">
        <v>3</v>
      </c>
      <c r="EG122" s="1">
        <v>0</v>
      </c>
      <c r="EH122" s="3">
        <v>0.18687443000000001</v>
      </c>
      <c r="EI122" s="1">
        <v>0</v>
      </c>
      <c r="EL122" s="1">
        <v>0</v>
      </c>
      <c r="EM122" s="1">
        <v>0</v>
      </c>
      <c r="EN122" s="1">
        <v>1633661.45</v>
      </c>
      <c r="EO122" s="1">
        <v>1.2333592799999999</v>
      </c>
      <c r="ER122" s="1">
        <v>86.502885245901993</v>
      </c>
      <c r="ES122" s="1">
        <v>1</v>
      </c>
      <c r="ET122" s="3">
        <v>6.9042335809999997</v>
      </c>
      <c r="EU122" s="3">
        <v>3.2493513799999998</v>
      </c>
      <c r="EV122" s="3">
        <v>2.6292529315389999</v>
      </c>
      <c r="EW122" s="3">
        <v>3.6082191780000001</v>
      </c>
      <c r="EX122" s="3">
        <v>0.122838449</v>
      </c>
      <c r="EY122" s="3">
        <v>36</v>
      </c>
      <c r="EZ122" s="3">
        <v>1317</v>
      </c>
      <c r="FA122" s="1">
        <v>0</v>
      </c>
      <c r="FB122" s="1">
        <v>0</v>
      </c>
      <c r="FC122" s="3">
        <v>2.383930528</v>
      </c>
      <c r="FD122" s="1">
        <v>0</v>
      </c>
      <c r="FE122" s="1">
        <v>0</v>
      </c>
    </row>
    <row r="123" spans="1:161" x14ac:dyDescent="0.3">
      <c r="A123" s="1">
        <v>16975531</v>
      </c>
      <c r="B123" s="1">
        <v>128</v>
      </c>
      <c r="C123" s="1">
        <v>10612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8</v>
      </c>
      <c r="J123" s="3">
        <v>8</v>
      </c>
      <c r="K123" s="1">
        <v>800000</v>
      </c>
      <c r="L123" s="1">
        <v>800000</v>
      </c>
      <c r="M123" s="1">
        <v>800000</v>
      </c>
      <c r="N123" s="3">
        <v>800000</v>
      </c>
      <c r="O123" s="1">
        <v>798432</v>
      </c>
      <c r="P123" s="1">
        <v>798432</v>
      </c>
      <c r="Q123" s="1">
        <v>798432</v>
      </c>
      <c r="R123" s="1">
        <v>798432</v>
      </c>
      <c r="S123" s="1">
        <v>800000</v>
      </c>
      <c r="T123" s="1">
        <v>800000</v>
      </c>
      <c r="U123" s="1">
        <v>800000</v>
      </c>
      <c r="V123" s="1">
        <v>800000</v>
      </c>
      <c r="W123" s="1">
        <v>0</v>
      </c>
      <c r="X123" s="1">
        <v>0</v>
      </c>
      <c r="Y123" s="1">
        <v>0</v>
      </c>
      <c r="Z123" s="1">
        <v>0</v>
      </c>
      <c r="AA123" s="1">
        <v>11489.52</v>
      </c>
      <c r="AB123" s="1">
        <v>11489.52</v>
      </c>
      <c r="AC123" s="1">
        <v>11489.52</v>
      </c>
      <c r="AD123" s="1">
        <v>11489.52</v>
      </c>
      <c r="AE123" s="3" t="s">
        <v>689</v>
      </c>
      <c r="AF123" s="3" t="s">
        <v>161</v>
      </c>
      <c r="AG123" s="1" t="s">
        <v>970</v>
      </c>
      <c r="AH123" s="3" t="s">
        <v>690</v>
      </c>
      <c r="AI123" s="1">
        <v>4</v>
      </c>
      <c r="AJ123" s="3" t="s">
        <v>165</v>
      </c>
      <c r="AK123" s="1" t="s">
        <v>191</v>
      </c>
      <c r="AL123" s="3">
        <v>101.39122975409801</v>
      </c>
      <c r="AM123" s="3">
        <v>101.390614754099</v>
      </c>
      <c r="AN123" s="3">
        <v>811124.92</v>
      </c>
      <c r="AO123" s="3">
        <v>811124.92</v>
      </c>
      <c r="AP123" s="1" t="s">
        <v>164</v>
      </c>
      <c r="AQ123" s="1">
        <v>4</v>
      </c>
      <c r="AR123" s="1" t="s">
        <v>165</v>
      </c>
      <c r="AS123" s="3">
        <v>132534288.59999999</v>
      </c>
      <c r="AT123" s="1" t="s">
        <v>176</v>
      </c>
      <c r="AU123" s="1">
        <v>1</v>
      </c>
      <c r="AV123" s="1">
        <v>1</v>
      </c>
      <c r="AW123" s="3" t="s">
        <v>210</v>
      </c>
      <c r="AX123" s="3" t="s">
        <v>237</v>
      </c>
      <c r="AY123" s="1">
        <v>0</v>
      </c>
      <c r="BA123" s="3">
        <v>8205251.6799999997</v>
      </c>
      <c r="BB123" s="1">
        <v>1</v>
      </c>
      <c r="BD123" s="1" t="s">
        <v>971</v>
      </c>
      <c r="BE123" s="1">
        <v>1</v>
      </c>
      <c r="BF123" s="1">
        <v>1</v>
      </c>
      <c r="BG123" s="1" t="s">
        <v>168</v>
      </c>
      <c r="BH123" s="1">
        <v>0</v>
      </c>
      <c r="BI123" s="1">
        <v>31345322.399999999</v>
      </c>
      <c r="BJ123" s="1">
        <v>0</v>
      </c>
      <c r="BK123" s="1">
        <v>123618989.48999999</v>
      </c>
      <c r="BL123" s="1">
        <v>132456249.91</v>
      </c>
      <c r="BM123" s="1">
        <v>596150.00000000012</v>
      </c>
      <c r="BN123" s="1">
        <v>9219855.2300000004</v>
      </c>
      <c r="BO123" s="1">
        <v>23.664660909999998</v>
      </c>
      <c r="BP123" s="1">
        <v>0.45007313999999998</v>
      </c>
      <c r="BQ123" s="1">
        <v>6.9606796500000003</v>
      </c>
      <c r="BR123" s="1">
        <v>0.61237195</v>
      </c>
      <c r="BS123" s="1" t="s">
        <v>169</v>
      </c>
      <c r="BT123" s="1" t="s">
        <v>169</v>
      </c>
      <c r="BU123" s="1">
        <v>26356083.120000001</v>
      </c>
      <c r="BV123" s="1">
        <v>0</v>
      </c>
      <c r="BW123" s="1">
        <v>-4.92</v>
      </c>
      <c r="BX123" s="1">
        <v>0</v>
      </c>
      <c r="BY123" s="1" t="s">
        <v>170</v>
      </c>
      <c r="BZ123" s="1">
        <v>-78038.69</v>
      </c>
      <c r="CA123" s="1" t="s">
        <v>250</v>
      </c>
      <c r="CB123" s="1" t="s">
        <v>251</v>
      </c>
      <c r="CC123" s="1">
        <v>1208.32</v>
      </c>
      <c r="CD123" s="1">
        <v>1208.32</v>
      </c>
      <c r="CE123" s="1">
        <v>811129.84</v>
      </c>
      <c r="CF123" s="1">
        <v>811129.84</v>
      </c>
      <c r="CG123" s="1">
        <v>0</v>
      </c>
      <c r="CH123" s="1">
        <v>1.4438757900000001</v>
      </c>
      <c r="CI123" s="1">
        <v>13.27863496</v>
      </c>
      <c r="CJ123" s="1">
        <v>17588381.91</v>
      </c>
      <c r="CK123" s="1">
        <v>1912503.72</v>
      </c>
      <c r="CL123" s="1">
        <v>6269233.6699999999</v>
      </c>
      <c r="CM123" s="1" t="s">
        <v>164</v>
      </c>
      <c r="CN123" s="1" t="s">
        <v>164</v>
      </c>
      <c r="CO123" s="1" t="s">
        <v>184</v>
      </c>
      <c r="CP123" s="1" t="s">
        <v>243</v>
      </c>
      <c r="CQ123" s="3" t="s">
        <v>252</v>
      </c>
      <c r="CR123" s="1">
        <v>0</v>
      </c>
      <c r="CS123" s="1" t="s">
        <v>243</v>
      </c>
      <c r="CT123" s="1">
        <v>0.65614912999999997</v>
      </c>
      <c r="CV123" s="1">
        <v>0</v>
      </c>
      <c r="CW123" s="1">
        <v>-219173.26</v>
      </c>
      <c r="DA123" s="1">
        <v>1355558.46</v>
      </c>
      <c r="DB123" s="1">
        <v>0</v>
      </c>
      <c r="DC123" s="1">
        <v>2520.3126550000002</v>
      </c>
      <c r="DD123" s="1">
        <v>52555.483399999997</v>
      </c>
      <c r="DE123" s="1">
        <v>-296353.43</v>
      </c>
      <c r="DF123" s="1">
        <v>92570020.519999996</v>
      </c>
      <c r="DG123" s="1">
        <v>-4.92</v>
      </c>
      <c r="DH123" s="1">
        <v>394770.09</v>
      </c>
      <c r="DI123" s="1">
        <v>0.29803809999999997</v>
      </c>
      <c r="DK123" s="1">
        <v>0</v>
      </c>
      <c r="DL123" s="1">
        <v>0</v>
      </c>
      <c r="DM123" s="1">
        <v>-296353.43</v>
      </c>
      <c r="DN123" s="1">
        <v>0</v>
      </c>
      <c r="DO123" s="1">
        <v>0</v>
      </c>
      <c r="DP123" s="1">
        <v>16777215</v>
      </c>
      <c r="DQ123" s="1">
        <v>0</v>
      </c>
      <c r="DR123" s="1">
        <v>0</v>
      </c>
      <c r="DS123" s="1">
        <v>0</v>
      </c>
      <c r="DT123" s="1">
        <v>0</v>
      </c>
      <c r="DU123" s="1">
        <v>0</v>
      </c>
      <c r="DV123" s="1">
        <v>811124.92</v>
      </c>
      <c r="DW123" s="1">
        <v>811124.92</v>
      </c>
      <c r="DX123" s="1">
        <v>31345322.399999999</v>
      </c>
      <c r="DY123" s="1">
        <v>-1110160.2399999984</v>
      </c>
      <c r="DZ123" s="1">
        <v>92570020.519999966</v>
      </c>
      <c r="EA123" s="1">
        <v>0</v>
      </c>
      <c r="EB123" s="1">
        <v>0</v>
      </c>
      <c r="EC123" s="1" t="s">
        <v>176</v>
      </c>
      <c r="EE123" s="1">
        <v>0</v>
      </c>
      <c r="EF123" s="1">
        <v>3</v>
      </c>
      <c r="EG123" s="1">
        <v>0</v>
      </c>
      <c r="EH123" s="3">
        <v>0.87622851999999996</v>
      </c>
      <c r="EI123" s="1">
        <v>0</v>
      </c>
      <c r="EL123" s="1">
        <v>0</v>
      </c>
      <c r="EM123" s="1">
        <v>0</v>
      </c>
      <c r="EN123" s="1">
        <v>1633661.45</v>
      </c>
      <c r="EO123" s="1">
        <v>1.2333592799999999</v>
      </c>
      <c r="ER123" s="1">
        <v>101.414819672132</v>
      </c>
      <c r="ES123" s="1">
        <v>1</v>
      </c>
      <c r="ET123" s="3">
        <v>4.509090853</v>
      </c>
      <c r="EU123" s="3">
        <v>1.6345298429999999</v>
      </c>
      <c r="EV123" s="3">
        <v>1.5861352143930001</v>
      </c>
      <c r="EW123" s="3">
        <v>1.6794520550000001</v>
      </c>
      <c r="EX123" s="3">
        <v>3.9803782000000003E-2</v>
      </c>
      <c r="EY123" s="3">
        <v>19</v>
      </c>
      <c r="EZ123" s="3">
        <v>613</v>
      </c>
      <c r="FA123" s="1">
        <v>0</v>
      </c>
      <c r="FB123" s="1">
        <v>0</v>
      </c>
      <c r="FC123" s="3">
        <v>5.5379638299999998</v>
      </c>
      <c r="FD123" s="1">
        <v>0</v>
      </c>
      <c r="FE123" s="1">
        <v>0</v>
      </c>
    </row>
    <row r="124" spans="1:161" x14ac:dyDescent="0.3">
      <c r="A124" s="1">
        <v>16975513</v>
      </c>
      <c r="B124" s="1">
        <v>128</v>
      </c>
      <c r="C124" s="1">
        <v>7225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5</v>
      </c>
      <c r="J124" s="3">
        <v>5</v>
      </c>
      <c r="K124" s="1">
        <v>500000</v>
      </c>
      <c r="L124" s="1">
        <v>500000</v>
      </c>
      <c r="M124" s="1">
        <v>500000</v>
      </c>
      <c r="N124" s="3">
        <v>500000</v>
      </c>
      <c r="O124" s="1">
        <v>491323.75</v>
      </c>
      <c r="P124" s="1">
        <v>491323.75</v>
      </c>
      <c r="Q124" s="1">
        <v>491323.75</v>
      </c>
      <c r="R124" s="1">
        <v>491323.75</v>
      </c>
      <c r="S124" s="1">
        <v>500000</v>
      </c>
      <c r="T124" s="1">
        <v>500000</v>
      </c>
      <c r="U124" s="1">
        <v>500000</v>
      </c>
      <c r="V124" s="1">
        <v>500000</v>
      </c>
      <c r="W124" s="1">
        <v>0</v>
      </c>
      <c r="X124" s="1">
        <v>0</v>
      </c>
      <c r="Y124" s="1">
        <v>0</v>
      </c>
      <c r="Z124" s="1">
        <v>0</v>
      </c>
      <c r="AA124" s="1">
        <v>9307.7800000000007</v>
      </c>
      <c r="AB124" s="1">
        <v>9307.7800000000007</v>
      </c>
      <c r="AC124" s="1">
        <v>9307.7800000000007</v>
      </c>
      <c r="AD124" s="1">
        <v>9307.7800000000007</v>
      </c>
      <c r="AE124" s="3" t="s">
        <v>342</v>
      </c>
      <c r="AF124" s="3" t="s">
        <v>161</v>
      </c>
      <c r="AG124" s="1" t="s">
        <v>970</v>
      </c>
      <c r="AH124" s="3" t="s">
        <v>343</v>
      </c>
      <c r="AI124" s="1">
        <v>4</v>
      </c>
      <c r="AJ124" s="3" t="s">
        <v>165</v>
      </c>
      <c r="AK124" s="1" t="s">
        <v>176</v>
      </c>
      <c r="AL124" s="3">
        <v>91.315466329044995</v>
      </c>
      <c r="AM124" s="3">
        <v>91.238212328767005</v>
      </c>
      <c r="AN124" s="3">
        <v>456191.06</v>
      </c>
      <c r="AO124" s="3">
        <v>456191.06</v>
      </c>
      <c r="AP124" s="1" t="s">
        <v>164</v>
      </c>
      <c r="AQ124" s="1">
        <v>4</v>
      </c>
      <c r="AR124" s="1" t="s">
        <v>165</v>
      </c>
      <c r="AS124" s="3">
        <v>132534288.59999999</v>
      </c>
      <c r="AT124" s="1" t="s">
        <v>176</v>
      </c>
      <c r="AU124" s="1">
        <v>1</v>
      </c>
      <c r="AV124" s="1">
        <v>1</v>
      </c>
      <c r="AW124" s="3" t="s">
        <v>210</v>
      </c>
      <c r="AX124" s="3" t="s">
        <v>237</v>
      </c>
      <c r="AY124" s="1">
        <v>0</v>
      </c>
      <c r="BA124" s="3">
        <v>8205251.6799999997</v>
      </c>
      <c r="BB124" s="1">
        <v>1</v>
      </c>
      <c r="BD124" s="1" t="s">
        <v>971</v>
      </c>
      <c r="BE124" s="1">
        <v>1</v>
      </c>
      <c r="BF124" s="1">
        <v>1</v>
      </c>
      <c r="BG124" s="1" t="s">
        <v>168</v>
      </c>
      <c r="BH124" s="1">
        <v>0</v>
      </c>
      <c r="BI124" s="1">
        <v>31345322.399999999</v>
      </c>
      <c r="BJ124" s="1">
        <v>0</v>
      </c>
      <c r="BK124" s="1">
        <v>123618989.48999999</v>
      </c>
      <c r="BL124" s="1">
        <v>132456249.91</v>
      </c>
      <c r="BM124" s="1">
        <v>596150.00000000012</v>
      </c>
      <c r="BN124" s="1">
        <v>9219855.2300000004</v>
      </c>
      <c r="BO124" s="1">
        <v>23.664660909999998</v>
      </c>
      <c r="BP124" s="1">
        <v>0.45007313999999998</v>
      </c>
      <c r="BQ124" s="1">
        <v>6.9606796500000003</v>
      </c>
      <c r="BR124" s="1">
        <v>0.34440885999999998</v>
      </c>
      <c r="BS124" s="1" t="s">
        <v>169</v>
      </c>
      <c r="BT124" s="1" t="s">
        <v>169</v>
      </c>
      <c r="BU124" s="1">
        <v>26356083.120000001</v>
      </c>
      <c r="BV124" s="1">
        <v>0</v>
      </c>
      <c r="BW124" s="1">
        <v>-386.27</v>
      </c>
      <c r="BX124" s="1">
        <v>-0.09</v>
      </c>
      <c r="BY124" s="1" t="s">
        <v>170</v>
      </c>
      <c r="BZ124" s="1">
        <v>-78038.69</v>
      </c>
      <c r="CA124" s="1" t="s">
        <v>250</v>
      </c>
      <c r="CB124" s="1" t="s">
        <v>344</v>
      </c>
      <c r="CC124" s="1">
        <v>-44054.2</v>
      </c>
      <c r="CD124" s="1">
        <v>-44054.2</v>
      </c>
      <c r="CE124" s="1">
        <v>456577.33</v>
      </c>
      <c r="CF124" s="1">
        <v>456577.33</v>
      </c>
      <c r="CG124" s="1">
        <v>0</v>
      </c>
      <c r="CH124" s="1">
        <v>1.4438757900000001</v>
      </c>
      <c r="CI124" s="1">
        <v>13.27863496</v>
      </c>
      <c r="CJ124" s="1">
        <v>17588381.91</v>
      </c>
      <c r="CK124" s="1">
        <v>1912503.72</v>
      </c>
      <c r="CL124" s="1">
        <v>6269233.6699999999</v>
      </c>
      <c r="CM124" s="1" t="s">
        <v>164</v>
      </c>
      <c r="CN124" s="1" t="s">
        <v>164</v>
      </c>
      <c r="CO124" s="1" t="s">
        <v>184</v>
      </c>
      <c r="CP124" s="1" t="s">
        <v>243</v>
      </c>
      <c r="CQ124" s="3" t="s">
        <v>252</v>
      </c>
      <c r="CR124" s="1">
        <v>0</v>
      </c>
      <c r="CS124" s="1" t="s">
        <v>243</v>
      </c>
      <c r="CT124" s="1">
        <v>0.36902992000000001</v>
      </c>
      <c r="CV124" s="1">
        <v>0</v>
      </c>
      <c r="CW124" s="1">
        <v>-219173.26</v>
      </c>
      <c r="DA124" s="1">
        <v>1355558.46</v>
      </c>
      <c r="DB124" s="1">
        <v>0</v>
      </c>
      <c r="DC124" s="1">
        <v>2520.3126550000002</v>
      </c>
      <c r="DD124" s="1">
        <v>52555.483399999997</v>
      </c>
      <c r="DE124" s="1">
        <v>-296353.43</v>
      </c>
      <c r="DF124" s="1">
        <v>92570020.519999996</v>
      </c>
      <c r="DG124" s="1">
        <v>-386.27</v>
      </c>
      <c r="DH124" s="1">
        <v>394770.09</v>
      </c>
      <c r="DI124" s="1">
        <v>0.29803809999999997</v>
      </c>
      <c r="DK124" s="1">
        <v>0</v>
      </c>
      <c r="DL124" s="1">
        <v>0</v>
      </c>
      <c r="DM124" s="1">
        <v>-296353.43</v>
      </c>
      <c r="DN124" s="1">
        <v>0</v>
      </c>
      <c r="DO124" s="1">
        <v>0</v>
      </c>
      <c r="DP124" s="1">
        <v>16777215</v>
      </c>
      <c r="DQ124" s="1">
        <v>0</v>
      </c>
      <c r="DR124" s="1">
        <v>0</v>
      </c>
      <c r="DS124" s="1">
        <v>0</v>
      </c>
      <c r="DT124" s="1">
        <v>0</v>
      </c>
      <c r="DU124" s="1">
        <v>0</v>
      </c>
      <c r="DV124" s="1">
        <v>456191.06</v>
      </c>
      <c r="DW124" s="1">
        <v>456191.06</v>
      </c>
      <c r="DX124" s="1">
        <v>31345322.399999999</v>
      </c>
      <c r="DY124" s="1">
        <v>-1110160.2399999984</v>
      </c>
      <c r="DZ124" s="1">
        <v>92570020.519999966</v>
      </c>
      <c r="EA124" s="1">
        <v>0</v>
      </c>
      <c r="EB124" s="1">
        <v>0</v>
      </c>
      <c r="EC124" s="1" t="s">
        <v>176</v>
      </c>
      <c r="EE124" s="1">
        <v>0</v>
      </c>
      <c r="EF124" s="1">
        <v>3</v>
      </c>
      <c r="EG124" s="1">
        <v>0</v>
      </c>
      <c r="EH124" s="3">
        <v>0.49280647999999999</v>
      </c>
      <c r="EI124" s="1">
        <v>0</v>
      </c>
      <c r="EL124" s="1">
        <v>0</v>
      </c>
      <c r="EM124" s="1">
        <v>0</v>
      </c>
      <c r="EN124" s="1">
        <v>1633661.45</v>
      </c>
      <c r="EO124" s="1">
        <v>1.2333592799999999</v>
      </c>
      <c r="ER124" s="1">
        <v>91.290630136987005</v>
      </c>
      <c r="ES124" s="1">
        <v>1</v>
      </c>
      <c r="ET124" s="3">
        <v>4.5389875049999997</v>
      </c>
      <c r="EU124" s="3">
        <v>3.0408633520000001</v>
      </c>
      <c r="EV124" s="3">
        <v>2.655490915448</v>
      </c>
      <c r="EW124" s="3">
        <v>3.1150684929999999</v>
      </c>
      <c r="EX124" s="3">
        <v>0.11393344499999999</v>
      </c>
      <c r="EY124" s="3">
        <v>35</v>
      </c>
      <c r="EZ124" s="3">
        <v>1137</v>
      </c>
      <c r="FA124" s="1">
        <v>0</v>
      </c>
      <c r="FB124" s="1">
        <v>0</v>
      </c>
      <c r="FC124" s="3">
        <v>2.040132732</v>
      </c>
      <c r="FD124" s="1">
        <v>0</v>
      </c>
      <c r="FE124" s="1">
        <v>0</v>
      </c>
    </row>
    <row r="125" spans="1:161" x14ac:dyDescent="0.3">
      <c r="A125" s="1">
        <v>16975504</v>
      </c>
      <c r="B125" s="1">
        <v>128</v>
      </c>
      <c r="C125" s="1">
        <v>7063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3</v>
      </c>
      <c r="J125" s="3">
        <v>3</v>
      </c>
      <c r="K125" s="1">
        <v>300000</v>
      </c>
      <c r="L125" s="1">
        <v>300000</v>
      </c>
      <c r="M125" s="1">
        <v>300000</v>
      </c>
      <c r="N125" s="3">
        <v>300000</v>
      </c>
      <c r="O125" s="1">
        <v>300996</v>
      </c>
      <c r="P125" s="1">
        <v>300996</v>
      </c>
      <c r="Q125" s="1">
        <v>300996</v>
      </c>
      <c r="R125" s="1">
        <v>300996</v>
      </c>
      <c r="S125" s="1">
        <v>300000</v>
      </c>
      <c r="T125" s="1">
        <v>300000</v>
      </c>
      <c r="U125" s="1">
        <v>300000</v>
      </c>
      <c r="V125" s="1">
        <v>300000</v>
      </c>
      <c r="W125" s="1">
        <v>0</v>
      </c>
      <c r="X125" s="1">
        <v>0</v>
      </c>
      <c r="Y125" s="1">
        <v>0</v>
      </c>
      <c r="Z125" s="1">
        <v>0</v>
      </c>
      <c r="AA125" s="1">
        <v>5.8</v>
      </c>
      <c r="AB125" s="1">
        <v>5.8</v>
      </c>
      <c r="AC125" s="1">
        <v>5.8</v>
      </c>
      <c r="AD125" s="1">
        <v>5.8</v>
      </c>
      <c r="AE125" s="3" t="s">
        <v>345</v>
      </c>
      <c r="AF125" s="3" t="s">
        <v>161</v>
      </c>
      <c r="AG125" s="1" t="s">
        <v>970</v>
      </c>
      <c r="AH125" s="3" t="s">
        <v>346</v>
      </c>
      <c r="AI125" s="1">
        <v>4</v>
      </c>
      <c r="AJ125" s="3" t="s">
        <v>165</v>
      </c>
      <c r="AK125" s="1" t="s">
        <v>176</v>
      </c>
      <c r="AL125" s="3">
        <v>91.415818468801007</v>
      </c>
      <c r="AM125" s="3">
        <v>91.347491803278999</v>
      </c>
      <c r="AN125" s="3">
        <v>274042.48</v>
      </c>
      <c r="AO125" s="3">
        <v>274042.48</v>
      </c>
      <c r="AP125" s="1" t="s">
        <v>164</v>
      </c>
      <c r="AQ125" s="1">
        <v>4</v>
      </c>
      <c r="AR125" s="1" t="s">
        <v>165</v>
      </c>
      <c r="AS125" s="3">
        <v>132534288.59999999</v>
      </c>
      <c r="AT125" s="1" t="s">
        <v>176</v>
      </c>
      <c r="AU125" s="1">
        <v>1</v>
      </c>
      <c r="AV125" s="1">
        <v>1</v>
      </c>
      <c r="AW125" s="3" t="s">
        <v>210</v>
      </c>
      <c r="AX125" s="3" t="s">
        <v>237</v>
      </c>
      <c r="AY125" s="1">
        <v>0</v>
      </c>
      <c r="BA125" s="3">
        <v>8205251.6799999997</v>
      </c>
      <c r="BB125" s="1">
        <v>1</v>
      </c>
      <c r="BD125" s="1" t="s">
        <v>971</v>
      </c>
      <c r="BE125" s="1">
        <v>1</v>
      </c>
      <c r="BF125" s="1">
        <v>1</v>
      </c>
      <c r="BG125" s="1" t="s">
        <v>168</v>
      </c>
      <c r="BH125" s="1">
        <v>0</v>
      </c>
      <c r="BI125" s="1">
        <v>31345322.399999999</v>
      </c>
      <c r="BJ125" s="1">
        <v>0</v>
      </c>
      <c r="BK125" s="1">
        <v>123618989.48999999</v>
      </c>
      <c r="BL125" s="1">
        <v>132456249.91</v>
      </c>
      <c r="BM125" s="1">
        <v>596150.00000000012</v>
      </c>
      <c r="BN125" s="1">
        <v>9219855.2300000004</v>
      </c>
      <c r="BO125" s="1">
        <v>23.664660909999998</v>
      </c>
      <c r="BP125" s="1">
        <v>0.45007313999999998</v>
      </c>
      <c r="BQ125" s="1">
        <v>6.9606796500000003</v>
      </c>
      <c r="BR125" s="1">
        <v>0.20689283</v>
      </c>
      <c r="BS125" s="1" t="s">
        <v>169</v>
      </c>
      <c r="BT125" s="1" t="s">
        <v>169</v>
      </c>
      <c r="BU125" s="1">
        <v>26356083.120000001</v>
      </c>
      <c r="BV125" s="1">
        <v>0</v>
      </c>
      <c r="BW125" s="1">
        <v>-204.98</v>
      </c>
      <c r="BX125" s="1">
        <v>-0.08</v>
      </c>
      <c r="BY125" s="1" t="s">
        <v>170</v>
      </c>
      <c r="BZ125" s="1">
        <v>-78038.69</v>
      </c>
      <c r="CA125" s="1" t="s">
        <v>250</v>
      </c>
      <c r="CB125" s="1" t="s">
        <v>344</v>
      </c>
      <c r="CC125" s="1">
        <v>-26754.34</v>
      </c>
      <c r="CD125" s="1">
        <v>-26754.34</v>
      </c>
      <c r="CE125" s="1">
        <v>274247.46000000002</v>
      </c>
      <c r="CF125" s="1">
        <v>274247.46000000002</v>
      </c>
      <c r="CG125" s="1">
        <v>0</v>
      </c>
      <c r="CH125" s="1">
        <v>1.4438757900000001</v>
      </c>
      <c r="CI125" s="1">
        <v>13.27863496</v>
      </c>
      <c r="CJ125" s="1">
        <v>17588381.91</v>
      </c>
      <c r="CK125" s="1">
        <v>1912503.72</v>
      </c>
      <c r="CL125" s="1">
        <v>6269233.6699999999</v>
      </c>
      <c r="CM125" s="1" t="s">
        <v>164</v>
      </c>
      <c r="CN125" s="1" t="s">
        <v>164</v>
      </c>
      <c r="CO125" s="1" t="s">
        <v>184</v>
      </c>
      <c r="CP125" s="1" t="s">
        <v>243</v>
      </c>
      <c r="CQ125" s="3" t="s">
        <v>252</v>
      </c>
      <c r="CR125" s="1">
        <v>0</v>
      </c>
      <c r="CS125" s="1" t="s">
        <v>243</v>
      </c>
      <c r="CT125" s="1">
        <v>0.22168315999999999</v>
      </c>
      <c r="CV125" s="1">
        <v>0</v>
      </c>
      <c r="CW125" s="1">
        <v>-219173.26</v>
      </c>
      <c r="DA125" s="1">
        <v>1355558.46</v>
      </c>
      <c r="DB125" s="1">
        <v>0</v>
      </c>
      <c r="DC125" s="1">
        <v>2520.3126550000002</v>
      </c>
      <c r="DD125" s="1">
        <v>52555.483399999997</v>
      </c>
      <c r="DE125" s="1">
        <v>-296353.43</v>
      </c>
      <c r="DF125" s="1">
        <v>92570020.519999996</v>
      </c>
      <c r="DG125" s="1">
        <v>-204.98</v>
      </c>
      <c r="DH125" s="1">
        <v>394770.09</v>
      </c>
      <c r="DI125" s="1">
        <v>0.29803809999999997</v>
      </c>
      <c r="DK125" s="1">
        <v>0</v>
      </c>
      <c r="DL125" s="1">
        <v>0</v>
      </c>
      <c r="DM125" s="1">
        <v>-296353.43</v>
      </c>
      <c r="DN125" s="1">
        <v>0</v>
      </c>
      <c r="DO125" s="1">
        <v>0</v>
      </c>
      <c r="DP125" s="1">
        <v>16777215</v>
      </c>
      <c r="DQ125" s="1">
        <v>0</v>
      </c>
      <c r="DR125" s="1">
        <v>0</v>
      </c>
      <c r="DS125" s="1">
        <v>0</v>
      </c>
      <c r="DT125" s="1">
        <v>0</v>
      </c>
      <c r="DU125" s="1">
        <v>0</v>
      </c>
      <c r="DV125" s="1">
        <v>274042.48</v>
      </c>
      <c r="DW125" s="1">
        <v>274042.48</v>
      </c>
      <c r="DX125" s="1">
        <v>31345322.399999999</v>
      </c>
      <c r="DY125" s="1">
        <v>-1110160.2399999984</v>
      </c>
      <c r="DZ125" s="1">
        <v>92570020.519999966</v>
      </c>
      <c r="EA125" s="1">
        <v>0</v>
      </c>
      <c r="EB125" s="1">
        <v>0</v>
      </c>
      <c r="EC125" s="1" t="s">
        <v>176</v>
      </c>
      <c r="EE125" s="1">
        <v>0</v>
      </c>
      <c r="EF125" s="1">
        <v>3</v>
      </c>
      <c r="EG125" s="1">
        <v>0</v>
      </c>
      <c r="EH125" s="3">
        <v>0.29603805</v>
      </c>
      <c r="EI125" s="1">
        <v>0</v>
      </c>
      <c r="EL125" s="1">
        <v>0</v>
      </c>
      <c r="EM125" s="1">
        <v>0</v>
      </c>
      <c r="EN125" s="1">
        <v>1633661.45</v>
      </c>
      <c r="EO125" s="1">
        <v>1.2333592799999999</v>
      </c>
      <c r="ER125" s="1">
        <v>91.089101092896996</v>
      </c>
      <c r="ES125" s="1">
        <v>1</v>
      </c>
      <c r="ET125" s="3">
        <v>4.4505070040000003</v>
      </c>
      <c r="EU125" s="3">
        <v>2.737549435</v>
      </c>
      <c r="EV125" s="3">
        <v>2.3873595674149999</v>
      </c>
      <c r="EW125" s="3">
        <v>2.7671232880000001</v>
      </c>
      <c r="EX125" s="3">
        <v>9.4199064999999998E-2</v>
      </c>
      <c r="EY125" s="3">
        <v>31</v>
      </c>
      <c r="EZ125" s="3">
        <v>1010</v>
      </c>
      <c r="FA125" s="1">
        <v>0</v>
      </c>
      <c r="FB125" s="1">
        <v>0</v>
      </c>
      <c r="FC125" s="3">
        <v>0.82833387400000003</v>
      </c>
      <c r="FD125" s="1">
        <v>0</v>
      </c>
      <c r="FE125" s="1">
        <v>0</v>
      </c>
    </row>
    <row r="126" spans="1:161" x14ac:dyDescent="0.3">
      <c r="A126" s="1">
        <v>16975443</v>
      </c>
      <c r="B126" s="1">
        <v>128</v>
      </c>
      <c r="C126" s="1">
        <v>7177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2</v>
      </c>
      <c r="J126" s="3">
        <v>2</v>
      </c>
      <c r="K126" s="1">
        <v>200000</v>
      </c>
      <c r="L126" s="1">
        <v>200000</v>
      </c>
      <c r="M126" s="1">
        <v>200000</v>
      </c>
      <c r="N126" s="3">
        <v>200000</v>
      </c>
      <c r="O126" s="1">
        <v>202743</v>
      </c>
      <c r="P126" s="1">
        <v>202743</v>
      </c>
      <c r="Q126" s="1">
        <v>202743</v>
      </c>
      <c r="R126" s="1">
        <v>202743</v>
      </c>
      <c r="S126" s="1">
        <v>200000</v>
      </c>
      <c r="T126" s="1">
        <v>200000</v>
      </c>
      <c r="U126" s="1">
        <v>200000</v>
      </c>
      <c r="V126" s="1">
        <v>200000</v>
      </c>
      <c r="W126" s="1">
        <v>0</v>
      </c>
      <c r="X126" s="1">
        <v>0</v>
      </c>
      <c r="Y126" s="1">
        <v>0</v>
      </c>
      <c r="Z126" s="1">
        <v>0</v>
      </c>
      <c r="AA126" s="1">
        <v>2464</v>
      </c>
      <c r="AB126" s="1">
        <v>2464</v>
      </c>
      <c r="AC126" s="1">
        <v>2464</v>
      </c>
      <c r="AD126" s="1">
        <v>2464</v>
      </c>
      <c r="AE126" s="3" t="s">
        <v>347</v>
      </c>
      <c r="AF126" s="3" t="s">
        <v>161</v>
      </c>
      <c r="AG126" s="1" t="s">
        <v>970</v>
      </c>
      <c r="AH126" s="3" t="s">
        <v>348</v>
      </c>
      <c r="AI126" s="1">
        <v>4</v>
      </c>
      <c r="AJ126" s="3" t="s">
        <v>165</v>
      </c>
      <c r="AK126" s="1" t="s">
        <v>176</v>
      </c>
      <c r="AL126" s="3">
        <v>98.298043551592997</v>
      </c>
      <c r="AM126" s="3">
        <v>98.276453551911004</v>
      </c>
      <c r="AN126" s="3">
        <v>196552.91</v>
      </c>
      <c r="AO126" s="3">
        <v>196552.91</v>
      </c>
      <c r="AP126" s="1" t="s">
        <v>164</v>
      </c>
      <c r="AQ126" s="1">
        <v>4</v>
      </c>
      <c r="AR126" s="1" t="s">
        <v>165</v>
      </c>
      <c r="AS126" s="3">
        <v>132534288.59999999</v>
      </c>
      <c r="AT126" s="1" t="s">
        <v>176</v>
      </c>
      <c r="AU126" s="1">
        <v>1</v>
      </c>
      <c r="AV126" s="1">
        <v>1</v>
      </c>
      <c r="AW126" s="3" t="s">
        <v>210</v>
      </c>
      <c r="AX126" s="3" t="s">
        <v>237</v>
      </c>
      <c r="AY126" s="1">
        <v>0</v>
      </c>
      <c r="BA126" s="3">
        <v>8205251.6799999997</v>
      </c>
      <c r="BB126" s="1">
        <v>1</v>
      </c>
      <c r="BD126" s="1" t="s">
        <v>971</v>
      </c>
      <c r="BE126" s="1">
        <v>1</v>
      </c>
      <c r="BF126" s="1">
        <v>1</v>
      </c>
      <c r="BG126" s="1" t="s">
        <v>168</v>
      </c>
      <c r="BH126" s="1">
        <v>0</v>
      </c>
      <c r="BI126" s="1">
        <v>31345322.399999999</v>
      </c>
      <c r="BJ126" s="1">
        <v>0</v>
      </c>
      <c r="BK126" s="1">
        <v>123618989.48999999</v>
      </c>
      <c r="BL126" s="1">
        <v>132456249.91</v>
      </c>
      <c r="BM126" s="1">
        <v>596150.00000000012</v>
      </c>
      <c r="BN126" s="1">
        <v>9219855.2300000004</v>
      </c>
      <c r="BO126" s="1">
        <v>23.664660909999998</v>
      </c>
      <c r="BP126" s="1">
        <v>0.45007313999999998</v>
      </c>
      <c r="BQ126" s="1">
        <v>6.9606796500000003</v>
      </c>
      <c r="BR126" s="1">
        <v>0.14839082000000001</v>
      </c>
      <c r="BS126" s="1" t="s">
        <v>169</v>
      </c>
      <c r="BT126" s="1" t="s">
        <v>169</v>
      </c>
      <c r="BU126" s="1">
        <v>26356083.120000001</v>
      </c>
      <c r="BV126" s="1">
        <v>0</v>
      </c>
      <c r="BW126" s="1">
        <v>-43.18</v>
      </c>
      <c r="BX126" s="1">
        <v>-0.02</v>
      </c>
      <c r="BY126" s="1" t="s">
        <v>170</v>
      </c>
      <c r="BZ126" s="1">
        <v>-78038.69</v>
      </c>
      <c r="CA126" s="1" t="s">
        <v>250</v>
      </c>
      <c r="CB126" s="1" t="s">
        <v>344</v>
      </c>
      <c r="CC126" s="1">
        <v>-8610.91</v>
      </c>
      <c r="CD126" s="1">
        <v>-8610.91</v>
      </c>
      <c r="CE126" s="1">
        <v>196596.09</v>
      </c>
      <c r="CF126" s="1">
        <v>196596.09</v>
      </c>
      <c r="CG126" s="1">
        <v>0</v>
      </c>
      <c r="CH126" s="1">
        <v>1.4438757900000001</v>
      </c>
      <c r="CI126" s="1">
        <v>13.27863496</v>
      </c>
      <c r="CJ126" s="1">
        <v>17588381.91</v>
      </c>
      <c r="CK126" s="1">
        <v>1912503.72</v>
      </c>
      <c r="CL126" s="1">
        <v>6269233.6699999999</v>
      </c>
      <c r="CM126" s="1" t="s">
        <v>164</v>
      </c>
      <c r="CN126" s="1" t="s">
        <v>164</v>
      </c>
      <c r="CO126" s="1" t="s">
        <v>184</v>
      </c>
      <c r="CP126" s="1" t="s">
        <v>243</v>
      </c>
      <c r="CQ126" s="3" t="s">
        <v>252</v>
      </c>
      <c r="CR126" s="1">
        <v>0</v>
      </c>
      <c r="CS126" s="1" t="s">
        <v>243</v>
      </c>
      <c r="CT126" s="1">
        <v>0.15899895999999999</v>
      </c>
      <c r="CV126" s="1">
        <v>0</v>
      </c>
      <c r="CW126" s="1">
        <v>-219173.26</v>
      </c>
      <c r="DA126" s="1">
        <v>1355558.46</v>
      </c>
      <c r="DB126" s="1">
        <v>0</v>
      </c>
      <c r="DC126" s="1">
        <v>2520.3126550000002</v>
      </c>
      <c r="DD126" s="1">
        <v>52555.483399999997</v>
      </c>
      <c r="DE126" s="1">
        <v>-296353.43</v>
      </c>
      <c r="DF126" s="1">
        <v>92570020.519999996</v>
      </c>
      <c r="DG126" s="1">
        <v>-43.18</v>
      </c>
      <c r="DH126" s="1">
        <v>394770.09</v>
      </c>
      <c r="DI126" s="1">
        <v>0.29803809999999997</v>
      </c>
      <c r="DK126" s="1">
        <v>0</v>
      </c>
      <c r="DL126" s="1">
        <v>0</v>
      </c>
      <c r="DM126" s="1">
        <v>-296353.43</v>
      </c>
      <c r="DN126" s="1">
        <v>0</v>
      </c>
      <c r="DO126" s="1">
        <v>0</v>
      </c>
      <c r="DP126" s="1">
        <v>16777215</v>
      </c>
      <c r="DQ126" s="1">
        <v>0</v>
      </c>
      <c r="DR126" s="1">
        <v>0</v>
      </c>
      <c r="DS126" s="1">
        <v>0</v>
      </c>
      <c r="DT126" s="1">
        <v>0</v>
      </c>
      <c r="DU126" s="1">
        <v>0</v>
      </c>
      <c r="DV126" s="1">
        <v>196552.91</v>
      </c>
      <c r="DW126" s="1">
        <v>196552.91</v>
      </c>
      <c r="DX126" s="1">
        <v>31345322.399999999</v>
      </c>
      <c r="DY126" s="1">
        <v>-1110160.2399999984</v>
      </c>
      <c r="DZ126" s="1">
        <v>92570020.519999966</v>
      </c>
      <c r="EA126" s="1">
        <v>0</v>
      </c>
      <c r="EB126" s="1">
        <v>0</v>
      </c>
      <c r="EC126" s="1" t="s">
        <v>176</v>
      </c>
      <c r="EE126" s="1">
        <v>0</v>
      </c>
      <c r="EF126" s="1">
        <v>3</v>
      </c>
      <c r="EG126" s="1">
        <v>0</v>
      </c>
      <c r="EH126" s="3">
        <v>0.21232889999999999</v>
      </c>
      <c r="EI126" s="1">
        <v>0</v>
      </c>
      <c r="EL126" s="1">
        <v>0</v>
      </c>
      <c r="EM126" s="1">
        <v>0</v>
      </c>
      <c r="EN126" s="1">
        <v>1633661.45</v>
      </c>
      <c r="EO126" s="1">
        <v>1.2333592799999999</v>
      </c>
      <c r="ER126" s="1">
        <v>98.265816939890001</v>
      </c>
      <c r="ES126" s="1">
        <v>1</v>
      </c>
      <c r="ET126" s="3">
        <v>7.4753793169999998</v>
      </c>
      <c r="EU126" s="3">
        <v>1.468306004</v>
      </c>
      <c r="EV126" s="3">
        <v>1.3424869021479999</v>
      </c>
      <c r="EW126" s="3">
        <v>1.515068493</v>
      </c>
      <c r="EX126" s="3">
        <v>3.1750845999999999E-2</v>
      </c>
      <c r="EY126" s="3">
        <v>16</v>
      </c>
      <c r="EZ126" s="3">
        <v>553</v>
      </c>
      <c r="FA126" s="1">
        <v>0</v>
      </c>
      <c r="FB126" s="1">
        <v>0</v>
      </c>
      <c r="FC126" s="3">
        <v>5.2224570349999997</v>
      </c>
      <c r="FD126" s="1">
        <v>0</v>
      </c>
      <c r="FE126" s="1">
        <v>0</v>
      </c>
    </row>
    <row r="127" spans="1:161" x14ac:dyDescent="0.3">
      <c r="A127" s="1">
        <v>16975441</v>
      </c>
      <c r="B127" s="1">
        <v>128</v>
      </c>
      <c r="C127" s="1">
        <v>9463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2</v>
      </c>
      <c r="J127" s="3">
        <v>2</v>
      </c>
      <c r="K127" s="1">
        <v>200000</v>
      </c>
      <c r="L127" s="1">
        <v>200000</v>
      </c>
      <c r="M127" s="1">
        <v>200000</v>
      </c>
      <c r="N127" s="3">
        <v>200000</v>
      </c>
      <c r="O127" s="1">
        <v>199962</v>
      </c>
      <c r="P127" s="1">
        <v>199962</v>
      </c>
      <c r="Q127" s="1">
        <v>199962</v>
      </c>
      <c r="R127" s="1">
        <v>199962</v>
      </c>
      <c r="S127" s="1">
        <v>200000</v>
      </c>
      <c r="T127" s="1">
        <v>200000</v>
      </c>
      <c r="U127" s="1">
        <v>200000</v>
      </c>
      <c r="V127" s="1">
        <v>200000</v>
      </c>
      <c r="W127" s="1">
        <v>0</v>
      </c>
      <c r="X127" s="1">
        <v>0</v>
      </c>
      <c r="Y127" s="1">
        <v>0</v>
      </c>
      <c r="Z127" s="1">
        <v>0</v>
      </c>
      <c r="AA127" s="1">
        <v>74.11</v>
      </c>
      <c r="AB127" s="1">
        <v>74.11</v>
      </c>
      <c r="AC127" s="1">
        <v>74.11</v>
      </c>
      <c r="AD127" s="1">
        <v>74.11</v>
      </c>
      <c r="AE127" s="3" t="s">
        <v>349</v>
      </c>
      <c r="AF127" s="3" t="s">
        <v>161</v>
      </c>
      <c r="AG127" s="1" t="s">
        <v>970</v>
      </c>
      <c r="AH127" s="3" t="s">
        <v>350</v>
      </c>
      <c r="AI127" s="1">
        <v>4</v>
      </c>
      <c r="AJ127" s="3" t="s">
        <v>165</v>
      </c>
      <c r="AK127" s="1" t="s">
        <v>176</v>
      </c>
      <c r="AL127" s="3">
        <v>86.995053002815993</v>
      </c>
      <c r="AM127" s="3">
        <v>86.879653005465002</v>
      </c>
      <c r="AN127" s="3">
        <v>173759.31</v>
      </c>
      <c r="AO127" s="3">
        <v>173759.31</v>
      </c>
      <c r="AP127" s="1" t="s">
        <v>164</v>
      </c>
      <c r="AQ127" s="1">
        <v>4</v>
      </c>
      <c r="AR127" s="1" t="s">
        <v>165</v>
      </c>
      <c r="AS127" s="3">
        <v>132534288.59999999</v>
      </c>
      <c r="AT127" s="1" t="s">
        <v>176</v>
      </c>
      <c r="AU127" s="1">
        <v>1</v>
      </c>
      <c r="AV127" s="1">
        <v>1</v>
      </c>
      <c r="AW127" s="3" t="s">
        <v>210</v>
      </c>
      <c r="AX127" s="3" t="s">
        <v>237</v>
      </c>
      <c r="AY127" s="1">
        <v>0</v>
      </c>
      <c r="BA127" s="3">
        <v>8205251.6799999997</v>
      </c>
      <c r="BB127" s="1">
        <v>1</v>
      </c>
      <c r="BD127" s="1" t="s">
        <v>971</v>
      </c>
      <c r="BE127" s="1">
        <v>1</v>
      </c>
      <c r="BF127" s="1">
        <v>1</v>
      </c>
      <c r="BG127" s="1" t="s">
        <v>168</v>
      </c>
      <c r="BH127" s="1">
        <v>0</v>
      </c>
      <c r="BI127" s="1">
        <v>31345322.399999999</v>
      </c>
      <c r="BJ127" s="1">
        <v>0</v>
      </c>
      <c r="BK127" s="1">
        <v>123618989.48999999</v>
      </c>
      <c r="BL127" s="1">
        <v>132456249.91</v>
      </c>
      <c r="BM127" s="1">
        <v>596150.00000000012</v>
      </c>
      <c r="BN127" s="1">
        <v>9219855.2300000004</v>
      </c>
      <c r="BO127" s="1">
        <v>23.664660909999998</v>
      </c>
      <c r="BP127" s="1">
        <v>0.45007313999999998</v>
      </c>
      <c r="BQ127" s="1">
        <v>6.9606796500000003</v>
      </c>
      <c r="BR127" s="1">
        <v>0.13118241999999999</v>
      </c>
      <c r="BS127" s="1" t="s">
        <v>169</v>
      </c>
      <c r="BT127" s="1" t="s">
        <v>169</v>
      </c>
      <c r="BU127" s="1">
        <v>26356083.120000001</v>
      </c>
      <c r="BV127" s="1">
        <v>0</v>
      </c>
      <c r="BW127" s="1">
        <v>-230.8</v>
      </c>
      <c r="BX127" s="1">
        <v>-0.14000000000000001</v>
      </c>
      <c r="BY127" s="1" t="s">
        <v>170</v>
      </c>
      <c r="BZ127" s="1">
        <v>-78038.69</v>
      </c>
      <c r="CA127" s="1" t="s">
        <v>250</v>
      </c>
      <c r="CB127" s="1" t="s">
        <v>344</v>
      </c>
      <c r="CC127" s="1">
        <v>-26046</v>
      </c>
      <c r="CD127" s="1">
        <v>-26046</v>
      </c>
      <c r="CE127" s="1">
        <v>173990.11</v>
      </c>
      <c r="CF127" s="1">
        <v>173990.11</v>
      </c>
      <c r="CG127" s="1">
        <v>0</v>
      </c>
      <c r="CH127" s="1">
        <v>1.4438757900000001</v>
      </c>
      <c r="CI127" s="1">
        <v>13.27863496</v>
      </c>
      <c r="CJ127" s="1">
        <v>17588381.91</v>
      </c>
      <c r="CK127" s="1">
        <v>1912503.72</v>
      </c>
      <c r="CL127" s="1">
        <v>6269233.6699999999</v>
      </c>
      <c r="CM127" s="1" t="s">
        <v>164</v>
      </c>
      <c r="CN127" s="1" t="s">
        <v>164</v>
      </c>
      <c r="CO127" s="1" t="s">
        <v>184</v>
      </c>
      <c r="CP127" s="1" t="s">
        <v>243</v>
      </c>
      <c r="CQ127" s="3" t="s">
        <v>252</v>
      </c>
      <c r="CR127" s="1">
        <v>0</v>
      </c>
      <c r="CS127" s="1" t="s">
        <v>243</v>
      </c>
      <c r="CT127" s="1">
        <v>0.14056036999999999</v>
      </c>
      <c r="CV127" s="1">
        <v>0</v>
      </c>
      <c r="CW127" s="1">
        <v>-219173.26</v>
      </c>
      <c r="DA127" s="1">
        <v>1355558.46</v>
      </c>
      <c r="DB127" s="1">
        <v>0</v>
      </c>
      <c r="DC127" s="1">
        <v>2520.3126550000002</v>
      </c>
      <c r="DD127" s="1">
        <v>52555.483399999997</v>
      </c>
      <c r="DE127" s="1">
        <v>-296353.43</v>
      </c>
      <c r="DF127" s="1">
        <v>92570020.519999996</v>
      </c>
      <c r="DG127" s="1">
        <v>-230.8</v>
      </c>
      <c r="DH127" s="1">
        <v>394770.09</v>
      </c>
      <c r="DI127" s="1">
        <v>0.29803809999999997</v>
      </c>
      <c r="DK127" s="1">
        <v>0</v>
      </c>
      <c r="DL127" s="1">
        <v>0</v>
      </c>
      <c r="DM127" s="1">
        <v>-296353.43</v>
      </c>
      <c r="DN127" s="1">
        <v>0</v>
      </c>
      <c r="DO127" s="1">
        <v>0</v>
      </c>
      <c r="DP127" s="1">
        <v>16777215</v>
      </c>
      <c r="DQ127" s="1">
        <v>0</v>
      </c>
      <c r="DR127" s="1">
        <v>0</v>
      </c>
      <c r="DS127" s="1">
        <v>0</v>
      </c>
      <c r="DT127" s="1">
        <v>0</v>
      </c>
      <c r="DU127" s="1">
        <v>0</v>
      </c>
      <c r="DV127" s="1">
        <v>173759.31</v>
      </c>
      <c r="DW127" s="1">
        <v>173759.31</v>
      </c>
      <c r="DX127" s="1">
        <v>31345322.399999999</v>
      </c>
      <c r="DY127" s="1">
        <v>-1110160.2399999984</v>
      </c>
      <c r="DZ127" s="1">
        <v>92570020.519999966</v>
      </c>
      <c r="EA127" s="1">
        <v>0</v>
      </c>
      <c r="EB127" s="1">
        <v>0</v>
      </c>
      <c r="EC127" s="1" t="s">
        <v>176</v>
      </c>
      <c r="EE127" s="1">
        <v>0</v>
      </c>
      <c r="EF127" s="1">
        <v>3</v>
      </c>
      <c r="EG127" s="1">
        <v>0</v>
      </c>
      <c r="EH127" s="3">
        <v>0.18770581</v>
      </c>
      <c r="EI127" s="1">
        <v>0</v>
      </c>
      <c r="EL127" s="1">
        <v>0</v>
      </c>
      <c r="EM127" s="1">
        <v>0</v>
      </c>
      <c r="EN127" s="1">
        <v>1633661.45</v>
      </c>
      <c r="EO127" s="1">
        <v>1.2333592799999999</v>
      </c>
      <c r="ER127" s="1">
        <v>86.977286885246002</v>
      </c>
      <c r="ES127" s="1">
        <v>1</v>
      </c>
      <c r="ET127" s="3">
        <v>5.432337027</v>
      </c>
      <c r="EU127" s="3">
        <v>2.9182940020000001</v>
      </c>
      <c r="EV127" s="3">
        <v>2.4074710074589998</v>
      </c>
      <c r="EW127" s="3">
        <v>2.9369863010000001</v>
      </c>
      <c r="EX127" s="3">
        <v>0.103108777</v>
      </c>
      <c r="EY127" s="3">
        <v>33</v>
      </c>
      <c r="EZ127" s="3">
        <v>1072</v>
      </c>
      <c r="FA127" s="1">
        <v>0</v>
      </c>
      <c r="FB127" s="1">
        <v>0</v>
      </c>
      <c r="FC127" s="3">
        <v>0.51780089600000001</v>
      </c>
      <c r="FD127" s="1">
        <v>0</v>
      </c>
      <c r="FE127" s="1">
        <v>0</v>
      </c>
    </row>
    <row r="128" spans="1:161" x14ac:dyDescent="0.3">
      <c r="A128" s="1">
        <v>16975549</v>
      </c>
      <c r="B128" s="1">
        <v>128</v>
      </c>
      <c r="C128" s="1">
        <v>10620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12</v>
      </c>
      <c r="J128" s="3">
        <v>12</v>
      </c>
      <c r="K128" s="1">
        <v>1200000</v>
      </c>
      <c r="L128" s="1">
        <v>1200000</v>
      </c>
      <c r="M128" s="1">
        <v>1200000</v>
      </c>
      <c r="N128" s="3">
        <v>1200000</v>
      </c>
      <c r="O128" s="1">
        <v>1193916</v>
      </c>
      <c r="P128" s="1">
        <v>1193916</v>
      </c>
      <c r="Q128" s="1">
        <v>1193916</v>
      </c>
      <c r="R128" s="1">
        <v>1193916</v>
      </c>
      <c r="S128" s="1">
        <v>1200000</v>
      </c>
      <c r="T128" s="1">
        <v>1200000</v>
      </c>
      <c r="U128" s="1">
        <v>1200000</v>
      </c>
      <c r="V128" s="1">
        <v>1200000</v>
      </c>
      <c r="W128" s="1">
        <v>0</v>
      </c>
      <c r="X128" s="1">
        <v>0</v>
      </c>
      <c r="Y128" s="1">
        <v>0</v>
      </c>
      <c r="Z128" s="1">
        <v>0</v>
      </c>
      <c r="AA128" s="1">
        <v>16966.18</v>
      </c>
      <c r="AB128" s="1">
        <v>16966.18</v>
      </c>
      <c r="AC128" s="1">
        <v>16966.18</v>
      </c>
      <c r="AD128" s="1">
        <v>16966.18</v>
      </c>
      <c r="AE128" s="3" t="s">
        <v>695</v>
      </c>
      <c r="AF128" s="3" t="s">
        <v>161</v>
      </c>
      <c r="AG128" s="1" t="s">
        <v>970</v>
      </c>
      <c r="AH128" s="3" t="s">
        <v>696</v>
      </c>
      <c r="AI128" s="1">
        <v>4</v>
      </c>
      <c r="AJ128" s="3" t="s">
        <v>165</v>
      </c>
      <c r="AK128" s="1" t="s">
        <v>176</v>
      </c>
      <c r="AL128" s="3">
        <v>100.563660628319</v>
      </c>
      <c r="AM128" s="3">
        <v>100.51759562841301</v>
      </c>
      <c r="AN128" s="3">
        <v>1206211.1499999999</v>
      </c>
      <c r="AO128" s="3">
        <v>1206211.1499999999</v>
      </c>
      <c r="AP128" s="1" t="s">
        <v>164</v>
      </c>
      <c r="AQ128" s="1">
        <v>4</v>
      </c>
      <c r="AR128" s="1" t="s">
        <v>165</v>
      </c>
      <c r="AS128" s="3">
        <v>132534288.59999999</v>
      </c>
      <c r="AT128" s="1" t="s">
        <v>176</v>
      </c>
      <c r="AU128" s="1">
        <v>1</v>
      </c>
      <c r="AV128" s="1">
        <v>1</v>
      </c>
      <c r="AW128" s="3" t="s">
        <v>210</v>
      </c>
      <c r="AX128" s="3" t="s">
        <v>237</v>
      </c>
      <c r="AY128" s="1">
        <v>0</v>
      </c>
      <c r="BA128" s="3">
        <v>8205251.6799999997</v>
      </c>
      <c r="BB128" s="1">
        <v>1</v>
      </c>
      <c r="BD128" s="1" t="s">
        <v>971</v>
      </c>
      <c r="BE128" s="1">
        <v>1</v>
      </c>
      <c r="BF128" s="1">
        <v>1</v>
      </c>
      <c r="BG128" s="1" t="s">
        <v>168</v>
      </c>
      <c r="BH128" s="1">
        <v>0</v>
      </c>
      <c r="BI128" s="1">
        <v>31345322.399999999</v>
      </c>
      <c r="BJ128" s="1">
        <v>0</v>
      </c>
      <c r="BK128" s="1">
        <v>123618989.48999999</v>
      </c>
      <c r="BL128" s="1">
        <v>132456249.91</v>
      </c>
      <c r="BM128" s="1">
        <v>596150.00000000012</v>
      </c>
      <c r="BN128" s="1">
        <v>9219855.2300000004</v>
      </c>
      <c r="BO128" s="1">
        <v>23.664660909999998</v>
      </c>
      <c r="BP128" s="1">
        <v>0.45007313999999998</v>
      </c>
      <c r="BQ128" s="1">
        <v>6.9606796500000003</v>
      </c>
      <c r="BR128" s="1">
        <v>0.91064871999999997</v>
      </c>
      <c r="BS128" s="1" t="s">
        <v>169</v>
      </c>
      <c r="BT128" s="1" t="s">
        <v>169</v>
      </c>
      <c r="BU128" s="1">
        <v>26356083.120000001</v>
      </c>
      <c r="BV128" s="1">
        <v>0</v>
      </c>
      <c r="BW128" s="1">
        <v>-552.78</v>
      </c>
      <c r="BX128" s="1">
        <v>-0.05</v>
      </c>
      <c r="BY128" s="1" t="s">
        <v>170</v>
      </c>
      <c r="BZ128" s="1">
        <v>-78038.69</v>
      </c>
      <c r="CA128" s="1" t="s">
        <v>250</v>
      </c>
      <c r="CB128" s="1" t="s">
        <v>344</v>
      </c>
      <c r="CC128" s="1">
        <v>-4118.25</v>
      </c>
      <c r="CD128" s="1">
        <v>-4118.25</v>
      </c>
      <c r="CE128" s="1">
        <v>1206763.93</v>
      </c>
      <c r="CF128" s="1">
        <v>1206763.93</v>
      </c>
      <c r="CG128" s="1">
        <v>0</v>
      </c>
      <c r="CH128" s="1">
        <v>1.4438757900000001</v>
      </c>
      <c r="CI128" s="1">
        <v>13.27863496</v>
      </c>
      <c r="CJ128" s="1">
        <v>17588381.91</v>
      </c>
      <c r="CK128" s="1">
        <v>1912503.72</v>
      </c>
      <c r="CL128" s="1">
        <v>6269233.6699999999</v>
      </c>
      <c r="CM128" s="1" t="s">
        <v>164</v>
      </c>
      <c r="CN128" s="1" t="s">
        <v>164</v>
      </c>
      <c r="CO128" s="1" t="s">
        <v>184</v>
      </c>
      <c r="CP128" s="1" t="s">
        <v>243</v>
      </c>
      <c r="CQ128" s="3" t="s">
        <v>252</v>
      </c>
      <c r="CR128" s="1">
        <v>0</v>
      </c>
      <c r="CS128" s="1" t="s">
        <v>243</v>
      </c>
      <c r="CT128" s="1">
        <v>0.97574908000000005</v>
      </c>
      <c r="CV128" s="1">
        <v>0</v>
      </c>
      <c r="CW128" s="1">
        <v>-219173.26</v>
      </c>
      <c r="DA128" s="1">
        <v>1355558.46</v>
      </c>
      <c r="DB128" s="1">
        <v>0</v>
      </c>
      <c r="DC128" s="1">
        <v>2520.3126550000002</v>
      </c>
      <c r="DD128" s="1">
        <v>52555.483399999997</v>
      </c>
      <c r="DE128" s="1">
        <v>-296353.43</v>
      </c>
      <c r="DF128" s="1">
        <v>92570020.519999996</v>
      </c>
      <c r="DG128" s="1">
        <v>-552.78</v>
      </c>
      <c r="DH128" s="1">
        <v>394770.09</v>
      </c>
      <c r="DI128" s="1">
        <v>0.29803809999999997</v>
      </c>
      <c r="DK128" s="1">
        <v>0</v>
      </c>
      <c r="DL128" s="1">
        <v>0</v>
      </c>
      <c r="DM128" s="1">
        <v>-296353.43</v>
      </c>
      <c r="DN128" s="1">
        <v>0</v>
      </c>
      <c r="DO128" s="1">
        <v>0</v>
      </c>
      <c r="DP128" s="1">
        <v>16777215</v>
      </c>
      <c r="DQ128" s="1">
        <v>0</v>
      </c>
      <c r="DR128" s="1">
        <v>0</v>
      </c>
      <c r="DS128" s="1">
        <v>0</v>
      </c>
      <c r="DT128" s="1">
        <v>0</v>
      </c>
      <c r="DU128" s="1">
        <v>0</v>
      </c>
      <c r="DV128" s="1">
        <v>1206211.1499999999</v>
      </c>
      <c r="DW128" s="1">
        <v>1206211.1499999999</v>
      </c>
      <c r="DX128" s="1">
        <v>31345322.399999999</v>
      </c>
      <c r="DY128" s="1">
        <v>-1110160.2399999984</v>
      </c>
      <c r="DZ128" s="1">
        <v>92570020.519999966</v>
      </c>
      <c r="EA128" s="1">
        <v>0</v>
      </c>
      <c r="EB128" s="1">
        <v>0</v>
      </c>
      <c r="EC128" s="1" t="s">
        <v>176</v>
      </c>
      <c r="EE128" s="1">
        <v>0</v>
      </c>
      <c r="EF128" s="1">
        <v>3</v>
      </c>
      <c r="EG128" s="1">
        <v>0</v>
      </c>
      <c r="EH128" s="3">
        <v>1.3030256899999999</v>
      </c>
      <c r="EI128" s="1">
        <v>0</v>
      </c>
      <c r="EL128" s="1">
        <v>0</v>
      </c>
      <c r="EM128" s="1">
        <v>0</v>
      </c>
      <c r="EN128" s="1">
        <v>1633661.45</v>
      </c>
      <c r="EO128" s="1">
        <v>1.2333592799999999</v>
      </c>
      <c r="ER128" s="1">
        <v>100.589617486338</v>
      </c>
      <c r="ES128" s="1">
        <v>1</v>
      </c>
      <c r="ET128" s="3">
        <v>5.0744586329999999</v>
      </c>
      <c r="EU128" s="3">
        <v>2.5675630109999998</v>
      </c>
      <c r="EV128" s="3">
        <v>2.4579729882989998</v>
      </c>
      <c r="EW128" s="3">
        <v>2.7041095890000002</v>
      </c>
      <c r="EX128" s="3">
        <v>8.4847053000000006E-2</v>
      </c>
      <c r="EY128" s="3">
        <v>29</v>
      </c>
      <c r="EZ128" s="3">
        <v>987</v>
      </c>
      <c r="FA128" s="1">
        <v>0</v>
      </c>
      <c r="FB128" s="1">
        <v>0</v>
      </c>
      <c r="FC128" s="3">
        <v>5.5240924370000002</v>
      </c>
      <c r="FD128" s="1">
        <v>0</v>
      </c>
      <c r="FE128" s="1">
        <v>0</v>
      </c>
    </row>
    <row r="129" spans="1:161" x14ac:dyDescent="0.3">
      <c r="A129" s="1">
        <v>16975550</v>
      </c>
      <c r="B129" s="1">
        <v>128</v>
      </c>
      <c r="C129" s="1">
        <v>10030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12</v>
      </c>
      <c r="J129" s="3">
        <v>12</v>
      </c>
      <c r="K129" s="1">
        <v>1200000</v>
      </c>
      <c r="L129" s="1">
        <v>1200000</v>
      </c>
      <c r="M129" s="1">
        <v>1200000</v>
      </c>
      <c r="N129" s="3">
        <v>1200000</v>
      </c>
      <c r="O129" s="1">
        <v>1182408</v>
      </c>
      <c r="P129" s="1">
        <v>1182408</v>
      </c>
      <c r="Q129" s="1">
        <v>1182408</v>
      </c>
      <c r="R129" s="1">
        <v>1182408</v>
      </c>
      <c r="S129" s="1">
        <v>1200000</v>
      </c>
      <c r="T129" s="1">
        <v>1200000</v>
      </c>
      <c r="U129" s="1">
        <v>1200000</v>
      </c>
      <c r="V129" s="1">
        <v>1200000</v>
      </c>
      <c r="W129" s="1">
        <v>3278.69</v>
      </c>
      <c r="X129" s="1">
        <v>3278.69</v>
      </c>
      <c r="Y129" s="1">
        <v>3278.69</v>
      </c>
      <c r="Z129" s="1">
        <v>3278.69</v>
      </c>
      <c r="AA129" s="1">
        <v>14882.43</v>
      </c>
      <c r="AB129" s="1">
        <v>14882.43</v>
      </c>
      <c r="AC129" s="1">
        <v>14882.43</v>
      </c>
      <c r="AD129" s="1">
        <v>14882.43</v>
      </c>
      <c r="AE129" s="3" t="s">
        <v>351</v>
      </c>
      <c r="AF129" s="3" t="s">
        <v>161</v>
      </c>
      <c r="AG129" s="1" t="s">
        <v>970</v>
      </c>
      <c r="AH129" s="3" t="s">
        <v>352</v>
      </c>
      <c r="AI129" s="1">
        <v>4</v>
      </c>
      <c r="AJ129" s="3" t="s">
        <v>165</v>
      </c>
      <c r="AK129" s="1" t="s">
        <v>176</v>
      </c>
      <c r="AL129" s="3">
        <v>100.034311680326</v>
      </c>
      <c r="AM129" s="3">
        <v>100.03704918032599</v>
      </c>
      <c r="AN129" s="3">
        <v>1200444.5900000001</v>
      </c>
      <c r="AO129" s="3">
        <v>1200444.5900000001</v>
      </c>
      <c r="AP129" s="1" t="s">
        <v>164</v>
      </c>
      <c r="AQ129" s="1">
        <v>4</v>
      </c>
      <c r="AR129" s="1" t="s">
        <v>165</v>
      </c>
      <c r="AS129" s="3">
        <v>132534288.59999999</v>
      </c>
      <c r="AT129" s="1" t="s">
        <v>176</v>
      </c>
      <c r="AU129" s="1">
        <v>1</v>
      </c>
      <c r="AV129" s="1">
        <v>1</v>
      </c>
      <c r="AW129" s="3" t="s">
        <v>210</v>
      </c>
      <c r="AX129" s="3" t="s">
        <v>237</v>
      </c>
      <c r="AY129" s="1">
        <v>0</v>
      </c>
      <c r="BA129" s="3">
        <v>8205251.6799999997</v>
      </c>
      <c r="BB129" s="1">
        <v>1</v>
      </c>
      <c r="BD129" s="1" t="s">
        <v>971</v>
      </c>
      <c r="BE129" s="1">
        <v>1</v>
      </c>
      <c r="BF129" s="1">
        <v>1</v>
      </c>
      <c r="BG129" s="1" t="s">
        <v>168</v>
      </c>
      <c r="BH129" s="1">
        <v>0</v>
      </c>
      <c r="BI129" s="1">
        <v>31345322.399999999</v>
      </c>
      <c r="BJ129" s="1">
        <v>0</v>
      </c>
      <c r="BK129" s="1">
        <v>123618989.48999999</v>
      </c>
      <c r="BL129" s="1">
        <v>132456249.91</v>
      </c>
      <c r="BM129" s="1">
        <v>596150.00000000012</v>
      </c>
      <c r="BN129" s="1">
        <v>9219855.2300000004</v>
      </c>
      <c r="BO129" s="1">
        <v>23.664660909999998</v>
      </c>
      <c r="BP129" s="1">
        <v>0.45007313999999998</v>
      </c>
      <c r="BQ129" s="1">
        <v>6.9606796500000003</v>
      </c>
      <c r="BR129" s="1">
        <v>0.90629517000000004</v>
      </c>
      <c r="BS129" s="1" t="s">
        <v>169</v>
      </c>
      <c r="BT129" s="1" t="s">
        <v>169</v>
      </c>
      <c r="BU129" s="1">
        <v>26356083.120000001</v>
      </c>
      <c r="BV129" s="1">
        <v>0</v>
      </c>
      <c r="BW129" s="1">
        <v>32.85</v>
      </c>
      <c r="BX129" s="1">
        <v>0</v>
      </c>
      <c r="BY129" s="1" t="s">
        <v>170</v>
      </c>
      <c r="BZ129" s="1">
        <v>-78038.69</v>
      </c>
      <c r="CA129" s="1" t="s">
        <v>250</v>
      </c>
      <c r="CB129" s="1" t="s">
        <v>344</v>
      </c>
      <c r="CC129" s="1">
        <v>-157.38</v>
      </c>
      <c r="CD129" s="1">
        <v>-157.38</v>
      </c>
      <c r="CE129" s="1">
        <v>1200411.74</v>
      </c>
      <c r="CF129" s="1">
        <v>1200411.74</v>
      </c>
      <c r="CG129" s="1">
        <v>0</v>
      </c>
      <c r="CH129" s="1">
        <v>1.4438757900000001</v>
      </c>
      <c r="CI129" s="1">
        <v>13.27863496</v>
      </c>
      <c r="CJ129" s="1">
        <v>17588381.91</v>
      </c>
      <c r="CK129" s="1">
        <v>1912503.72</v>
      </c>
      <c r="CL129" s="1">
        <v>6269233.6699999999</v>
      </c>
      <c r="CM129" s="1" t="s">
        <v>164</v>
      </c>
      <c r="CN129" s="1" t="s">
        <v>164</v>
      </c>
      <c r="CO129" s="1" t="s">
        <v>184</v>
      </c>
      <c r="CP129" s="1" t="s">
        <v>243</v>
      </c>
      <c r="CQ129" s="3" t="s">
        <v>252</v>
      </c>
      <c r="CR129" s="1">
        <v>0</v>
      </c>
      <c r="CS129" s="1" t="s">
        <v>243</v>
      </c>
      <c r="CT129" s="1">
        <v>0.97108428999999996</v>
      </c>
      <c r="CV129" s="1">
        <v>0</v>
      </c>
      <c r="CW129" s="1">
        <v>-219173.26</v>
      </c>
      <c r="DA129" s="1">
        <v>1355558.46</v>
      </c>
      <c r="DB129" s="1">
        <v>0</v>
      </c>
      <c r="DC129" s="1">
        <v>2520.3126550000002</v>
      </c>
      <c r="DD129" s="1">
        <v>52555.483399999997</v>
      </c>
      <c r="DE129" s="1">
        <v>-296353.43</v>
      </c>
      <c r="DF129" s="1">
        <v>92570020.519999996</v>
      </c>
      <c r="DG129" s="1">
        <v>32.85</v>
      </c>
      <c r="DH129" s="1">
        <v>394770.09</v>
      </c>
      <c r="DI129" s="1">
        <v>0.29803809999999997</v>
      </c>
      <c r="DK129" s="1">
        <v>0</v>
      </c>
      <c r="DL129" s="1">
        <v>0</v>
      </c>
      <c r="DM129" s="1">
        <v>-296353.43</v>
      </c>
      <c r="DN129" s="1">
        <v>0</v>
      </c>
      <c r="DO129" s="1">
        <v>0</v>
      </c>
      <c r="DP129" s="1">
        <v>16777215</v>
      </c>
      <c r="DQ129" s="1">
        <v>0</v>
      </c>
      <c r="DR129" s="1">
        <v>0</v>
      </c>
      <c r="DS129" s="1">
        <v>0</v>
      </c>
      <c r="DT129" s="1">
        <v>0</v>
      </c>
      <c r="DU129" s="1">
        <v>0</v>
      </c>
      <c r="DV129" s="1">
        <v>1200444.5900000001</v>
      </c>
      <c r="DW129" s="1">
        <v>1200444.5900000001</v>
      </c>
      <c r="DX129" s="1">
        <v>31345322.399999999</v>
      </c>
      <c r="DY129" s="1">
        <v>-1110160.2399999984</v>
      </c>
      <c r="DZ129" s="1">
        <v>92570020.519999966</v>
      </c>
      <c r="EA129" s="1">
        <v>0</v>
      </c>
      <c r="EB129" s="1">
        <v>0</v>
      </c>
      <c r="EC129" s="1" t="s">
        <v>176</v>
      </c>
      <c r="EE129" s="1">
        <v>0</v>
      </c>
      <c r="EF129" s="1">
        <v>3</v>
      </c>
      <c r="EG129" s="1">
        <v>0</v>
      </c>
      <c r="EH129" s="3">
        <v>1.2967962900000001</v>
      </c>
      <c r="EI129" s="1">
        <v>0</v>
      </c>
      <c r="EL129" s="1">
        <v>0</v>
      </c>
      <c r="EM129" s="1">
        <v>0</v>
      </c>
      <c r="EN129" s="1">
        <v>1633661.45</v>
      </c>
      <c r="EO129" s="1">
        <v>1.2333592799999999</v>
      </c>
      <c r="ER129" s="1">
        <v>100.051803278687</v>
      </c>
      <c r="ES129" s="1">
        <v>1</v>
      </c>
      <c r="ET129" s="3">
        <v>5.3049382090000003</v>
      </c>
      <c r="EU129" s="3">
        <v>0.70218579199999998</v>
      </c>
      <c r="EV129" s="3">
        <v>0.66715726639399997</v>
      </c>
      <c r="EW129" s="3">
        <v>0.70410958899999998</v>
      </c>
      <c r="EX129" s="3">
        <v>1.0778579E-2</v>
      </c>
      <c r="EY129" s="3">
        <v>8</v>
      </c>
      <c r="EZ129" s="3">
        <v>257</v>
      </c>
      <c r="FA129" s="1">
        <v>0</v>
      </c>
      <c r="FB129" s="1">
        <v>0</v>
      </c>
      <c r="FC129" s="3">
        <v>7.6225371109999998</v>
      </c>
      <c r="FD129" s="1">
        <v>0</v>
      </c>
      <c r="FE129" s="1">
        <v>0</v>
      </c>
    </row>
    <row r="130" spans="1:161" x14ac:dyDescent="0.3">
      <c r="A130" s="1">
        <v>16975532</v>
      </c>
      <c r="B130" s="1">
        <v>128</v>
      </c>
      <c r="C130" s="1">
        <v>10614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8</v>
      </c>
      <c r="J130" s="3">
        <v>8</v>
      </c>
      <c r="K130" s="1">
        <v>800000</v>
      </c>
      <c r="L130" s="1">
        <v>800000</v>
      </c>
      <c r="M130" s="1">
        <v>800000</v>
      </c>
      <c r="N130" s="3">
        <v>800000</v>
      </c>
      <c r="O130" s="1">
        <v>797496</v>
      </c>
      <c r="P130" s="1">
        <v>797496</v>
      </c>
      <c r="Q130" s="1">
        <v>797496</v>
      </c>
      <c r="R130" s="1">
        <v>797496</v>
      </c>
      <c r="S130" s="1">
        <v>800000</v>
      </c>
      <c r="T130" s="1">
        <v>800000</v>
      </c>
      <c r="U130" s="1">
        <v>800000</v>
      </c>
      <c r="V130" s="1">
        <v>800000</v>
      </c>
      <c r="W130" s="1">
        <v>0</v>
      </c>
      <c r="X130" s="1">
        <v>0</v>
      </c>
      <c r="Y130" s="1">
        <v>0</v>
      </c>
      <c r="Z130" s="1">
        <v>0</v>
      </c>
      <c r="AA130" s="1">
        <v>14137.93</v>
      </c>
      <c r="AB130" s="1">
        <v>14137.93</v>
      </c>
      <c r="AC130" s="1">
        <v>14137.93</v>
      </c>
      <c r="AD130" s="1">
        <v>14137.93</v>
      </c>
      <c r="AE130" s="3" t="s">
        <v>691</v>
      </c>
      <c r="AF130" s="3" t="s">
        <v>161</v>
      </c>
      <c r="AG130" s="1" t="s">
        <v>970</v>
      </c>
      <c r="AH130" s="3" t="s">
        <v>692</v>
      </c>
      <c r="AI130" s="1">
        <v>4</v>
      </c>
      <c r="AJ130" s="3" t="s">
        <v>165</v>
      </c>
      <c r="AK130" s="1" t="s">
        <v>176</v>
      </c>
      <c r="AL130" s="3">
        <v>102.31241708987</v>
      </c>
      <c r="AM130" s="3">
        <v>102.23852459016599</v>
      </c>
      <c r="AN130" s="3">
        <v>817908.2</v>
      </c>
      <c r="AO130" s="3">
        <v>817908.2</v>
      </c>
      <c r="AP130" s="1" t="s">
        <v>164</v>
      </c>
      <c r="AQ130" s="1">
        <v>4</v>
      </c>
      <c r="AR130" s="1" t="s">
        <v>165</v>
      </c>
      <c r="AS130" s="3">
        <v>132534288.59999999</v>
      </c>
      <c r="AT130" s="1" t="s">
        <v>176</v>
      </c>
      <c r="AU130" s="1">
        <v>1</v>
      </c>
      <c r="AV130" s="1">
        <v>1</v>
      </c>
      <c r="AW130" s="3" t="s">
        <v>210</v>
      </c>
      <c r="AX130" s="3" t="s">
        <v>237</v>
      </c>
      <c r="AY130" s="1">
        <v>0</v>
      </c>
      <c r="BA130" s="3">
        <v>8205251.6799999997</v>
      </c>
      <c r="BB130" s="1">
        <v>1</v>
      </c>
      <c r="BD130" s="1" t="s">
        <v>971</v>
      </c>
      <c r="BE130" s="1">
        <v>1</v>
      </c>
      <c r="BF130" s="1">
        <v>1</v>
      </c>
      <c r="BG130" s="1" t="s">
        <v>168</v>
      </c>
      <c r="BH130" s="1">
        <v>0</v>
      </c>
      <c r="BI130" s="1">
        <v>31345322.399999999</v>
      </c>
      <c r="BJ130" s="1">
        <v>0</v>
      </c>
      <c r="BK130" s="1">
        <v>123618989.48999999</v>
      </c>
      <c r="BL130" s="1">
        <v>132456249.91</v>
      </c>
      <c r="BM130" s="1">
        <v>596150.00000000012</v>
      </c>
      <c r="BN130" s="1">
        <v>9219855.2300000004</v>
      </c>
      <c r="BO130" s="1">
        <v>23.664660909999998</v>
      </c>
      <c r="BP130" s="1">
        <v>0.45007313999999998</v>
      </c>
      <c r="BQ130" s="1">
        <v>6.9606796500000003</v>
      </c>
      <c r="BR130" s="1">
        <v>0.61749310000000002</v>
      </c>
      <c r="BS130" s="1" t="s">
        <v>169</v>
      </c>
      <c r="BT130" s="1" t="s">
        <v>169</v>
      </c>
      <c r="BU130" s="1">
        <v>26356083.120000001</v>
      </c>
      <c r="BV130" s="1">
        <v>0</v>
      </c>
      <c r="BW130" s="1">
        <v>-591.14</v>
      </c>
      <c r="BX130" s="1">
        <v>-7.0000000000000007E-2</v>
      </c>
      <c r="BY130" s="1" t="s">
        <v>170</v>
      </c>
      <c r="BZ130" s="1">
        <v>-78038.69</v>
      </c>
      <c r="CA130" s="1" t="s">
        <v>250</v>
      </c>
      <c r="CB130" s="1" t="s">
        <v>344</v>
      </c>
      <c r="CC130" s="1">
        <v>6865.41</v>
      </c>
      <c r="CD130" s="1">
        <v>6865.41</v>
      </c>
      <c r="CE130" s="1">
        <v>818499.34</v>
      </c>
      <c r="CF130" s="1">
        <v>818499.34</v>
      </c>
      <c r="CG130" s="1">
        <v>0</v>
      </c>
      <c r="CH130" s="1">
        <v>1.4438757900000001</v>
      </c>
      <c r="CI130" s="1">
        <v>13.27863496</v>
      </c>
      <c r="CJ130" s="1">
        <v>17588381.91</v>
      </c>
      <c r="CK130" s="1">
        <v>1912503.72</v>
      </c>
      <c r="CL130" s="1">
        <v>6269233.6699999999</v>
      </c>
      <c r="CM130" s="1" t="s">
        <v>164</v>
      </c>
      <c r="CN130" s="1" t="s">
        <v>164</v>
      </c>
      <c r="CO130" s="1" t="s">
        <v>184</v>
      </c>
      <c r="CP130" s="1" t="s">
        <v>243</v>
      </c>
      <c r="CQ130" s="3" t="s">
        <v>252</v>
      </c>
      <c r="CR130" s="1">
        <v>0</v>
      </c>
      <c r="CS130" s="1" t="s">
        <v>243</v>
      </c>
      <c r="CT130" s="1">
        <v>0.66163636999999997</v>
      </c>
      <c r="CV130" s="1">
        <v>0</v>
      </c>
      <c r="CW130" s="1">
        <v>-219173.26</v>
      </c>
      <c r="DA130" s="1">
        <v>1355558.46</v>
      </c>
      <c r="DB130" s="1">
        <v>0</v>
      </c>
      <c r="DC130" s="1">
        <v>2520.3126550000002</v>
      </c>
      <c r="DD130" s="1">
        <v>52555.483399999997</v>
      </c>
      <c r="DE130" s="1">
        <v>-296353.43</v>
      </c>
      <c r="DF130" s="1">
        <v>92570020.519999996</v>
      </c>
      <c r="DG130" s="1">
        <v>-591.14</v>
      </c>
      <c r="DH130" s="1">
        <v>394770.09</v>
      </c>
      <c r="DI130" s="1">
        <v>0.29803809999999997</v>
      </c>
      <c r="DK130" s="1">
        <v>0</v>
      </c>
      <c r="DL130" s="1">
        <v>0</v>
      </c>
      <c r="DM130" s="1">
        <v>-296353.43</v>
      </c>
      <c r="DN130" s="1">
        <v>0</v>
      </c>
      <c r="DO130" s="1">
        <v>0</v>
      </c>
      <c r="DP130" s="1">
        <v>16777215</v>
      </c>
      <c r="DQ130" s="1">
        <v>0</v>
      </c>
      <c r="DR130" s="1">
        <v>0</v>
      </c>
      <c r="DS130" s="1">
        <v>0</v>
      </c>
      <c r="DT130" s="1">
        <v>0</v>
      </c>
      <c r="DU130" s="1">
        <v>0</v>
      </c>
      <c r="DV130" s="1">
        <v>817908.2</v>
      </c>
      <c r="DW130" s="1">
        <v>817908.2</v>
      </c>
      <c r="DX130" s="1">
        <v>31345322.399999999</v>
      </c>
      <c r="DY130" s="1">
        <v>-1110160.2399999984</v>
      </c>
      <c r="DZ130" s="1">
        <v>92570020.519999966</v>
      </c>
      <c r="EA130" s="1">
        <v>0</v>
      </c>
      <c r="EB130" s="1">
        <v>0</v>
      </c>
      <c r="EC130" s="1" t="s">
        <v>176</v>
      </c>
      <c r="EE130" s="1">
        <v>0</v>
      </c>
      <c r="EF130" s="1">
        <v>3</v>
      </c>
      <c r="EG130" s="1">
        <v>0</v>
      </c>
      <c r="EH130" s="3">
        <v>0.88355625000000004</v>
      </c>
      <c r="EI130" s="1">
        <v>0</v>
      </c>
      <c r="EL130" s="1">
        <v>0</v>
      </c>
      <c r="EM130" s="1">
        <v>0</v>
      </c>
      <c r="EN130" s="1">
        <v>1633661.45</v>
      </c>
      <c r="EO130" s="1">
        <v>1.2333592799999999</v>
      </c>
      <c r="ER130" s="1">
        <v>102.32365573770799</v>
      </c>
      <c r="ES130" s="1">
        <v>1</v>
      </c>
      <c r="ET130" s="3">
        <v>5.3960281490000002</v>
      </c>
      <c r="EU130" s="3">
        <v>2.523917993</v>
      </c>
      <c r="EV130" s="3">
        <v>2.4503439106610001</v>
      </c>
      <c r="EW130" s="3">
        <v>2.6821917810000002</v>
      </c>
      <c r="EX130" s="3">
        <v>8.2209615999999999E-2</v>
      </c>
      <c r="EY130" s="3">
        <v>29</v>
      </c>
      <c r="EZ130" s="3">
        <v>979</v>
      </c>
      <c r="FA130" s="1">
        <v>0</v>
      </c>
      <c r="FB130" s="1">
        <v>0</v>
      </c>
      <c r="FC130" s="3">
        <v>6.4923675899999997</v>
      </c>
      <c r="FD130" s="1">
        <v>0</v>
      </c>
      <c r="FE130" s="1">
        <v>0</v>
      </c>
    </row>
    <row r="131" spans="1:161" x14ac:dyDescent="0.3">
      <c r="A131" s="1">
        <v>16975529</v>
      </c>
      <c r="B131" s="1">
        <v>128</v>
      </c>
      <c r="C131" s="1">
        <v>10558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6</v>
      </c>
      <c r="J131" s="3">
        <v>6</v>
      </c>
      <c r="K131" s="1">
        <v>600000</v>
      </c>
      <c r="L131" s="1">
        <v>600000</v>
      </c>
      <c r="M131" s="1">
        <v>600000</v>
      </c>
      <c r="N131" s="3">
        <v>600000</v>
      </c>
      <c r="O131" s="1">
        <v>598584</v>
      </c>
      <c r="P131" s="1">
        <v>598584</v>
      </c>
      <c r="Q131" s="1">
        <v>598584</v>
      </c>
      <c r="R131" s="1">
        <v>598584</v>
      </c>
      <c r="S131" s="1">
        <v>600000</v>
      </c>
      <c r="T131" s="1">
        <v>600000</v>
      </c>
      <c r="U131" s="1">
        <v>600000</v>
      </c>
      <c r="V131" s="1">
        <v>600000</v>
      </c>
      <c r="W131" s="1">
        <v>0</v>
      </c>
      <c r="X131" s="1">
        <v>0</v>
      </c>
      <c r="Y131" s="1">
        <v>0</v>
      </c>
      <c r="Z131" s="1">
        <v>0</v>
      </c>
      <c r="AA131" s="1">
        <v>12228.38</v>
      </c>
      <c r="AB131" s="1">
        <v>12228.38</v>
      </c>
      <c r="AC131" s="1">
        <v>12228.38</v>
      </c>
      <c r="AD131" s="1">
        <v>12228.38</v>
      </c>
      <c r="AE131" s="3" t="s">
        <v>683</v>
      </c>
      <c r="AF131" s="3" t="s">
        <v>161</v>
      </c>
      <c r="AG131" s="1" t="s">
        <v>970</v>
      </c>
      <c r="AH131" s="3" t="s">
        <v>684</v>
      </c>
      <c r="AI131" s="1">
        <v>4</v>
      </c>
      <c r="AJ131" s="3" t="s">
        <v>165</v>
      </c>
      <c r="AK131" s="1" t="s">
        <v>176</v>
      </c>
      <c r="AL131" s="3">
        <v>102.011688825045</v>
      </c>
      <c r="AM131" s="3">
        <v>102.03077049180401</v>
      </c>
      <c r="AN131" s="3">
        <v>612184.62</v>
      </c>
      <c r="AO131" s="3">
        <v>612184.62</v>
      </c>
      <c r="AP131" s="1" t="s">
        <v>164</v>
      </c>
      <c r="AQ131" s="1">
        <v>4</v>
      </c>
      <c r="AR131" s="1" t="s">
        <v>165</v>
      </c>
      <c r="AS131" s="3">
        <v>132534288.59999999</v>
      </c>
      <c r="AT131" s="1" t="s">
        <v>176</v>
      </c>
      <c r="AU131" s="1">
        <v>1</v>
      </c>
      <c r="AV131" s="1">
        <v>1</v>
      </c>
      <c r="AW131" s="3" t="s">
        <v>210</v>
      </c>
      <c r="AX131" s="3" t="s">
        <v>237</v>
      </c>
      <c r="AY131" s="1">
        <v>0</v>
      </c>
      <c r="BA131" s="3">
        <v>8205251.6799999997</v>
      </c>
      <c r="BB131" s="1">
        <v>1</v>
      </c>
      <c r="BD131" s="1" t="s">
        <v>971</v>
      </c>
      <c r="BE131" s="1">
        <v>1</v>
      </c>
      <c r="BF131" s="1">
        <v>1</v>
      </c>
      <c r="BG131" s="1" t="s">
        <v>168</v>
      </c>
      <c r="BH131" s="1">
        <v>0</v>
      </c>
      <c r="BI131" s="1">
        <v>31345322.399999999</v>
      </c>
      <c r="BJ131" s="1">
        <v>0</v>
      </c>
      <c r="BK131" s="1">
        <v>123618989.48999999</v>
      </c>
      <c r="BL131" s="1">
        <v>132456249.91</v>
      </c>
      <c r="BM131" s="1">
        <v>596150.00000000012</v>
      </c>
      <c r="BN131" s="1">
        <v>9219855.2300000004</v>
      </c>
      <c r="BO131" s="1">
        <v>23.664660909999998</v>
      </c>
      <c r="BP131" s="1">
        <v>0.45007313999999998</v>
      </c>
      <c r="BQ131" s="1">
        <v>6.9606796500000003</v>
      </c>
      <c r="BR131" s="1">
        <v>0.46217872999999998</v>
      </c>
      <c r="BS131" s="1" t="s">
        <v>169</v>
      </c>
      <c r="BT131" s="1" t="s">
        <v>169</v>
      </c>
      <c r="BU131" s="1">
        <v>26356083.120000001</v>
      </c>
      <c r="BV131" s="1">
        <v>0</v>
      </c>
      <c r="BW131" s="1">
        <v>114.49</v>
      </c>
      <c r="BX131" s="1">
        <v>0.02</v>
      </c>
      <c r="BY131" s="1" t="s">
        <v>170</v>
      </c>
      <c r="BZ131" s="1">
        <v>-78038.69</v>
      </c>
      <c r="CA131" s="1" t="s">
        <v>250</v>
      </c>
      <c r="CB131" s="1" t="s">
        <v>344</v>
      </c>
      <c r="CC131" s="1">
        <v>1257.75</v>
      </c>
      <c r="CD131" s="1">
        <v>1257.75</v>
      </c>
      <c r="CE131" s="1">
        <v>612070.13</v>
      </c>
      <c r="CF131" s="1">
        <v>612070.13</v>
      </c>
      <c r="CG131" s="1">
        <v>0</v>
      </c>
      <c r="CH131" s="1">
        <v>1.4438757900000001</v>
      </c>
      <c r="CI131" s="1">
        <v>13.27863496</v>
      </c>
      <c r="CJ131" s="1">
        <v>17588381.91</v>
      </c>
      <c r="CK131" s="1">
        <v>1912503.72</v>
      </c>
      <c r="CL131" s="1">
        <v>6269233.6699999999</v>
      </c>
      <c r="CM131" s="1" t="s">
        <v>164</v>
      </c>
      <c r="CN131" s="1" t="s">
        <v>164</v>
      </c>
      <c r="CO131" s="1" t="s">
        <v>184</v>
      </c>
      <c r="CP131" s="1" t="s">
        <v>243</v>
      </c>
      <c r="CQ131" s="3" t="s">
        <v>252</v>
      </c>
      <c r="CR131" s="1">
        <v>0</v>
      </c>
      <c r="CS131" s="1" t="s">
        <v>243</v>
      </c>
      <c r="CT131" s="1">
        <v>0.49521892000000001</v>
      </c>
      <c r="CV131" s="1">
        <v>0</v>
      </c>
      <c r="CW131" s="1">
        <v>-219173.26</v>
      </c>
      <c r="DA131" s="1">
        <v>1355558.46</v>
      </c>
      <c r="DB131" s="1">
        <v>0</v>
      </c>
      <c r="DC131" s="1">
        <v>2520.3126550000002</v>
      </c>
      <c r="DD131" s="1">
        <v>52555.483399999997</v>
      </c>
      <c r="DE131" s="1">
        <v>-296353.43</v>
      </c>
      <c r="DF131" s="1">
        <v>92570020.519999996</v>
      </c>
      <c r="DG131" s="1">
        <v>114.49</v>
      </c>
      <c r="DH131" s="1">
        <v>394770.09</v>
      </c>
      <c r="DI131" s="1">
        <v>0.29803809999999997</v>
      </c>
      <c r="DK131" s="1">
        <v>0</v>
      </c>
      <c r="DL131" s="1">
        <v>0</v>
      </c>
      <c r="DM131" s="1">
        <v>-296353.43</v>
      </c>
      <c r="DN131" s="1">
        <v>0</v>
      </c>
      <c r="DO131" s="1">
        <v>0</v>
      </c>
      <c r="DP131" s="1">
        <v>16777215</v>
      </c>
      <c r="DQ131" s="1">
        <v>0</v>
      </c>
      <c r="DR131" s="1">
        <v>0</v>
      </c>
      <c r="DS131" s="1">
        <v>0</v>
      </c>
      <c r="DT131" s="1">
        <v>0</v>
      </c>
      <c r="DU131" s="1">
        <v>0</v>
      </c>
      <c r="DV131" s="1">
        <v>612184.62</v>
      </c>
      <c r="DW131" s="1">
        <v>612184.62</v>
      </c>
      <c r="DX131" s="1">
        <v>31345322.399999999</v>
      </c>
      <c r="DY131" s="1">
        <v>-1110160.2399999984</v>
      </c>
      <c r="DZ131" s="1">
        <v>92570020.519999966</v>
      </c>
      <c r="EA131" s="1">
        <v>0</v>
      </c>
      <c r="EB131" s="1">
        <v>0</v>
      </c>
      <c r="EC131" s="1" t="s">
        <v>176</v>
      </c>
      <c r="EE131" s="1">
        <v>0</v>
      </c>
      <c r="EF131" s="1">
        <v>3</v>
      </c>
      <c r="EG131" s="1">
        <v>0</v>
      </c>
      <c r="EH131" s="3">
        <v>0.66132060999999998</v>
      </c>
      <c r="EI131" s="1">
        <v>0</v>
      </c>
      <c r="EL131" s="1">
        <v>0</v>
      </c>
      <c r="EM131" s="1">
        <v>0</v>
      </c>
      <c r="EN131" s="1">
        <v>1633661.45</v>
      </c>
      <c r="EO131" s="1">
        <v>1.2333592799999999</v>
      </c>
      <c r="ER131" s="1">
        <v>102.0317431694</v>
      </c>
      <c r="ES131" s="1">
        <v>1</v>
      </c>
      <c r="ET131" s="3">
        <v>5.4951344659999997</v>
      </c>
      <c r="EU131" s="3">
        <v>1.573552638</v>
      </c>
      <c r="EV131" s="3">
        <v>1.5218931128269999</v>
      </c>
      <c r="EW131" s="3">
        <v>1.62739726</v>
      </c>
      <c r="EX131" s="3">
        <v>3.6831261999999997E-2</v>
      </c>
      <c r="EY131" s="3">
        <v>18</v>
      </c>
      <c r="EZ131" s="3">
        <v>594</v>
      </c>
      <c r="FA131" s="1">
        <v>0</v>
      </c>
      <c r="FB131" s="1">
        <v>0</v>
      </c>
      <c r="FC131" s="3">
        <v>7.0131817490000001</v>
      </c>
      <c r="FD131" s="1">
        <v>0</v>
      </c>
      <c r="FE131" s="1">
        <v>0</v>
      </c>
    </row>
    <row r="132" spans="1:161" x14ac:dyDescent="0.3">
      <c r="A132" s="1">
        <v>16975434</v>
      </c>
      <c r="B132" s="1">
        <v>128</v>
      </c>
      <c r="C132" s="1">
        <v>9700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1</v>
      </c>
      <c r="J132" s="3">
        <v>1</v>
      </c>
      <c r="K132" s="1">
        <v>100000</v>
      </c>
      <c r="L132" s="1">
        <v>100000</v>
      </c>
      <c r="M132" s="1">
        <v>100000</v>
      </c>
      <c r="N132" s="3">
        <v>100000</v>
      </c>
      <c r="O132" s="1">
        <v>99733</v>
      </c>
      <c r="P132" s="1">
        <v>99733</v>
      </c>
      <c r="Q132" s="1">
        <v>99733</v>
      </c>
      <c r="R132" s="1">
        <v>99733</v>
      </c>
      <c r="S132" s="1">
        <v>100000</v>
      </c>
      <c r="T132" s="1">
        <v>100000</v>
      </c>
      <c r="U132" s="1">
        <v>100000</v>
      </c>
      <c r="V132" s="1">
        <v>100000</v>
      </c>
      <c r="W132" s="1">
        <v>0</v>
      </c>
      <c r="X132" s="1">
        <v>0</v>
      </c>
      <c r="Y132" s="1">
        <v>0</v>
      </c>
      <c r="Z132" s="1">
        <v>0</v>
      </c>
      <c r="AA132" s="1">
        <v>945.36</v>
      </c>
      <c r="AB132" s="1">
        <v>945.36</v>
      </c>
      <c r="AC132" s="1">
        <v>945.36</v>
      </c>
      <c r="AD132" s="1">
        <v>945.36</v>
      </c>
      <c r="AE132" s="3" t="s">
        <v>353</v>
      </c>
      <c r="AF132" s="3" t="s">
        <v>161</v>
      </c>
      <c r="AG132" s="1" t="s">
        <v>970</v>
      </c>
      <c r="AH132" s="3" t="s">
        <v>354</v>
      </c>
      <c r="AI132" s="1">
        <v>4</v>
      </c>
      <c r="AJ132" s="3" t="s">
        <v>165</v>
      </c>
      <c r="AK132" s="1" t="s">
        <v>176</v>
      </c>
      <c r="AL132" s="3">
        <v>92.138136162519004</v>
      </c>
      <c r="AM132" s="3">
        <v>92.093356164384005</v>
      </c>
      <c r="AN132" s="3">
        <v>92093.36</v>
      </c>
      <c r="AO132" s="3">
        <v>92093.36</v>
      </c>
      <c r="AP132" s="1" t="s">
        <v>164</v>
      </c>
      <c r="AQ132" s="1">
        <v>4</v>
      </c>
      <c r="AR132" s="1" t="s">
        <v>165</v>
      </c>
      <c r="AS132" s="3">
        <v>132534288.59999999</v>
      </c>
      <c r="AT132" s="1" t="s">
        <v>176</v>
      </c>
      <c r="AU132" s="1">
        <v>1</v>
      </c>
      <c r="AV132" s="1">
        <v>1</v>
      </c>
      <c r="AW132" s="3" t="s">
        <v>210</v>
      </c>
      <c r="AX132" s="3" t="s">
        <v>237</v>
      </c>
      <c r="AY132" s="1">
        <v>0</v>
      </c>
      <c r="BA132" s="3">
        <v>8205251.6799999997</v>
      </c>
      <c r="BB132" s="1">
        <v>1</v>
      </c>
      <c r="BD132" s="1" t="s">
        <v>971</v>
      </c>
      <c r="BE132" s="1">
        <v>1</v>
      </c>
      <c r="BF132" s="1">
        <v>1</v>
      </c>
      <c r="BG132" s="1" t="s">
        <v>168</v>
      </c>
      <c r="BH132" s="1">
        <v>0</v>
      </c>
      <c r="BI132" s="1">
        <v>31345322.399999999</v>
      </c>
      <c r="BJ132" s="1">
        <v>0</v>
      </c>
      <c r="BK132" s="1">
        <v>123618989.48999999</v>
      </c>
      <c r="BL132" s="1">
        <v>132456249.91</v>
      </c>
      <c r="BM132" s="1">
        <v>596150.00000000012</v>
      </c>
      <c r="BN132" s="1">
        <v>9219855.2300000004</v>
      </c>
      <c r="BO132" s="1">
        <v>23.664660909999998</v>
      </c>
      <c r="BP132" s="1">
        <v>0.45007313999999998</v>
      </c>
      <c r="BQ132" s="1">
        <v>6.9606796500000003</v>
      </c>
      <c r="BR132" s="1">
        <v>6.952738E-2</v>
      </c>
      <c r="BS132" s="1" t="s">
        <v>169</v>
      </c>
      <c r="BT132" s="1" t="s">
        <v>169</v>
      </c>
      <c r="BU132" s="1">
        <v>26356083.120000001</v>
      </c>
      <c r="BV132" s="1">
        <v>0</v>
      </c>
      <c r="BW132" s="1">
        <v>-44.78</v>
      </c>
      <c r="BX132" s="1">
        <v>-0.04</v>
      </c>
      <c r="BY132" s="1" t="s">
        <v>170</v>
      </c>
      <c r="BZ132" s="1">
        <v>-78038.69</v>
      </c>
      <c r="CA132" s="1" t="s">
        <v>250</v>
      </c>
      <c r="CB132" s="1" t="s">
        <v>344</v>
      </c>
      <c r="CC132" s="1">
        <v>-8540.2199999999993</v>
      </c>
      <c r="CD132" s="1">
        <v>-8540.2199999999993</v>
      </c>
      <c r="CE132" s="1">
        <v>92138.14</v>
      </c>
      <c r="CF132" s="1">
        <v>92138.14</v>
      </c>
      <c r="CG132" s="1">
        <v>0</v>
      </c>
      <c r="CH132" s="1">
        <v>1.4438757900000001</v>
      </c>
      <c r="CI132" s="1">
        <v>13.27863496</v>
      </c>
      <c r="CJ132" s="1">
        <v>17588381.91</v>
      </c>
      <c r="CK132" s="1">
        <v>1912503.72</v>
      </c>
      <c r="CL132" s="1">
        <v>6269233.6699999999</v>
      </c>
      <c r="CM132" s="1" t="s">
        <v>164</v>
      </c>
      <c r="CN132" s="1" t="s">
        <v>164</v>
      </c>
      <c r="CO132" s="1" t="s">
        <v>184</v>
      </c>
      <c r="CP132" s="1" t="s">
        <v>243</v>
      </c>
      <c r="CQ132" s="3" t="s">
        <v>252</v>
      </c>
      <c r="CR132" s="1">
        <v>0</v>
      </c>
      <c r="CS132" s="1" t="s">
        <v>243</v>
      </c>
      <c r="CT132" s="1">
        <v>7.4497750000000001E-2</v>
      </c>
      <c r="CV132" s="1">
        <v>0</v>
      </c>
      <c r="CW132" s="1">
        <v>-219173.26</v>
      </c>
      <c r="DA132" s="1">
        <v>1355558.46</v>
      </c>
      <c r="DB132" s="1">
        <v>0</v>
      </c>
      <c r="DC132" s="1">
        <v>2520.3126550000002</v>
      </c>
      <c r="DD132" s="1">
        <v>52555.483399999997</v>
      </c>
      <c r="DE132" s="1">
        <v>-296353.43</v>
      </c>
      <c r="DF132" s="1">
        <v>92570020.519999996</v>
      </c>
      <c r="DG132" s="1">
        <v>-44.78</v>
      </c>
      <c r="DH132" s="1">
        <v>394770.09</v>
      </c>
      <c r="DI132" s="1">
        <v>0.29803809999999997</v>
      </c>
      <c r="DK132" s="1">
        <v>0</v>
      </c>
      <c r="DL132" s="1">
        <v>0</v>
      </c>
      <c r="DM132" s="1">
        <v>-296353.43</v>
      </c>
      <c r="DN132" s="1">
        <v>0</v>
      </c>
      <c r="DO132" s="1">
        <v>0</v>
      </c>
      <c r="DP132" s="1">
        <v>16777215</v>
      </c>
      <c r="DQ132" s="1">
        <v>0</v>
      </c>
      <c r="DR132" s="1">
        <v>0</v>
      </c>
      <c r="DS132" s="1">
        <v>0</v>
      </c>
      <c r="DT132" s="1">
        <v>0</v>
      </c>
      <c r="DU132" s="1">
        <v>0</v>
      </c>
      <c r="DV132" s="1">
        <v>92093.36</v>
      </c>
      <c r="DW132" s="1">
        <v>92093.36</v>
      </c>
      <c r="DX132" s="1">
        <v>31345322.399999999</v>
      </c>
      <c r="DY132" s="1">
        <v>-1110160.2399999984</v>
      </c>
      <c r="DZ132" s="1">
        <v>92570020.519999966</v>
      </c>
      <c r="EA132" s="1">
        <v>0</v>
      </c>
      <c r="EB132" s="1">
        <v>0</v>
      </c>
      <c r="EC132" s="1" t="s">
        <v>176</v>
      </c>
      <c r="EE132" s="1">
        <v>0</v>
      </c>
      <c r="EF132" s="1">
        <v>3</v>
      </c>
      <c r="EG132" s="1">
        <v>0</v>
      </c>
      <c r="EH132" s="3">
        <v>9.9485080000000004E-2</v>
      </c>
      <c r="EI132" s="1">
        <v>0</v>
      </c>
      <c r="EL132" s="1">
        <v>0</v>
      </c>
      <c r="EM132" s="1">
        <v>0</v>
      </c>
      <c r="EN132" s="1">
        <v>1633661.45</v>
      </c>
      <c r="EO132" s="1">
        <v>1.2333592799999999</v>
      </c>
      <c r="ER132" s="1">
        <v>92.141116438355994</v>
      </c>
      <c r="ES132" s="1">
        <v>1</v>
      </c>
      <c r="ET132" s="3">
        <v>5.3593473530000004</v>
      </c>
      <c r="EU132" s="3">
        <v>2.132650371</v>
      </c>
      <c r="EV132" s="3">
        <v>1.8650911485849999</v>
      </c>
      <c r="EW132" s="3">
        <v>2.167123288</v>
      </c>
      <c r="EX132" s="3">
        <v>6.0655274000000002E-2</v>
      </c>
      <c r="EY132" s="3">
        <v>24</v>
      </c>
      <c r="EZ132" s="3">
        <v>791</v>
      </c>
      <c r="FA132" s="1">
        <v>0</v>
      </c>
      <c r="FB132" s="1">
        <v>0</v>
      </c>
      <c r="FC132" s="3">
        <v>1.521242773</v>
      </c>
      <c r="FD132" s="1">
        <v>0</v>
      </c>
      <c r="FE132" s="1">
        <v>0</v>
      </c>
    </row>
    <row r="133" spans="1:161" x14ac:dyDescent="0.3">
      <c r="A133" s="1">
        <v>16975444</v>
      </c>
      <c r="B133" s="1">
        <v>128</v>
      </c>
      <c r="C133" s="1">
        <v>10243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2</v>
      </c>
      <c r="J133" s="3">
        <v>2</v>
      </c>
      <c r="K133" s="1">
        <v>200000</v>
      </c>
      <c r="L133" s="1">
        <v>200000</v>
      </c>
      <c r="M133" s="1">
        <v>200000</v>
      </c>
      <c r="N133" s="3">
        <v>200000</v>
      </c>
      <c r="O133" s="1">
        <v>194100</v>
      </c>
      <c r="P133" s="1">
        <v>194100</v>
      </c>
      <c r="Q133" s="1">
        <v>194100</v>
      </c>
      <c r="R133" s="1">
        <v>194100</v>
      </c>
      <c r="S133" s="1">
        <v>200000</v>
      </c>
      <c r="T133" s="1">
        <v>200000</v>
      </c>
      <c r="U133" s="1">
        <v>200000</v>
      </c>
      <c r="V133" s="1">
        <v>200000</v>
      </c>
      <c r="W133" s="1">
        <v>0</v>
      </c>
      <c r="X133" s="1">
        <v>0</v>
      </c>
      <c r="Y133" s="1">
        <v>0</v>
      </c>
      <c r="Z133" s="1">
        <v>0</v>
      </c>
      <c r="AA133" s="1">
        <v>2611.31</v>
      </c>
      <c r="AB133" s="1">
        <v>2611.31</v>
      </c>
      <c r="AC133" s="1">
        <v>2611.31</v>
      </c>
      <c r="AD133" s="1">
        <v>2611.31</v>
      </c>
      <c r="AE133" s="3" t="s">
        <v>355</v>
      </c>
      <c r="AF133" s="3" t="s">
        <v>161</v>
      </c>
      <c r="AG133" s="1" t="s">
        <v>970</v>
      </c>
      <c r="AH133" s="3" t="s">
        <v>356</v>
      </c>
      <c r="AI133" s="1">
        <v>4</v>
      </c>
      <c r="AJ133" s="3" t="s">
        <v>165</v>
      </c>
      <c r="AK133" s="1" t="s">
        <v>176</v>
      </c>
      <c r="AL133" s="3">
        <v>97.621333330707998</v>
      </c>
      <c r="AM133" s="3">
        <v>97.467833333333004</v>
      </c>
      <c r="AN133" s="3">
        <v>194935.67</v>
      </c>
      <c r="AO133" s="3">
        <v>194935.67</v>
      </c>
      <c r="AP133" s="1" t="s">
        <v>164</v>
      </c>
      <c r="AQ133" s="1">
        <v>4</v>
      </c>
      <c r="AR133" s="1" t="s">
        <v>165</v>
      </c>
      <c r="AS133" s="3">
        <v>132534288.59999999</v>
      </c>
      <c r="AT133" s="1" t="s">
        <v>176</v>
      </c>
      <c r="AU133" s="1">
        <v>1</v>
      </c>
      <c r="AV133" s="1">
        <v>1</v>
      </c>
      <c r="AW133" s="3" t="s">
        <v>210</v>
      </c>
      <c r="AX133" s="3" t="s">
        <v>237</v>
      </c>
      <c r="AY133" s="1">
        <v>0</v>
      </c>
      <c r="BA133" s="3">
        <v>8205251.6799999997</v>
      </c>
      <c r="BB133" s="1">
        <v>1</v>
      </c>
      <c r="BD133" s="1" t="s">
        <v>971</v>
      </c>
      <c r="BE133" s="1">
        <v>1</v>
      </c>
      <c r="BF133" s="1">
        <v>1</v>
      </c>
      <c r="BG133" s="1" t="s">
        <v>168</v>
      </c>
      <c r="BH133" s="1">
        <v>0</v>
      </c>
      <c r="BI133" s="1">
        <v>31345322.399999999</v>
      </c>
      <c r="BJ133" s="1">
        <v>0</v>
      </c>
      <c r="BK133" s="1">
        <v>123618989.48999999</v>
      </c>
      <c r="BL133" s="1">
        <v>132456249.91</v>
      </c>
      <c r="BM133" s="1">
        <v>596150.00000000012</v>
      </c>
      <c r="BN133" s="1">
        <v>9219855.2300000004</v>
      </c>
      <c r="BO133" s="1">
        <v>23.664660909999998</v>
      </c>
      <c r="BP133" s="1">
        <v>0.45007313999999998</v>
      </c>
      <c r="BQ133" s="1">
        <v>6.9606796500000003</v>
      </c>
      <c r="BR133" s="1">
        <v>0.14716984999999999</v>
      </c>
      <c r="BS133" s="1" t="s">
        <v>169</v>
      </c>
      <c r="BT133" s="1" t="s">
        <v>169</v>
      </c>
      <c r="BU133" s="1">
        <v>26356083.120000001</v>
      </c>
      <c r="BV133" s="1">
        <v>0</v>
      </c>
      <c r="BW133" s="1">
        <v>-307</v>
      </c>
      <c r="BX133" s="1">
        <v>-0.15</v>
      </c>
      <c r="BY133" s="1" t="s">
        <v>170</v>
      </c>
      <c r="BZ133" s="1">
        <v>-78038.69</v>
      </c>
      <c r="CA133" s="1" t="s">
        <v>250</v>
      </c>
      <c r="CB133" s="1" t="s">
        <v>344</v>
      </c>
      <c r="CC133" s="1">
        <v>-1468.64</v>
      </c>
      <c r="CD133" s="1">
        <v>-1468.64</v>
      </c>
      <c r="CE133" s="1">
        <v>195242.67</v>
      </c>
      <c r="CF133" s="1">
        <v>195242.67</v>
      </c>
      <c r="CG133" s="1">
        <v>0</v>
      </c>
      <c r="CH133" s="1">
        <v>1.4438757900000001</v>
      </c>
      <c r="CI133" s="1">
        <v>13.27863496</v>
      </c>
      <c r="CJ133" s="1">
        <v>17588381.91</v>
      </c>
      <c r="CK133" s="1">
        <v>1912503.72</v>
      </c>
      <c r="CL133" s="1">
        <v>6269233.6699999999</v>
      </c>
      <c r="CM133" s="1" t="s">
        <v>164</v>
      </c>
      <c r="CN133" s="1" t="s">
        <v>164</v>
      </c>
      <c r="CO133" s="1" t="s">
        <v>184</v>
      </c>
      <c r="CP133" s="1" t="s">
        <v>243</v>
      </c>
      <c r="CQ133" s="3" t="s">
        <v>252</v>
      </c>
      <c r="CR133" s="1">
        <v>0</v>
      </c>
      <c r="CS133" s="1" t="s">
        <v>243</v>
      </c>
      <c r="CT133" s="1">
        <v>0.15769072000000001</v>
      </c>
      <c r="CV133" s="1">
        <v>0</v>
      </c>
      <c r="CW133" s="1">
        <v>-219173.26</v>
      </c>
      <c r="DA133" s="1">
        <v>1355558.46</v>
      </c>
      <c r="DB133" s="1">
        <v>0</v>
      </c>
      <c r="DC133" s="1">
        <v>2520.3126550000002</v>
      </c>
      <c r="DD133" s="1">
        <v>52555.483399999997</v>
      </c>
      <c r="DE133" s="1">
        <v>-296353.43</v>
      </c>
      <c r="DF133" s="1">
        <v>92570020.519999996</v>
      </c>
      <c r="DG133" s="1">
        <v>-307</v>
      </c>
      <c r="DH133" s="1">
        <v>394770.09</v>
      </c>
      <c r="DI133" s="1">
        <v>0.29803809999999997</v>
      </c>
      <c r="DK133" s="1">
        <v>0</v>
      </c>
      <c r="DL133" s="1">
        <v>0</v>
      </c>
      <c r="DM133" s="1">
        <v>-296353.43</v>
      </c>
      <c r="DN133" s="1">
        <v>0</v>
      </c>
      <c r="DO133" s="1">
        <v>0</v>
      </c>
      <c r="DP133" s="1">
        <v>16777215</v>
      </c>
      <c r="DQ133" s="1">
        <v>0</v>
      </c>
      <c r="DR133" s="1">
        <v>0</v>
      </c>
      <c r="DS133" s="1">
        <v>0</v>
      </c>
      <c r="DT133" s="1">
        <v>0</v>
      </c>
      <c r="DU133" s="1">
        <v>0</v>
      </c>
      <c r="DV133" s="1">
        <v>194935.67</v>
      </c>
      <c r="DW133" s="1">
        <v>194935.67</v>
      </c>
      <c r="DX133" s="1">
        <v>31345322.399999999</v>
      </c>
      <c r="DY133" s="1">
        <v>-1110160.2399999984</v>
      </c>
      <c r="DZ133" s="1">
        <v>92570020.519999966</v>
      </c>
      <c r="EA133" s="1">
        <v>0</v>
      </c>
      <c r="EB133" s="1">
        <v>0</v>
      </c>
      <c r="EC133" s="1" t="s">
        <v>176</v>
      </c>
      <c r="EE133" s="1">
        <v>0</v>
      </c>
      <c r="EF133" s="1">
        <v>3</v>
      </c>
      <c r="EG133" s="1">
        <v>0</v>
      </c>
      <c r="EH133" s="3">
        <v>0.21058186000000001</v>
      </c>
      <c r="EI133" s="1">
        <v>0</v>
      </c>
      <c r="EL133" s="1">
        <v>0</v>
      </c>
      <c r="EM133" s="1">
        <v>0</v>
      </c>
      <c r="EN133" s="1">
        <v>1633661.45</v>
      </c>
      <c r="EO133" s="1">
        <v>1.2333592799999999</v>
      </c>
      <c r="ER133" s="1">
        <v>97.6755</v>
      </c>
      <c r="ES133" s="1">
        <v>1</v>
      </c>
      <c r="ET133" s="3">
        <v>3.8524842779999999</v>
      </c>
      <c r="EU133" s="3">
        <v>4.362216117</v>
      </c>
      <c r="EV133" s="3">
        <v>4.1027582853110003</v>
      </c>
      <c r="EW133" s="3">
        <v>4.6602739729999998</v>
      </c>
      <c r="EX133" s="3">
        <v>0.22434644100000001</v>
      </c>
      <c r="EY133" s="3">
        <v>50</v>
      </c>
      <c r="EZ133" s="3">
        <v>1701</v>
      </c>
      <c r="FA133" s="1">
        <v>0</v>
      </c>
      <c r="FB133" s="1">
        <v>0</v>
      </c>
      <c r="FC133" s="3">
        <v>4.005566484</v>
      </c>
      <c r="FD133" s="1">
        <v>0</v>
      </c>
      <c r="FE133" s="1">
        <v>0</v>
      </c>
    </row>
    <row r="134" spans="1:161" x14ac:dyDescent="0.3">
      <c r="A134" s="1">
        <v>16975428</v>
      </c>
      <c r="B134" s="1">
        <v>128</v>
      </c>
      <c r="C134" s="1">
        <v>7432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1</v>
      </c>
      <c r="J134" s="3">
        <v>1</v>
      </c>
      <c r="K134" s="1">
        <v>200000</v>
      </c>
      <c r="L134" s="1">
        <v>200000</v>
      </c>
      <c r="M134" s="1">
        <v>200000</v>
      </c>
      <c r="N134" s="3">
        <v>200000</v>
      </c>
      <c r="O134" s="1">
        <v>183084</v>
      </c>
      <c r="P134" s="1">
        <v>183084</v>
      </c>
      <c r="Q134" s="1">
        <v>183084</v>
      </c>
      <c r="R134" s="1">
        <v>183084</v>
      </c>
      <c r="S134" s="1">
        <v>200000</v>
      </c>
      <c r="T134" s="1">
        <v>200000</v>
      </c>
      <c r="U134" s="1">
        <v>200000</v>
      </c>
      <c r="V134" s="1">
        <v>200000</v>
      </c>
      <c r="W134" s="1">
        <v>0</v>
      </c>
      <c r="X134" s="1">
        <v>0</v>
      </c>
      <c r="Y134" s="1">
        <v>0</v>
      </c>
      <c r="Z134" s="1">
        <v>0</v>
      </c>
      <c r="AA134" s="1">
        <v>14214.56</v>
      </c>
      <c r="AB134" s="1">
        <v>14214.56</v>
      </c>
      <c r="AC134" s="1">
        <v>14214.56</v>
      </c>
      <c r="AD134" s="1">
        <v>14214.56</v>
      </c>
      <c r="AE134" s="3" t="s">
        <v>357</v>
      </c>
      <c r="AF134" s="3" t="s">
        <v>161</v>
      </c>
      <c r="AG134" s="1" t="s">
        <v>970</v>
      </c>
      <c r="AH134" s="3" t="s">
        <v>358</v>
      </c>
      <c r="AI134" s="1">
        <v>4</v>
      </c>
      <c r="AJ134" s="3" t="s">
        <v>165</v>
      </c>
      <c r="AK134" s="1" t="s">
        <v>176</v>
      </c>
      <c r="AL134" s="3">
        <v>99.592244121193005</v>
      </c>
      <c r="AM134" s="3">
        <v>99.627879120879001</v>
      </c>
      <c r="AN134" s="3">
        <v>199255.76</v>
      </c>
      <c r="AO134" s="3">
        <v>199255.76</v>
      </c>
      <c r="AP134" s="1" t="s">
        <v>164</v>
      </c>
      <c r="AQ134" s="1">
        <v>4</v>
      </c>
      <c r="AR134" s="1" t="s">
        <v>165</v>
      </c>
      <c r="AS134" s="3">
        <v>132534288.59999999</v>
      </c>
      <c r="AT134" s="1" t="s">
        <v>176</v>
      </c>
      <c r="AU134" s="1">
        <v>1</v>
      </c>
      <c r="AV134" s="1">
        <v>1</v>
      </c>
      <c r="AW134" s="3" t="s">
        <v>210</v>
      </c>
      <c r="AX134" s="3" t="s">
        <v>237</v>
      </c>
      <c r="AY134" s="1">
        <v>0</v>
      </c>
      <c r="BA134" s="3">
        <v>8205251.6799999997</v>
      </c>
      <c r="BB134" s="1">
        <v>1</v>
      </c>
      <c r="BD134" s="1" t="s">
        <v>971</v>
      </c>
      <c r="BE134" s="1">
        <v>1</v>
      </c>
      <c r="BF134" s="1">
        <v>1</v>
      </c>
      <c r="BG134" s="1" t="s">
        <v>168</v>
      </c>
      <c r="BH134" s="1">
        <v>0</v>
      </c>
      <c r="BI134" s="1">
        <v>31345322.399999999</v>
      </c>
      <c r="BJ134" s="1">
        <v>0</v>
      </c>
      <c r="BK134" s="1">
        <v>123618989.48999999</v>
      </c>
      <c r="BL134" s="1">
        <v>132456249.91</v>
      </c>
      <c r="BM134" s="1">
        <v>596150.00000000012</v>
      </c>
      <c r="BN134" s="1">
        <v>9219855.2300000004</v>
      </c>
      <c r="BO134" s="1">
        <v>23.664660909999998</v>
      </c>
      <c r="BP134" s="1">
        <v>0.45007313999999998</v>
      </c>
      <c r="BQ134" s="1">
        <v>6.9606796500000003</v>
      </c>
      <c r="BR134" s="1">
        <v>0.15043138</v>
      </c>
      <c r="BS134" s="1" t="s">
        <v>169</v>
      </c>
      <c r="BT134" s="1" t="s">
        <v>169</v>
      </c>
      <c r="BU134" s="1">
        <v>26356083.120000001</v>
      </c>
      <c r="BV134" s="1">
        <v>0</v>
      </c>
      <c r="BW134" s="1">
        <v>71.27</v>
      </c>
      <c r="BX134" s="1">
        <v>0.04</v>
      </c>
      <c r="BY134" s="1" t="s">
        <v>170</v>
      </c>
      <c r="BZ134" s="1">
        <v>-78038.69</v>
      </c>
      <c r="CA134" s="1" t="s">
        <v>250</v>
      </c>
      <c r="CB134" s="1" t="s">
        <v>344</v>
      </c>
      <c r="CC134" s="1">
        <v>1885.93</v>
      </c>
      <c r="CD134" s="1">
        <v>1885.93</v>
      </c>
      <c r="CE134" s="1">
        <v>199184.49</v>
      </c>
      <c r="CF134" s="1">
        <v>199184.49</v>
      </c>
      <c r="CG134" s="1">
        <v>0</v>
      </c>
      <c r="CH134" s="1">
        <v>1.4438757900000001</v>
      </c>
      <c r="CI134" s="1">
        <v>13.27863496</v>
      </c>
      <c r="CJ134" s="1">
        <v>17588381.91</v>
      </c>
      <c r="CK134" s="1">
        <v>1912503.72</v>
      </c>
      <c r="CL134" s="1">
        <v>6269233.6699999999</v>
      </c>
      <c r="CM134" s="1" t="s">
        <v>164</v>
      </c>
      <c r="CN134" s="1" t="s">
        <v>164</v>
      </c>
      <c r="CO134" s="1" t="s">
        <v>184</v>
      </c>
      <c r="CP134" s="1" t="s">
        <v>243</v>
      </c>
      <c r="CQ134" s="3" t="s">
        <v>252</v>
      </c>
      <c r="CR134" s="1">
        <v>0</v>
      </c>
      <c r="CS134" s="1" t="s">
        <v>243</v>
      </c>
      <c r="CT134" s="1">
        <v>0.16118540000000001</v>
      </c>
      <c r="CV134" s="1">
        <v>0</v>
      </c>
      <c r="CW134" s="1">
        <v>-219173.26</v>
      </c>
      <c r="DA134" s="1">
        <v>1355558.46</v>
      </c>
      <c r="DB134" s="1">
        <v>0</v>
      </c>
      <c r="DC134" s="1">
        <v>2520.3126550000002</v>
      </c>
      <c r="DD134" s="1">
        <v>52555.483399999997</v>
      </c>
      <c r="DE134" s="1">
        <v>-296353.43</v>
      </c>
      <c r="DF134" s="1">
        <v>92570020.519999996</v>
      </c>
      <c r="DG134" s="1">
        <v>71.27</v>
      </c>
      <c r="DH134" s="1">
        <v>394770.09</v>
      </c>
      <c r="DI134" s="1">
        <v>0.29803809999999997</v>
      </c>
      <c r="DK134" s="1">
        <v>0</v>
      </c>
      <c r="DL134" s="1">
        <v>0</v>
      </c>
      <c r="DM134" s="1">
        <v>-296353.43</v>
      </c>
      <c r="DN134" s="1">
        <v>0</v>
      </c>
      <c r="DO134" s="1">
        <v>0</v>
      </c>
      <c r="DP134" s="1">
        <v>16777215</v>
      </c>
      <c r="DQ134" s="1">
        <v>0</v>
      </c>
      <c r="DR134" s="1">
        <v>0</v>
      </c>
      <c r="DS134" s="1">
        <v>0</v>
      </c>
      <c r="DT134" s="1">
        <v>0</v>
      </c>
      <c r="DU134" s="1">
        <v>0</v>
      </c>
      <c r="DV134" s="1">
        <v>199255.76</v>
      </c>
      <c r="DW134" s="1">
        <v>199255.76</v>
      </c>
      <c r="DX134" s="1">
        <v>31345322.399999999</v>
      </c>
      <c r="DY134" s="1">
        <v>-1110160.2399999984</v>
      </c>
      <c r="DZ134" s="1">
        <v>92570020.519999966</v>
      </c>
      <c r="EA134" s="1">
        <v>0</v>
      </c>
      <c r="EB134" s="1">
        <v>0</v>
      </c>
      <c r="EC134" s="1" t="s">
        <v>176</v>
      </c>
      <c r="EE134" s="1">
        <v>0</v>
      </c>
      <c r="EF134" s="1">
        <v>3</v>
      </c>
      <c r="EG134" s="1">
        <v>0</v>
      </c>
      <c r="EH134" s="3">
        <v>0.21524868999999999</v>
      </c>
      <c r="EI134" s="1">
        <v>0</v>
      </c>
      <c r="EL134" s="1">
        <v>0</v>
      </c>
      <c r="EM134" s="1">
        <v>0</v>
      </c>
      <c r="EN134" s="1">
        <v>1633661.45</v>
      </c>
      <c r="EO134" s="1">
        <v>1.2333592799999999</v>
      </c>
      <c r="ER134" s="1">
        <v>99.618335164835003</v>
      </c>
      <c r="ES134" s="1">
        <v>1</v>
      </c>
      <c r="ET134" s="3">
        <v>8.0839204579999997</v>
      </c>
      <c r="EU134" s="3">
        <v>0.68427620700000003</v>
      </c>
      <c r="EV134" s="3">
        <v>0.66816116054499997</v>
      </c>
      <c r="EW134" s="3">
        <v>0.69863013699999998</v>
      </c>
      <c r="EX134" s="3">
        <v>1.112144E-2</v>
      </c>
      <c r="EY134" s="3">
        <v>8</v>
      </c>
      <c r="EZ134" s="3">
        <v>255</v>
      </c>
      <c r="FA134" s="1">
        <v>0</v>
      </c>
      <c r="FB134" s="1">
        <v>0</v>
      </c>
      <c r="FC134" s="3">
        <v>22.305749705</v>
      </c>
      <c r="FD134" s="1">
        <v>0</v>
      </c>
      <c r="FE134" s="1">
        <v>0</v>
      </c>
    </row>
    <row r="135" spans="1:161" x14ac:dyDescent="0.3">
      <c r="A135" s="1">
        <v>16975427</v>
      </c>
      <c r="B135" s="1">
        <v>128</v>
      </c>
      <c r="C135" s="1">
        <v>8758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1</v>
      </c>
      <c r="J135" s="3">
        <v>1</v>
      </c>
      <c r="K135" s="1">
        <v>200000</v>
      </c>
      <c r="L135" s="1">
        <v>200000</v>
      </c>
      <c r="M135" s="1">
        <v>200000</v>
      </c>
      <c r="N135" s="3">
        <v>200000</v>
      </c>
      <c r="O135" s="1">
        <v>199994</v>
      </c>
      <c r="P135" s="1">
        <v>199994</v>
      </c>
      <c r="Q135" s="1">
        <v>199994</v>
      </c>
      <c r="R135" s="1">
        <v>199994</v>
      </c>
      <c r="S135" s="1">
        <v>200000</v>
      </c>
      <c r="T135" s="1">
        <v>200000</v>
      </c>
      <c r="U135" s="1">
        <v>200000</v>
      </c>
      <c r="V135" s="1">
        <v>200000</v>
      </c>
      <c r="W135" s="1">
        <v>0</v>
      </c>
      <c r="X135" s="1">
        <v>0</v>
      </c>
      <c r="Y135" s="1">
        <v>0</v>
      </c>
      <c r="Z135" s="1">
        <v>0</v>
      </c>
      <c r="AA135" s="1">
        <v>2298.27</v>
      </c>
      <c r="AB135" s="1">
        <v>2298.27</v>
      </c>
      <c r="AC135" s="1">
        <v>2298.27</v>
      </c>
      <c r="AD135" s="1">
        <v>2298.27</v>
      </c>
      <c r="AE135" s="3" t="s">
        <v>359</v>
      </c>
      <c r="AF135" s="3" t="s">
        <v>161</v>
      </c>
      <c r="AG135" s="1" t="s">
        <v>970</v>
      </c>
      <c r="AH135" s="3" t="s">
        <v>360</v>
      </c>
      <c r="AI135" s="1">
        <v>4</v>
      </c>
      <c r="AJ135" s="3" t="s">
        <v>165</v>
      </c>
      <c r="AK135" s="1" t="s">
        <v>176</v>
      </c>
      <c r="AL135" s="3">
        <v>90.683916086365002</v>
      </c>
      <c r="AM135" s="3">
        <v>90.733326086957007</v>
      </c>
      <c r="AN135" s="3">
        <v>181466.65</v>
      </c>
      <c r="AO135" s="3">
        <v>181466.65</v>
      </c>
      <c r="AP135" s="1" t="s">
        <v>164</v>
      </c>
      <c r="AQ135" s="1">
        <v>4</v>
      </c>
      <c r="AR135" s="1" t="s">
        <v>165</v>
      </c>
      <c r="AS135" s="3">
        <v>132534288.59999999</v>
      </c>
      <c r="AT135" s="1" t="s">
        <v>176</v>
      </c>
      <c r="AU135" s="1">
        <v>1</v>
      </c>
      <c r="AV135" s="1">
        <v>1</v>
      </c>
      <c r="AW135" s="3" t="s">
        <v>210</v>
      </c>
      <c r="AX135" s="3" t="s">
        <v>237</v>
      </c>
      <c r="AY135" s="1">
        <v>0</v>
      </c>
      <c r="BA135" s="3">
        <v>8205251.6799999997</v>
      </c>
      <c r="BB135" s="1">
        <v>1</v>
      </c>
      <c r="BD135" s="1" t="s">
        <v>971</v>
      </c>
      <c r="BE135" s="1">
        <v>1</v>
      </c>
      <c r="BF135" s="1">
        <v>1</v>
      </c>
      <c r="BG135" s="1" t="s">
        <v>168</v>
      </c>
      <c r="BH135" s="1">
        <v>0</v>
      </c>
      <c r="BI135" s="1">
        <v>31345322.399999999</v>
      </c>
      <c r="BJ135" s="1">
        <v>0</v>
      </c>
      <c r="BK135" s="1">
        <v>123618989.48999999</v>
      </c>
      <c r="BL135" s="1">
        <v>132456249.91</v>
      </c>
      <c r="BM135" s="1">
        <v>596150.00000000012</v>
      </c>
      <c r="BN135" s="1">
        <v>9219855.2300000004</v>
      </c>
      <c r="BO135" s="1">
        <v>23.664660909999998</v>
      </c>
      <c r="BP135" s="1">
        <v>0.45007313999999998</v>
      </c>
      <c r="BQ135" s="1">
        <v>6.9606796500000003</v>
      </c>
      <c r="BR135" s="1">
        <v>0.13700119999999999</v>
      </c>
      <c r="BS135" s="1" t="s">
        <v>169</v>
      </c>
      <c r="BT135" s="1" t="s">
        <v>169</v>
      </c>
      <c r="BU135" s="1">
        <v>26356083.120000001</v>
      </c>
      <c r="BV135" s="1">
        <v>0</v>
      </c>
      <c r="BW135" s="1">
        <v>98.82</v>
      </c>
      <c r="BX135" s="1">
        <v>0.06</v>
      </c>
      <c r="BY135" s="1" t="s">
        <v>170</v>
      </c>
      <c r="BZ135" s="1">
        <v>-78038.69</v>
      </c>
      <c r="CA135" s="1" t="s">
        <v>250</v>
      </c>
      <c r="CB135" s="1" t="s">
        <v>344</v>
      </c>
      <c r="CC135" s="1">
        <v>-20924.439999999999</v>
      </c>
      <c r="CD135" s="1">
        <v>-20924.439999999999</v>
      </c>
      <c r="CE135" s="1">
        <v>181367.83</v>
      </c>
      <c r="CF135" s="1">
        <v>181367.83</v>
      </c>
      <c r="CG135" s="1">
        <v>0</v>
      </c>
      <c r="CH135" s="1">
        <v>1.4438757900000001</v>
      </c>
      <c r="CI135" s="1">
        <v>13.27863496</v>
      </c>
      <c r="CJ135" s="1">
        <v>17588381.91</v>
      </c>
      <c r="CK135" s="1">
        <v>1912503.72</v>
      </c>
      <c r="CL135" s="1">
        <v>6269233.6699999999</v>
      </c>
      <c r="CM135" s="1" t="s">
        <v>164</v>
      </c>
      <c r="CN135" s="1" t="s">
        <v>164</v>
      </c>
      <c r="CO135" s="1" t="s">
        <v>184</v>
      </c>
      <c r="CP135" s="1" t="s">
        <v>243</v>
      </c>
      <c r="CQ135" s="3" t="s">
        <v>252</v>
      </c>
      <c r="CR135" s="1">
        <v>0</v>
      </c>
      <c r="CS135" s="1" t="s">
        <v>243</v>
      </c>
      <c r="CT135" s="1">
        <v>0.14679512</v>
      </c>
      <c r="CV135" s="1">
        <v>0</v>
      </c>
      <c r="CW135" s="1">
        <v>-219173.26</v>
      </c>
      <c r="DA135" s="1">
        <v>1355558.46</v>
      </c>
      <c r="DB135" s="1">
        <v>0</v>
      </c>
      <c r="DC135" s="1">
        <v>2520.3126550000002</v>
      </c>
      <c r="DD135" s="1">
        <v>52555.483399999997</v>
      </c>
      <c r="DE135" s="1">
        <v>-296353.43</v>
      </c>
      <c r="DF135" s="1">
        <v>92570020.519999996</v>
      </c>
      <c r="DG135" s="1">
        <v>98.82</v>
      </c>
      <c r="DH135" s="1">
        <v>394770.09</v>
      </c>
      <c r="DI135" s="1">
        <v>0.29803809999999997</v>
      </c>
      <c r="DK135" s="1">
        <v>0</v>
      </c>
      <c r="DL135" s="1">
        <v>0</v>
      </c>
      <c r="DM135" s="1">
        <v>-296353.43</v>
      </c>
      <c r="DN135" s="1">
        <v>0</v>
      </c>
      <c r="DO135" s="1">
        <v>0</v>
      </c>
      <c r="DP135" s="1">
        <v>16777215</v>
      </c>
      <c r="DQ135" s="1">
        <v>0</v>
      </c>
      <c r="DR135" s="1">
        <v>0</v>
      </c>
      <c r="DS135" s="1">
        <v>0</v>
      </c>
      <c r="DT135" s="1">
        <v>0</v>
      </c>
      <c r="DU135" s="1">
        <v>0</v>
      </c>
      <c r="DV135" s="1">
        <v>181466.65</v>
      </c>
      <c r="DW135" s="1">
        <v>181466.65</v>
      </c>
      <c r="DX135" s="1">
        <v>31345322.399999999</v>
      </c>
      <c r="DY135" s="1">
        <v>-1110160.2399999984</v>
      </c>
      <c r="DZ135" s="1">
        <v>92570020.519999966</v>
      </c>
      <c r="EA135" s="1">
        <v>0</v>
      </c>
      <c r="EB135" s="1">
        <v>0</v>
      </c>
      <c r="EC135" s="1" t="s">
        <v>176</v>
      </c>
      <c r="EE135" s="1">
        <v>0</v>
      </c>
      <c r="EF135" s="1">
        <v>3</v>
      </c>
      <c r="EG135" s="1">
        <v>0</v>
      </c>
      <c r="EH135" s="3">
        <v>0.19603176999999999</v>
      </c>
      <c r="EI135" s="1">
        <v>0</v>
      </c>
      <c r="EL135" s="1">
        <v>0</v>
      </c>
      <c r="EM135" s="1">
        <v>0</v>
      </c>
      <c r="EN135" s="1">
        <v>1633661.45</v>
      </c>
      <c r="EO135" s="1">
        <v>1.2333592799999999</v>
      </c>
      <c r="ER135" s="1">
        <v>90.684521739130005</v>
      </c>
      <c r="ES135" s="1">
        <v>1</v>
      </c>
      <c r="ET135" s="3">
        <v>11.728139028999999</v>
      </c>
      <c r="EU135" s="3">
        <v>2.1289171150000001</v>
      </c>
      <c r="EV135" s="3">
        <v>1.875604916566</v>
      </c>
      <c r="EW135" s="3">
        <v>2.8</v>
      </c>
      <c r="EX135" s="3">
        <v>6.5223684000000004E-2</v>
      </c>
      <c r="EY135" s="3">
        <v>25</v>
      </c>
      <c r="EZ135" s="3">
        <v>1022</v>
      </c>
      <c r="FA135" s="1">
        <v>0</v>
      </c>
      <c r="FB135" s="1">
        <v>0</v>
      </c>
      <c r="FC135" s="3">
        <v>6.7267282479999997</v>
      </c>
      <c r="FD135" s="1">
        <v>0</v>
      </c>
      <c r="FE135" s="1">
        <v>0</v>
      </c>
    </row>
    <row r="136" spans="1:161" x14ac:dyDescent="0.3">
      <c r="A136" s="1">
        <v>16975540</v>
      </c>
      <c r="B136" s="1">
        <v>128</v>
      </c>
      <c r="C136" s="1">
        <v>2907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1000</v>
      </c>
      <c r="J136" s="3">
        <v>1000</v>
      </c>
      <c r="K136" s="1">
        <v>1000000</v>
      </c>
      <c r="L136" s="1">
        <v>1000000</v>
      </c>
      <c r="M136" s="1">
        <v>1000000</v>
      </c>
      <c r="N136" s="3">
        <v>1000000</v>
      </c>
      <c r="O136" s="1">
        <v>71880</v>
      </c>
      <c r="P136" s="1">
        <v>71880</v>
      </c>
      <c r="Q136" s="1">
        <v>71880</v>
      </c>
      <c r="R136" s="1">
        <v>71880</v>
      </c>
      <c r="S136" s="1">
        <v>1000000</v>
      </c>
      <c r="T136" s="1">
        <v>1000000</v>
      </c>
      <c r="U136" s="1">
        <v>1000000</v>
      </c>
      <c r="V136" s="1">
        <v>1000000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3" t="s">
        <v>361</v>
      </c>
      <c r="AF136" s="3" t="s">
        <v>161</v>
      </c>
      <c r="AG136" s="1" t="s">
        <v>970</v>
      </c>
      <c r="AH136" s="3" t="s">
        <v>362</v>
      </c>
      <c r="AI136" s="1">
        <v>4</v>
      </c>
      <c r="AJ136" s="3" t="s">
        <v>165</v>
      </c>
      <c r="AK136" s="1" t="s">
        <v>191</v>
      </c>
      <c r="AL136" s="3">
        <v>0</v>
      </c>
      <c r="AM136" s="3">
        <v>0</v>
      </c>
      <c r="AN136" s="3">
        <v>0</v>
      </c>
      <c r="AO136" s="3">
        <v>0</v>
      </c>
      <c r="AP136" s="1" t="s">
        <v>164</v>
      </c>
      <c r="AQ136" s="1">
        <v>4</v>
      </c>
      <c r="AR136" s="1" t="s">
        <v>165</v>
      </c>
      <c r="AS136" s="3">
        <v>132534288.59999999</v>
      </c>
      <c r="AT136" s="1" t="s">
        <v>176</v>
      </c>
      <c r="AU136" s="1">
        <v>1</v>
      </c>
      <c r="AV136" s="1">
        <v>1</v>
      </c>
      <c r="AW136" s="3" t="s">
        <v>210</v>
      </c>
      <c r="AX136" s="3" t="s">
        <v>237</v>
      </c>
      <c r="AY136" s="1">
        <v>0</v>
      </c>
      <c r="BA136" s="3">
        <v>8205251.6799999997</v>
      </c>
      <c r="BB136" s="1">
        <v>1</v>
      </c>
      <c r="BD136" s="1" t="s">
        <v>971</v>
      </c>
      <c r="BE136" s="1">
        <v>1</v>
      </c>
      <c r="BF136" s="1">
        <v>1</v>
      </c>
      <c r="BG136" s="1" t="s">
        <v>168</v>
      </c>
      <c r="BH136" s="1">
        <v>0</v>
      </c>
      <c r="BI136" s="1">
        <v>31345322.399999999</v>
      </c>
      <c r="BJ136" s="1">
        <v>0</v>
      </c>
      <c r="BK136" s="1">
        <v>123618989.48999999</v>
      </c>
      <c r="BL136" s="1">
        <v>132456249.91</v>
      </c>
      <c r="BM136" s="1">
        <v>596150.00000000012</v>
      </c>
      <c r="BN136" s="1">
        <v>9219855.2300000004</v>
      </c>
      <c r="BO136" s="1">
        <v>23.664660909999998</v>
      </c>
      <c r="BP136" s="1">
        <v>0.45007313999999998</v>
      </c>
      <c r="BQ136" s="1">
        <v>6.9606796500000003</v>
      </c>
      <c r="BR136" s="1">
        <v>0</v>
      </c>
      <c r="BS136" s="1" t="s">
        <v>169</v>
      </c>
      <c r="BT136" s="1" t="s">
        <v>169</v>
      </c>
      <c r="BU136" s="1">
        <v>26356083.120000001</v>
      </c>
      <c r="BV136" s="1">
        <v>0</v>
      </c>
      <c r="BW136" s="1">
        <v>0</v>
      </c>
      <c r="BX136" s="1">
        <v>0</v>
      </c>
      <c r="BY136" s="1" t="s">
        <v>170</v>
      </c>
      <c r="BZ136" s="1">
        <v>-78038.69</v>
      </c>
      <c r="CA136" s="1" t="s">
        <v>250</v>
      </c>
      <c r="CB136" s="1" t="s">
        <v>251</v>
      </c>
      <c r="CC136" s="1">
        <v>-71880</v>
      </c>
      <c r="CD136" s="1">
        <v>-71880</v>
      </c>
      <c r="CE136" s="1">
        <v>0</v>
      </c>
      <c r="CF136" s="1">
        <v>0</v>
      </c>
      <c r="CG136" s="1">
        <v>0</v>
      </c>
      <c r="CH136" s="1">
        <v>1.4438757900000001</v>
      </c>
      <c r="CI136" s="1">
        <v>13.27863496</v>
      </c>
      <c r="CJ136" s="1">
        <v>17588381.91</v>
      </c>
      <c r="CK136" s="1">
        <v>1912503.72</v>
      </c>
      <c r="CL136" s="1">
        <v>6269233.6699999999</v>
      </c>
      <c r="CM136" s="1" t="s">
        <v>164</v>
      </c>
      <c r="CN136" s="1" t="s">
        <v>164</v>
      </c>
      <c r="CO136" s="1" t="s">
        <v>184</v>
      </c>
      <c r="CP136" s="1" t="s">
        <v>243</v>
      </c>
      <c r="CQ136" s="3" t="s">
        <v>252</v>
      </c>
      <c r="CR136" s="1">
        <v>0</v>
      </c>
      <c r="CS136" s="1" t="s">
        <v>243</v>
      </c>
      <c r="CT136" s="1">
        <v>0</v>
      </c>
      <c r="CV136" s="1">
        <v>0</v>
      </c>
      <c r="CW136" s="1">
        <v>-219173.26</v>
      </c>
      <c r="DA136" s="1">
        <v>1355558.46</v>
      </c>
      <c r="DB136" s="1">
        <v>0</v>
      </c>
      <c r="DC136" s="1">
        <v>2520.3126550000002</v>
      </c>
      <c r="DD136" s="1">
        <v>52555.483399999997</v>
      </c>
      <c r="DE136" s="1">
        <v>-296353.43</v>
      </c>
      <c r="DF136" s="1">
        <v>92570020.519999996</v>
      </c>
      <c r="DG136" s="1">
        <v>0</v>
      </c>
      <c r="DH136" s="1">
        <v>394770.09</v>
      </c>
      <c r="DI136" s="1">
        <v>0.29803809999999997</v>
      </c>
      <c r="DK136" s="1">
        <v>0</v>
      </c>
      <c r="DL136" s="1">
        <v>0</v>
      </c>
      <c r="DM136" s="1">
        <v>-296353.43</v>
      </c>
      <c r="DN136" s="1">
        <v>0</v>
      </c>
      <c r="DO136" s="1">
        <v>0</v>
      </c>
      <c r="DP136" s="1">
        <v>16777215</v>
      </c>
      <c r="DQ136" s="1">
        <v>0</v>
      </c>
      <c r="DR136" s="1">
        <v>0</v>
      </c>
      <c r="DS136" s="1">
        <v>0</v>
      </c>
      <c r="DT136" s="1">
        <v>0</v>
      </c>
      <c r="DU136" s="1">
        <v>0</v>
      </c>
      <c r="DV136" s="1">
        <v>0</v>
      </c>
      <c r="DW136" s="1">
        <v>0</v>
      </c>
      <c r="DX136" s="1">
        <v>31345322.399999999</v>
      </c>
      <c r="DY136" s="1">
        <v>-1110160.2399999984</v>
      </c>
      <c r="DZ136" s="1">
        <v>92570020.519999966</v>
      </c>
      <c r="EA136" s="1">
        <v>0</v>
      </c>
      <c r="EB136" s="1">
        <v>0</v>
      </c>
      <c r="EC136" s="1" t="s">
        <v>176</v>
      </c>
      <c r="EE136" s="1">
        <v>0</v>
      </c>
      <c r="EF136" s="1">
        <v>3</v>
      </c>
      <c r="EG136" s="1">
        <v>0</v>
      </c>
      <c r="EH136" s="3">
        <v>0</v>
      </c>
      <c r="EI136" s="1">
        <v>0</v>
      </c>
      <c r="EL136" s="1">
        <v>0</v>
      </c>
      <c r="EM136" s="1">
        <v>0</v>
      </c>
      <c r="EN136" s="1">
        <v>1633661.45</v>
      </c>
      <c r="EO136" s="1">
        <v>1.2333592799999999</v>
      </c>
      <c r="ER136" s="1">
        <v>0</v>
      </c>
      <c r="ES136" s="1">
        <v>1</v>
      </c>
      <c r="ET136" s="3">
        <v>0</v>
      </c>
      <c r="EU136" s="3">
        <v>0</v>
      </c>
      <c r="EV136" s="3">
        <v>0</v>
      </c>
      <c r="EW136" s="3">
        <v>-8.3123287670000003</v>
      </c>
      <c r="EX136" s="3">
        <v>0</v>
      </c>
      <c r="EY136" s="3">
        <v>0</v>
      </c>
      <c r="EZ136" s="3">
        <v>-3034</v>
      </c>
      <c r="FA136" s="1">
        <v>0</v>
      </c>
      <c r="FB136" s="1">
        <v>0</v>
      </c>
      <c r="FC136" s="3">
        <v>0</v>
      </c>
      <c r="FD136" s="1">
        <v>0</v>
      </c>
      <c r="FE136" s="1">
        <v>0</v>
      </c>
    </row>
    <row r="137" spans="1:161" x14ac:dyDescent="0.3">
      <c r="A137" s="1">
        <v>16975542</v>
      </c>
      <c r="B137" s="1">
        <v>128</v>
      </c>
      <c r="C137" s="1">
        <v>7614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1000</v>
      </c>
      <c r="J137" s="3">
        <v>1000</v>
      </c>
      <c r="K137" s="1">
        <v>1000000</v>
      </c>
      <c r="L137" s="1">
        <v>1000000</v>
      </c>
      <c r="M137" s="1">
        <v>1000000</v>
      </c>
      <c r="N137" s="3">
        <v>1000000</v>
      </c>
      <c r="O137" s="1">
        <v>985830</v>
      </c>
      <c r="P137" s="1">
        <v>985830</v>
      </c>
      <c r="Q137" s="1">
        <v>985830</v>
      </c>
      <c r="R137" s="1">
        <v>985830</v>
      </c>
      <c r="S137" s="1">
        <v>1000000</v>
      </c>
      <c r="T137" s="1">
        <v>1000000</v>
      </c>
      <c r="U137" s="1">
        <v>1000000</v>
      </c>
      <c r="V137" s="1">
        <v>1000000</v>
      </c>
      <c r="W137" s="1">
        <v>3671.23</v>
      </c>
      <c r="X137" s="1">
        <v>3671.23</v>
      </c>
      <c r="Y137" s="1">
        <v>3671.23</v>
      </c>
      <c r="Z137" s="1">
        <v>3671.23</v>
      </c>
      <c r="AA137" s="1">
        <v>18003.32</v>
      </c>
      <c r="AB137" s="1">
        <v>18003.32</v>
      </c>
      <c r="AC137" s="1">
        <v>18003.32</v>
      </c>
      <c r="AD137" s="1">
        <v>18003.32</v>
      </c>
      <c r="AE137" s="3" t="s">
        <v>664</v>
      </c>
      <c r="AF137" s="3" t="s">
        <v>161</v>
      </c>
      <c r="AG137" s="1" t="s">
        <v>970</v>
      </c>
      <c r="AH137" s="3" t="s">
        <v>665</v>
      </c>
      <c r="AI137" s="1">
        <v>4</v>
      </c>
      <c r="AJ137" s="3" t="s">
        <v>165</v>
      </c>
      <c r="AK137" s="1" t="s">
        <v>191</v>
      </c>
      <c r="AL137" s="3">
        <v>100.648985657493</v>
      </c>
      <c r="AM137" s="3">
        <v>100.636924657534</v>
      </c>
      <c r="AN137" s="3">
        <v>1006369.25</v>
      </c>
      <c r="AO137" s="3">
        <v>1006369.25</v>
      </c>
      <c r="AP137" s="1" t="s">
        <v>164</v>
      </c>
      <c r="AQ137" s="1">
        <v>4</v>
      </c>
      <c r="AR137" s="1" t="s">
        <v>165</v>
      </c>
      <c r="AS137" s="3">
        <v>132534288.59999999</v>
      </c>
      <c r="AT137" s="1" t="s">
        <v>176</v>
      </c>
      <c r="AU137" s="1">
        <v>1</v>
      </c>
      <c r="AV137" s="1">
        <v>1</v>
      </c>
      <c r="AW137" s="3" t="s">
        <v>210</v>
      </c>
      <c r="AX137" s="3" t="s">
        <v>237</v>
      </c>
      <c r="AY137" s="1">
        <v>0</v>
      </c>
      <c r="BA137" s="3">
        <v>8205251.6799999997</v>
      </c>
      <c r="BB137" s="1">
        <v>1</v>
      </c>
      <c r="BD137" s="1" t="s">
        <v>971</v>
      </c>
      <c r="BE137" s="1">
        <v>1</v>
      </c>
      <c r="BF137" s="1">
        <v>1</v>
      </c>
      <c r="BG137" s="1" t="s">
        <v>168</v>
      </c>
      <c r="BH137" s="1">
        <v>0</v>
      </c>
      <c r="BI137" s="1">
        <v>31345322.399999999</v>
      </c>
      <c r="BJ137" s="1">
        <v>0</v>
      </c>
      <c r="BK137" s="1">
        <v>123618989.48999999</v>
      </c>
      <c r="BL137" s="1">
        <v>132456249.91</v>
      </c>
      <c r="BM137" s="1">
        <v>596150.00000000012</v>
      </c>
      <c r="BN137" s="1">
        <v>9219855.2300000004</v>
      </c>
      <c r="BO137" s="1">
        <v>23.664660909999998</v>
      </c>
      <c r="BP137" s="1">
        <v>0.45007313999999998</v>
      </c>
      <c r="BQ137" s="1">
        <v>6.9606796500000003</v>
      </c>
      <c r="BR137" s="1">
        <v>0.75977483000000001</v>
      </c>
      <c r="BS137" s="1" t="s">
        <v>169</v>
      </c>
      <c r="BT137" s="1" t="s">
        <v>169</v>
      </c>
      <c r="BU137" s="1">
        <v>26356083.120000001</v>
      </c>
      <c r="BV137" s="1">
        <v>0</v>
      </c>
      <c r="BW137" s="1">
        <v>-120.61</v>
      </c>
      <c r="BX137" s="1">
        <v>-0.01</v>
      </c>
      <c r="BY137" s="1" t="s">
        <v>170</v>
      </c>
      <c r="BZ137" s="1">
        <v>-78038.69</v>
      </c>
      <c r="CA137" s="1" t="s">
        <v>250</v>
      </c>
      <c r="CB137" s="1" t="s">
        <v>251</v>
      </c>
      <c r="CC137" s="1">
        <v>-1014.69</v>
      </c>
      <c r="CD137" s="1">
        <v>-1014.69</v>
      </c>
      <c r="CE137" s="1">
        <v>1006489.86</v>
      </c>
      <c r="CF137" s="1">
        <v>1006489.86</v>
      </c>
      <c r="CG137" s="1">
        <v>0</v>
      </c>
      <c r="CH137" s="1">
        <v>1.4438757900000001</v>
      </c>
      <c r="CI137" s="1">
        <v>13.27863496</v>
      </c>
      <c r="CJ137" s="1">
        <v>17588381.91</v>
      </c>
      <c r="CK137" s="1">
        <v>1912503.72</v>
      </c>
      <c r="CL137" s="1">
        <v>6269233.6699999999</v>
      </c>
      <c r="CM137" s="1" t="s">
        <v>164</v>
      </c>
      <c r="CN137" s="1" t="s">
        <v>164</v>
      </c>
      <c r="CO137" s="1" t="s">
        <v>184</v>
      </c>
      <c r="CP137" s="1" t="s">
        <v>243</v>
      </c>
      <c r="CQ137" s="3" t="s">
        <v>252</v>
      </c>
      <c r="CR137" s="1">
        <v>0</v>
      </c>
      <c r="CS137" s="1" t="s">
        <v>243</v>
      </c>
      <c r="CT137" s="1">
        <v>0.81408952999999995</v>
      </c>
      <c r="CV137" s="1">
        <v>0</v>
      </c>
      <c r="CW137" s="1">
        <v>-219173.26</v>
      </c>
      <c r="DA137" s="1">
        <v>1355558.46</v>
      </c>
      <c r="DB137" s="1">
        <v>0</v>
      </c>
      <c r="DC137" s="1">
        <v>2520.3126550000002</v>
      </c>
      <c r="DD137" s="1">
        <v>52555.483399999997</v>
      </c>
      <c r="DE137" s="1">
        <v>-296353.43</v>
      </c>
      <c r="DF137" s="1">
        <v>92570020.519999996</v>
      </c>
      <c r="DG137" s="1">
        <v>-120.61</v>
      </c>
      <c r="DH137" s="1">
        <v>394770.09</v>
      </c>
      <c r="DI137" s="1">
        <v>0.29803809999999997</v>
      </c>
      <c r="DK137" s="1">
        <v>0</v>
      </c>
      <c r="DL137" s="1">
        <v>0</v>
      </c>
      <c r="DM137" s="1">
        <v>-296353.43</v>
      </c>
      <c r="DN137" s="1">
        <v>0</v>
      </c>
      <c r="DO137" s="1">
        <v>0</v>
      </c>
      <c r="DP137" s="1">
        <v>16777215</v>
      </c>
      <c r="DQ137" s="1">
        <v>0</v>
      </c>
      <c r="DR137" s="1">
        <v>0</v>
      </c>
      <c r="DS137" s="1">
        <v>0</v>
      </c>
      <c r="DT137" s="1">
        <v>0</v>
      </c>
      <c r="DU137" s="1">
        <v>0</v>
      </c>
      <c r="DV137" s="1">
        <v>1006369.25</v>
      </c>
      <c r="DW137" s="1">
        <v>1006369.25</v>
      </c>
      <c r="DX137" s="1">
        <v>31345322.399999999</v>
      </c>
      <c r="DY137" s="1">
        <v>-1110160.2399999984</v>
      </c>
      <c r="DZ137" s="1">
        <v>92570020.519999966</v>
      </c>
      <c r="EA137" s="1">
        <v>0</v>
      </c>
      <c r="EB137" s="1">
        <v>0</v>
      </c>
      <c r="EC137" s="1" t="s">
        <v>176</v>
      </c>
      <c r="EE137" s="1">
        <v>0</v>
      </c>
      <c r="EF137" s="1">
        <v>3</v>
      </c>
      <c r="EG137" s="1">
        <v>0</v>
      </c>
      <c r="EH137" s="3">
        <v>1.0871438099999999</v>
      </c>
      <c r="EI137" s="1">
        <v>0</v>
      </c>
      <c r="EL137" s="1">
        <v>0</v>
      </c>
      <c r="EM137" s="1">
        <v>0</v>
      </c>
      <c r="EN137" s="1">
        <v>1633661.45</v>
      </c>
      <c r="EO137" s="1">
        <v>1.2333592799999999</v>
      </c>
      <c r="ER137" s="1">
        <v>100.65044520548</v>
      </c>
      <c r="ES137" s="1">
        <v>1</v>
      </c>
      <c r="ET137" s="3">
        <v>4.1699100930000004</v>
      </c>
      <c r="EU137" s="3">
        <v>0.326027397</v>
      </c>
      <c r="EV137" s="3">
        <v>0.31501229700299999</v>
      </c>
      <c r="EW137" s="3">
        <v>0.326027397</v>
      </c>
      <c r="EX137" s="3">
        <v>3.9840250000000004E-3</v>
      </c>
      <c r="EY137" s="3">
        <v>4</v>
      </c>
      <c r="EZ137" s="3">
        <v>119</v>
      </c>
      <c r="FA137" s="1">
        <v>0</v>
      </c>
      <c r="FB137" s="1">
        <v>0</v>
      </c>
      <c r="FC137" s="3">
        <v>11.016941384000001</v>
      </c>
      <c r="FD137" s="1">
        <v>0</v>
      </c>
      <c r="FE137" s="1">
        <v>0</v>
      </c>
    </row>
    <row r="138" spans="1:161" x14ac:dyDescent="0.3">
      <c r="A138" s="1">
        <v>16975436</v>
      </c>
      <c r="B138" s="1">
        <v>128</v>
      </c>
      <c r="C138" s="1">
        <v>10212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1</v>
      </c>
      <c r="J138" s="3">
        <v>1</v>
      </c>
      <c r="K138" s="1">
        <v>100000</v>
      </c>
      <c r="L138" s="1">
        <v>100000</v>
      </c>
      <c r="M138" s="1">
        <v>100000</v>
      </c>
      <c r="N138" s="3">
        <v>100000</v>
      </c>
      <c r="O138" s="1">
        <v>100960</v>
      </c>
      <c r="P138" s="1">
        <v>100960</v>
      </c>
      <c r="Q138" s="1">
        <v>100960</v>
      </c>
      <c r="R138" s="1">
        <v>100960</v>
      </c>
      <c r="S138" s="1">
        <v>100000</v>
      </c>
      <c r="T138" s="1">
        <v>100000</v>
      </c>
      <c r="U138" s="1">
        <v>100000</v>
      </c>
      <c r="V138" s="1">
        <v>100000</v>
      </c>
      <c r="W138" s="1">
        <v>0</v>
      </c>
      <c r="X138" s="1">
        <v>0</v>
      </c>
      <c r="Y138" s="1">
        <v>0</v>
      </c>
      <c r="Z138" s="1">
        <v>0</v>
      </c>
      <c r="AA138" s="1">
        <v>7457.78</v>
      </c>
      <c r="AB138" s="1">
        <v>7457.78</v>
      </c>
      <c r="AC138" s="1">
        <v>7457.78</v>
      </c>
      <c r="AD138" s="1">
        <v>7457.78</v>
      </c>
      <c r="AE138" s="3" t="s">
        <v>363</v>
      </c>
      <c r="AF138" s="3" t="s">
        <v>161</v>
      </c>
      <c r="AG138" s="1" t="s">
        <v>970</v>
      </c>
      <c r="AH138" s="3" t="s">
        <v>364</v>
      </c>
      <c r="AI138" s="1">
        <v>4</v>
      </c>
      <c r="AJ138" s="3" t="s">
        <v>165</v>
      </c>
      <c r="AK138" s="1" t="s">
        <v>191</v>
      </c>
      <c r="AL138" s="3">
        <v>111.30881123259999</v>
      </c>
      <c r="AM138" s="3">
        <v>111.33367123287501</v>
      </c>
      <c r="AN138" s="3">
        <v>111333.67</v>
      </c>
      <c r="AO138" s="3">
        <v>111333.67</v>
      </c>
      <c r="AP138" s="1" t="s">
        <v>164</v>
      </c>
      <c r="AQ138" s="1">
        <v>4</v>
      </c>
      <c r="AR138" s="1" t="s">
        <v>165</v>
      </c>
      <c r="AS138" s="3">
        <v>132534288.59999999</v>
      </c>
      <c r="AT138" s="1" t="s">
        <v>176</v>
      </c>
      <c r="AU138" s="1">
        <v>1</v>
      </c>
      <c r="AV138" s="1">
        <v>1</v>
      </c>
      <c r="AW138" s="3" t="s">
        <v>210</v>
      </c>
      <c r="AX138" s="3" t="s">
        <v>237</v>
      </c>
      <c r="AY138" s="1">
        <v>0</v>
      </c>
      <c r="BA138" s="3">
        <v>8205251.6799999997</v>
      </c>
      <c r="BB138" s="1">
        <v>1</v>
      </c>
      <c r="BD138" s="1" t="s">
        <v>971</v>
      </c>
      <c r="BE138" s="1">
        <v>1</v>
      </c>
      <c r="BF138" s="1">
        <v>1</v>
      </c>
      <c r="BG138" s="1" t="s">
        <v>168</v>
      </c>
      <c r="BH138" s="1">
        <v>0</v>
      </c>
      <c r="BI138" s="1">
        <v>31345322.399999999</v>
      </c>
      <c r="BJ138" s="1">
        <v>0</v>
      </c>
      <c r="BK138" s="1">
        <v>123618989.48999999</v>
      </c>
      <c r="BL138" s="1">
        <v>132456249.91</v>
      </c>
      <c r="BM138" s="1">
        <v>596150.00000000012</v>
      </c>
      <c r="BN138" s="1">
        <v>9219855.2300000004</v>
      </c>
      <c r="BO138" s="1">
        <v>23.664660909999998</v>
      </c>
      <c r="BP138" s="1">
        <v>0.45007313999999998</v>
      </c>
      <c r="BQ138" s="1">
        <v>6.9606796500000003</v>
      </c>
      <c r="BR138" s="1">
        <v>8.4053160000000002E-2</v>
      </c>
      <c r="BS138" s="1" t="s">
        <v>169</v>
      </c>
      <c r="BT138" s="1" t="s">
        <v>169</v>
      </c>
      <c r="BU138" s="1">
        <v>26356083.120000001</v>
      </c>
      <c r="BV138" s="1">
        <v>0</v>
      </c>
      <c r="BW138" s="1">
        <v>24.86</v>
      </c>
      <c r="BX138" s="1">
        <v>0.02</v>
      </c>
      <c r="BY138" s="1" t="s">
        <v>170</v>
      </c>
      <c r="BZ138" s="1">
        <v>-78038.69</v>
      </c>
      <c r="CA138" s="1" t="s">
        <v>250</v>
      </c>
      <c r="CB138" s="1" t="s">
        <v>251</v>
      </c>
      <c r="CC138" s="1">
        <v>2891.03</v>
      </c>
      <c r="CD138" s="1">
        <v>2891.03</v>
      </c>
      <c r="CE138" s="1">
        <v>111308.81</v>
      </c>
      <c r="CF138" s="1">
        <v>111308.81</v>
      </c>
      <c r="CG138" s="1">
        <v>0</v>
      </c>
      <c r="CH138" s="1">
        <v>1.4438757900000001</v>
      </c>
      <c r="CI138" s="1">
        <v>13.27863496</v>
      </c>
      <c r="CJ138" s="1">
        <v>17588381.91</v>
      </c>
      <c r="CK138" s="1">
        <v>1912503.72</v>
      </c>
      <c r="CL138" s="1">
        <v>6269233.6699999999</v>
      </c>
      <c r="CM138" s="1" t="s">
        <v>164</v>
      </c>
      <c r="CN138" s="1" t="s">
        <v>164</v>
      </c>
      <c r="CO138" s="1" t="s">
        <v>184</v>
      </c>
      <c r="CP138" s="1" t="s">
        <v>243</v>
      </c>
      <c r="CQ138" s="3" t="s">
        <v>252</v>
      </c>
      <c r="CR138" s="1">
        <v>0</v>
      </c>
      <c r="CS138" s="1" t="s">
        <v>243</v>
      </c>
      <c r="CT138" s="1">
        <v>9.0061950000000002E-2</v>
      </c>
      <c r="CV138" s="1">
        <v>0</v>
      </c>
      <c r="CW138" s="1">
        <v>-219173.26</v>
      </c>
      <c r="DA138" s="1">
        <v>1355558.46</v>
      </c>
      <c r="DB138" s="1">
        <v>0</v>
      </c>
      <c r="DC138" s="1">
        <v>2520.3126550000002</v>
      </c>
      <c r="DD138" s="1">
        <v>52555.483399999997</v>
      </c>
      <c r="DE138" s="1">
        <v>-296353.43</v>
      </c>
      <c r="DF138" s="1">
        <v>92570020.519999996</v>
      </c>
      <c r="DG138" s="1">
        <v>24.86</v>
      </c>
      <c r="DH138" s="1">
        <v>394770.09</v>
      </c>
      <c r="DI138" s="1">
        <v>0.29803809999999997</v>
      </c>
      <c r="DK138" s="1">
        <v>0</v>
      </c>
      <c r="DL138" s="1">
        <v>0</v>
      </c>
      <c r="DM138" s="1">
        <v>-296353.43</v>
      </c>
      <c r="DN138" s="1">
        <v>0</v>
      </c>
      <c r="DO138" s="1">
        <v>0</v>
      </c>
      <c r="DP138" s="1">
        <v>16777215</v>
      </c>
      <c r="DQ138" s="1">
        <v>0</v>
      </c>
      <c r="DR138" s="1">
        <v>0</v>
      </c>
      <c r="DS138" s="1">
        <v>0</v>
      </c>
      <c r="DT138" s="1">
        <v>0</v>
      </c>
      <c r="DU138" s="1">
        <v>0</v>
      </c>
      <c r="DV138" s="1">
        <v>111333.67</v>
      </c>
      <c r="DW138" s="1">
        <v>111333.67</v>
      </c>
      <c r="DX138" s="1">
        <v>31345322.399999999</v>
      </c>
      <c r="DY138" s="1">
        <v>-1110160.2399999984</v>
      </c>
      <c r="DZ138" s="1">
        <v>92570020.519999966</v>
      </c>
      <c r="EA138" s="1">
        <v>0</v>
      </c>
      <c r="EB138" s="1">
        <v>0</v>
      </c>
      <c r="EC138" s="1" t="s">
        <v>176</v>
      </c>
      <c r="EE138" s="1">
        <v>0</v>
      </c>
      <c r="EF138" s="1">
        <v>3</v>
      </c>
      <c r="EG138" s="1">
        <v>0</v>
      </c>
      <c r="EH138" s="3">
        <v>0.12026968</v>
      </c>
      <c r="EI138" s="1">
        <v>0</v>
      </c>
      <c r="EL138" s="1">
        <v>0</v>
      </c>
      <c r="EM138" s="1">
        <v>0</v>
      </c>
      <c r="EN138" s="1">
        <v>1633661.45</v>
      </c>
      <c r="EO138" s="1">
        <v>1.2333592799999999</v>
      </c>
      <c r="ER138" s="1">
        <v>111.37538356164499</v>
      </c>
      <c r="ES138" s="1">
        <v>1</v>
      </c>
      <c r="ET138" s="3">
        <v>5.1095199999999998</v>
      </c>
      <c r="EU138" s="3">
        <v>0.98693449099999997</v>
      </c>
      <c r="EV138" s="3">
        <v>1.0457683323739999</v>
      </c>
      <c r="EW138" s="3">
        <v>1.065753425</v>
      </c>
      <c r="EX138" s="3">
        <v>1.8385801E-2</v>
      </c>
      <c r="EY138" s="3">
        <v>11</v>
      </c>
      <c r="EZ138" s="3">
        <v>389</v>
      </c>
      <c r="FA138" s="1">
        <v>0</v>
      </c>
      <c r="FB138" s="1">
        <v>0</v>
      </c>
      <c r="FC138" s="3">
        <v>16.146199718999998</v>
      </c>
      <c r="FD138" s="1">
        <v>0</v>
      </c>
      <c r="FE138" s="1">
        <v>0</v>
      </c>
    </row>
    <row r="139" spans="1:161" x14ac:dyDescent="0.3">
      <c r="A139" s="1">
        <v>16975472</v>
      </c>
      <c r="B139" s="1">
        <v>128</v>
      </c>
      <c r="C139" s="1">
        <v>8882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3</v>
      </c>
      <c r="J139" s="3">
        <v>3</v>
      </c>
      <c r="K139" s="1">
        <v>300000</v>
      </c>
      <c r="L139" s="1">
        <v>300000</v>
      </c>
      <c r="M139" s="1">
        <v>300000</v>
      </c>
      <c r="N139" s="3">
        <v>300000</v>
      </c>
      <c r="O139" s="1">
        <v>267727.33</v>
      </c>
      <c r="P139" s="1">
        <v>267727.33</v>
      </c>
      <c r="Q139" s="1">
        <v>267727.33</v>
      </c>
      <c r="R139" s="1">
        <v>267727.33</v>
      </c>
      <c r="S139" s="1">
        <v>300000</v>
      </c>
      <c r="T139" s="1">
        <v>300000</v>
      </c>
      <c r="U139" s="1">
        <v>300000</v>
      </c>
      <c r="V139" s="1">
        <v>300000</v>
      </c>
      <c r="W139" s="1">
        <v>462.33</v>
      </c>
      <c r="X139" s="1">
        <v>462.33</v>
      </c>
      <c r="Y139" s="1">
        <v>462.33</v>
      </c>
      <c r="Z139" s="1">
        <v>462.33</v>
      </c>
      <c r="AA139" s="1">
        <v>6832.1</v>
      </c>
      <c r="AB139" s="1">
        <v>6832.1</v>
      </c>
      <c r="AC139" s="1">
        <v>6832.1</v>
      </c>
      <c r="AD139" s="1">
        <v>6832.1</v>
      </c>
      <c r="AE139" s="3" t="s">
        <v>365</v>
      </c>
      <c r="AF139" s="3" t="s">
        <v>161</v>
      </c>
      <c r="AG139" s="1" t="s">
        <v>970</v>
      </c>
      <c r="AH139" s="3" t="s">
        <v>366</v>
      </c>
      <c r="AI139" s="1">
        <v>4</v>
      </c>
      <c r="AJ139" s="3" t="s">
        <v>165</v>
      </c>
      <c r="AK139" s="1" t="s">
        <v>191</v>
      </c>
      <c r="AL139" s="3">
        <v>90.602904018192007</v>
      </c>
      <c r="AM139" s="3">
        <v>90.612650684932007</v>
      </c>
      <c r="AN139" s="3">
        <v>271837.95</v>
      </c>
      <c r="AO139" s="3">
        <v>271837.95</v>
      </c>
      <c r="AP139" s="1" t="s">
        <v>164</v>
      </c>
      <c r="AQ139" s="1">
        <v>4</v>
      </c>
      <c r="AR139" s="1" t="s">
        <v>165</v>
      </c>
      <c r="AS139" s="3">
        <v>132534288.59999999</v>
      </c>
      <c r="AT139" s="1" t="s">
        <v>176</v>
      </c>
      <c r="AU139" s="1">
        <v>1</v>
      </c>
      <c r="AV139" s="1">
        <v>1</v>
      </c>
      <c r="AW139" s="3" t="s">
        <v>210</v>
      </c>
      <c r="AX139" s="3" t="s">
        <v>237</v>
      </c>
      <c r="AY139" s="1">
        <v>0</v>
      </c>
      <c r="BA139" s="3">
        <v>8205251.6799999997</v>
      </c>
      <c r="BB139" s="1">
        <v>1</v>
      </c>
      <c r="BD139" s="1" t="s">
        <v>971</v>
      </c>
      <c r="BE139" s="1">
        <v>1</v>
      </c>
      <c r="BF139" s="1">
        <v>1</v>
      </c>
      <c r="BG139" s="1" t="s">
        <v>168</v>
      </c>
      <c r="BH139" s="1">
        <v>0</v>
      </c>
      <c r="BI139" s="1">
        <v>31345322.399999999</v>
      </c>
      <c r="BJ139" s="1">
        <v>0</v>
      </c>
      <c r="BK139" s="1">
        <v>123618989.48999999</v>
      </c>
      <c r="BL139" s="1">
        <v>132456249.91</v>
      </c>
      <c r="BM139" s="1">
        <v>596150.00000000012</v>
      </c>
      <c r="BN139" s="1">
        <v>9219855.2300000004</v>
      </c>
      <c r="BO139" s="1">
        <v>23.664660909999998</v>
      </c>
      <c r="BP139" s="1">
        <v>0.45007313999999998</v>
      </c>
      <c r="BQ139" s="1">
        <v>6.9606796500000003</v>
      </c>
      <c r="BR139" s="1">
        <v>0.20522847999999999</v>
      </c>
      <c r="BS139" s="1" t="s">
        <v>169</v>
      </c>
      <c r="BT139" s="1" t="s">
        <v>169</v>
      </c>
      <c r="BU139" s="1">
        <v>26356083.120000001</v>
      </c>
      <c r="BV139" s="1">
        <v>0</v>
      </c>
      <c r="BW139" s="1">
        <v>29.24</v>
      </c>
      <c r="BX139" s="1">
        <v>0.01</v>
      </c>
      <c r="BY139" s="1" t="s">
        <v>170</v>
      </c>
      <c r="BZ139" s="1">
        <v>-78038.69</v>
      </c>
      <c r="CA139" s="1" t="s">
        <v>250</v>
      </c>
      <c r="CB139" s="1" t="s">
        <v>251</v>
      </c>
      <c r="CC139" s="1">
        <v>-3213.05</v>
      </c>
      <c r="CD139" s="1">
        <v>-3213.05</v>
      </c>
      <c r="CE139" s="1">
        <v>271808.71000000002</v>
      </c>
      <c r="CF139" s="1">
        <v>271808.71000000002</v>
      </c>
      <c r="CG139" s="1">
        <v>0</v>
      </c>
      <c r="CH139" s="1">
        <v>1.4438757900000001</v>
      </c>
      <c r="CI139" s="1">
        <v>13.27863496</v>
      </c>
      <c r="CJ139" s="1">
        <v>17588381.91</v>
      </c>
      <c r="CK139" s="1">
        <v>1912503.72</v>
      </c>
      <c r="CL139" s="1">
        <v>6269233.6699999999</v>
      </c>
      <c r="CM139" s="1" t="s">
        <v>164</v>
      </c>
      <c r="CN139" s="1" t="s">
        <v>164</v>
      </c>
      <c r="CO139" s="1" t="s">
        <v>184</v>
      </c>
      <c r="CP139" s="1" t="s">
        <v>243</v>
      </c>
      <c r="CQ139" s="3" t="s">
        <v>252</v>
      </c>
      <c r="CR139" s="1">
        <v>0</v>
      </c>
      <c r="CS139" s="1" t="s">
        <v>243</v>
      </c>
      <c r="CT139" s="1">
        <v>0.21989982999999999</v>
      </c>
      <c r="CV139" s="1">
        <v>0</v>
      </c>
      <c r="CW139" s="1">
        <v>-219173.26</v>
      </c>
      <c r="DA139" s="1">
        <v>1355558.46</v>
      </c>
      <c r="DB139" s="1">
        <v>0</v>
      </c>
      <c r="DC139" s="1">
        <v>2520.3126550000002</v>
      </c>
      <c r="DD139" s="1">
        <v>52555.483399999997</v>
      </c>
      <c r="DE139" s="1">
        <v>-296353.43</v>
      </c>
      <c r="DF139" s="1">
        <v>92570020.519999996</v>
      </c>
      <c r="DG139" s="1">
        <v>29.24</v>
      </c>
      <c r="DH139" s="1">
        <v>394770.09</v>
      </c>
      <c r="DI139" s="1">
        <v>0.29803809999999997</v>
      </c>
      <c r="DK139" s="1">
        <v>0</v>
      </c>
      <c r="DL139" s="1">
        <v>0</v>
      </c>
      <c r="DM139" s="1">
        <v>-296353.43</v>
      </c>
      <c r="DN139" s="1">
        <v>0</v>
      </c>
      <c r="DO139" s="1">
        <v>0</v>
      </c>
      <c r="DP139" s="1">
        <v>16777215</v>
      </c>
      <c r="DQ139" s="1">
        <v>0</v>
      </c>
      <c r="DR139" s="1">
        <v>0</v>
      </c>
      <c r="DS139" s="1">
        <v>0</v>
      </c>
      <c r="DT139" s="1">
        <v>0</v>
      </c>
      <c r="DU139" s="1">
        <v>0</v>
      </c>
      <c r="DV139" s="1">
        <v>271837.95</v>
      </c>
      <c r="DW139" s="1">
        <v>271837.95</v>
      </c>
      <c r="DX139" s="1">
        <v>31345322.399999999</v>
      </c>
      <c r="DY139" s="1">
        <v>-1110160.2399999984</v>
      </c>
      <c r="DZ139" s="1">
        <v>92570020.519999966</v>
      </c>
      <c r="EA139" s="1">
        <v>0</v>
      </c>
      <c r="EB139" s="1">
        <v>0</v>
      </c>
      <c r="EC139" s="1" t="s">
        <v>176</v>
      </c>
      <c r="EE139" s="1">
        <v>0</v>
      </c>
      <c r="EF139" s="1">
        <v>3</v>
      </c>
      <c r="EG139" s="1">
        <v>0</v>
      </c>
      <c r="EH139" s="3">
        <v>0.29365657000000001</v>
      </c>
      <c r="EI139" s="1">
        <v>0</v>
      </c>
      <c r="EL139" s="1">
        <v>0</v>
      </c>
      <c r="EM139" s="1">
        <v>0</v>
      </c>
      <c r="EN139" s="1">
        <v>1633661.45</v>
      </c>
      <c r="EO139" s="1">
        <v>1.2333592799999999</v>
      </c>
      <c r="ER139" s="1">
        <v>90.626568493150003</v>
      </c>
      <c r="ES139" s="1">
        <v>1</v>
      </c>
      <c r="ET139" s="3">
        <v>5.8108743289999998</v>
      </c>
      <c r="EU139" s="3">
        <v>2.3285692999999998</v>
      </c>
      <c r="EV139" s="3">
        <v>1.9944098047959999</v>
      </c>
      <c r="EW139" s="3">
        <v>2.3671232880000002</v>
      </c>
      <c r="EX139" s="3">
        <v>6.9754362E-2</v>
      </c>
      <c r="EY139" s="3">
        <v>26</v>
      </c>
      <c r="EZ139" s="3">
        <v>864</v>
      </c>
      <c r="FA139" s="1">
        <v>0</v>
      </c>
      <c r="FB139" s="1">
        <v>0</v>
      </c>
      <c r="FC139" s="3">
        <v>6.5126070909999996</v>
      </c>
      <c r="FD139" s="1">
        <v>0</v>
      </c>
      <c r="FE139" s="1">
        <v>0</v>
      </c>
    </row>
    <row r="140" spans="1:161" x14ac:dyDescent="0.3">
      <c r="A140" s="1">
        <v>16975347</v>
      </c>
      <c r="B140" s="1">
        <v>128</v>
      </c>
      <c r="C140" s="1">
        <v>2910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1</v>
      </c>
      <c r="J140" s="3">
        <v>1</v>
      </c>
      <c r="K140" s="1">
        <v>100000</v>
      </c>
      <c r="L140" s="1">
        <v>100000</v>
      </c>
      <c r="M140" s="1">
        <v>100000</v>
      </c>
      <c r="N140" s="3">
        <v>100000</v>
      </c>
      <c r="O140" s="1">
        <v>0</v>
      </c>
      <c r="P140" s="1">
        <v>0</v>
      </c>
      <c r="Q140" s="1">
        <v>0</v>
      </c>
      <c r="R140" s="1">
        <v>0</v>
      </c>
      <c r="S140" s="1">
        <v>100000</v>
      </c>
      <c r="T140" s="1">
        <v>100000</v>
      </c>
      <c r="U140" s="1">
        <v>100000</v>
      </c>
      <c r="V140" s="1">
        <v>100000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3" t="s">
        <v>367</v>
      </c>
      <c r="AF140" s="3" t="s">
        <v>161</v>
      </c>
      <c r="AG140" s="1" t="s">
        <v>970</v>
      </c>
      <c r="AH140" s="3" t="s">
        <v>368</v>
      </c>
      <c r="AI140" s="1">
        <v>4</v>
      </c>
      <c r="AJ140" s="3" t="s">
        <v>165</v>
      </c>
      <c r="AK140" s="1" t="s">
        <v>191</v>
      </c>
      <c r="AL140" s="3">
        <v>0</v>
      </c>
      <c r="AM140" s="3">
        <v>0</v>
      </c>
      <c r="AN140" s="3">
        <v>0</v>
      </c>
      <c r="AO140" s="3">
        <v>0</v>
      </c>
      <c r="AP140" s="1" t="s">
        <v>164</v>
      </c>
      <c r="AQ140" s="1">
        <v>4</v>
      </c>
      <c r="AR140" s="1" t="s">
        <v>165</v>
      </c>
      <c r="AS140" s="3">
        <v>132534288.59999999</v>
      </c>
      <c r="AT140" s="1" t="s">
        <v>176</v>
      </c>
      <c r="AU140" s="1">
        <v>1</v>
      </c>
      <c r="AV140" s="1">
        <v>1</v>
      </c>
      <c r="AW140" s="3" t="s">
        <v>210</v>
      </c>
      <c r="AX140" s="3" t="s">
        <v>237</v>
      </c>
      <c r="AY140" s="1">
        <v>0</v>
      </c>
      <c r="BA140" s="3">
        <v>8205251.6799999997</v>
      </c>
      <c r="BB140" s="1">
        <v>1</v>
      </c>
      <c r="BD140" s="1" t="s">
        <v>971</v>
      </c>
      <c r="BE140" s="1">
        <v>1</v>
      </c>
      <c r="BF140" s="1">
        <v>1</v>
      </c>
      <c r="BG140" s="1" t="s">
        <v>168</v>
      </c>
      <c r="BH140" s="1">
        <v>0</v>
      </c>
      <c r="BI140" s="1">
        <v>31345322.399999999</v>
      </c>
      <c r="BJ140" s="1">
        <v>0</v>
      </c>
      <c r="BK140" s="1">
        <v>123618989.48999999</v>
      </c>
      <c r="BL140" s="1">
        <v>132456249.91</v>
      </c>
      <c r="BM140" s="1">
        <v>596150.00000000012</v>
      </c>
      <c r="BN140" s="1">
        <v>9219855.2300000004</v>
      </c>
      <c r="BO140" s="1">
        <v>23.664660909999998</v>
      </c>
      <c r="BP140" s="1">
        <v>0.45007313999999998</v>
      </c>
      <c r="BQ140" s="1">
        <v>6.9606796500000003</v>
      </c>
      <c r="BR140" s="1">
        <v>0</v>
      </c>
      <c r="BS140" s="1" t="s">
        <v>169</v>
      </c>
      <c r="BT140" s="1" t="s">
        <v>169</v>
      </c>
      <c r="BU140" s="1">
        <v>26356083.120000001</v>
      </c>
      <c r="BV140" s="1">
        <v>0</v>
      </c>
      <c r="BW140" s="1">
        <v>0</v>
      </c>
      <c r="BX140" s="1">
        <v>0</v>
      </c>
      <c r="BY140" s="1" t="s">
        <v>170</v>
      </c>
      <c r="BZ140" s="1">
        <v>-78038.69</v>
      </c>
      <c r="CA140" s="1" t="s">
        <v>250</v>
      </c>
      <c r="CB140" s="1" t="s">
        <v>251</v>
      </c>
      <c r="CC140" s="1">
        <v>0</v>
      </c>
      <c r="CD140" s="1">
        <v>0</v>
      </c>
      <c r="CE140" s="1">
        <v>0</v>
      </c>
      <c r="CF140" s="1">
        <v>0</v>
      </c>
      <c r="CG140" s="1">
        <v>0</v>
      </c>
      <c r="CH140" s="1">
        <v>1.4438757900000001</v>
      </c>
      <c r="CI140" s="1">
        <v>13.27863496</v>
      </c>
      <c r="CJ140" s="1">
        <v>17588381.91</v>
      </c>
      <c r="CK140" s="1">
        <v>1912503.72</v>
      </c>
      <c r="CL140" s="1">
        <v>6269233.6699999999</v>
      </c>
      <c r="CM140" s="1" t="s">
        <v>164</v>
      </c>
      <c r="CN140" s="1" t="s">
        <v>164</v>
      </c>
      <c r="CO140" s="1" t="s">
        <v>184</v>
      </c>
      <c r="CP140" s="1" t="s">
        <v>243</v>
      </c>
      <c r="CQ140" s="3" t="s">
        <v>252</v>
      </c>
      <c r="CR140" s="1">
        <v>0</v>
      </c>
      <c r="CS140" s="1" t="s">
        <v>243</v>
      </c>
      <c r="CT140" s="1">
        <v>0</v>
      </c>
      <c r="CV140" s="1">
        <v>0</v>
      </c>
      <c r="CW140" s="1">
        <v>-219173.26</v>
      </c>
      <c r="DA140" s="1">
        <v>1355558.46</v>
      </c>
      <c r="DB140" s="1">
        <v>0</v>
      </c>
      <c r="DC140" s="1">
        <v>2520.3126550000002</v>
      </c>
      <c r="DD140" s="1">
        <v>52555.483399999997</v>
      </c>
      <c r="DE140" s="1">
        <v>-296353.43</v>
      </c>
      <c r="DF140" s="1">
        <v>92570020.519999996</v>
      </c>
      <c r="DG140" s="1">
        <v>0</v>
      </c>
      <c r="DH140" s="1">
        <v>394770.09</v>
      </c>
      <c r="DI140" s="1">
        <v>0.29803809999999997</v>
      </c>
      <c r="DK140" s="1">
        <v>0</v>
      </c>
      <c r="DL140" s="1">
        <v>0</v>
      </c>
      <c r="DM140" s="1">
        <v>-296353.43</v>
      </c>
      <c r="DN140" s="1">
        <v>0</v>
      </c>
      <c r="DO140" s="1">
        <v>0</v>
      </c>
      <c r="DP140" s="1">
        <v>16777215</v>
      </c>
      <c r="DQ140" s="1">
        <v>0</v>
      </c>
      <c r="DR140" s="1">
        <v>0</v>
      </c>
      <c r="DS140" s="1">
        <v>0</v>
      </c>
      <c r="DT140" s="1">
        <v>0</v>
      </c>
      <c r="DU140" s="1">
        <v>0</v>
      </c>
      <c r="DV140" s="1">
        <v>0</v>
      </c>
      <c r="DW140" s="1">
        <v>0</v>
      </c>
      <c r="DX140" s="1">
        <v>31345322.399999999</v>
      </c>
      <c r="DY140" s="1">
        <v>-1110160.2399999984</v>
      </c>
      <c r="DZ140" s="1">
        <v>92570020.519999966</v>
      </c>
      <c r="EA140" s="1">
        <v>0</v>
      </c>
      <c r="EB140" s="1">
        <v>0</v>
      </c>
      <c r="EC140" s="1" t="s">
        <v>176</v>
      </c>
      <c r="EE140" s="1">
        <v>0</v>
      </c>
      <c r="EF140" s="1">
        <v>3</v>
      </c>
      <c r="EG140" s="1">
        <v>0</v>
      </c>
      <c r="EH140" s="3">
        <v>0</v>
      </c>
      <c r="EI140" s="1">
        <v>0</v>
      </c>
      <c r="EL140" s="1">
        <v>0</v>
      </c>
      <c r="EM140" s="1">
        <v>0</v>
      </c>
      <c r="EN140" s="1">
        <v>1633661.45</v>
      </c>
      <c r="EO140" s="1">
        <v>1.2333592799999999</v>
      </c>
      <c r="ER140" s="1">
        <v>0</v>
      </c>
      <c r="ES140" s="1">
        <v>1</v>
      </c>
      <c r="ET140" s="3">
        <v>0</v>
      </c>
      <c r="EU140" s="3">
        <v>0.15616438399999999</v>
      </c>
      <c r="EV140" s="3">
        <v>0</v>
      </c>
      <c r="EW140" s="3">
        <v>0.15616438399999999</v>
      </c>
      <c r="EX140" s="3">
        <v>1.805517E-3</v>
      </c>
      <c r="EY140" s="3">
        <v>2</v>
      </c>
      <c r="EZ140" s="3">
        <v>57</v>
      </c>
      <c r="FA140" s="1">
        <v>0</v>
      </c>
      <c r="FB140" s="1">
        <v>0</v>
      </c>
      <c r="FC140" s="3">
        <v>0</v>
      </c>
      <c r="FD140" s="1">
        <v>0</v>
      </c>
      <c r="FE140" s="1">
        <v>0</v>
      </c>
    </row>
    <row r="141" spans="1:161" x14ac:dyDescent="0.3">
      <c r="A141" s="1">
        <v>16975551</v>
      </c>
      <c r="B141" s="1">
        <v>128</v>
      </c>
      <c r="C141" s="1">
        <v>7245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13</v>
      </c>
      <c r="J141" s="3">
        <v>13</v>
      </c>
      <c r="K141" s="1">
        <v>1300000</v>
      </c>
      <c r="L141" s="1">
        <v>1300000</v>
      </c>
      <c r="M141" s="1">
        <v>1300000</v>
      </c>
      <c r="N141" s="3">
        <v>1300000</v>
      </c>
      <c r="O141" s="1">
        <v>1272511</v>
      </c>
      <c r="P141" s="1">
        <v>1272511</v>
      </c>
      <c r="Q141" s="1">
        <v>1272511</v>
      </c>
      <c r="R141" s="1">
        <v>1272511</v>
      </c>
      <c r="S141" s="1">
        <v>1300000</v>
      </c>
      <c r="T141" s="1">
        <v>1300000</v>
      </c>
      <c r="U141" s="1">
        <v>1300000</v>
      </c>
      <c r="V141" s="1">
        <v>1300000</v>
      </c>
      <c r="W141" s="1">
        <v>10068.49</v>
      </c>
      <c r="X141" s="1">
        <v>10068.49</v>
      </c>
      <c r="Y141" s="1">
        <v>10068.49</v>
      </c>
      <c r="Z141" s="1">
        <v>10068.49</v>
      </c>
      <c r="AA141" s="1">
        <v>-26.85</v>
      </c>
      <c r="AB141" s="1">
        <v>-26.85</v>
      </c>
      <c r="AC141" s="1">
        <v>-26.85</v>
      </c>
      <c r="AD141" s="1">
        <v>-26.85</v>
      </c>
      <c r="AE141" s="3" t="s">
        <v>369</v>
      </c>
      <c r="AF141" s="3" t="s">
        <v>161</v>
      </c>
      <c r="AG141" s="1" t="s">
        <v>970</v>
      </c>
      <c r="AH141" s="3" t="s">
        <v>370</v>
      </c>
      <c r="AI141" s="1">
        <v>4</v>
      </c>
      <c r="AJ141" s="3" t="s">
        <v>165</v>
      </c>
      <c r="AK141" s="1" t="s">
        <v>191</v>
      </c>
      <c r="AL141" s="3">
        <v>97.570219304519995</v>
      </c>
      <c r="AM141" s="3">
        <v>97.584493150685006</v>
      </c>
      <c r="AN141" s="3">
        <v>1268598.4099999999</v>
      </c>
      <c r="AO141" s="3">
        <v>1268598.4099999999</v>
      </c>
      <c r="AP141" s="1" t="s">
        <v>164</v>
      </c>
      <c r="AQ141" s="1">
        <v>4</v>
      </c>
      <c r="AR141" s="1" t="s">
        <v>165</v>
      </c>
      <c r="AS141" s="3">
        <v>132534288.59999999</v>
      </c>
      <c r="AT141" s="1" t="s">
        <v>176</v>
      </c>
      <c r="AU141" s="1">
        <v>1</v>
      </c>
      <c r="AV141" s="1">
        <v>1</v>
      </c>
      <c r="AW141" s="3" t="s">
        <v>210</v>
      </c>
      <c r="AX141" s="3" t="s">
        <v>237</v>
      </c>
      <c r="AY141" s="1">
        <v>0</v>
      </c>
      <c r="BA141" s="3">
        <v>8205251.6799999997</v>
      </c>
      <c r="BB141" s="1">
        <v>1</v>
      </c>
      <c r="BD141" s="1" t="s">
        <v>971</v>
      </c>
      <c r="BE141" s="1">
        <v>1</v>
      </c>
      <c r="BF141" s="1">
        <v>1</v>
      </c>
      <c r="BG141" s="1" t="s">
        <v>168</v>
      </c>
      <c r="BH141" s="1">
        <v>0</v>
      </c>
      <c r="BI141" s="1">
        <v>31345322.399999999</v>
      </c>
      <c r="BJ141" s="1">
        <v>0</v>
      </c>
      <c r="BK141" s="1">
        <v>123618989.48999999</v>
      </c>
      <c r="BL141" s="1">
        <v>132456249.91</v>
      </c>
      <c r="BM141" s="1">
        <v>596150.00000000012</v>
      </c>
      <c r="BN141" s="1">
        <v>9219855.2300000004</v>
      </c>
      <c r="BO141" s="1">
        <v>23.664660909999998</v>
      </c>
      <c r="BP141" s="1">
        <v>0.45007313999999998</v>
      </c>
      <c r="BQ141" s="1">
        <v>6.9606796500000003</v>
      </c>
      <c r="BR141" s="1">
        <v>0.95774899999999996</v>
      </c>
      <c r="BS141" s="1" t="s">
        <v>169</v>
      </c>
      <c r="BT141" s="1" t="s">
        <v>169</v>
      </c>
      <c r="BU141" s="1">
        <v>26356083.120000001</v>
      </c>
      <c r="BV141" s="1">
        <v>0</v>
      </c>
      <c r="BW141" s="1">
        <v>185.56</v>
      </c>
      <c r="BX141" s="1">
        <v>0.01</v>
      </c>
      <c r="BY141" s="1" t="s">
        <v>170</v>
      </c>
      <c r="BZ141" s="1">
        <v>-78038.69</v>
      </c>
      <c r="CA141" s="1" t="s">
        <v>250</v>
      </c>
      <c r="CB141" s="1" t="s">
        <v>251</v>
      </c>
      <c r="CC141" s="1">
        <v>-14139.79</v>
      </c>
      <c r="CD141" s="1">
        <v>-14139.79</v>
      </c>
      <c r="CE141" s="1">
        <v>1268412.8500000001</v>
      </c>
      <c r="CF141" s="1">
        <v>1268412.8500000001</v>
      </c>
      <c r="CG141" s="1">
        <v>0</v>
      </c>
      <c r="CH141" s="1">
        <v>1.4438757900000001</v>
      </c>
      <c r="CI141" s="1">
        <v>13.27863496</v>
      </c>
      <c r="CJ141" s="1">
        <v>17588381.91</v>
      </c>
      <c r="CK141" s="1">
        <v>1912503.72</v>
      </c>
      <c r="CL141" s="1">
        <v>6269233.6699999999</v>
      </c>
      <c r="CM141" s="1" t="s">
        <v>164</v>
      </c>
      <c r="CN141" s="1" t="s">
        <v>164</v>
      </c>
      <c r="CO141" s="1" t="s">
        <v>184</v>
      </c>
      <c r="CP141" s="1" t="s">
        <v>243</v>
      </c>
      <c r="CQ141" s="3" t="s">
        <v>252</v>
      </c>
      <c r="CR141" s="1">
        <v>0</v>
      </c>
      <c r="CS141" s="1" t="s">
        <v>243</v>
      </c>
      <c r="CT141" s="1">
        <v>1.0262164499999999</v>
      </c>
      <c r="CV141" s="1">
        <v>0</v>
      </c>
      <c r="CW141" s="1">
        <v>-219173.26</v>
      </c>
      <c r="DA141" s="1">
        <v>1355558.46</v>
      </c>
      <c r="DB141" s="1">
        <v>0</v>
      </c>
      <c r="DC141" s="1">
        <v>2520.3126550000002</v>
      </c>
      <c r="DD141" s="1">
        <v>52555.483399999997</v>
      </c>
      <c r="DE141" s="1">
        <v>-296353.43</v>
      </c>
      <c r="DF141" s="1">
        <v>92570020.519999996</v>
      </c>
      <c r="DG141" s="1">
        <v>185.56</v>
      </c>
      <c r="DH141" s="1">
        <v>394770.09</v>
      </c>
      <c r="DI141" s="1">
        <v>0.29803809999999997</v>
      </c>
      <c r="DK141" s="1">
        <v>0</v>
      </c>
      <c r="DL141" s="1">
        <v>0</v>
      </c>
      <c r="DM141" s="1">
        <v>-296353.43</v>
      </c>
      <c r="DN141" s="1">
        <v>0</v>
      </c>
      <c r="DO141" s="1">
        <v>0</v>
      </c>
      <c r="DP141" s="1">
        <v>16777215</v>
      </c>
      <c r="DQ141" s="1">
        <v>0</v>
      </c>
      <c r="DR141" s="1">
        <v>0</v>
      </c>
      <c r="DS141" s="1">
        <v>0</v>
      </c>
      <c r="DT141" s="1">
        <v>0</v>
      </c>
      <c r="DU141" s="1">
        <v>0</v>
      </c>
      <c r="DV141" s="1">
        <v>1268598.4099999999</v>
      </c>
      <c r="DW141" s="1">
        <v>1268598.4099999999</v>
      </c>
      <c r="DX141" s="1">
        <v>31345322.399999999</v>
      </c>
      <c r="DY141" s="1">
        <v>-1110160.2399999984</v>
      </c>
      <c r="DZ141" s="1">
        <v>92570020.519999966</v>
      </c>
      <c r="EA141" s="1">
        <v>0</v>
      </c>
      <c r="EB141" s="1">
        <v>0</v>
      </c>
      <c r="EC141" s="1" t="s">
        <v>176</v>
      </c>
      <c r="EE141" s="1">
        <v>0</v>
      </c>
      <c r="EF141" s="1">
        <v>3</v>
      </c>
      <c r="EG141" s="1">
        <v>0</v>
      </c>
      <c r="EH141" s="3">
        <v>1.37042036</v>
      </c>
      <c r="EI141" s="1">
        <v>0</v>
      </c>
      <c r="EL141" s="1">
        <v>0</v>
      </c>
      <c r="EM141" s="1">
        <v>0</v>
      </c>
      <c r="EN141" s="1">
        <v>1633661.45</v>
      </c>
      <c r="EO141" s="1">
        <v>1.2333592799999999</v>
      </c>
      <c r="ER141" s="1">
        <v>97.578068493150994</v>
      </c>
      <c r="ES141" s="1">
        <v>1</v>
      </c>
      <c r="ET141" s="3">
        <v>4.4291150860000004</v>
      </c>
      <c r="EU141" s="3">
        <v>1.1352168229999999</v>
      </c>
      <c r="EV141" s="3">
        <v>1.0607411997759999</v>
      </c>
      <c r="EW141" s="3">
        <v>1.1506849320000001</v>
      </c>
      <c r="EX141" s="3">
        <v>2.2342063999999998E-2</v>
      </c>
      <c r="EY141" s="3">
        <v>13</v>
      </c>
      <c r="EZ141" s="3">
        <v>420</v>
      </c>
      <c r="FA141" s="1">
        <v>0</v>
      </c>
      <c r="FB141" s="1">
        <v>0</v>
      </c>
      <c r="FC141" s="3">
        <v>4.1401846219999996</v>
      </c>
      <c r="FD141" s="1">
        <v>0</v>
      </c>
      <c r="FE141" s="1">
        <v>0</v>
      </c>
    </row>
    <row r="142" spans="1:161" x14ac:dyDescent="0.3">
      <c r="A142" s="1">
        <v>16975526</v>
      </c>
      <c r="B142" s="1">
        <v>128</v>
      </c>
      <c r="C142" s="1">
        <v>5712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6</v>
      </c>
      <c r="J142" s="3">
        <v>6</v>
      </c>
      <c r="K142" s="1">
        <v>600000</v>
      </c>
      <c r="L142" s="1">
        <v>600000</v>
      </c>
      <c r="M142" s="1">
        <v>600000</v>
      </c>
      <c r="N142" s="3">
        <v>600000</v>
      </c>
      <c r="O142" s="1">
        <v>684728.67</v>
      </c>
      <c r="P142" s="1">
        <v>684728.67</v>
      </c>
      <c r="Q142" s="1">
        <v>684728.67</v>
      </c>
      <c r="R142" s="1">
        <v>684728.67</v>
      </c>
      <c r="S142" s="1">
        <v>600000</v>
      </c>
      <c r="T142" s="1">
        <v>600000</v>
      </c>
      <c r="U142" s="1">
        <v>600000</v>
      </c>
      <c r="V142" s="1">
        <v>600000</v>
      </c>
      <c r="W142" s="1">
        <v>0</v>
      </c>
      <c r="X142" s="1">
        <v>0</v>
      </c>
      <c r="Y142" s="1">
        <v>0</v>
      </c>
      <c r="Z142" s="1">
        <v>0</v>
      </c>
      <c r="AA142" s="1">
        <v>-51933.8</v>
      </c>
      <c r="AB142" s="1">
        <v>-51933.8</v>
      </c>
      <c r="AC142" s="1">
        <v>-51933.8</v>
      </c>
      <c r="AD142" s="1">
        <v>-51933.8</v>
      </c>
      <c r="AE142" s="3" t="s">
        <v>371</v>
      </c>
      <c r="AF142" s="3" t="s">
        <v>161</v>
      </c>
      <c r="AG142" s="1" t="s">
        <v>970</v>
      </c>
      <c r="AH142" s="3" t="s">
        <v>372</v>
      </c>
      <c r="AI142" s="1">
        <v>4</v>
      </c>
      <c r="AJ142" s="3" t="s">
        <v>165</v>
      </c>
      <c r="AK142" s="1" t="s">
        <v>191</v>
      </c>
      <c r="AL142" s="3">
        <v>105.024437695034</v>
      </c>
      <c r="AM142" s="3">
        <v>105.18422602739599</v>
      </c>
      <c r="AN142" s="3">
        <v>631105.36</v>
      </c>
      <c r="AO142" s="3">
        <v>631105.36</v>
      </c>
      <c r="AP142" s="1" t="s">
        <v>164</v>
      </c>
      <c r="AQ142" s="1">
        <v>4</v>
      </c>
      <c r="AR142" s="1" t="s">
        <v>165</v>
      </c>
      <c r="AS142" s="3">
        <v>132534288.59999999</v>
      </c>
      <c r="AT142" s="1" t="s">
        <v>176</v>
      </c>
      <c r="AU142" s="1">
        <v>1</v>
      </c>
      <c r="AV142" s="1">
        <v>1</v>
      </c>
      <c r="AW142" s="3" t="s">
        <v>210</v>
      </c>
      <c r="AX142" s="3" t="s">
        <v>237</v>
      </c>
      <c r="AY142" s="1">
        <v>0</v>
      </c>
      <c r="BA142" s="3">
        <v>8205251.6799999997</v>
      </c>
      <c r="BB142" s="1">
        <v>1</v>
      </c>
      <c r="BD142" s="1" t="s">
        <v>971</v>
      </c>
      <c r="BE142" s="1">
        <v>1</v>
      </c>
      <c r="BF142" s="1">
        <v>1</v>
      </c>
      <c r="BG142" s="1" t="s">
        <v>168</v>
      </c>
      <c r="BH142" s="1">
        <v>0</v>
      </c>
      <c r="BI142" s="1">
        <v>31345322.399999999</v>
      </c>
      <c r="BJ142" s="1">
        <v>0</v>
      </c>
      <c r="BK142" s="1">
        <v>123618989.48999999</v>
      </c>
      <c r="BL142" s="1">
        <v>132456249.91</v>
      </c>
      <c r="BM142" s="1">
        <v>596150.00000000012</v>
      </c>
      <c r="BN142" s="1">
        <v>9219855.2300000004</v>
      </c>
      <c r="BO142" s="1">
        <v>23.664660909999998</v>
      </c>
      <c r="BP142" s="1">
        <v>0.45007313999999998</v>
      </c>
      <c r="BQ142" s="1">
        <v>6.9606796500000003</v>
      </c>
      <c r="BR142" s="1">
        <v>0.47646326</v>
      </c>
      <c r="BS142" s="1" t="s">
        <v>169</v>
      </c>
      <c r="BT142" s="1" t="s">
        <v>169</v>
      </c>
      <c r="BU142" s="1">
        <v>26356083.120000001</v>
      </c>
      <c r="BV142" s="1">
        <v>0</v>
      </c>
      <c r="BW142" s="1">
        <v>958.73</v>
      </c>
      <c r="BX142" s="1">
        <v>0.15</v>
      </c>
      <c r="BY142" s="1" t="s">
        <v>170</v>
      </c>
      <c r="BZ142" s="1">
        <v>-78038.69</v>
      </c>
      <c r="CA142" s="1" t="s">
        <v>250</v>
      </c>
      <c r="CB142" s="1" t="s">
        <v>251</v>
      </c>
      <c r="CC142" s="1">
        <v>-2648.24</v>
      </c>
      <c r="CD142" s="1">
        <v>-2648.24</v>
      </c>
      <c r="CE142" s="1">
        <v>630146.63</v>
      </c>
      <c r="CF142" s="1">
        <v>630146.63</v>
      </c>
      <c r="CG142" s="1">
        <v>0</v>
      </c>
      <c r="CH142" s="1">
        <v>1.4438757900000001</v>
      </c>
      <c r="CI142" s="1">
        <v>13.27863496</v>
      </c>
      <c r="CJ142" s="1">
        <v>17588381.91</v>
      </c>
      <c r="CK142" s="1">
        <v>1912503.72</v>
      </c>
      <c r="CL142" s="1">
        <v>6269233.6699999999</v>
      </c>
      <c r="CM142" s="1" t="s">
        <v>164</v>
      </c>
      <c r="CN142" s="1" t="s">
        <v>164</v>
      </c>
      <c r="CO142" s="1" t="s">
        <v>184</v>
      </c>
      <c r="CP142" s="1" t="s">
        <v>243</v>
      </c>
      <c r="CQ142" s="3" t="s">
        <v>252</v>
      </c>
      <c r="CR142" s="1">
        <v>0</v>
      </c>
      <c r="CS142" s="1" t="s">
        <v>243</v>
      </c>
      <c r="CT142" s="1">
        <v>0.51052461000000005</v>
      </c>
      <c r="CV142" s="1">
        <v>0</v>
      </c>
      <c r="CW142" s="1">
        <v>-219173.26</v>
      </c>
      <c r="DA142" s="1">
        <v>1355558.46</v>
      </c>
      <c r="DB142" s="1">
        <v>0</v>
      </c>
      <c r="DC142" s="1">
        <v>2520.3126550000002</v>
      </c>
      <c r="DD142" s="1">
        <v>52555.483399999997</v>
      </c>
      <c r="DE142" s="1">
        <v>-296353.43</v>
      </c>
      <c r="DF142" s="1">
        <v>92570020.519999996</v>
      </c>
      <c r="DG142" s="1">
        <v>958.73</v>
      </c>
      <c r="DH142" s="1">
        <v>394770.09</v>
      </c>
      <c r="DI142" s="1">
        <v>0.29803809999999997</v>
      </c>
      <c r="DK142" s="1">
        <v>0</v>
      </c>
      <c r="DL142" s="1">
        <v>0</v>
      </c>
      <c r="DM142" s="1">
        <v>-296353.43</v>
      </c>
      <c r="DN142" s="1">
        <v>0</v>
      </c>
      <c r="DO142" s="1">
        <v>0</v>
      </c>
      <c r="DP142" s="1">
        <v>16777215</v>
      </c>
      <c r="DQ142" s="1">
        <v>0</v>
      </c>
      <c r="DR142" s="1">
        <v>0</v>
      </c>
      <c r="DS142" s="1">
        <v>0</v>
      </c>
      <c r="DT142" s="1">
        <v>0</v>
      </c>
      <c r="DU142" s="1">
        <v>0</v>
      </c>
      <c r="DV142" s="1">
        <v>631105.36</v>
      </c>
      <c r="DW142" s="1">
        <v>631105.36</v>
      </c>
      <c r="DX142" s="1">
        <v>31345322.399999999</v>
      </c>
      <c r="DY142" s="1">
        <v>-1110160.2399999984</v>
      </c>
      <c r="DZ142" s="1">
        <v>92570020.519999966</v>
      </c>
      <c r="EA142" s="1">
        <v>0</v>
      </c>
      <c r="EB142" s="1">
        <v>0</v>
      </c>
      <c r="EC142" s="1" t="s">
        <v>176</v>
      </c>
      <c r="EE142" s="1">
        <v>0</v>
      </c>
      <c r="EF142" s="1">
        <v>3</v>
      </c>
      <c r="EG142" s="1">
        <v>0</v>
      </c>
      <c r="EH142" s="3">
        <v>0.68175998999999998</v>
      </c>
      <c r="EI142" s="1">
        <v>0</v>
      </c>
      <c r="EL142" s="1">
        <v>0</v>
      </c>
      <c r="EM142" s="1">
        <v>0</v>
      </c>
      <c r="EN142" s="1">
        <v>1633661.45</v>
      </c>
      <c r="EO142" s="1">
        <v>1.2333592799999999</v>
      </c>
      <c r="ER142" s="1">
        <v>105.08413013698799</v>
      </c>
      <c r="ES142" s="1">
        <v>1</v>
      </c>
      <c r="ET142" s="3">
        <v>5.0083985139999996</v>
      </c>
      <c r="EU142" s="3">
        <v>0.15342465799999999</v>
      </c>
      <c r="EV142" s="3">
        <v>0.15353530679899999</v>
      </c>
      <c r="EW142" s="3">
        <v>0.15342465799999999</v>
      </c>
      <c r="EX142" s="3">
        <v>1.6048569999999999E-3</v>
      </c>
      <c r="EY142" s="3">
        <v>2</v>
      </c>
      <c r="EZ142" s="3">
        <v>56</v>
      </c>
      <c r="FA142" s="1">
        <v>0</v>
      </c>
      <c r="FB142" s="1">
        <v>0</v>
      </c>
      <c r="FC142" s="3">
        <v>-38.667824068000002</v>
      </c>
      <c r="FD142" s="1">
        <v>0</v>
      </c>
      <c r="FE142" s="1">
        <v>0</v>
      </c>
    </row>
    <row r="143" spans="1:161" x14ac:dyDescent="0.3">
      <c r="A143" s="1">
        <v>16975373</v>
      </c>
      <c r="B143" s="1">
        <v>128</v>
      </c>
      <c r="C143" s="1">
        <v>9504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200</v>
      </c>
      <c r="J143" s="3">
        <v>200</v>
      </c>
      <c r="K143" s="1">
        <v>200000</v>
      </c>
      <c r="L143" s="1">
        <v>200000</v>
      </c>
      <c r="M143" s="1">
        <v>200000</v>
      </c>
      <c r="N143" s="3">
        <v>169247.69</v>
      </c>
      <c r="O143" s="1">
        <v>223024</v>
      </c>
      <c r="P143" s="1">
        <v>188731.49</v>
      </c>
      <c r="Q143" s="1">
        <v>223024</v>
      </c>
      <c r="R143" s="1">
        <v>188731.49</v>
      </c>
      <c r="S143" s="1">
        <v>200000</v>
      </c>
      <c r="T143" s="1">
        <v>169247.69</v>
      </c>
      <c r="U143" s="1">
        <v>200000</v>
      </c>
      <c r="V143" s="1">
        <v>169247.69</v>
      </c>
      <c r="W143" s="1">
        <v>0</v>
      </c>
      <c r="X143" s="1">
        <v>0</v>
      </c>
      <c r="Y143" s="1">
        <v>0</v>
      </c>
      <c r="Z143" s="1">
        <v>0</v>
      </c>
      <c r="AA143" s="1">
        <v>-4328.92</v>
      </c>
      <c r="AB143" s="1">
        <v>-4094.32</v>
      </c>
      <c r="AC143" s="1">
        <v>-4328.92</v>
      </c>
      <c r="AD143" s="1">
        <v>-4094.32</v>
      </c>
      <c r="AE143" s="3" t="s">
        <v>373</v>
      </c>
      <c r="AF143" s="3" t="s">
        <v>161</v>
      </c>
      <c r="AG143" s="1" t="s">
        <v>970</v>
      </c>
      <c r="AH143" s="3" t="s">
        <v>374</v>
      </c>
      <c r="AI143" s="1">
        <v>5</v>
      </c>
      <c r="AJ143" s="3" t="s">
        <v>162</v>
      </c>
      <c r="AK143" s="1" t="s">
        <v>191</v>
      </c>
      <c r="AL143" s="3">
        <v>92.898332767789995</v>
      </c>
      <c r="AM143" s="3">
        <v>92.482677777777994</v>
      </c>
      <c r="AN143" s="3">
        <v>184965.36</v>
      </c>
      <c r="AO143" s="3">
        <v>176426.33</v>
      </c>
      <c r="AP143" s="1" t="s">
        <v>164</v>
      </c>
      <c r="AQ143" s="1">
        <v>4</v>
      </c>
      <c r="AR143" s="1" t="s">
        <v>165</v>
      </c>
      <c r="AS143" s="3">
        <v>132534288.59999999</v>
      </c>
      <c r="AT143" s="1" t="s">
        <v>176</v>
      </c>
      <c r="AU143" s="1">
        <v>1</v>
      </c>
      <c r="AV143" s="1">
        <v>1</v>
      </c>
      <c r="AW143" s="3" t="s">
        <v>210</v>
      </c>
      <c r="AX143" s="3" t="s">
        <v>237</v>
      </c>
      <c r="AY143" s="1">
        <v>0</v>
      </c>
      <c r="BA143" s="3">
        <v>8205251.6799999997</v>
      </c>
      <c r="BB143" s="1">
        <v>1.0484</v>
      </c>
      <c r="BD143" s="1" t="s">
        <v>971</v>
      </c>
      <c r="BE143" s="1">
        <v>1</v>
      </c>
      <c r="BF143" s="1">
        <v>1</v>
      </c>
      <c r="BG143" s="1" t="s">
        <v>168</v>
      </c>
      <c r="BH143" s="1">
        <v>0</v>
      </c>
      <c r="BI143" s="1">
        <v>31345322.399999999</v>
      </c>
      <c r="BJ143" s="1">
        <v>0</v>
      </c>
      <c r="BK143" s="1">
        <v>123618989.48999999</v>
      </c>
      <c r="BL143" s="1">
        <v>132456249.91</v>
      </c>
      <c r="BM143" s="1">
        <v>596150.00000000012</v>
      </c>
      <c r="BN143" s="1">
        <v>9219855.2300000004</v>
      </c>
      <c r="BO143" s="1">
        <v>23.664660909999998</v>
      </c>
      <c r="BP143" s="1">
        <v>0.45007313999999998</v>
      </c>
      <c r="BQ143" s="1">
        <v>6.9606796500000003</v>
      </c>
      <c r="BR143" s="1">
        <v>0.13319592999999999</v>
      </c>
      <c r="BS143" s="1" t="s">
        <v>169</v>
      </c>
      <c r="BT143" s="1" t="s">
        <v>169</v>
      </c>
      <c r="BU143" s="1">
        <v>26356083.120000001</v>
      </c>
      <c r="BV143" s="1">
        <v>0</v>
      </c>
      <c r="BW143" s="1">
        <v>698.84</v>
      </c>
      <c r="BX143" s="1">
        <v>-0.45</v>
      </c>
      <c r="BY143" s="1" t="s">
        <v>170</v>
      </c>
      <c r="BZ143" s="1">
        <v>-78038.69</v>
      </c>
      <c r="CA143" s="1" t="s">
        <v>250</v>
      </c>
      <c r="CB143" s="1" t="s">
        <v>251</v>
      </c>
      <c r="CC143" s="1">
        <v>-32898.410000000003</v>
      </c>
      <c r="CD143" s="1">
        <v>-8909.68</v>
      </c>
      <c r="CE143" s="1">
        <v>185796.67</v>
      </c>
      <c r="CF143" s="1">
        <v>175727.49</v>
      </c>
      <c r="CG143" s="1">
        <v>0</v>
      </c>
      <c r="CH143" s="1">
        <v>1.4438757900000001</v>
      </c>
      <c r="CI143" s="1">
        <v>13.27863496</v>
      </c>
      <c r="CJ143" s="1">
        <v>17588381.91</v>
      </c>
      <c r="CK143" s="1">
        <v>1912503.72</v>
      </c>
      <c r="CL143" s="1">
        <v>6269233.6699999999</v>
      </c>
      <c r="CM143" s="1" t="s">
        <v>164</v>
      </c>
      <c r="CN143" s="1" t="s">
        <v>164</v>
      </c>
      <c r="CO143" s="1" t="s">
        <v>184</v>
      </c>
      <c r="CP143" s="1" t="s">
        <v>243</v>
      </c>
      <c r="CQ143" s="3" t="s">
        <v>252</v>
      </c>
      <c r="CR143" s="1">
        <v>0</v>
      </c>
      <c r="CS143" s="1" t="s">
        <v>243</v>
      </c>
      <c r="CT143" s="1">
        <v>0.14271782</v>
      </c>
      <c r="CV143" s="1">
        <v>0</v>
      </c>
      <c r="CW143" s="1">
        <v>-219173.26</v>
      </c>
      <c r="DA143" s="1">
        <v>1355558.46</v>
      </c>
      <c r="DB143" s="1">
        <v>0</v>
      </c>
      <c r="DC143" s="1">
        <v>2520.3126550000002</v>
      </c>
      <c r="DD143" s="1">
        <v>52555.483399999997</v>
      </c>
      <c r="DE143" s="1">
        <v>-296353.43</v>
      </c>
      <c r="DF143" s="1">
        <v>92570020.519999996</v>
      </c>
      <c r="DG143" s="1">
        <v>-831.31</v>
      </c>
      <c r="DH143" s="1">
        <v>394770.09</v>
      </c>
      <c r="DI143" s="1">
        <v>0.29803809999999997</v>
      </c>
      <c r="DK143" s="1">
        <v>0</v>
      </c>
      <c r="DL143" s="1">
        <v>0</v>
      </c>
      <c r="DM143" s="1">
        <v>-296353.43</v>
      </c>
      <c r="DN143" s="1">
        <v>0</v>
      </c>
      <c r="DO143" s="1">
        <v>0</v>
      </c>
      <c r="DP143" s="1">
        <v>16777215</v>
      </c>
      <c r="DQ143" s="1">
        <v>0</v>
      </c>
      <c r="DR143" s="1">
        <v>0</v>
      </c>
      <c r="DS143" s="1">
        <v>0</v>
      </c>
      <c r="DT143" s="1">
        <v>0</v>
      </c>
      <c r="DU143" s="1">
        <v>0</v>
      </c>
      <c r="DV143" s="1">
        <v>184965.36</v>
      </c>
      <c r="DW143" s="1">
        <v>176426.33</v>
      </c>
      <c r="DX143" s="1">
        <v>31345322.399999999</v>
      </c>
      <c r="DY143" s="1">
        <v>-1110160.2399999984</v>
      </c>
      <c r="DZ143" s="1">
        <v>92570020.519999966</v>
      </c>
      <c r="EA143" s="1">
        <v>0</v>
      </c>
      <c r="EB143" s="1">
        <v>0</v>
      </c>
      <c r="EC143" s="1" t="s">
        <v>176</v>
      </c>
      <c r="EE143" s="1">
        <v>0</v>
      </c>
      <c r="EF143" s="1">
        <v>3</v>
      </c>
      <c r="EG143" s="1">
        <v>0</v>
      </c>
      <c r="EH143" s="3">
        <v>0.1905869</v>
      </c>
      <c r="EI143" s="1">
        <v>0</v>
      </c>
      <c r="EL143" s="1">
        <v>0</v>
      </c>
      <c r="EM143" s="1">
        <v>0</v>
      </c>
      <c r="EN143" s="1">
        <v>1633661.45</v>
      </c>
      <c r="EO143" s="1">
        <v>1.2333592799999999</v>
      </c>
      <c r="ER143" s="1">
        <v>92.864397222221996</v>
      </c>
      <c r="ES143" s="1">
        <v>1.0572999999999999</v>
      </c>
      <c r="ET143" s="3">
        <v>8.8712551620000006</v>
      </c>
      <c r="EU143" s="3">
        <v>0.213888889</v>
      </c>
      <c r="EV143" s="3">
        <v>0.19019048576799999</v>
      </c>
      <c r="EW143" s="3">
        <v>3.715068493</v>
      </c>
      <c r="EX143" s="3">
        <v>2.3805089999999998E-3</v>
      </c>
      <c r="EY143" s="3">
        <v>2</v>
      </c>
      <c r="EZ143" s="3">
        <v>1356</v>
      </c>
      <c r="FA143" s="1">
        <v>0</v>
      </c>
      <c r="FB143" s="1">
        <v>0</v>
      </c>
      <c r="FC143" s="3">
        <v>3.0620409450000001</v>
      </c>
      <c r="FD143" s="1">
        <v>0</v>
      </c>
      <c r="FE143" s="1">
        <v>0</v>
      </c>
    </row>
    <row r="144" spans="1:161" x14ac:dyDescent="0.3">
      <c r="A144" s="1">
        <v>16975558</v>
      </c>
      <c r="B144" s="1">
        <v>128</v>
      </c>
      <c r="C144" s="1">
        <v>7145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50</v>
      </c>
      <c r="J144" s="3">
        <v>50</v>
      </c>
      <c r="K144" s="1">
        <v>100000</v>
      </c>
      <c r="L144" s="1">
        <v>100000</v>
      </c>
      <c r="M144" s="1">
        <v>100000</v>
      </c>
      <c r="N144" s="3">
        <v>85881.14</v>
      </c>
      <c r="O144" s="1">
        <v>106099</v>
      </c>
      <c r="P144" s="1">
        <v>91119.03</v>
      </c>
      <c r="Q144" s="1">
        <v>106099</v>
      </c>
      <c r="R144" s="1">
        <v>91119.03</v>
      </c>
      <c r="S144" s="1">
        <v>100000</v>
      </c>
      <c r="T144" s="1">
        <v>85881.14</v>
      </c>
      <c r="U144" s="1">
        <v>100000</v>
      </c>
      <c r="V144" s="1">
        <v>85881.14</v>
      </c>
      <c r="W144" s="1">
        <v>0</v>
      </c>
      <c r="X144" s="1">
        <v>0</v>
      </c>
      <c r="Y144" s="1">
        <v>0</v>
      </c>
      <c r="Z144" s="1">
        <v>0</v>
      </c>
      <c r="AA144" s="1">
        <v>-2401.13</v>
      </c>
      <c r="AB144" s="1">
        <v>-2271</v>
      </c>
      <c r="AC144" s="1">
        <v>-2401.13</v>
      </c>
      <c r="AD144" s="1">
        <v>-2271</v>
      </c>
      <c r="AE144" s="3" t="s">
        <v>375</v>
      </c>
      <c r="AF144" s="3" t="s">
        <v>161</v>
      </c>
      <c r="AG144" s="1" t="s">
        <v>970</v>
      </c>
      <c r="AH144" s="3" t="s">
        <v>376</v>
      </c>
      <c r="AI144" s="1">
        <v>5</v>
      </c>
      <c r="AJ144" s="3" t="s">
        <v>162</v>
      </c>
      <c r="AK144" s="1" t="s">
        <v>191</v>
      </c>
      <c r="AL144" s="3">
        <v>101.335322349439</v>
      </c>
      <c r="AM144" s="3">
        <v>101.347792349728</v>
      </c>
      <c r="AN144" s="3">
        <v>101347.79</v>
      </c>
      <c r="AO144" s="3">
        <v>96669.01</v>
      </c>
      <c r="AP144" s="1" t="s">
        <v>164</v>
      </c>
      <c r="AQ144" s="1">
        <v>4</v>
      </c>
      <c r="AR144" s="1" t="s">
        <v>165</v>
      </c>
      <c r="AS144" s="3">
        <v>132534288.59999999</v>
      </c>
      <c r="AT144" s="1" t="s">
        <v>176</v>
      </c>
      <c r="AU144" s="1">
        <v>1</v>
      </c>
      <c r="AV144" s="1">
        <v>1</v>
      </c>
      <c r="AW144" s="3" t="s">
        <v>210</v>
      </c>
      <c r="AX144" s="3" t="s">
        <v>237</v>
      </c>
      <c r="AY144" s="1">
        <v>0</v>
      </c>
      <c r="BA144" s="3">
        <v>8205251.6799999997</v>
      </c>
      <c r="BB144" s="1">
        <v>1.0484</v>
      </c>
      <c r="BD144" s="1" t="s">
        <v>971</v>
      </c>
      <c r="BE144" s="1">
        <v>1</v>
      </c>
      <c r="BF144" s="1">
        <v>1</v>
      </c>
      <c r="BG144" s="1" t="s">
        <v>168</v>
      </c>
      <c r="BH144" s="1">
        <v>0</v>
      </c>
      <c r="BI144" s="1">
        <v>31345322.399999999</v>
      </c>
      <c r="BJ144" s="1">
        <v>0</v>
      </c>
      <c r="BK144" s="1">
        <v>123618989.48999999</v>
      </c>
      <c r="BL144" s="1">
        <v>132456249.91</v>
      </c>
      <c r="BM144" s="1">
        <v>596150.00000000012</v>
      </c>
      <c r="BN144" s="1">
        <v>9219855.2300000004</v>
      </c>
      <c r="BO144" s="1">
        <v>23.664660909999998</v>
      </c>
      <c r="BP144" s="1">
        <v>0.45007313999999998</v>
      </c>
      <c r="BQ144" s="1">
        <v>6.9606796500000003</v>
      </c>
      <c r="BR144" s="1">
        <v>7.2981840000000006E-2</v>
      </c>
      <c r="BS144" s="1" t="s">
        <v>169</v>
      </c>
      <c r="BT144" s="1" t="s">
        <v>169</v>
      </c>
      <c r="BU144" s="1">
        <v>26356083.120000001</v>
      </c>
      <c r="BV144" s="1">
        <v>0</v>
      </c>
      <c r="BW144" s="1">
        <v>825.52</v>
      </c>
      <c r="BX144" s="1">
        <v>0.01</v>
      </c>
      <c r="BY144" s="1" t="s">
        <v>170</v>
      </c>
      <c r="BZ144" s="1">
        <v>-78038.69</v>
      </c>
      <c r="CA144" s="1" t="s">
        <v>250</v>
      </c>
      <c r="CB144" s="1" t="s">
        <v>251</v>
      </c>
      <c r="CC144" s="1">
        <v>-2362.5500000000002</v>
      </c>
      <c r="CD144" s="1">
        <v>6995.46</v>
      </c>
      <c r="CE144" s="1">
        <v>101335.32</v>
      </c>
      <c r="CF144" s="1">
        <v>95843.49</v>
      </c>
      <c r="CG144" s="1">
        <v>0</v>
      </c>
      <c r="CH144" s="1">
        <v>1.4438757900000001</v>
      </c>
      <c r="CI144" s="1">
        <v>13.27863496</v>
      </c>
      <c r="CJ144" s="1">
        <v>17588381.91</v>
      </c>
      <c r="CK144" s="1">
        <v>1912503.72</v>
      </c>
      <c r="CL144" s="1">
        <v>6269233.6699999999</v>
      </c>
      <c r="CM144" s="1" t="s">
        <v>164</v>
      </c>
      <c r="CN144" s="1" t="s">
        <v>164</v>
      </c>
      <c r="CO144" s="1" t="s">
        <v>184</v>
      </c>
      <c r="CP144" s="1" t="s">
        <v>243</v>
      </c>
      <c r="CQ144" s="3" t="s">
        <v>252</v>
      </c>
      <c r="CR144" s="1">
        <v>0</v>
      </c>
      <c r="CS144" s="1" t="s">
        <v>243</v>
      </c>
      <c r="CT144" s="1">
        <v>7.8199160000000004E-2</v>
      </c>
      <c r="CV144" s="1">
        <v>0</v>
      </c>
      <c r="CW144" s="1">
        <v>-219173.26</v>
      </c>
      <c r="DA144" s="1">
        <v>1355558.46</v>
      </c>
      <c r="DB144" s="1">
        <v>0</v>
      </c>
      <c r="DC144" s="1">
        <v>2520.3126550000002</v>
      </c>
      <c r="DD144" s="1">
        <v>52555.483399999997</v>
      </c>
      <c r="DE144" s="1">
        <v>-296353.43</v>
      </c>
      <c r="DF144" s="1">
        <v>92570020.519999996</v>
      </c>
      <c r="DG144" s="1">
        <v>12.47</v>
      </c>
      <c r="DH144" s="1">
        <v>394770.09</v>
      </c>
      <c r="DI144" s="1">
        <v>0.29803809999999997</v>
      </c>
      <c r="DK144" s="1">
        <v>0</v>
      </c>
      <c r="DL144" s="1">
        <v>0</v>
      </c>
      <c r="DM144" s="1">
        <v>-296353.43</v>
      </c>
      <c r="DN144" s="1">
        <v>0</v>
      </c>
      <c r="DO144" s="1">
        <v>0</v>
      </c>
      <c r="DP144" s="1">
        <v>16777215</v>
      </c>
      <c r="DQ144" s="1">
        <v>0</v>
      </c>
      <c r="DR144" s="1">
        <v>0</v>
      </c>
      <c r="DS144" s="1">
        <v>0</v>
      </c>
      <c r="DT144" s="1">
        <v>0</v>
      </c>
      <c r="DU144" s="1">
        <v>0</v>
      </c>
      <c r="DV144" s="1">
        <v>101347.79</v>
      </c>
      <c r="DW144" s="1">
        <v>96669.01</v>
      </c>
      <c r="DX144" s="1">
        <v>31345322.399999999</v>
      </c>
      <c r="DY144" s="1">
        <v>-1110160.2399999984</v>
      </c>
      <c r="DZ144" s="1">
        <v>92570020.519999966</v>
      </c>
      <c r="EA144" s="1">
        <v>0</v>
      </c>
      <c r="EB144" s="1">
        <v>0</v>
      </c>
      <c r="EC144" s="1" t="s">
        <v>176</v>
      </c>
      <c r="EE144" s="1">
        <v>0</v>
      </c>
      <c r="EF144" s="1">
        <v>3</v>
      </c>
      <c r="EG144" s="1">
        <v>0</v>
      </c>
      <c r="EH144" s="3">
        <v>0.10442799</v>
      </c>
      <c r="EI144" s="1">
        <v>0</v>
      </c>
      <c r="EL144" s="1">
        <v>0</v>
      </c>
      <c r="EM144" s="1">
        <v>0</v>
      </c>
      <c r="EN144" s="1">
        <v>1633661.45</v>
      </c>
      <c r="EO144" s="1">
        <v>1.2333592799999999</v>
      </c>
      <c r="ER144" s="1">
        <v>101.364133879783</v>
      </c>
      <c r="ES144" s="1">
        <v>1.0572999999999999</v>
      </c>
      <c r="ET144" s="3">
        <v>6.3237728600000001</v>
      </c>
      <c r="EU144" s="3">
        <v>0.48907103800000001</v>
      </c>
      <c r="EV144" s="3">
        <v>0.46625755384799999</v>
      </c>
      <c r="EW144" s="3">
        <v>0.49041095899999998</v>
      </c>
      <c r="EX144" s="3">
        <v>6.442087E-3</v>
      </c>
      <c r="EY144" s="3">
        <v>6</v>
      </c>
      <c r="EZ144" s="3">
        <v>179</v>
      </c>
      <c r="FA144" s="1">
        <v>0</v>
      </c>
      <c r="FB144" s="1">
        <v>0</v>
      </c>
      <c r="FC144" s="3">
        <v>-3.152086304</v>
      </c>
      <c r="FD144" s="1">
        <v>0</v>
      </c>
      <c r="FE144" s="1">
        <v>0</v>
      </c>
    </row>
    <row r="145" spans="1:161" x14ac:dyDescent="0.3">
      <c r="A145" s="1">
        <v>16975557</v>
      </c>
      <c r="B145" s="1">
        <v>128</v>
      </c>
      <c r="C145" s="1">
        <v>7394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50</v>
      </c>
      <c r="J145" s="3">
        <v>50</v>
      </c>
      <c r="K145" s="1">
        <v>100000</v>
      </c>
      <c r="L145" s="1">
        <v>100000</v>
      </c>
      <c r="M145" s="1">
        <v>100000</v>
      </c>
      <c r="N145" s="3">
        <v>84666.84</v>
      </c>
      <c r="O145" s="1">
        <v>110136</v>
      </c>
      <c r="P145" s="1">
        <v>93248.67</v>
      </c>
      <c r="Q145" s="1">
        <v>110136</v>
      </c>
      <c r="R145" s="1">
        <v>93248.67</v>
      </c>
      <c r="S145" s="1">
        <v>100000</v>
      </c>
      <c r="T145" s="1">
        <v>84666.84</v>
      </c>
      <c r="U145" s="1">
        <v>100000</v>
      </c>
      <c r="V145" s="1">
        <v>84666.84</v>
      </c>
      <c r="W145" s="1">
        <v>0</v>
      </c>
      <c r="X145" s="1">
        <v>0</v>
      </c>
      <c r="Y145" s="1">
        <v>0</v>
      </c>
      <c r="Z145" s="1">
        <v>0</v>
      </c>
      <c r="AA145" s="1">
        <v>-5706.43</v>
      </c>
      <c r="AB145" s="1">
        <v>-5397.17</v>
      </c>
      <c r="AC145" s="1">
        <v>-5706.43</v>
      </c>
      <c r="AD145" s="1">
        <v>-5397.17</v>
      </c>
      <c r="AE145" s="3" t="s">
        <v>377</v>
      </c>
      <c r="AF145" s="3" t="s">
        <v>161</v>
      </c>
      <c r="AG145" s="1" t="s">
        <v>970</v>
      </c>
      <c r="AH145" s="3" t="s">
        <v>378</v>
      </c>
      <c r="AI145" s="1">
        <v>5</v>
      </c>
      <c r="AJ145" s="3" t="s">
        <v>162</v>
      </c>
      <c r="AK145" s="1" t="s">
        <v>191</v>
      </c>
      <c r="AL145" s="3">
        <v>100.236952624588</v>
      </c>
      <c r="AM145" s="3">
        <v>100.17444262295101</v>
      </c>
      <c r="AN145" s="3">
        <v>100174.44</v>
      </c>
      <c r="AO145" s="3">
        <v>95549.83</v>
      </c>
      <c r="AP145" s="1" t="s">
        <v>164</v>
      </c>
      <c r="AQ145" s="1">
        <v>4</v>
      </c>
      <c r="AR145" s="1" t="s">
        <v>165</v>
      </c>
      <c r="AS145" s="3">
        <v>132534288.59999999</v>
      </c>
      <c r="AT145" s="1" t="s">
        <v>176</v>
      </c>
      <c r="AU145" s="1">
        <v>1</v>
      </c>
      <c r="AV145" s="1">
        <v>1</v>
      </c>
      <c r="AW145" s="3" t="s">
        <v>210</v>
      </c>
      <c r="AX145" s="3" t="s">
        <v>237</v>
      </c>
      <c r="AY145" s="1">
        <v>0</v>
      </c>
      <c r="BA145" s="3">
        <v>8205251.6799999997</v>
      </c>
      <c r="BB145" s="1">
        <v>1.0484</v>
      </c>
      <c r="BD145" s="1" t="s">
        <v>971</v>
      </c>
      <c r="BE145" s="1">
        <v>1</v>
      </c>
      <c r="BF145" s="1">
        <v>1</v>
      </c>
      <c r="BG145" s="1" t="s">
        <v>168</v>
      </c>
      <c r="BH145" s="1">
        <v>0</v>
      </c>
      <c r="BI145" s="1">
        <v>31345322.399999999</v>
      </c>
      <c r="BJ145" s="1">
        <v>0</v>
      </c>
      <c r="BK145" s="1">
        <v>123618989.48999999</v>
      </c>
      <c r="BL145" s="1">
        <v>132456249.91</v>
      </c>
      <c r="BM145" s="1">
        <v>596150.00000000012</v>
      </c>
      <c r="BN145" s="1">
        <v>9219855.2300000004</v>
      </c>
      <c r="BO145" s="1">
        <v>23.664660909999998</v>
      </c>
      <c r="BP145" s="1">
        <v>0.45007313999999998</v>
      </c>
      <c r="BQ145" s="1">
        <v>6.9606796500000003</v>
      </c>
      <c r="BR145" s="1">
        <v>7.2136900000000004E-2</v>
      </c>
      <c r="BS145" s="1" t="s">
        <v>169</v>
      </c>
      <c r="BT145" s="1" t="s">
        <v>169</v>
      </c>
      <c r="BU145" s="1">
        <v>26356083.120000001</v>
      </c>
      <c r="BV145" s="1">
        <v>0</v>
      </c>
      <c r="BW145" s="1">
        <v>745.19</v>
      </c>
      <c r="BX145" s="1">
        <v>-0.06</v>
      </c>
      <c r="BY145" s="1" t="s">
        <v>170</v>
      </c>
      <c r="BZ145" s="1">
        <v>-78038.69</v>
      </c>
      <c r="CA145" s="1" t="s">
        <v>250</v>
      </c>
      <c r="CB145" s="1" t="s">
        <v>251</v>
      </c>
      <c r="CC145" s="1">
        <v>-4192.62</v>
      </c>
      <c r="CD145" s="1">
        <v>6953.14</v>
      </c>
      <c r="CE145" s="1">
        <v>100236.95</v>
      </c>
      <c r="CF145" s="1">
        <v>94804.64</v>
      </c>
      <c r="CG145" s="1">
        <v>0</v>
      </c>
      <c r="CH145" s="1">
        <v>1.4438757900000001</v>
      </c>
      <c r="CI145" s="1">
        <v>13.27863496</v>
      </c>
      <c r="CJ145" s="1">
        <v>17588381.91</v>
      </c>
      <c r="CK145" s="1">
        <v>1912503.72</v>
      </c>
      <c r="CL145" s="1">
        <v>6269233.6699999999</v>
      </c>
      <c r="CM145" s="1" t="s">
        <v>164</v>
      </c>
      <c r="CN145" s="1" t="s">
        <v>164</v>
      </c>
      <c r="CO145" s="1" t="s">
        <v>184</v>
      </c>
      <c r="CP145" s="1" t="s">
        <v>243</v>
      </c>
      <c r="CQ145" s="3" t="s">
        <v>252</v>
      </c>
      <c r="CR145" s="1">
        <v>0</v>
      </c>
      <c r="CS145" s="1" t="s">
        <v>243</v>
      </c>
      <c r="CT145" s="1">
        <v>7.7293810000000004E-2</v>
      </c>
      <c r="CV145" s="1">
        <v>0</v>
      </c>
      <c r="CW145" s="1">
        <v>-219173.26</v>
      </c>
      <c r="DA145" s="1">
        <v>1355558.46</v>
      </c>
      <c r="DB145" s="1">
        <v>0</v>
      </c>
      <c r="DC145" s="1">
        <v>2520.3126550000002</v>
      </c>
      <c r="DD145" s="1">
        <v>52555.483399999997</v>
      </c>
      <c r="DE145" s="1">
        <v>-296353.43</v>
      </c>
      <c r="DF145" s="1">
        <v>92570020.519999996</v>
      </c>
      <c r="DG145" s="1">
        <v>-62.51</v>
      </c>
      <c r="DH145" s="1">
        <v>394770.09</v>
      </c>
      <c r="DI145" s="1">
        <v>0.29803809999999997</v>
      </c>
      <c r="DK145" s="1">
        <v>0</v>
      </c>
      <c r="DL145" s="1">
        <v>0</v>
      </c>
      <c r="DM145" s="1">
        <v>-296353.43</v>
      </c>
      <c r="DN145" s="1">
        <v>0</v>
      </c>
      <c r="DO145" s="1">
        <v>0</v>
      </c>
      <c r="DP145" s="1">
        <v>16777215</v>
      </c>
      <c r="DQ145" s="1">
        <v>0</v>
      </c>
      <c r="DR145" s="1">
        <v>0</v>
      </c>
      <c r="DS145" s="1">
        <v>0</v>
      </c>
      <c r="DT145" s="1">
        <v>0</v>
      </c>
      <c r="DU145" s="1">
        <v>0</v>
      </c>
      <c r="DV145" s="1">
        <v>100174.44</v>
      </c>
      <c r="DW145" s="1">
        <v>95549.83</v>
      </c>
      <c r="DX145" s="1">
        <v>31345322.399999999</v>
      </c>
      <c r="DY145" s="1">
        <v>-1110160.2399999984</v>
      </c>
      <c r="DZ145" s="1">
        <v>92570020.519999966</v>
      </c>
      <c r="EA145" s="1">
        <v>0</v>
      </c>
      <c r="EB145" s="1">
        <v>0</v>
      </c>
      <c r="EC145" s="1" t="s">
        <v>176</v>
      </c>
      <c r="EE145" s="1">
        <v>0</v>
      </c>
      <c r="EF145" s="1">
        <v>3</v>
      </c>
      <c r="EG145" s="1">
        <v>0</v>
      </c>
      <c r="EH145" s="3">
        <v>0.10321898</v>
      </c>
      <c r="EI145" s="1">
        <v>0</v>
      </c>
      <c r="EL145" s="1">
        <v>0</v>
      </c>
      <c r="EM145" s="1">
        <v>0</v>
      </c>
      <c r="EN145" s="1">
        <v>1633661.45</v>
      </c>
      <c r="EO145" s="1">
        <v>1.2333592799999999</v>
      </c>
      <c r="ER145" s="1">
        <v>100.177778688525</v>
      </c>
      <c r="ES145" s="1">
        <v>1.0572999999999999</v>
      </c>
      <c r="ET145" s="3">
        <v>6.938643677</v>
      </c>
      <c r="EU145" s="3">
        <v>0.77868852499999996</v>
      </c>
      <c r="EV145" s="3">
        <v>0.72945835110900004</v>
      </c>
      <c r="EW145" s="3">
        <v>0.780821918</v>
      </c>
      <c r="EX145" s="3">
        <v>1.21114E-2</v>
      </c>
      <c r="EY145" s="3">
        <v>9</v>
      </c>
      <c r="EZ145" s="3">
        <v>285</v>
      </c>
      <c r="FA145" s="1">
        <v>0</v>
      </c>
      <c r="FB145" s="1">
        <v>0</v>
      </c>
      <c r="FC145" s="3">
        <v>-5.3154176079999997</v>
      </c>
      <c r="FD145" s="1">
        <v>0</v>
      </c>
      <c r="FE145" s="1">
        <v>0</v>
      </c>
    </row>
    <row r="146" spans="1:161" x14ac:dyDescent="0.3">
      <c r="A146" s="1">
        <v>16975505</v>
      </c>
      <c r="B146" s="1">
        <v>128</v>
      </c>
      <c r="C146" s="1">
        <v>8277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3</v>
      </c>
      <c r="J146" s="3">
        <v>3</v>
      </c>
      <c r="K146" s="1">
        <v>600000</v>
      </c>
      <c r="L146" s="1">
        <v>600000</v>
      </c>
      <c r="M146" s="1">
        <v>600000</v>
      </c>
      <c r="N146" s="3">
        <v>600000</v>
      </c>
      <c r="O146" s="1">
        <v>606397.5</v>
      </c>
      <c r="P146" s="1">
        <v>606397.5</v>
      </c>
      <c r="Q146" s="1">
        <v>606397.5</v>
      </c>
      <c r="R146" s="1">
        <v>606397.5</v>
      </c>
      <c r="S146" s="1">
        <v>600000</v>
      </c>
      <c r="T146" s="1">
        <v>600000</v>
      </c>
      <c r="U146" s="1">
        <v>600000</v>
      </c>
      <c r="V146" s="1">
        <v>600000</v>
      </c>
      <c r="W146" s="1">
        <v>0</v>
      </c>
      <c r="X146" s="1">
        <v>0</v>
      </c>
      <c r="Y146" s="1">
        <v>0</v>
      </c>
      <c r="Z146" s="1">
        <v>0</v>
      </c>
      <c r="AA146" s="1">
        <v>1950.3</v>
      </c>
      <c r="AB146" s="1">
        <v>1950.3</v>
      </c>
      <c r="AC146" s="1">
        <v>1950.3</v>
      </c>
      <c r="AD146" s="1">
        <v>1950.3</v>
      </c>
      <c r="AE146" s="3" t="s">
        <v>379</v>
      </c>
      <c r="AF146" s="3" t="s">
        <v>161</v>
      </c>
      <c r="AG146" s="1" t="s">
        <v>970</v>
      </c>
      <c r="AH146" s="3" t="s">
        <v>380</v>
      </c>
      <c r="AI146" s="1">
        <v>4</v>
      </c>
      <c r="AJ146" s="3" t="s">
        <v>165</v>
      </c>
      <c r="AK146" s="1" t="s">
        <v>191</v>
      </c>
      <c r="AL146" s="3">
        <v>92.963204754464002</v>
      </c>
      <c r="AM146" s="3">
        <v>93.101614754097994</v>
      </c>
      <c r="AN146" s="3">
        <v>558609.68999999994</v>
      </c>
      <c r="AO146" s="3">
        <v>558609.68999999994</v>
      </c>
      <c r="AP146" s="1" t="s">
        <v>164</v>
      </c>
      <c r="AQ146" s="1">
        <v>4</v>
      </c>
      <c r="AR146" s="1" t="s">
        <v>165</v>
      </c>
      <c r="AS146" s="3">
        <v>132534288.59999999</v>
      </c>
      <c r="AT146" s="1" t="s">
        <v>176</v>
      </c>
      <c r="AU146" s="1">
        <v>1</v>
      </c>
      <c r="AV146" s="1">
        <v>1</v>
      </c>
      <c r="AW146" s="3" t="s">
        <v>210</v>
      </c>
      <c r="AX146" s="3" t="s">
        <v>237</v>
      </c>
      <c r="AY146" s="1">
        <v>0</v>
      </c>
      <c r="BA146" s="3">
        <v>8205251.6799999997</v>
      </c>
      <c r="BB146" s="1">
        <v>1</v>
      </c>
      <c r="BD146" s="1" t="s">
        <v>971</v>
      </c>
      <c r="BE146" s="1">
        <v>1</v>
      </c>
      <c r="BF146" s="1">
        <v>1</v>
      </c>
      <c r="BG146" s="1" t="s">
        <v>168</v>
      </c>
      <c r="BH146" s="1">
        <v>0</v>
      </c>
      <c r="BI146" s="1">
        <v>31345322.399999999</v>
      </c>
      <c r="BJ146" s="1">
        <v>0</v>
      </c>
      <c r="BK146" s="1">
        <v>123618989.48999999</v>
      </c>
      <c r="BL146" s="1">
        <v>132456249.91</v>
      </c>
      <c r="BM146" s="1">
        <v>596150.00000000012</v>
      </c>
      <c r="BN146" s="1">
        <v>9219855.2300000004</v>
      </c>
      <c r="BO146" s="1">
        <v>23.664660909999998</v>
      </c>
      <c r="BP146" s="1">
        <v>0.45007313999999998</v>
      </c>
      <c r="BQ146" s="1">
        <v>6.9606796500000003</v>
      </c>
      <c r="BR146" s="1">
        <v>0.42173147</v>
      </c>
      <c r="BS146" s="1" t="s">
        <v>169</v>
      </c>
      <c r="BT146" s="1" t="s">
        <v>169</v>
      </c>
      <c r="BU146" s="1">
        <v>26356083.120000001</v>
      </c>
      <c r="BV146" s="1">
        <v>0</v>
      </c>
      <c r="BW146" s="1">
        <v>830.46</v>
      </c>
      <c r="BX146" s="1">
        <v>0.15</v>
      </c>
      <c r="BY146" s="1" t="s">
        <v>170</v>
      </c>
      <c r="BZ146" s="1">
        <v>-78038.69</v>
      </c>
      <c r="CA146" s="1" t="s">
        <v>250</v>
      </c>
      <c r="CB146" s="1" t="s">
        <v>251</v>
      </c>
      <c r="CC146" s="1">
        <v>-50568.57</v>
      </c>
      <c r="CD146" s="1">
        <v>-50568.57</v>
      </c>
      <c r="CE146" s="1">
        <v>557779.23</v>
      </c>
      <c r="CF146" s="1">
        <v>557779.23</v>
      </c>
      <c r="CG146" s="1">
        <v>0</v>
      </c>
      <c r="CH146" s="1">
        <v>1.4438757900000001</v>
      </c>
      <c r="CI146" s="1">
        <v>13.27863496</v>
      </c>
      <c r="CJ146" s="1">
        <v>17588381.91</v>
      </c>
      <c r="CK146" s="1">
        <v>1912503.72</v>
      </c>
      <c r="CL146" s="1">
        <v>6269233.6699999999</v>
      </c>
      <c r="CM146" s="1" t="s">
        <v>164</v>
      </c>
      <c r="CN146" s="1" t="s">
        <v>164</v>
      </c>
      <c r="CO146" s="1" t="s">
        <v>184</v>
      </c>
      <c r="CP146" s="1" t="s">
        <v>243</v>
      </c>
      <c r="CQ146" s="3" t="s">
        <v>252</v>
      </c>
      <c r="CR146" s="1">
        <v>0</v>
      </c>
      <c r="CS146" s="1" t="s">
        <v>243</v>
      </c>
      <c r="CT146" s="1">
        <v>0.45188015999999998</v>
      </c>
      <c r="CV146" s="1">
        <v>0</v>
      </c>
      <c r="CW146" s="1">
        <v>-219173.26</v>
      </c>
      <c r="DA146" s="1">
        <v>1355558.46</v>
      </c>
      <c r="DB146" s="1">
        <v>0</v>
      </c>
      <c r="DC146" s="1">
        <v>2520.3126550000002</v>
      </c>
      <c r="DD146" s="1">
        <v>52555.483399999997</v>
      </c>
      <c r="DE146" s="1">
        <v>-296353.43</v>
      </c>
      <c r="DF146" s="1">
        <v>92570020.519999996</v>
      </c>
      <c r="DG146" s="1">
        <v>830.46</v>
      </c>
      <c r="DH146" s="1">
        <v>394770.09</v>
      </c>
      <c r="DI146" s="1">
        <v>0.29803809999999997</v>
      </c>
      <c r="DK146" s="1">
        <v>0</v>
      </c>
      <c r="DL146" s="1">
        <v>0</v>
      </c>
      <c r="DM146" s="1">
        <v>-296353.43</v>
      </c>
      <c r="DN146" s="1">
        <v>0</v>
      </c>
      <c r="DO146" s="1">
        <v>0</v>
      </c>
      <c r="DP146" s="1">
        <v>16777215</v>
      </c>
      <c r="DQ146" s="1">
        <v>0</v>
      </c>
      <c r="DR146" s="1">
        <v>0</v>
      </c>
      <c r="DS146" s="1">
        <v>0</v>
      </c>
      <c r="DT146" s="1">
        <v>0</v>
      </c>
      <c r="DU146" s="1">
        <v>0</v>
      </c>
      <c r="DV146" s="1">
        <v>558609.68999999994</v>
      </c>
      <c r="DW146" s="1">
        <v>558609.68999999994</v>
      </c>
      <c r="DX146" s="1">
        <v>31345322.399999999</v>
      </c>
      <c r="DY146" s="1">
        <v>-1110160.2399999984</v>
      </c>
      <c r="DZ146" s="1">
        <v>92570020.519999966</v>
      </c>
      <c r="EA146" s="1">
        <v>0</v>
      </c>
      <c r="EB146" s="1">
        <v>0</v>
      </c>
      <c r="EC146" s="1" t="s">
        <v>176</v>
      </c>
      <c r="EE146" s="1">
        <v>0</v>
      </c>
      <c r="EF146" s="1">
        <v>3</v>
      </c>
      <c r="EG146" s="1">
        <v>0</v>
      </c>
      <c r="EH146" s="3">
        <v>0.60344556999999999</v>
      </c>
      <c r="EI146" s="1">
        <v>0</v>
      </c>
      <c r="EL146" s="1">
        <v>0</v>
      </c>
      <c r="EM146" s="1">
        <v>0</v>
      </c>
      <c r="EN146" s="1">
        <v>1633661.45</v>
      </c>
      <c r="EO146" s="1">
        <v>1.2333592799999999</v>
      </c>
      <c r="ER146" s="1">
        <v>92.940478142076998</v>
      </c>
      <c r="ES146" s="1">
        <v>1</v>
      </c>
      <c r="ET146" s="3">
        <v>8.9480902590000007</v>
      </c>
      <c r="EU146" s="3">
        <v>2.124205715</v>
      </c>
      <c r="EV146" s="3">
        <v>1.889700877321</v>
      </c>
      <c r="EW146" s="3">
        <v>2.2438356160000001</v>
      </c>
      <c r="EX146" s="3">
        <v>6.2306205000000003E-2</v>
      </c>
      <c r="EY146" s="3">
        <v>24</v>
      </c>
      <c r="EZ146" s="3">
        <v>819</v>
      </c>
      <c r="FA146" s="1">
        <v>0</v>
      </c>
      <c r="FB146" s="1">
        <v>0</v>
      </c>
      <c r="FC146" s="3">
        <v>4.7390845050000001</v>
      </c>
      <c r="FD146" s="1">
        <v>0</v>
      </c>
      <c r="FE146" s="1">
        <v>0</v>
      </c>
    </row>
    <row r="147" spans="1:161" x14ac:dyDescent="0.3">
      <c r="A147" s="1">
        <v>16975448</v>
      </c>
      <c r="B147" s="1">
        <v>128</v>
      </c>
      <c r="C147" s="1">
        <v>7285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315</v>
      </c>
      <c r="J147" s="3">
        <v>315</v>
      </c>
      <c r="K147" s="1">
        <v>315000</v>
      </c>
      <c r="L147" s="1">
        <v>315000</v>
      </c>
      <c r="M147" s="1">
        <v>315000</v>
      </c>
      <c r="N147" s="3">
        <v>315000</v>
      </c>
      <c r="O147" s="1">
        <v>326579.40000000002</v>
      </c>
      <c r="P147" s="1">
        <v>326579.40000000002</v>
      </c>
      <c r="Q147" s="1">
        <v>326579.40000000002</v>
      </c>
      <c r="R147" s="1">
        <v>326579.40000000002</v>
      </c>
      <c r="S147" s="1">
        <v>315000</v>
      </c>
      <c r="T147" s="1">
        <v>315000</v>
      </c>
      <c r="U147" s="1">
        <v>315000</v>
      </c>
      <c r="V147" s="1">
        <v>315000</v>
      </c>
      <c r="W147" s="1">
        <v>0</v>
      </c>
      <c r="X147" s="1">
        <v>0</v>
      </c>
      <c r="Y147" s="1">
        <v>0</v>
      </c>
      <c r="Z147" s="1">
        <v>0</v>
      </c>
      <c r="AA147" s="1">
        <v>-5572.7</v>
      </c>
      <c r="AB147" s="1">
        <v>-5572.7</v>
      </c>
      <c r="AC147" s="1">
        <v>-5572.7</v>
      </c>
      <c r="AD147" s="1">
        <v>-5572.7</v>
      </c>
      <c r="AE147" s="3" t="s">
        <v>381</v>
      </c>
      <c r="AF147" s="3" t="s">
        <v>161</v>
      </c>
      <c r="AG147" s="1" t="s">
        <v>970</v>
      </c>
      <c r="AH147" s="3" t="s">
        <v>382</v>
      </c>
      <c r="AI147" s="1">
        <v>4</v>
      </c>
      <c r="AJ147" s="3" t="s">
        <v>165</v>
      </c>
      <c r="AK147" s="1" t="s">
        <v>191</v>
      </c>
      <c r="AL147" s="3">
        <v>100.93776979744599</v>
      </c>
      <c r="AM147" s="3">
        <v>100.959760273973</v>
      </c>
      <c r="AN147" s="3">
        <v>318023.24</v>
      </c>
      <c r="AO147" s="3">
        <v>318023.24</v>
      </c>
      <c r="AP147" s="1" t="s">
        <v>164</v>
      </c>
      <c r="AQ147" s="1">
        <v>4</v>
      </c>
      <c r="AR147" s="1" t="s">
        <v>165</v>
      </c>
      <c r="AS147" s="3">
        <v>132534288.59999999</v>
      </c>
      <c r="AT147" s="1" t="s">
        <v>176</v>
      </c>
      <c r="AU147" s="1">
        <v>1</v>
      </c>
      <c r="AV147" s="1">
        <v>1</v>
      </c>
      <c r="AW147" s="3" t="s">
        <v>210</v>
      </c>
      <c r="AX147" s="3" t="s">
        <v>237</v>
      </c>
      <c r="AY147" s="1">
        <v>0</v>
      </c>
      <c r="BA147" s="3">
        <v>8205251.6799999997</v>
      </c>
      <c r="BB147" s="1">
        <v>1</v>
      </c>
      <c r="BD147" s="1" t="s">
        <v>971</v>
      </c>
      <c r="BE147" s="1">
        <v>1</v>
      </c>
      <c r="BF147" s="1">
        <v>1</v>
      </c>
      <c r="BG147" s="1" t="s">
        <v>168</v>
      </c>
      <c r="BH147" s="1">
        <v>0</v>
      </c>
      <c r="BI147" s="1">
        <v>31345322.399999999</v>
      </c>
      <c r="BJ147" s="1">
        <v>0</v>
      </c>
      <c r="BK147" s="1">
        <v>123618989.48999999</v>
      </c>
      <c r="BL147" s="1">
        <v>132456249.91</v>
      </c>
      <c r="BM147" s="1">
        <v>596150.00000000012</v>
      </c>
      <c r="BN147" s="1">
        <v>9219855.2300000004</v>
      </c>
      <c r="BO147" s="1">
        <v>23.664660909999998</v>
      </c>
      <c r="BP147" s="1">
        <v>0.45007313999999998</v>
      </c>
      <c r="BQ147" s="1">
        <v>6.9606796500000003</v>
      </c>
      <c r="BR147" s="1">
        <v>0.24009681999999999</v>
      </c>
      <c r="BS147" s="1" t="s">
        <v>169</v>
      </c>
      <c r="BT147" s="1" t="s">
        <v>169</v>
      </c>
      <c r="BU147" s="1">
        <v>26356083.120000001</v>
      </c>
      <c r="BV147" s="1">
        <v>0</v>
      </c>
      <c r="BW147" s="1">
        <v>69.27</v>
      </c>
      <c r="BX147" s="1">
        <v>0.02</v>
      </c>
      <c r="BY147" s="1" t="s">
        <v>170</v>
      </c>
      <c r="BZ147" s="1">
        <v>-78038.69</v>
      </c>
      <c r="CA147" s="1" t="s">
        <v>250</v>
      </c>
      <c r="CB147" s="1" t="s">
        <v>251</v>
      </c>
      <c r="CC147" s="1">
        <v>-3052.73</v>
      </c>
      <c r="CD147" s="1">
        <v>-3052.73</v>
      </c>
      <c r="CE147" s="1">
        <v>317953.96999999997</v>
      </c>
      <c r="CF147" s="1">
        <v>317953.96999999997</v>
      </c>
      <c r="CG147" s="1">
        <v>0</v>
      </c>
      <c r="CH147" s="1">
        <v>1.4438757900000001</v>
      </c>
      <c r="CI147" s="1">
        <v>13.27863496</v>
      </c>
      <c r="CJ147" s="1">
        <v>17588381.91</v>
      </c>
      <c r="CK147" s="1">
        <v>1912503.72</v>
      </c>
      <c r="CL147" s="1">
        <v>6269233.6699999999</v>
      </c>
      <c r="CM147" s="1" t="s">
        <v>164</v>
      </c>
      <c r="CN147" s="1" t="s">
        <v>164</v>
      </c>
      <c r="CO147" s="1" t="s">
        <v>184</v>
      </c>
      <c r="CP147" s="1" t="s">
        <v>243</v>
      </c>
      <c r="CQ147" s="3" t="s">
        <v>252</v>
      </c>
      <c r="CR147" s="1">
        <v>0</v>
      </c>
      <c r="CS147" s="1" t="s">
        <v>243</v>
      </c>
      <c r="CT147" s="1">
        <v>0.25726083</v>
      </c>
      <c r="CV147" s="1">
        <v>0</v>
      </c>
      <c r="CW147" s="1">
        <v>-219173.26</v>
      </c>
      <c r="DA147" s="1">
        <v>1355558.46</v>
      </c>
      <c r="DB147" s="1">
        <v>0</v>
      </c>
      <c r="DC147" s="1">
        <v>2520.3126550000002</v>
      </c>
      <c r="DD147" s="1">
        <v>52555.483399999997</v>
      </c>
      <c r="DE147" s="1">
        <v>-296353.43</v>
      </c>
      <c r="DF147" s="1">
        <v>92570020.519999996</v>
      </c>
      <c r="DG147" s="1">
        <v>69.27</v>
      </c>
      <c r="DH147" s="1">
        <v>394770.09</v>
      </c>
      <c r="DI147" s="1">
        <v>0.29803809999999997</v>
      </c>
      <c r="DK147" s="1">
        <v>0</v>
      </c>
      <c r="DL147" s="1">
        <v>0</v>
      </c>
      <c r="DM147" s="1">
        <v>-296353.43</v>
      </c>
      <c r="DN147" s="1">
        <v>0</v>
      </c>
      <c r="DO147" s="1">
        <v>0</v>
      </c>
      <c r="DP147" s="1">
        <v>16777215</v>
      </c>
      <c r="DQ147" s="1">
        <v>0</v>
      </c>
      <c r="DR147" s="1">
        <v>0</v>
      </c>
      <c r="DS147" s="1">
        <v>0</v>
      </c>
      <c r="DT147" s="1">
        <v>0</v>
      </c>
      <c r="DU147" s="1">
        <v>0</v>
      </c>
      <c r="DV147" s="1">
        <v>318023.24</v>
      </c>
      <c r="DW147" s="1">
        <v>318023.24</v>
      </c>
      <c r="DX147" s="1">
        <v>31345322.399999999</v>
      </c>
      <c r="DY147" s="1">
        <v>-1110160.2399999984</v>
      </c>
      <c r="DZ147" s="1">
        <v>92570020.519999966</v>
      </c>
      <c r="EA147" s="1">
        <v>0</v>
      </c>
      <c r="EB147" s="1">
        <v>0</v>
      </c>
      <c r="EC147" s="1" t="s">
        <v>176</v>
      </c>
      <c r="EE147" s="1">
        <v>0</v>
      </c>
      <c r="EF147" s="1">
        <v>3</v>
      </c>
      <c r="EG147" s="1">
        <v>0</v>
      </c>
      <c r="EH147" s="3">
        <v>0.34354885000000002</v>
      </c>
      <c r="EI147" s="1">
        <v>0</v>
      </c>
      <c r="EL147" s="1">
        <v>0</v>
      </c>
      <c r="EM147" s="1">
        <v>0</v>
      </c>
      <c r="EN147" s="1">
        <v>1633661.45</v>
      </c>
      <c r="EO147" s="1">
        <v>1.2333592799999999</v>
      </c>
      <c r="ER147" s="1">
        <v>100.95909589041</v>
      </c>
      <c r="ES147" s="1">
        <v>1</v>
      </c>
      <c r="ET147" s="3">
        <v>4.114982221</v>
      </c>
      <c r="EU147" s="3">
        <v>0.31506849300000001</v>
      </c>
      <c r="EV147" s="3">
        <v>0.30551827968900003</v>
      </c>
      <c r="EW147" s="3">
        <v>0.31506849300000001</v>
      </c>
      <c r="EX147" s="3">
        <v>3.8223189999999998E-3</v>
      </c>
      <c r="EY147" s="3">
        <v>4</v>
      </c>
      <c r="EZ147" s="3">
        <v>115</v>
      </c>
      <c r="FA147" s="1">
        <v>0</v>
      </c>
      <c r="FB147" s="1">
        <v>0</v>
      </c>
      <c r="FC147" s="3">
        <v>-4.300608006</v>
      </c>
      <c r="FD147" s="1">
        <v>0</v>
      </c>
      <c r="FE147" s="1">
        <v>0</v>
      </c>
    </row>
    <row r="148" spans="1:161" x14ac:dyDescent="0.3">
      <c r="A148" s="1">
        <v>16975411</v>
      </c>
      <c r="B148" s="1">
        <v>128</v>
      </c>
      <c r="C148" s="1">
        <v>7525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300</v>
      </c>
      <c r="J148" s="3">
        <v>300</v>
      </c>
      <c r="K148" s="1">
        <v>300000</v>
      </c>
      <c r="L148" s="1">
        <v>300000</v>
      </c>
      <c r="M148" s="1">
        <v>300000</v>
      </c>
      <c r="N148" s="3">
        <v>300000</v>
      </c>
      <c r="O148" s="1">
        <v>294750</v>
      </c>
      <c r="P148" s="1">
        <v>294750</v>
      </c>
      <c r="Q148" s="1">
        <v>294750</v>
      </c>
      <c r="R148" s="1">
        <v>294750</v>
      </c>
      <c r="S148" s="1">
        <v>300000</v>
      </c>
      <c r="T148" s="1">
        <v>300000</v>
      </c>
      <c r="U148" s="1">
        <v>300000</v>
      </c>
      <c r="V148" s="1">
        <v>300000</v>
      </c>
      <c r="W148" s="1">
        <v>1398.57</v>
      </c>
      <c r="X148" s="1">
        <v>1398.57</v>
      </c>
      <c r="Y148" s="1">
        <v>1398.57</v>
      </c>
      <c r="Z148" s="1">
        <v>1398.57</v>
      </c>
      <c r="AA148" s="1">
        <v>3113.7</v>
      </c>
      <c r="AB148" s="1">
        <v>3113.7</v>
      </c>
      <c r="AC148" s="1">
        <v>3113.7</v>
      </c>
      <c r="AD148" s="1">
        <v>3113.7</v>
      </c>
      <c r="AE148" s="3" t="s">
        <v>701</v>
      </c>
      <c r="AF148" s="3" t="s">
        <v>161</v>
      </c>
      <c r="AG148" s="1" t="s">
        <v>970</v>
      </c>
      <c r="AH148" s="3" t="s">
        <v>702</v>
      </c>
      <c r="AI148" s="1">
        <v>4</v>
      </c>
      <c r="AJ148" s="3" t="s">
        <v>165</v>
      </c>
      <c r="AK148" s="1" t="s">
        <v>191</v>
      </c>
      <c r="AL148" s="3">
        <v>99.764537923291002</v>
      </c>
      <c r="AM148" s="3">
        <v>99.780857923496995</v>
      </c>
      <c r="AN148" s="3">
        <v>299342.57</v>
      </c>
      <c r="AO148" s="3">
        <v>299342.57</v>
      </c>
      <c r="AP148" s="1" t="s">
        <v>164</v>
      </c>
      <c r="AQ148" s="1">
        <v>4</v>
      </c>
      <c r="AR148" s="1" t="s">
        <v>165</v>
      </c>
      <c r="AS148" s="3">
        <v>132534288.59999999</v>
      </c>
      <c r="AT148" s="1" t="s">
        <v>176</v>
      </c>
      <c r="AU148" s="1">
        <v>1</v>
      </c>
      <c r="AV148" s="1">
        <v>1</v>
      </c>
      <c r="AW148" s="3" t="s">
        <v>210</v>
      </c>
      <c r="AX148" s="3" t="s">
        <v>237</v>
      </c>
      <c r="AY148" s="1">
        <v>0</v>
      </c>
      <c r="BA148" s="3">
        <v>8205251.6799999997</v>
      </c>
      <c r="BB148" s="1">
        <v>1</v>
      </c>
      <c r="BD148" s="1" t="s">
        <v>971</v>
      </c>
      <c r="BE148" s="1">
        <v>1</v>
      </c>
      <c r="BF148" s="1">
        <v>1</v>
      </c>
      <c r="BG148" s="1" t="s">
        <v>168</v>
      </c>
      <c r="BH148" s="1">
        <v>0</v>
      </c>
      <c r="BI148" s="1">
        <v>31345322.399999999</v>
      </c>
      <c r="BJ148" s="1">
        <v>0</v>
      </c>
      <c r="BK148" s="1">
        <v>123618989.48999999</v>
      </c>
      <c r="BL148" s="1">
        <v>132456249.91</v>
      </c>
      <c r="BM148" s="1">
        <v>596150.00000000012</v>
      </c>
      <c r="BN148" s="1">
        <v>9219855.2300000004</v>
      </c>
      <c r="BO148" s="1">
        <v>23.664660909999998</v>
      </c>
      <c r="BP148" s="1">
        <v>0.45007313999999998</v>
      </c>
      <c r="BQ148" s="1">
        <v>6.9606796500000003</v>
      </c>
      <c r="BR148" s="1">
        <v>0.22599353999999999</v>
      </c>
      <c r="BS148" s="1" t="s">
        <v>169</v>
      </c>
      <c r="BT148" s="1" t="s">
        <v>169</v>
      </c>
      <c r="BU148" s="1">
        <v>26356083.120000001</v>
      </c>
      <c r="BV148" s="1">
        <v>0</v>
      </c>
      <c r="BW148" s="1">
        <v>48.96</v>
      </c>
      <c r="BX148" s="1">
        <v>0.02</v>
      </c>
      <c r="BY148" s="1" t="s">
        <v>170</v>
      </c>
      <c r="BZ148" s="1">
        <v>-78038.69</v>
      </c>
      <c r="CA148" s="1" t="s">
        <v>250</v>
      </c>
      <c r="CB148" s="1" t="s">
        <v>251</v>
      </c>
      <c r="CC148" s="1">
        <v>31.34</v>
      </c>
      <c r="CD148" s="1">
        <v>31.34</v>
      </c>
      <c r="CE148" s="1">
        <v>299293.61</v>
      </c>
      <c r="CF148" s="1">
        <v>299293.61</v>
      </c>
      <c r="CG148" s="1">
        <v>0</v>
      </c>
      <c r="CH148" s="1">
        <v>1.4438757900000001</v>
      </c>
      <c r="CI148" s="1">
        <v>13.27863496</v>
      </c>
      <c r="CJ148" s="1">
        <v>17588381.91</v>
      </c>
      <c r="CK148" s="1">
        <v>1912503.72</v>
      </c>
      <c r="CL148" s="1">
        <v>6269233.6699999999</v>
      </c>
      <c r="CM148" s="1" t="s">
        <v>164</v>
      </c>
      <c r="CN148" s="1" t="s">
        <v>164</v>
      </c>
      <c r="CO148" s="1" t="s">
        <v>184</v>
      </c>
      <c r="CP148" s="1" t="s">
        <v>243</v>
      </c>
      <c r="CQ148" s="3" t="s">
        <v>252</v>
      </c>
      <c r="CR148" s="1">
        <v>0</v>
      </c>
      <c r="CS148" s="1" t="s">
        <v>243</v>
      </c>
      <c r="CT148" s="1">
        <v>0.24214933999999999</v>
      </c>
      <c r="CV148" s="1">
        <v>0</v>
      </c>
      <c r="CW148" s="1">
        <v>-219173.26</v>
      </c>
      <c r="DA148" s="1">
        <v>1355558.46</v>
      </c>
      <c r="DB148" s="1">
        <v>0</v>
      </c>
      <c r="DC148" s="1">
        <v>2520.3126550000002</v>
      </c>
      <c r="DD148" s="1">
        <v>52555.483399999997</v>
      </c>
      <c r="DE148" s="1">
        <v>-296353.43</v>
      </c>
      <c r="DF148" s="1">
        <v>92570020.519999996</v>
      </c>
      <c r="DG148" s="1">
        <v>48.96</v>
      </c>
      <c r="DH148" s="1">
        <v>394770.09</v>
      </c>
      <c r="DI148" s="1">
        <v>0.29803809999999997</v>
      </c>
      <c r="DK148" s="1">
        <v>0</v>
      </c>
      <c r="DL148" s="1">
        <v>0</v>
      </c>
      <c r="DM148" s="1">
        <v>-296353.43</v>
      </c>
      <c r="DN148" s="1">
        <v>0</v>
      </c>
      <c r="DO148" s="1">
        <v>0</v>
      </c>
      <c r="DP148" s="1">
        <v>16777215</v>
      </c>
      <c r="DQ148" s="1">
        <v>0</v>
      </c>
      <c r="DR148" s="1">
        <v>0</v>
      </c>
      <c r="DS148" s="1">
        <v>0</v>
      </c>
      <c r="DT148" s="1">
        <v>0</v>
      </c>
      <c r="DU148" s="1">
        <v>0</v>
      </c>
      <c r="DV148" s="1">
        <v>299342.57</v>
      </c>
      <c r="DW148" s="1">
        <v>299342.57</v>
      </c>
      <c r="DX148" s="1">
        <v>31345322.399999999</v>
      </c>
      <c r="DY148" s="1">
        <v>-1110160.2399999984</v>
      </c>
      <c r="DZ148" s="1">
        <v>92570020.519999966</v>
      </c>
      <c r="EA148" s="1">
        <v>0</v>
      </c>
      <c r="EB148" s="1">
        <v>0</v>
      </c>
      <c r="EC148" s="1" t="s">
        <v>176</v>
      </c>
      <c r="EE148" s="1">
        <v>0</v>
      </c>
      <c r="EF148" s="1">
        <v>3</v>
      </c>
      <c r="EG148" s="1">
        <v>0</v>
      </c>
      <c r="EH148" s="3">
        <v>0.32336881000000001</v>
      </c>
      <c r="EI148" s="1">
        <v>0</v>
      </c>
      <c r="EL148" s="1">
        <v>0</v>
      </c>
      <c r="EM148" s="1">
        <v>0</v>
      </c>
      <c r="EN148" s="1">
        <v>1633661.45</v>
      </c>
      <c r="EO148" s="1">
        <v>1.2333592799999999</v>
      </c>
      <c r="ER148" s="1">
        <v>99.771418032786997</v>
      </c>
      <c r="ES148" s="1">
        <v>1</v>
      </c>
      <c r="ET148" s="3">
        <v>4.1677003289999996</v>
      </c>
      <c r="EU148" s="3">
        <v>0.450819672</v>
      </c>
      <c r="EV148" s="3">
        <v>0.43179332803999998</v>
      </c>
      <c r="EW148" s="3">
        <v>0.45205479500000001</v>
      </c>
      <c r="EX148" s="3">
        <v>6.0276790000000002E-3</v>
      </c>
      <c r="EY148" s="3">
        <v>5</v>
      </c>
      <c r="EZ148" s="3">
        <v>165</v>
      </c>
      <c r="FA148" s="1">
        <v>0</v>
      </c>
      <c r="FB148" s="1">
        <v>0</v>
      </c>
      <c r="FC148" s="3">
        <v>7.7795311189999996</v>
      </c>
      <c r="FD148" s="1">
        <v>0</v>
      </c>
      <c r="FE148" s="1">
        <v>0</v>
      </c>
    </row>
    <row r="149" spans="1:161" x14ac:dyDescent="0.3">
      <c r="A149" s="1">
        <v>16975486</v>
      </c>
      <c r="B149" s="1">
        <v>128</v>
      </c>
      <c r="C149" s="1">
        <v>7033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500</v>
      </c>
      <c r="J149" s="3">
        <v>500</v>
      </c>
      <c r="K149" s="1">
        <v>500000</v>
      </c>
      <c r="L149" s="1">
        <v>500000</v>
      </c>
      <c r="M149" s="1">
        <v>500000</v>
      </c>
      <c r="N149" s="3">
        <v>500000</v>
      </c>
      <c r="O149" s="1">
        <v>531847.5</v>
      </c>
      <c r="P149" s="1">
        <v>531847.5</v>
      </c>
      <c r="Q149" s="1">
        <v>531847.5</v>
      </c>
      <c r="R149" s="1">
        <v>531847.5</v>
      </c>
      <c r="S149" s="1">
        <v>500000</v>
      </c>
      <c r="T149" s="1">
        <v>500000</v>
      </c>
      <c r="U149" s="1">
        <v>500000</v>
      </c>
      <c r="V149" s="1">
        <v>500000</v>
      </c>
      <c r="W149" s="1">
        <v>0</v>
      </c>
      <c r="X149" s="1">
        <v>0</v>
      </c>
      <c r="Y149" s="1">
        <v>0</v>
      </c>
      <c r="Z149" s="1">
        <v>0</v>
      </c>
      <c r="AA149" s="1">
        <v>-22062.27</v>
      </c>
      <c r="AB149" s="1">
        <v>-22062.27</v>
      </c>
      <c r="AC149" s="1">
        <v>-22062.27</v>
      </c>
      <c r="AD149" s="1">
        <v>-22062.27</v>
      </c>
      <c r="AE149" s="3" t="s">
        <v>384</v>
      </c>
      <c r="AF149" s="3" t="s">
        <v>161</v>
      </c>
      <c r="AG149" s="1" t="s">
        <v>970</v>
      </c>
      <c r="AH149" s="3" t="s">
        <v>385</v>
      </c>
      <c r="AI149" s="1">
        <v>4</v>
      </c>
      <c r="AJ149" s="3" t="s">
        <v>165</v>
      </c>
      <c r="AK149" s="1" t="s">
        <v>191</v>
      </c>
      <c r="AL149" s="3">
        <v>99.566557770567996</v>
      </c>
      <c r="AM149" s="3">
        <v>99.599073770493007</v>
      </c>
      <c r="AN149" s="3">
        <v>497995.37</v>
      </c>
      <c r="AO149" s="3">
        <v>497995.37</v>
      </c>
      <c r="AP149" s="1" t="s">
        <v>164</v>
      </c>
      <c r="AQ149" s="1">
        <v>4</v>
      </c>
      <c r="AR149" s="1" t="s">
        <v>165</v>
      </c>
      <c r="AS149" s="3">
        <v>132534288.59999999</v>
      </c>
      <c r="AT149" s="1" t="s">
        <v>176</v>
      </c>
      <c r="AU149" s="1">
        <v>1</v>
      </c>
      <c r="AV149" s="1">
        <v>1</v>
      </c>
      <c r="AW149" s="3" t="s">
        <v>210</v>
      </c>
      <c r="AX149" s="3" t="s">
        <v>237</v>
      </c>
      <c r="AY149" s="1">
        <v>0</v>
      </c>
      <c r="BA149" s="3">
        <v>8205251.6799999997</v>
      </c>
      <c r="BB149" s="1">
        <v>1</v>
      </c>
      <c r="BD149" s="1" t="s">
        <v>971</v>
      </c>
      <c r="BE149" s="1">
        <v>1</v>
      </c>
      <c r="BF149" s="1">
        <v>1</v>
      </c>
      <c r="BG149" s="1" t="s">
        <v>168</v>
      </c>
      <c r="BH149" s="1">
        <v>0</v>
      </c>
      <c r="BI149" s="1">
        <v>31345322.399999999</v>
      </c>
      <c r="BJ149" s="1">
        <v>0</v>
      </c>
      <c r="BK149" s="1">
        <v>123618989.48999999</v>
      </c>
      <c r="BL149" s="1">
        <v>132456249.91</v>
      </c>
      <c r="BM149" s="1">
        <v>596150.00000000012</v>
      </c>
      <c r="BN149" s="1">
        <v>9219855.2300000004</v>
      </c>
      <c r="BO149" s="1">
        <v>23.664660909999998</v>
      </c>
      <c r="BP149" s="1">
        <v>0.45007313999999998</v>
      </c>
      <c r="BQ149" s="1">
        <v>6.9606796500000003</v>
      </c>
      <c r="BR149" s="1">
        <v>0.37596970000000002</v>
      </c>
      <c r="BS149" s="1" t="s">
        <v>169</v>
      </c>
      <c r="BT149" s="1" t="s">
        <v>169</v>
      </c>
      <c r="BU149" s="1">
        <v>26356083.120000001</v>
      </c>
      <c r="BV149" s="1">
        <v>0</v>
      </c>
      <c r="BW149" s="1">
        <v>162.58000000000001</v>
      </c>
      <c r="BX149" s="1">
        <v>0.03</v>
      </c>
      <c r="BY149" s="1" t="s">
        <v>170</v>
      </c>
      <c r="BZ149" s="1">
        <v>-78038.69</v>
      </c>
      <c r="CA149" s="1" t="s">
        <v>250</v>
      </c>
      <c r="CB149" s="1" t="s">
        <v>251</v>
      </c>
      <c r="CC149" s="1">
        <v>-11952.44</v>
      </c>
      <c r="CD149" s="1">
        <v>-11952.44</v>
      </c>
      <c r="CE149" s="1">
        <v>497832.79</v>
      </c>
      <c r="CF149" s="1">
        <v>497832.79</v>
      </c>
      <c r="CG149" s="1">
        <v>0</v>
      </c>
      <c r="CH149" s="1">
        <v>1.4438757900000001</v>
      </c>
      <c r="CI149" s="1">
        <v>13.27863496</v>
      </c>
      <c r="CJ149" s="1">
        <v>17588381.91</v>
      </c>
      <c r="CK149" s="1">
        <v>1912503.72</v>
      </c>
      <c r="CL149" s="1">
        <v>6269233.6699999999</v>
      </c>
      <c r="CM149" s="1" t="s">
        <v>164</v>
      </c>
      <c r="CN149" s="1" t="s">
        <v>164</v>
      </c>
      <c r="CO149" s="1" t="s">
        <v>184</v>
      </c>
      <c r="CP149" s="1" t="s">
        <v>243</v>
      </c>
      <c r="CQ149" s="3" t="s">
        <v>252</v>
      </c>
      <c r="CR149" s="1">
        <v>0</v>
      </c>
      <c r="CS149" s="1" t="s">
        <v>243</v>
      </c>
      <c r="CT149" s="1">
        <v>0.40284698000000002</v>
      </c>
      <c r="CV149" s="1">
        <v>0</v>
      </c>
      <c r="CW149" s="1">
        <v>-219173.26</v>
      </c>
      <c r="DA149" s="1">
        <v>1355558.46</v>
      </c>
      <c r="DB149" s="1">
        <v>0</v>
      </c>
      <c r="DC149" s="1">
        <v>2520.3126550000002</v>
      </c>
      <c r="DD149" s="1">
        <v>52555.483399999997</v>
      </c>
      <c r="DE149" s="1">
        <v>-296353.43</v>
      </c>
      <c r="DF149" s="1">
        <v>92570020.519999996</v>
      </c>
      <c r="DG149" s="1">
        <v>162.58000000000001</v>
      </c>
      <c r="DH149" s="1">
        <v>394770.09</v>
      </c>
      <c r="DI149" s="1">
        <v>0.29803809999999997</v>
      </c>
      <c r="DK149" s="1">
        <v>0</v>
      </c>
      <c r="DL149" s="1">
        <v>0</v>
      </c>
      <c r="DM149" s="1">
        <v>-296353.43</v>
      </c>
      <c r="DN149" s="1">
        <v>0</v>
      </c>
      <c r="DO149" s="1">
        <v>0</v>
      </c>
      <c r="DP149" s="1">
        <v>16777215</v>
      </c>
      <c r="DQ149" s="1">
        <v>0</v>
      </c>
      <c r="DR149" s="1">
        <v>0</v>
      </c>
      <c r="DS149" s="1">
        <v>0</v>
      </c>
      <c r="DT149" s="1">
        <v>0</v>
      </c>
      <c r="DU149" s="1">
        <v>0</v>
      </c>
      <c r="DV149" s="1">
        <v>497995.37</v>
      </c>
      <c r="DW149" s="1">
        <v>497995.37</v>
      </c>
      <c r="DX149" s="1">
        <v>31345322.399999999</v>
      </c>
      <c r="DY149" s="1">
        <v>-1110160.2399999984</v>
      </c>
      <c r="DZ149" s="1">
        <v>92570020.519999966</v>
      </c>
      <c r="EA149" s="1">
        <v>0</v>
      </c>
      <c r="EB149" s="1">
        <v>0</v>
      </c>
      <c r="EC149" s="1" t="s">
        <v>176</v>
      </c>
      <c r="EE149" s="1">
        <v>0</v>
      </c>
      <c r="EF149" s="1">
        <v>3</v>
      </c>
      <c r="EG149" s="1">
        <v>0</v>
      </c>
      <c r="EH149" s="3">
        <v>0.53796613999999998</v>
      </c>
      <c r="EI149" s="1">
        <v>0</v>
      </c>
      <c r="EL149" s="1">
        <v>0</v>
      </c>
      <c r="EM149" s="1">
        <v>0</v>
      </c>
      <c r="EN149" s="1">
        <v>1633661.45</v>
      </c>
      <c r="EO149" s="1">
        <v>1.2333592799999999</v>
      </c>
      <c r="ER149" s="1">
        <v>99.589401639342995</v>
      </c>
      <c r="ES149" s="1">
        <v>1</v>
      </c>
      <c r="ET149" s="3">
        <v>4.2836556310000002</v>
      </c>
      <c r="EU149" s="3">
        <v>0.71584699500000004</v>
      </c>
      <c r="EV149" s="3">
        <v>0.68362365567799999</v>
      </c>
      <c r="EW149" s="3">
        <v>0.71780821900000003</v>
      </c>
      <c r="EX149" s="3">
        <v>1.1294481E-2</v>
      </c>
      <c r="EY149" s="3">
        <v>8</v>
      </c>
      <c r="EZ149" s="3">
        <v>262</v>
      </c>
      <c r="FA149" s="1">
        <v>0</v>
      </c>
      <c r="FB149" s="1">
        <v>0</v>
      </c>
      <c r="FC149" s="3">
        <v>-4.8830322769999999</v>
      </c>
      <c r="FD149" s="1">
        <v>0</v>
      </c>
      <c r="FE149" s="1">
        <v>0</v>
      </c>
    </row>
    <row r="150" spans="1:161" x14ac:dyDescent="0.3">
      <c r="A150" s="1">
        <v>16975577</v>
      </c>
      <c r="B150" s="1">
        <v>128</v>
      </c>
      <c r="C150" s="1">
        <v>7086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100</v>
      </c>
      <c r="J150" s="3">
        <v>100</v>
      </c>
      <c r="K150" s="1">
        <v>100000</v>
      </c>
      <c r="L150" s="1">
        <v>100000</v>
      </c>
      <c r="M150" s="1">
        <v>100000</v>
      </c>
      <c r="N150" s="3">
        <v>100000</v>
      </c>
      <c r="O150" s="1">
        <v>99596</v>
      </c>
      <c r="P150" s="1">
        <v>99596</v>
      </c>
      <c r="Q150" s="1">
        <v>99596</v>
      </c>
      <c r="R150" s="1">
        <v>99596</v>
      </c>
      <c r="S150" s="1">
        <v>100000</v>
      </c>
      <c r="T150" s="1">
        <v>100000</v>
      </c>
      <c r="U150" s="1">
        <v>100000</v>
      </c>
      <c r="V150" s="1">
        <v>100000</v>
      </c>
      <c r="W150" s="1">
        <v>0</v>
      </c>
      <c r="X150" s="1">
        <v>0</v>
      </c>
      <c r="Y150" s="1">
        <v>0</v>
      </c>
      <c r="Z150" s="1">
        <v>0</v>
      </c>
      <c r="AA150" s="1">
        <v>515.36</v>
      </c>
      <c r="AB150" s="1">
        <v>515.36</v>
      </c>
      <c r="AC150" s="1">
        <v>515.36</v>
      </c>
      <c r="AD150" s="1">
        <v>515.36</v>
      </c>
      <c r="AE150" s="3" t="s">
        <v>386</v>
      </c>
      <c r="AF150" s="3" t="s">
        <v>161</v>
      </c>
      <c r="AG150" s="1" t="s">
        <v>970</v>
      </c>
      <c r="AH150" s="3" t="s">
        <v>387</v>
      </c>
      <c r="AI150" s="1">
        <v>4</v>
      </c>
      <c r="AJ150" s="3" t="s">
        <v>165</v>
      </c>
      <c r="AK150" s="1" t="s">
        <v>191</v>
      </c>
      <c r="AL150" s="3">
        <v>94.865681640431006</v>
      </c>
      <c r="AM150" s="3">
        <v>94.802901639344995</v>
      </c>
      <c r="AN150" s="3">
        <v>94802.9</v>
      </c>
      <c r="AO150" s="3">
        <v>94802.9</v>
      </c>
      <c r="AP150" s="1" t="s">
        <v>164</v>
      </c>
      <c r="AQ150" s="1">
        <v>4</v>
      </c>
      <c r="AR150" s="1" t="s">
        <v>165</v>
      </c>
      <c r="AS150" s="3">
        <v>132534288.59999999</v>
      </c>
      <c r="AT150" s="1" t="s">
        <v>176</v>
      </c>
      <c r="AU150" s="1">
        <v>1</v>
      </c>
      <c r="AV150" s="1">
        <v>1</v>
      </c>
      <c r="AW150" s="3" t="s">
        <v>210</v>
      </c>
      <c r="AX150" s="3" t="s">
        <v>237</v>
      </c>
      <c r="AY150" s="1">
        <v>0</v>
      </c>
      <c r="BA150" s="3">
        <v>8205251.6799999997</v>
      </c>
      <c r="BB150" s="1">
        <v>1</v>
      </c>
      <c r="BD150" s="1" t="s">
        <v>971</v>
      </c>
      <c r="BE150" s="1">
        <v>1</v>
      </c>
      <c r="BF150" s="1">
        <v>1</v>
      </c>
      <c r="BG150" s="1" t="s">
        <v>168</v>
      </c>
      <c r="BH150" s="1">
        <v>0</v>
      </c>
      <c r="BI150" s="1">
        <v>31345322.399999999</v>
      </c>
      <c r="BJ150" s="1">
        <v>0</v>
      </c>
      <c r="BK150" s="1">
        <v>123618989.48999999</v>
      </c>
      <c r="BL150" s="1">
        <v>132456249.91</v>
      </c>
      <c r="BM150" s="1">
        <v>596150.00000000012</v>
      </c>
      <c r="BN150" s="1">
        <v>9219855.2300000004</v>
      </c>
      <c r="BO150" s="1">
        <v>23.664660909999998</v>
      </c>
      <c r="BP150" s="1">
        <v>0.45007313999999998</v>
      </c>
      <c r="BQ150" s="1">
        <v>6.9606796500000003</v>
      </c>
      <c r="BR150" s="1">
        <v>7.1572990000000003E-2</v>
      </c>
      <c r="BS150" s="1" t="s">
        <v>169</v>
      </c>
      <c r="BT150" s="1" t="s">
        <v>169</v>
      </c>
      <c r="BU150" s="1">
        <v>26356083.120000001</v>
      </c>
      <c r="BV150" s="1">
        <v>0</v>
      </c>
      <c r="BW150" s="1">
        <v>-62.78</v>
      </c>
      <c r="BX150" s="1">
        <v>-0.06</v>
      </c>
      <c r="BY150" s="1" t="s">
        <v>170</v>
      </c>
      <c r="BZ150" s="1">
        <v>-78038.69</v>
      </c>
      <c r="CA150" s="1" t="s">
        <v>250</v>
      </c>
      <c r="CB150" s="1" t="s">
        <v>251</v>
      </c>
      <c r="CC150" s="1">
        <v>-5245.68</v>
      </c>
      <c r="CD150" s="1">
        <v>-5245.68</v>
      </c>
      <c r="CE150" s="1">
        <v>94865.68</v>
      </c>
      <c r="CF150" s="1">
        <v>94865.68</v>
      </c>
      <c r="CG150" s="1">
        <v>0</v>
      </c>
      <c r="CH150" s="1">
        <v>1.4438757900000001</v>
      </c>
      <c r="CI150" s="1">
        <v>13.27863496</v>
      </c>
      <c r="CJ150" s="1">
        <v>17588381.91</v>
      </c>
      <c r="CK150" s="1">
        <v>1912503.72</v>
      </c>
      <c r="CL150" s="1">
        <v>6269233.6699999999</v>
      </c>
      <c r="CM150" s="1" t="s">
        <v>164</v>
      </c>
      <c r="CN150" s="1" t="s">
        <v>164</v>
      </c>
      <c r="CO150" s="1" t="s">
        <v>184</v>
      </c>
      <c r="CP150" s="1" t="s">
        <v>243</v>
      </c>
      <c r="CQ150" s="3" t="s">
        <v>252</v>
      </c>
      <c r="CR150" s="1">
        <v>0</v>
      </c>
      <c r="CS150" s="1" t="s">
        <v>243</v>
      </c>
      <c r="CT150" s="1">
        <v>7.6689590000000002E-2</v>
      </c>
      <c r="CV150" s="1">
        <v>0</v>
      </c>
      <c r="CW150" s="1">
        <v>-219173.26</v>
      </c>
      <c r="DA150" s="1">
        <v>1355558.46</v>
      </c>
      <c r="DB150" s="1">
        <v>0</v>
      </c>
      <c r="DC150" s="1">
        <v>2520.3126550000002</v>
      </c>
      <c r="DD150" s="1">
        <v>52555.483399999997</v>
      </c>
      <c r="DE150" s="1">
        <v>-296353.43</v>
      </c>
      <c r="DF150" s="1">
        <v>92570020.519999996</v>
      </c>
      <c r="DG150" s="1">
        <v>-62.78</v>
      </c>
      <c r="DH150" s="1">
        <v>394770.09</v>
      </c>
      <c r="DI150" s="1">
        <v>0.29803809999999997</v>
      </c>
      <c r="DK150" s="1">
        <v>0</v>
      </c>
      <c r="DL150" s="1">
        <v>0</v>
      </c>
      <c r="DM150" s="1">
        <v>-296353.43</v>
      </c>
      <c r="DN150" s="1">
        <v>0</v>
      </c>
      <c r="DO150" s="1">
        <v>0</v>
      </c>
      <c r="DP150" s="1">
        <v>16777215</v>
      </c>
      <c r="DQ150" s="1">
        <v>0</v>
      </c>
      <c r="DR150" s="1">
        <v>0</v>
      </c>
      <c r="DS150" s="1">
        <v>0</v>
      </c>
      <c r="DT150" s="1">
        <v>0</v>
      </c>
      <c r="DU150" s="1">
        <v>0</v>
      </c>
      <c r="DV150" s="1">
        <v>94802.9</v>
      </c>
      <c r="DW150" s="1">
        <v>94802.9</v>
      </c>
      <c r="DX150" s="1">
        <v>31345322.399999999</v>
      </c>
      <c r="DY150" s="1">
        <v>-1110160.2399999984</v>
      </c>
      <c r="DZ150" s="1">
        <v>92570020.519999966</v>
      </c>
      <c r="EA150" s="1">
        <v>0</v>
      </c>
      <c r="EB150" s="1">
        <v>0</v>
      </c>
      <c r="EC150" s="1" t="s">
        <v>176</v>
      </c>
      <c r="EE150" s="1">
        <v>0</v>
      </c>
      <c r="EF150" s="1">
        <v>3</v>
      </c>
      <c r="EG150" s="1">
        <v>0</v>
      </c>
      <c r="EH150" s="3">
        <v>0.10241210000000001</v>
      </c>
      <c r="EI150" s="1">
        <v>0</v>
      </c>
      <c r="EL150" s="1">
        <v>0</v>
      </c>
      <c r="EM150" s="1">
        <v>0</v>
      </c>
      <c r="EN150" s="1">
        <v>1633661.45</v>
      </c>
      <c r="EO150" s="1">
        <v>1.2333592799999999</v>
      </c>
      <c r="ER150" s="1">
        <v>94.828327868852995</v>
      </c>
      <c r="ES150" s="1">
        <v>1</v>
      </c>
      <c r="ET150" s="3">
        <v>4.3418208700000003</v>
      </c>
      <c r="EU150" s="3">
        <v>1.772678336</v>
      </c>
      <c r="EV150" s="3">
        <v>1.611052222703</v>
      </c>
      <c r="EW150" s="3">
        <v>1.7863013700000001</v>
      </c>
      <c r="EX150" s="3">
        <v>4.5249493000000002E-2</v>
      </c>
      <c r="EY150" s="3">
        <v>20</v>
      </c>
      <c r="EZ150" s="3">
        <v>652</v>
      </c>
      <c r="FA150" s="1">
        <v>0</v>
      </c>
      <c r="FB150" s="1">
        <v>0</v>
      </c>
      <c r="FC150" s="3">
        <v>1.4942897930000001</v>
      </c>
      <c r="FD150" s="1">
        <v>0</v>
      </c>
      <c r="FE150" s="1">
        <v>0</v>
      </c>
    </row>
    <row r="151" spans="1:161" x14ac:dyDescent="0.3">
      <c r="A151" s="1">
        <v>16975360</v>
      </c>
      <c r="B151" s="1">
        <v>128</v>
      </c>
      <c r="C151" s="1">
        <v>7315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200</v>
      </c>
      <c r="J151" s="3">
        <v>200</v>
      </c>
      <c r="K151" s="1">
        <v>200000</v>
      </c>
      <c r="L151" s="1">
        <v>200000</v>
      </c>
      <c r="M151" s="1">
        <v>200000</v>
      </c>
      <c r="N151" s="3">
        <v>200000</v>
      </c>
      <c r="O151" s="1">
        <v>202828</v>
      </c>
      <c r="P151" s="1">
        <v>202828</v>
      </c>
      <c r="Q151" s="1">
        <v>202828</v>
      </c>
      <c r="R151" s="1">
        <v>202828</v>
      </c>
      <c r="S151" s="1">
        <v>200000</v>
      </c>
      <c r="T151" s="1">
        <v>200000</v>
      </c>
      <c r="U151" s="1">
        <v>200000</v>
      </c>
      <c r="V151" s="1">
        <v>200000</v>
      </c>
      <c r="W151" s="1">
        <v>0</v>
      </c>
      <c r="X151" s="1">
        <v>0</v>
      </c>
      <c r="Y151" s="1">
        <v>0</v>
      </c>
      <c r="Z151" s="1">
        <v>0</v>
      </c>
      <c r="AA151" s="1">
        <v>-1850.94</v>
      </c>
      <c r="AB151" s="1">
        <v>-1850.94</v>
      </c>
      <c r="AC151" s="1">
        <v>-1850.94</v>
      </c>
      <c r="AD151" s="1">
        <v>-1850.94</v>
      </c>
      <c r="AE151" s="3" t="s">
        <v>388</v>
      </c>
      <c r="AF151" s="3" t="s">
        <v>161</v>
      </c>
      <c r="AG151" s="1" t="s">
        <v>970</v>
      </c>
      <c r="AH151" s="3" t="s">
        <v>389</v>
      </c>
      <c r="AI151" s="1">
        <v>4</v>
      </c>
      <c r="AJ151" s="3" t="s">
        <v>165</v>
      </c>
      <c r="AK151" s="1" t="s">
        <v>191</v>
      </c>
      <c r="AL151" s="3">
        <v>95.785249808773997</v>
      </c>
      <c r="AM151" s="3">
        <v>95.800144808743994</v>
      </c>
      <c r="AN151" s="3">
        <v>191600.29</v>
      </c>
      <c r="AO151" s="3">
        <v>191600.29</v>
      </c>
      <c r="AP151" s="1" t="s">
        <v>164</v>
      </c>
      <c r="AQ151" s="1">
        <v>4</v>
      </c>
      <c r="AR151" s="1" t="s">
        <v>165</v>
      </c>
      <c r="AS151" s="3">
        <v>132534288.59999999</v>
      </c>
      <c r="AT151" s="1" t="s">
        <v>176</v>
      </c>
      <c r="AU151" s="1">
        <v>1</v>
      </c>
      <c r="AV151" s="1">
        <v>1</v>
      </c>
      <c r="AW151" s="3" t="s">
        <v>210</v>
      </c>
      <c r="AX151" s="3" t="s">
        <v>237</v>
      </c>
      <c r="AY151" s="1">
        <v>0</v>
      </c>
      <c r="BA151" s="3">
        <v>8205251.6799999997</v>
      </c>
      <c r="BB151" s="1">
        <v>1</v>
      </c>
      <c r="BD151" s="1" t="s">
        <v>971</v>
      </c>
      <c r="BE151" s="1">
        <v>1</v>
      </c>
      <c r="BF151" s="1">
        <v>1</v>
      </c>
      <c r="BG151" s="1" t="s">
        <v>168</v>
      </c>
      <c r="BH151" s="1">
        <v>0</v>
      </c>
      <c r="BI151" s="1">
        <v>31345322.399999999</v>
      </c>
      <c r="BJ151" s="1">
        <v>0</v>
      </c>
      <c r="BK151" s="1">
        <v>123618989.48999999</v>
      </c>
      <c r="BL151" s="1">
        <v>132456249.91</v>
      </c>
      <c r="BM151" s="1">
        <v>596150.00000000012</v>
      </c>
      <c r="BN151" s="1">
        <v>9219855.2300000004</v>
      </c>
      <c r="BO151" s="1">
        <v>23.664660909999998</v>
      </c>
      <c r="BP151" s="1">
        <v>0.45007313999999998</v>
      </c>
      <c r="BQ151" s="1">
        <v>6.9606796500000003</v>
      </c>
      <c r="BR151" s="1">
        <v>0.14465175</v>
      </c>
      <c r="BS151" s="1" t="s">
        <v>169</v>
      </c>
      <c r="BT151" s="1" t="s">
        <v>169</v>
      </c>
      <c r="BU151" s="1">
        <v>26356083.120000001</v>
      </c>
      <c r="BV151" s="1">
        <v>0</v>
      </c>
      <c r="BW151" s="1">
        <v>29.79</v>
      </c>
      <c r="BX151" s="1">
        <v>0.01</v>
      </c>
      <c r="BY151" s="1" t="s">
        <v>170</v>
      </c>
      <c r="BZ151" s="1">
        <v>-78038.69</v>
      </c>
      <c r="CA151" s="1" t="s">
        <v>250</v>
      </c>
      <c r="CB151" s="1" t="s">
        <v>251</v>
      </c>
      <c r="CC151" s="1">
        <v>-9406.56</v>
      </c>
      <c r="CD151" s="1">
        <v>-9406.56</v>
      </c>
      <c r="CE151" s="1">
        <v>191570.5</v>
      </c>
      <c r="CF151" s="1">
        <v>191570.5</v>
      </c>
      <c r="CG151" s="1">
        <v>0</v>
      </c>
      <c r="CH151" s="1">
        <v>1.4438757900000001</v>
      </c>
      <c r="CI151" s="1">
        <v>13.27863496</v>
      </c>
      <c r="CJ151" s="1">
        <v>17588381.91</v>
      </c>
      <c r="CK151" s="1">
        <v>1912503.72</v>
      </c>
      <c r="CL151" s="1">
        <v>6269233.6699999999</v>
      </c>
      <c r="CM151" s="1" t="s">
        <v>164</v>
      </c>
      <c r="CN151" s="1" t="s">
        <v>164</v>
      </c>
      <c r="CO151" s="1" t="s">
        <v>184</v>
      </c>
      <c r="CP151" s="1" t="s">
        <v>243</v>
      </c>
      <c r="CQ151" s="3" t="s">
        <v>252</v>
      </c>
      <c r="CR151" s="1">
        <v>0</v>
      </c>
      <c r="CS151" s="1" t="s">
        <v>243</v>
      </c>
      <c r="CT151" s="1">
        <v>0.15499260000000001</v>
      </c>
      <c r="CV151" s="1">
        <v>0</v>
      </c>
      <c r="CW151" s="1">
        <v>-219173.26</v>
      </c>
      <c r="DA151" s="1">
        <v>1355558.46</v>
      </c>
      <c r="DB151" s="1">
        <v>0</v>
      </c>
      <c r="DC151" s="1">
        <v>2520.3126550000002</v>
      </c>
      <c r="DD151" s="1">
        <v>52555.483399999997</v>
      </c>
      <c r="DE151" s="1">
        <v>-296353.43</v>
      </c>
      <c r="DF151" s="1">
        <v>92570020.519999996</v>
      </c>
      <c r="DG151" s="1">
        <v>29.79</v>
      </c>
      <c r="DH151" s="1">
        <v>394770.09</v>
      </c>
      <c r="DI151" s="1">
        <v>0.29803809999999997</v>
      </c>
      <c r="DK151" s="1">
        <v>0</v>
      </c>
      <c r="DL151" s="1">
        <v>0</v>
      </c>
      <c r="DM151" s="1">
        <v>-296353.43</v>
      </c>
      <c r="DN151" s="1">
        <v>0</v>
      </c>
      <c r="DO151" s="1">
        <v>0</v>
      </c>
      <c r="DP151" s="1">
        <v>16777215</v>
      </c>
      <c r="DQ151" s="1">
        <v>0</v>
      </c>
      <c r="DR151" s="1">
        <v>0</v>
      </c>
      <c r="DS151" s="1">
        <v>0</v>
      </c>
      <c r="DT151" s="1">
        <v>0</v>
      </c>
      <c r="DU151" s="1">
        <v>0</v>
      </c>
      <c r="DV151" s="1">
        <v>191600.29</v>
      </c>
      <c r="DW151" s="1">
        <v>191600.29</v>
      </c>
      <c r="DX151" s="1">
        <v>31345322.399999999</v>
      </c>
      <c r="DY151" s="1">
        <v>-1110160.2399999984</v>
      </c>
      <c r="DZ151" s="1">
        <v>92570020.519999966</v>
      </c>
      <c r="EA151" s="1">
        <v>0</v>
      </c>
      <c r="EB151" s="1">
        <v>0</v>
      </c>
      <c r="EC151" s="1" t="s">
        <v>176</v>
      </c>
      <c r="EE151" s="1">
        <v>0</v>
      </c>
      <c r="EF151" s="1">
        <v>3</v>
      </c>
      <c r="EG151" s="1">
        <v>0</v>
      </c>
      <c r="EH151" s="3">
        <v>0.20697877000000001</v>
      </c>
      <c r="EI151" s="1">
        <v>0</v>
      </c>
      <c r="EL151" s="1">
        <v>0</v>
      </c>
      <c r="EM151" s="1">
        <v>0</v>
      </c>
      <c r="EN151" s="1">
        <v>1633661.45</v>
      </c>
      <c r="EO151" s="1">
        <v>1.2333592799999999</v>
      </c>
      <c r="ER151" s="1">
        <v>95.863180327867994</v>
      </c>
      <c r="ES151" s="1">
        <v>1</v>
      </c>
      <c r="ET151" s="3">
        <v>6.5682196079999997</v>
      </c>
      <c r="EU151" s="3">
        <v>0.97540983599999997</v>
      </c>
      <c r="EV151" s="3">
        <v>0.87742752391500001</v>
      </c>
      <c r="EW151" s="3">
        <v>0.97808219200000002</v>
      </c>
      <c r="EX151" s="3">
        <v>1.6966370000000001E-2</v>
      </c>
      <c r="EY151" s="3">
        <v>11</v>
      </c>
      <c r="EZ151" s="3">
        <v>357</v>
      </c>
      <c r="FA151" s="1">
        <v>0</v>
      </c>
      <c r="FB151" s="1">
        <v>0</v>
      </c>
      <c r="FC151" s="3">
        <v>0.59243968800000002</v>
      </c>
      <c r="FD151" s="1">
        <v>0</v>
      </c>
      <c r="FE151" s="1">
        <v>0</v>
      </c>
    </row>
    <row r="152" spans="1:161" x14ac:dyDescent="0.3">
      <c r="A152" s="1">
        <v>16975527</v>
      </c>
      <c r="B152" s="1">
        <v>128</v>
      </c>
      <c r="C152" s="1">
        <v>8451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6</v>
      </c>
      <c r="J152" s="3">
        <v>6</v>
      </c>
      <c r="K152" s="1">
        <v>600000</v>
      </c>
      <c r="L152" s="1">
        <v>600000</v>
      </c>
      <c r="M152" s="1">
        <v>600000</v>
      </c>
      <c r="N152" s="3">
        <v>600000</v>
      </c>
      <c r="O152" s="1">
        <v>602960</v>
      </c>
      <c r="P152" s="1">
        <v>602960</v>
      </c>
      <c r="Q152" s="1">
        <v>602960</v>
      </c>
      <c r="R152" s="1">
        <v>602960</v>
      </c>
      <c r="S152" s="1">
        <v>600000</v>
      </c>
      <c r="T152" s="1">
        <v>600000</v>
      </c>
      <c r="U152" s="1">
        <v>600000</v>
      </c>
      <c r="V152" s="1">
        <v>600000</v>
      </c>
      <c r="W152" s="1">
        <v>0</v>
      </c>
      <c r="X152" s="1">
        <v>0</v>
      </c>
      <c r="Y152" s="1">
        <v>0</v>
      </c>
      <c r="Z152" s="1">
        <v>0</v>
      </c>
      <c r="AA152" s="1">
        <v>1322.29</v>
      </c>
      <c r="AB152" s="1">
        <v>1322.29</v>
      </c>
      <c r="AC152" s="1">
        <v>1322.29</v>
      </c>
      <c r="AD152" s="1">
        <v>1322.29</v>
      </c>
      <c r="AE152" s="3" t="s">
        <v>390</v>
      </c>
      <c r="AF152" s="3" t="s">
        <v>161</v>
      </c>
      <c r="AG152" s="1" t="s">
        <v>970</v>
      </c>
      <c r="AH152" s="3" t="s">
        <v>391</v>
      </c>
      <c r="AI152" s="1">
        <v>4</v>
      </c>
      <c r="AJ152" s="3" t="s">
        <v>165</v>
      </c>
      <c r="AK152" s="1" t="s">
        <v>176</v>
      </c>
      <c r="AL152" s="3">
        <v>95.292794726718995</v>
      </c>
      <c r="AM152" s="3">
        <v>95.273016393442006</v>
      </c>
      <c r="AN152" s="3">
        <v>571638.1</v>
      </c>
      <c r="AO152" s="3">
        <v>571638.1</v>
      </c>
      <c r="AP152" s="1" t="s">
        <v>164</v>
      </c>
      <c r="AQ152" s="1">
        <v>4</v>
      </c>
      <c r="AR152" s="1" t="s">
        <v>165</v>
      </c>
      <c r="AS152" s="3">
        <v>132534288.59999999</v>
      </c>
      <c r="AT152" s="1" t="s">
        <v>176</v>
      </c>
      <c r="AU152" s="1">
        <v>1</v>
      </c>
      <c r="AV152" s="1">
        <v>1</v>
      </c>
      <c r="AW152" s="3" t="s">
        <v>210</v>
      </c>
      <c r="AX152" s="3" t="s">
        <v>237</v>
      </c>
      <c r="AY152" s="1">
        <v>0</v>
      </c>
      <c r="BA152" s="3">
        <v>8205251.6799999997</v>
      </c>
      <c r="BB152" s="1">
        <v>1</v>
      </c>
      <c r="BD152" s="1" t="s">
        <v>971</v>
      </c>
      <c r="BE152" s="1">
        <v>1</v>
      </c>
      <c r="BF152" s="1">
        <v>1</v>
      </c>
      <c r="BG152" s="1" t="s">
        <v>168</v>
      </c>
      <c r="BH152" s="1">
        <v>0</v>
      </c>
      <c r="BI152" s="1">
        <v>31345322.399999999</v>
      </c>
      <c r="BJ152" s="1">
        <v>0</v>
      </c>
      <c r="BK152" s="1">
        <v>123618989.48999999</v>
      </c>
      <c r="BL152" s="1">
        <v>132456249.91</v>
      </c>
      <c r="BM152" s="1">
        <v>596150.00000000012</v>
      </c>
      <c r="BN152" s="1">
        <v>9219855.2300000004</v>
      </c>
      <c r="BO152" s="1">
        <v>23.664660909999998</v>
      </c>
      <c r="BP152" s="1">
        <v>0.45007313999999998</v>
      </c>
      <c r="BQ152" s="1">
        <v>6.9606796500000003</v>
      </c>
      <c r="BR152" s="1">
        <v>0.43156748</v>
      </c>
      <c r="BS152" s="1" t="s">
        <v>169</v>
      </c>
      <c r="BT152" s="1" t="s">
        <v>169</v>
      </c>
      <c r="BU152" s="1">
        <v>26356083.120000001</v>
      </c>
      <c r="BV152" s="1">
        <v>0</v>
      </c>
      <c r="BW152" s="1">
        <v>-118.67</v>
      </c>
      <c r="BX152" s="1">
        <v>-0.02</v>
      </c>
      <c r="BY152" s="1" t="s">
        <v>170</v>
      </c>
      <c r="BZ152" s="1">
        <v>-78038.69</v>
      </c>
      <c r="CA152" s="1" t="s">
        <v>250</v>
      </c>
      <c r="CB152" s="1" t="s">
        <v>251</v>
      </c>
      <c r="CC152" s="1">
        <v>-32525.52</v>
      </c>
      <c r="CD152" s="1">
        <v>-32525.52</v>
      </c>
      <c r="CE152" s="1">
        <v>571756.77</v>
      </c>
      <c r="CF152" s="1">
        <v>571756.77</v>
      </c>
      <c r="CG152" s="1">
        <v>0</v>
      </c>
      <c r="CH152" s="1">
        <v>1.4438757900000001</v>
      </c>
      <c r="CI152" s="1">
        <v>13.27863496</v>
      </c>
      <c r="CJ152" s="1">
        <v>17588381.91</v>
      </c>
      <c r="CK152" s="1">
        <v>1912503.72</v>
      </c>
      <c r="CL152" s="1">
        <v>6269233.6699999999</v>
      </c>
      <c r="CM152" s="1" t="s">
        <v>164</v>
      </c>
      <c r="CN152" s="1" t="s">
        <v>164</v>
      </c>
      <c r="CO152" s="1" t="s">
        <v>184</v>
      </c>
      <c r="CP152" s="1" t="s">
        <v>243</v>
      </c>
      <c r="CQ152" s="3" t="s">
        <v>252</v>
      </c>
      <c r="CR152" s="1">
        <v>0</v>
      </c>
      <c r="CS152" s="1" t="s">
        <v>243</v>
      </c>
      <c r="CT152" s="1">
        <v>0.46241933000000002</v>
      </c>
      <c r="CV152" s="1">
        <v>0</v>
      </c>
      <c r="CW152" s="1">
        <v>-219173.26</v>
      </c>
      <c r="DA152" s="1">
        <v>1355558.46</v>
      </c>
      <c r="DB152" s="1">
        <v>0</v>
      </c>
      <c r="DC152" s="1">
        <v>2520.3126550000002</v>
      </c>
      <c r="DD152" s="1">
        <v>52555.483399999997</v>
      </c>
      <c r="DE152" s="1">
        <v>-296353.43</v>
      </c>
      <c r="DF152" s="1">
        <v>92570020.519999996</v>
      </c>
      <c r="DG152" s="1">
        <v>-118.67</v>
      </c>
      <c r="DH152" s="1">
        <v>394770.09</v>
      </c>
      <c r="DI152" s="1">
        <v>0.29803809999999997</v>
      </c>
      <c r="DK152" s="1">
        <v>0</v>
      </c>
      <c r="DL152" s="1">
        <v>0</v>
      </c>
      <c r="DM152" s="1">
        <v>-296353.43</v>
      </c>
      <c r="DN152" s="1">
        <v>0</v>
      </c>
      <c r="DO152" s="1">
        <v>0</v>
      </c>
      <c r="DP152" s="1">
        <v>16777215</v>
      </c>
      <c r="DQ152" s="1">
        <v>0</v>
      </c>
      <c r="DR152" s="1">
        <v>0</v>
      </c>
      <c r="DS152" s="1">
        <v>0</v>
      </c>
      <c r="DT152" s="1">
        <v>0</v>
      </c>
      <c r="DU152" s="1">
        <v>0</v>
      </c>
      <c r="DV152" s="1">
        <v>571638.1</v>
      </c>
      <c r="DW152" s="1">
        <v>571638.1</v>
      </c>
      <c r="DX152" s="1">
        <v>31345322.399999999</v>
      </c>
      <c r="DY152" s="1">
        <v>-1110160.2399999984</v>
      </c>
      <c r="DZ152" s="1">
        <v>92570020.519999966</v>
      </c>
      <c r="EA152" s="1">
        <v>0</v>
      </c>
      <c r="EB152" s="1">
        <v>0</v>
      </c>
      <c r="EC152" s="1" t="s">
        <v>176</v>
      </c>
      <c r="EE152" s="1">
        <v>0</v>
      </c>
      <c r="EF152" s="1">
        <v>3</v>
      </c>
      <c r="EG152" s="1">
        <v>0</v>
      </c>
      <c r="EH152" s="3">
        <v>0.61751968999999995</v>
      </c>
      <c r="EI152" s="1">
        <v>0</v>
      </c>
      <c r="EL152" s="1">
        <v>0</v>
      </c>
      <c r="EM152" s="1">
        <v>0</v>
      </c>
      <c r="EN152" s="1">
        <v>1633661.45</v>
      </c>
      <c r="EO152" s="1">
        <v>1.2333592799999999</v>
      </c>
      <c r="ER152" s="1">
        <v>95.324942622950999</v>
      </c>
      <c r="ES152" s="1">
        <v>1</v>
      </c>
      <c r="ET152" s="3">
        <v>4.8783735520000002</v>
      </c>
      <c r="EU152" s="3">
        <v>1.4720735620000001</v>
      </c>
      <c r="EV152" s="3">
        <v>1.3379815409589999</v>
      </c>
      <c r="EW152" s="3">
        <v>1.484931507</v>
      </c>
      <c r="EX152" s="3">
        <v>3.3187717999999998E-2</v>
      </c>
      <c r="EY152" s="3">
        <v>17</v>
      </c>
      <c r="EZ152" s="3">
        <v>542</v>
      </c>
      <c r="FA152" s="1">
        <v>0</v>
      </c>
      <c r="FB152" s="1">
        <v>0</v>
      </c>
      <c r="FC152" s="3">
        <v>1.1837897239999999</v>
      </c>
      <c r="FD152" s="1">
        <v>0</v>
      </c>
      <c r="FE152" s="1">
        <v>0</v>
      </c>
    </row>
    <row r="153" spans="1:161" x14ac:dyDescent="0.3">
      <c r="A153" s="1">
        <v>16975530</v>
      </c>
      <c r="B153" s="1">
        <v>128</v>
      </c>
      <c r="C153" s="1">
        <v>8366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7</v>
      </c>
      <c r="J153" s="3">
        <v>7</v>
      </c>
      <c r="K153" s="1">
        <v>700000</v>
      </c>
      <c r="L153" s="1">
        <v>700000</v>
      </c>
      <c r="M153" s="1">
        <v>700000</v>
      </c>
      <c r="N153" s="3">
        <v>700000</v>
      </c>
      <c r="O153" s="1">
        <v>696026</v>
      </c>
      <c r="P153" s="1">
        <v>696026</v>
      </c>
      <c r="Q153" s="1">
        <v>696026</v>
      </c>
      <c r="R153" s="1">
        <v>696026</v>
      </c>
      <c r="S153" s="1">
        <v>700000</v>
      </c>
      <c r="T153" s="1">
        <v>700000</v>
      </c>
      <c r="U153" s="1">
        <v>700000</v>
      </c>
      <c r="V153" s="1">
        <v>700000</v>
      </c>
      <c r="W153" s="1">
        <v>0</v>
      </c>
      <c r="X153" s="1">
        <v>0</v>
      </c>
      <c r="Y153" s="1">
        <v>0</v>
      </c>
      <c r="Z153" s="1">
        <v>0</v>
      </c>
      <c r="AA153" s="1">
        <v>7324.95</v>
      </c>
      <c r="AB153" s="1">
        <v>7324.95</v>
      </c>
      <c r="AC153" s="1">
        <v>7324.95</v>
      </c>
      <c r="AD153" s="1">
        <v>7324.95</v>
      </c>
      <c r="AE153" s="3" t="s">
        <v>392</v>
      </c>
      <c r="AF153" s="3" t="s">
        <v>161</v>
      </c>
      <c r="AG153" s="1" t="s">
        <v>970</v>
      </c>
      <c r="AH153" s="3" t="s">
        <v>393</v>
      </c>
      <c r="AI153" s="1">
        <v>4</v>
      </c>
      <c r="AJ153" s="3" t="s">
        <v>165</v>
      </c>
      <c r="AK153" s="1" t="s">
        <v>176</v>
      </c>
      <c r="AL153" s="3">
        <v>97.241286726425997</v>
      </c>
      <c r="AM153" s="3">
        <v>96.612915300546007</v>
      </c>
      <c r="AN153" s="3">
        <v>676290.41</v>
      </c>
      <c r="AO153" s="3">
        <v>676290.41</v>
      </c>
      <c r="AP153" s="1" t="s">
        <v>164</v>
      </c>
      <c r="AQ153" s="1">
        <v>4</v>
      </c>
      <c r="AR153" s="1" t="s">
        <v>165</v>
      </c>
      <c r="AS153" s="3">
        <v>132534288.59999999</v>
      </c>
      <c r="AT153" s="1" t="s">
        <v>176</v>
      </c>
      <c r="AU153" s="1">
        <v>1</v>
      </c>
      <c r="AV153" s="1">
        <v>1</v>
      </c>
      <c r="AW153" s="3" t="s">
        <v>210</v>
      </c>
      <c r="AX153" s="3" t="s">
        <v>237</v>
      </c>
      <c r="AY153" s="1">
        <v>0</v>
      </c>
      <c r="BA153" s="3">
        <v>8205251.6799999997</v>
      </c>
      <c r="BB153" s="1">
        <v>1</v>
      </c>
      <c r="BD153" s="1" t="s">
        <v>971</v>
      </c>
      <c r="BE153" s="1">
        <v>1</v>
      </c>
      <c r="BF153" s="1">
        <v>1</v>
      </c>
      <c r="BG153" s="1" t="s">
        <v>168</v>
      </c>
      <c r="BH153" s="1">
        <v>0</v>
      </c>
      <c r="BI153" s="1">
        <v>31345322.399999999</v>
      </c>
      <c r="BJ153" s="1">
        <v>0</v>
      </c>
      <c r="BK153" s="1">
        <v>123618989.48999999</v>
      </c>
      <c r="BL153" s="1">
        <v>132456249.91</v>
      </c>
      <c r="BM153" s="1">
        <v>596150.00000000012</v>
      </c>
      <c r="BN153" s="1">
        <v>9219855.2300000004</v>
      </c>
      <c r="BO153" s="1">
        <v>23.664660909999998</v>
      </c>
      <c r="BP153" s="1">
        <v>0.45007313999999998</v>
      </c>
      <c r="BQ153" s="1">
        <v>6.9606796500000003</v>
      </c>
      <c r="BR153" s="1">
        <v>0.51057644000000002</v>
      </c>
      <c r="BS153" s="1" t="s">
        <v>169</v>
      </c>
      <c r="BT153" s="1" t="s">
        <v>169</v>
      </c>
      <c r="BU153" s="1">
        <v>26356083.120000001</v>
      </c>
      <c r="BV153" s="1">
        <v>0</v>
      </c>
      <c r="BW153" s="1">
        <v>-4398.6000000000004</v>
      </c>
      <c r="BX153" s="1">
        <v>-0.65</v>
      </c>
      <c r="BY153" s="1" t="s">
        <v>170</v>
      </c>
      <c r="BZ153" s="1">
        <v>-78038.69</v>
      </c>
      <c r="CA153" s="1" t="s">
        <v>250</v>
      </c>
      <c r="CB153" s="1" t="s">
        <v>251</v>
      </c>
      <c r="CC153" s="1">
        <v>-22661.94</v>
      </c>
      <c r="CD153" s="1">
        <v>-22661.94</v>
      </c>
      <c r="CE153" s="1">
        <v>680689.01</v>
      </c>
      <c r="CF153" s="1">
        <v>680689.01</v>
      </c>
      <c r="CG153" s="1">
        <v>0</v>
      </c>
      <c r="CH153" s="1">
        <v>1.4438757900000001</v>
      </c>
      <c r="CI153" s="1">
        <v>13.27863496</v>
      </c>
      <c r="CJ153" s="1">
        <v>17588381.91</v>
      </c>
      <c r="CK153" s="1">
        <v>1912503.72</v>
      </c>
      <c r="CL153" s="1">
        <v>6269233.6699999999</v>
      </c>
      <c r="CM153" s="1" t="s">
        <v>164</v>
      </c>
      <c r="CN153" s="1" t="s">
        <v>164</v>
      </c>
      <c r="CO153" s="1" t="s">
        <v>184</v>
      </c>
      <c r="CP153" s="1" t="s">
        <v>243</v>
      </c>
      <c r="CQ153" s="3" t="s">
        <v>252</v>
      </c>
      <c r="CR153" s="1">
        <v>0</v>
      </c>
      <c r="CS153" s="1" t="s">
        <v>243</v>
      </c>
      <c r="CT153" s="1">
        <v>0.54707647000000004</v>
      </c>
      <c r="CU153" s="1"/>
      <c r="CV153" s="1">
        <v>0</v>
      </c>
      <c r="CW153" s="1">
        <v>-219173.26</v>
      </c>
      <c r="CY153" s="1"/>
      <c r="DA153" s="1">
        <v>1355558.46</v>
      </c>
      <c r="DB153" s="1">
        <v>0</v>
      </c>
      <c r="DC153" s="1">
        <v>2520.3126550000002</v>
      </c>
      <c r="DD153" s="1">
        <v>52555.483399999997</v>
      </c>
      <c r="DE153" s="1">
        <v>-296353.43</v>
      </c>
      <c r="DF153" s="1">
        <v>92570020.519999996</v>
      </c>
      <c r="DG153" s="1">
        <v>-4398.6000000000004</v>
      </c>
      <c r="DH153" s="1">
        <v>394770.09</v>
      </c>
      <c r="DI153" s="1">
        <v>0.29803809999999997</v>
      </c>
      <c r="DK153" s="1">
        <v>0</v>
      </c>
      <c r="DL153" s="1">
        <v>0</v>
      </c>
      <c r="DM153" s="1">
        <v>-296353.43</v>
      </c>
      <c r="DN153" s="1">
        <v>0</v>
      </c>
      <c r="DO153" s="1">
        <v>0</v>
      </c>
      <c r="DP153" s="1">
        <v>16777215</v>
      </c>
      <c r="DQ153" s="1">
        <v>0</v>
      </c>
      <c r="DR153" s="1">
        <v>0</v>
      </c>
      <c r="DS153" s="1">
        <v>0</v>
      </c>
      <c r="DT153" s="1">
        <v>0</v>
      </c>
      <c r="DU153" s="1">
        <v>0</v>
      </c>
      <c r="DV153" s="1">
        <v>676290.41</v>
      </c>
      <c r="DW153" s="1">
        <v>676290.41</v>
      </c>
      <c r="DX153" s="1">
        <v>31345322.399999999</v>
      </c>
      <c r="DY153" s="1">
        <v>-1110160.2399999984</v>
      </c>
      <c r="DZ153" s="1">
        <v>92570020.519999966</v>
      </c>
      <c r="EA153" s="1">
        <v>0</v>
      </c>
      <c r="EB153" s="1">
        <v>0</v>
      </c>
      <c r="EC153" s="1" t="s">
        <v>176</v>
      </c>
      <c r="EE153" s="1">
        <v>0</v>
      </c>
      <c r="EF153" s="1">
        <v>3</v>
      </c>
      <c r="EG153" s="1">
        <v>0</v>
      </c>
      <c r="EH153" s="3">
        <v>0.73057174000000003</v>
      </c>
      <c r="EI153" s="1">
        <v>0</v>
      </c>
      <c r="EL153" s="1">
        <v>0</v>
      </c>
      <c r="EM153" s="1">
        <v>0</v>
      </c>
      <c r="EN153" s="1">
        <v>1633661.45</v>
      </c>
      <c r="EO153" s="1">
        <v>1.2333592799999999</v>
      </c>
      <c r="ER153" s="1">
        <v>96.593707650273004</v>
      </c>
      <c r="ES153" s="1">
        <v>1</v>
      </c>
      <c r="ET153" s="3">
        <v>4.1851230030000002</v>
      </c>
      <c r="EU153" s="3">
        <v>0.99726775999999995</v>
      </c>
      <c r="EV153" s="3">
        <v>0.92460216585999999</v>
      </c>
      <c r="EW153" s="3">
        <v>1</v>
      </c>
      <c r="EX153" s="3">
        <v>1.8350024999999999E-2</v>
      </c>
      <c r="EY153" s="3">
        <v>11</v>
      </c>
      <c r="EZ153" s="3">
        <v>365</v>
      </c>
      <c r="FA153" s="1">
        <v>0</v>
      </c>
      <c r="FB153" s="1">
        <v>0</v>
      </c>
      <c r="FC153" s="3">
        <v>1.202830209</v>
      </c>
      <c r="FD153" s="1">
        <v>0</v>
      </c>
      <c r="FE153" s="1">
        <v>0</v>
      </c>
    </row>
    <row r="154" spans="1:161" x14ac:dyDescent="0.3">
      <c r="A154" s="1">
        <v>16975383</v>
      </c>
      <c r="B154" s="1">
        <v>128</v>
      </c>
      <c r="C154" s="1">
        <v>8456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250</v>
      </c>
      <c r="J154" s="3">
        <v>250</v>
      </c>
      <c r="K154" s="1">
        <v>250000</v>
      </c>
      <c r="L154" s="1">
        <v>250000</v>
      </c>
      <c r="M154" s="1">
        <v>250000</v>
      </c>
      <c r="N154" s="3">
        <v>250000</v>
      </c>
      <c r="O154" s="1">
        <v>260012.5</v>
      </c>
      <c r="P154" s="1">
        <v>260012.5</v>
      </c>
      <c r="Q154" s="1">
        <v>260012.5</v>
      </c>
      <c r="R154" s="1">
        <v>260012.5</v>
      </c>
      <c r="S154" s="1">
        <v>250000</v>
      </c>
      <c r="T154" s="1">
        <v>250000</v>
      </c>
      <c r="U154" s="1">
        <v>250000</v>
      </c>
      <c r="V154" s="1">
        <v>250000</v>
      </c>
      <c r="W154" s="1">
        <v>0</v>
      </c>
      <c r="X154" s="1">
        <v>0</v>
      </c>
      <c r="Y154" s="1">
        <v>0</v>
      </c>
      <c r="Z154" s="1">
        <v>0</v>
      </c>
      <c r="AA154" s="1">
        <v>-4594.7700000000004</v>
      </c>
      <c r="AB154" s="1">
        <v>-4594.7700000000004</v>
      </c>
      <c r="AC154" s="1">
        <v>-4594.7700000000004</v>
      </c>
      <c r="AD154" s="1">
        <v>-4594.7700000000004</v>
      </c>
      <c r="AE154" s="3" t="s">
        <v>394</v>
      </c>
      <c r="AF154" s="3" t="s">
        <v>161</v>
      </c>
      <c r="AG154" s="1" t="s">
        <v>970</v>
      </c>
      <c r="AH154" s="3" t="s">
        <v>395</v>
      </c>
      <c r="AI154" s="1">
        <v>4</v>
      </c>
      <c r="AJ154" s="3" t="s">
        <v>165</v>
      </c>
      <c r="AK154" s="1" t="s">
        <v>191</v>
      </c>
      <c r="AL154" s="3">
        <v>96.708265968000006</v>
      </c>
      <c r="AM154" s="3">
        <v>96.669581967213006</v>
      </c>
      <c r="AN154" s="3">
        <v>241673.95</v>
      </c>
      <c r="AO154" s="3">
        <v>241673.95</v>
      </c>
      <c r="AP154" s="1" t="s">
        <v>164</v>
      </c>
      <c r="AQ154" s="1">
        <v>4</v>
      </c>
      <c r="AR154" s="1" t="s">
        <v>165</v>
      </c>
      <c r="AS154" s="3">
        <v>132534288.59999999</v>
      </c>
      <c r="AT154" s="1" t="s">
        <v>176</v>
      </c>
      <c r="AU154" s="1">
        <v>1</v>
      </c>
      <c r="AV154" s="1">
        <v>1</v>
      </c>
      <c r="AW154" s="3" t="s">
        <v>210</v>
      </c>
      <c r="AX154" s="3" t="s">
        <v>237</v>
      </c>
      <c r="AY154" s="1">
        <v>0</v>
      </c>
      <c r="BA154" s="3">
        <v>8205251.6799999997</v>
      </c>
      <c r="BB154" s="1">
        <v>1</v>
      </c>
      <c r="BD154" s="1" t="s">
        <v>971</v>
      </c>
      <c r="BE154" s="1">
        <v>1</v>
      </c>
      <c r="BF154" s="1">
        <v>1</v>
      </c>
      <c r="BG154" s="1" t="s">
        <v>168</v>
      </c>
      <c r="BH154" s="1">
        <v>0</v>
      </c>
      <c r="BI154" s="1">
        <v>31345322.399999999</v>
      </c>
      <c r="BJ154" s="1">
        <v>0</v>
      </c>
      <c r="BK154" s="1">
        <v>123618989.48999999</v>
      </c>
      <c r="BL154" s="1">
        <v>132456249.91</v>
      </c>
      <c r="BM154" s="1">
        <v>596150.00000000012</v>
      </c>
      <c r="BN154" s="1">
        <v>9219855.2300000004</v>
      </c>
      <c r="BO154" s="1">
        <v>23.664660909999998</v>
      </c>
      <c r="BP154" s="1">
        <v>0.45007313999999998</v>
      </c>
      <c r="BQ154" s="1">
        <v>6.9606796500000003</v>
      </c>
      <c r="BR154" s="1">
        <v>0.18245568000000001</v>
      </c>
      <c r="BS154" s="1" t="s">
        <v>169</v>
      </c>
      <c r="BT154" s="1" t="s">
        <v>169</v>
      </c>
      <c r="BU154" s="1">
        <v>26356083.120000001</v>
      </c>
      <c r="BV154" s="1">
        <v>0</v>
      </c>
      <c r="BW154" s="1">
        <v>-96.71</v>
      </c>
      <c r="BX154" s="1">
        <v>-0.04</v>
      </c>
      <c r="BY154" s="1" t="s">
        <v>170</v>
      </c>
      <c r="BZ154" s="1">
        <v>-78038.69</v>
      </c>
      <c r="CA154" s="1" t="s">
        <v>250</v>
      </c>
      <c r="CB154" s="1" t="s">
        <v>251</v>
      </c>
      <c r="CC154" s="1">
        <v>-13647.07</v>
      </c>
      <c r="CD154" s="1">
        <v>-13647.07</v>
      </c>
      <c r="CE154" s="1">
        <v>241770.66</v>
      </c>
      <c r="CF154" s="1">
        <v>241770.66</v>
      </c>
      <c r="CG154" s="1">
        <v>0</v>
      </c>
      <c r="CH154" s="1">
        <v>1.4438757900000001</v>
      </c>
      <c r="CI154" s="1">
        <v>13.27863496</v>
      </c>
      <c r="CJ154" s="1">
        <v>17588381.91</v>
      </c>
      <c r="CK154" s="1">
        <v>1912503.72</v>
      </c>
      <c r="CL154" s="1">
        <v>6269233.6699999999</v>
      </c>
      <c r="CM154" s="1" t="s">
        <v>164</v>
      </c>
      <c r="CN154" s="1" t="s">
        <v>164</v>
      </c>
      <c r="CO154" s="1" t="s">
        <v>184</v>
      </c>
      <c r="CP154" s="1" t="s">
        <v>243</v>
      </c>
      <c r="CQ154" s="3" t="s">
        <v>252</v>
      </c>
      <c r="CR154" s="1">
        <v>0</v>
      </c>
      <c r="CS154" s="1" t="s">
        <v>243</v>
      </c>
      <c r="CT154" s="1">
        <v>0.19549905000000001</v>
      </c>
      <c r="CV154" s="1">
        <v>0</v>
      </c>
      <c r="CW154" s="1">
        <v>-219173.26</v>
      </c>
      <c r="DA154" s="1">
        <v>1355558.46</v>
      </c>
      <c r="DB154" s="1">
        <v>0</v>
      </c>
      <c r="DC154" s="1">
        <v>2520.3126550000002</v>
      </c>
      <c r="DD154" s="1">
        <v>52555.483399999997</v>
      </c>
      <c r="DE154" s="1">
        <v>-296353.43</v>
      </c>
      <c r="DF154" s="1">
        <v>92570020.519999996</v>
      </c>
      <c r="DG154" s="1">
        <v>-96.71</v>
      </c>
      <c r="DH154" s="1">
        <v>394770.09</v>
      </c>
      <c r="DI154" s="1">
        <v>0.29803809999999997</v>
      </c>
      <c r="DK154" s="1">
        <v>0</v>
      </c>
      <c r="DL154" s="1">
        <v>0</v>
      </c>
      <c r="DM154" s="1">
        <v>-296353.43</v>
      </c>
      <c r="DN154" s="1">
        <v>0</v>
      </c>
      <c r="DO154" s="1">
        <v>0</v>
      </c>
      <c r="DP154" s="1">
        <v>16777215</v>
      </c>
      <c r="DQ154" s="1">
        <v>0</v>
      </c>
      <c r="DR154" s="1">
        <v>0</v>
      </c>
      <c r="DS154" s="1">
        <v>0</v>
      </c>
      <c r="DT154" s="1">
        <v>0</v>
      </c>
      <c r="DU154" s="1">
        <v>0</v>
      </c>
      <c r="DV154" s="1">
        <v>241673.95</v>
      </c>
      <c r="DW154" s="1">
        <v>241673.95</v>
      </c>
      <c r="DX154" s="1">
        <v>31345322.399999999</v>
      </c>
      <c r="DY154" s="1">
        <v>-1110160.2399999984</v>
      </c>
      <c r="DZ154" s="1">
        <v>92570020.519999966</v>
      </c>
      <c r="EA154" s="1">
        <v>0</v>
      </c>
      <c r="EB154" s="1">
        <v>0</v>
      </c>
      <c r="EC154" s="1" t="s">
        <v>176</v>
      </c>
      <c r="EE154" s="1">
        <v>0</v>
      </c>
      <c r="EF154" s="1">
        <v>3</v>
      </c>
      <c r="EG154" s="1">
        <v>0</v>
      </c>
      <c r="EH154" s="3">
        <v>0.26107151000000001</v>
      </c>
      <c r="EI154" s="1">
        <v>0</v>
      </c>
      <c r="EL154" s="1">
        <v>0</v>
      </c>
      <c r="EM154" s="1">
        <v>0</v>
      </c>
      <c r="EN154" s="1">
        <v>1633661.45</v>
      </c>
      <c r="EO154" s="1">
        <v>1.2333592799999999</v>
      </c>
      <c r="ER154" s="1">
        <v>96.673142076502998</v>
      </c>
      <c r="ES154" s="1">
        <v>1</v>
      </c>
      <c r="ET154" s="3">
        <v>4.3786043179999998</v>
      </c>
      <c r="EU154" s="3">
        <v>1.5354962560000001</v>
      </c>
      <c r="EV154" s="3">
        <v>1.4221424844420001</v>
      </c>
      <c r="EW154" s="3">
        <v>1.553424658</v>
      </c>
      <c r="EX154" s="3">
        <v>3.5882791999999997E-2</v>
      </c>
      <c r="EY154" s="3">
        <v>18</v>
      </c>
      <c r="EZ154" s="3">
        <v>567</v>
      </c>
      <c r="FA154" s="1">
        <v>0</v>
      </c>
      <c r="FB154" s="1">
        <v>0</v>
      </c>
      <c r="FC154" s="3">
        <v>-0.47314428800000002</v>
      </c>
      <c r="FD154" s="1">
        <v>0</v>
      </c>
      <c r="FE154" s="1">
        <v>0</v>
      </c>
    </row>
    <row r="155" spans="1:161" x14ac:dyDescent="0.3">
      <c r="A155" s="1">
        <v>16975352</v>
      </c>
      <c r="B155" s="1">
        <v>128</v>
      </c>
      <c r="C155" s="1">
        <v>8824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200</v>
      </c>
      <c r="J155" s="3">
        <v>200</v>
      </c>
      <c r="K155" s="1">
        <v>200000</v>
      </c>
      <c r="L155" s="1">
        <v>200000</v>
      </c>
      <c r="M155" s="1">
        <v>200000</v>
      </c>
      <c r="N155" s="3">
        <v>200000</v>
      </c>
      <c r="O155" s="1">
        <v>204248</v>
      </c>
      <c r="P155" s="1">
        <v>204248</v>
      </c>
      <c r="Q155" s="1">
        <v>204248</v>
      </c>
      <c r="R155" s="1">
        <v>204248</v>
      </c>
      <c r="S155" s="1">
        <v>200000</v>
      </c>
      <c r="T155" s="1">
        <v>200000</v>
      </c>
      <c r="U155" s="1">
        <v>200000</v>
      </c>
      <c r="V155" s="1">
        <v>200000</v>
      </c>
      <c r="W155" s="1">
        <v>0</v>
      </c>
      <c r="X155" s="1">
        <v>0</v>
      </c>
      <c r="Y155" s="1">
        <v>0</v>
      </c>
      <c r="Z155" s="1">
        <v>0</v>
      </c>
      <c r="AA155" s="1">
        <v>84.25</v>
      </c>
      <c r="AB155" s="1">
        <v>84.25</v>
      </c>
      <c r="AC155" s="1">
        <v>84.25</v>
      </c>
      <c r="AD155" s="1">
        <v>84.25</v>
      </c>
      <c r="AE155" s="3" t="s">
        <v>396</v>
      </c>
      <c r="AF155" s="3" t="s">
        <v>161</v>
      </c>
      <c r="AG155" s="1" t="s">
        <v>970</v>
      </c>
      <c r="AH155" s="3" t="s">
        <v>397</v>
      </c>
      <c r="AI155" s="1">
        <v>4</v>
      </c>
      <c r="AJ155" s="3" t="s">
        <v>165</v>
      </c>
      <c r="AK155" s="1" t="s">
        <v>191</v>
      </c>
      <c r="AL155" s="3">
        <v>97.413368630001997</v>
      </c>
      <c r="AM155" s="3">
        <v>97.403698630137995</v>
      </c>
      <c r="AN155" s="3">
        <v>194807.4</v>
      </c>
      <c r="AO155" s="3">
        <v>194807.4</v>
      </c>
      <c r="AP155" s="1" t="s">
        <v>164</v>
      </c>
      <c r="AQ155" s="1">
        <v>4</v>
      </c>
      <c r="AR155" s="1" t="s">
        <v>165</v>
      </c>
      <c r="AS155" s="3">
        <v>132534288.59999999</v>
      </c>
      <c r="AT155" s="1" t="s">
        <v>176</v>
      </c>
      <c r="AU155" s="1">
        <v>1</v>
      </c>
      <c r="AV155" s="1">
        <v>1</v>
      </c>
      <c r="AW155" s="3" t="s">
        <v>210</v>
      </c>
      <c r="AX155" s="3" t="s">
        <v>237</v>
      </c>
      <c r="AY155" s="1">
        <v>0</v>
      </c>
      <c r="BA155" s="3">
        <v>8205251.6799999997</v>
      </c>
      <c r="BB155" s="1">
        <v>1</v>
      </c>
      <c r="BD155" s="1" t="s">
        <v>971</v>
      </c>
      <c r="BE155" s="1">
        <v>1</v>
      </c>
      <c r="BF155" s="1">
        <v>1</v>
      </c>
      <c r="BG155" s="1" t="s">
        <v>168</v>
      </c>
      <c r="BH155" s="1">
        <v>0</v>
      </c>
      <c r="BI155" s="1">
        <v>31345322.399999999</v>
      </c>
      <c r="BJ155" s="1">
        <v>0</v>
      </c>
      <c r="BK155" s="1">
        <v>123618989.48999999</v>
      </c>
      <c r="BL155" s="1">
        <v>132456249.91</v>
      </c>
      <c r="BM155" s="1">
        <v>596150.00000000012</v>
      </c>
      <c r="BN155" s="1">
        <v>9219855.2300000004</v>
      </c>
      <c r="BO155" s="1">
        <v>23.664660909999998</v>
      </c>
      <c r="BP155" s="1">
        <v>0.45007313999999998</v>
      </c>
      <c r="BQ155" s="1">
        <v>6.9606796500000003</v>
      </c>
      <c r="BR155" s="1">
        <v>0.14707301</v>
      </c>
      <c r="BS155" s="1" t="s">
        <v>169</v>
      </c>
      <c r="BT155" s="1" t="s">
        <v>169</v>
      </c>
      <c r="BU155" s="1">
        <v>26356083.120000001</v>
      </c>
      <c r="BV155" s="1">
        <v>0</v>
      </c>
      <c r="BW155" s="1">
        <v>-19.34</v>
      </c>
      <c r="BX155" s="1">
        <v>-0.01</v>
      </c>
      <c r="BY155" s="1" t="s">
        <v>170</v>
      </c>
      <c r="BZ155" s="1">
        <v>-78038.69</v>
      </c>
      <c r="CA155" s="1" t="s">
        <v>250</v>
      </c>
      <c r="CB155" s="1" t="s">
        <v>251</v>
      </c>
      <c r="CC155" s="1">
        <v>-9505.51</v>
      </c>
      <c r="CD155" s="1">
        <v>-9505.51</v>
      </c>
      <c r="CE155" s="1">
        <v>194826.74</v>
      </c>
      <c r="CF155" s="1">
        <v>194826.74</v>
      </c>
      <c r="CG155" s="1">
        <v>0</v>
      </c>
      <c r="CH155" s="1">
        <v>1.4438757900000001</v>
      </c>
      <c r="CI155" s="1">
        <v>13.27863496</v>
      </c>
      <c r="CJ155" s="1">
        <v>17588381.91</v>
      </c>
      <c r="CK155" s="1">
        <v>1912503.72</v>
      </c>
      <c r="CL155" s="1">
        <v>6269233.6699999999</v>
      </c>
      <c r="CM155" s="1" t="s">
        <v>164</v>
      </c>
      <c r="CN155" s="1" t="s">
        <v>164</v>
      </c>
      <c r="CO155" s="1" t="s">
        <v>184</v>
      </c>
      <c r="CP155" s="1" t="s">
        <v>243</v>
      </c>
      <c r="CQ155" s="3" t="s">
        <v>252</v>
      </c>
      <c r="CR155" s="1">
        <v>0</v>
      </c>
      <c r="CS155" s="1" t="s">
        <v>243</v>
      </c>
      <c r="CT155" s="1">
        <v>0.15758695</v>
      </c>
      <c r="CV155" s="1">
        <v>0</v>
      </c>
      <c r="CW155" s="1">
        <v>-219173.26</v>
      </c>
      <c r="DA155" s="1">
        <v>1355558.46</v>
      </c>
      <c r="DB155" s="1">
        <v>0</v>
      </c>
      <c r="DC155" s="1">
        <v>2520.3126550000002</v>
      </c>
      <c r="DD155" s="1">
        <v>52555.483399999997</v>
      </c>
      <c r="DE155" s="1">
        <v>-296353.43</v>
      </c>
      <c r="DF155" s="1">
        <v>92570020.519999996</v>
      </c>
      <c r="DG155" s="1">
        <v>-19.34</v>
      </c>
      <c r="DH155" s="1">
        <v>394770.09</v>
      </c>
      <c r="DI155" s="1">
        <v>0.29803809999999997</v>
      </c>
      <c r="DK155" s="1">
        <v>0</v>
      </c>
      <c r="DL155" s="1">
        <v>0</v>
      </c>
      <c r="DM155" s="1">
        <v>-296353.43</v>
      </c>
      <c r="DN155" s="1">
        <v>0</v>
      </c>
      <c r="DO155" s="1">
        <v>0</v>
      </c>
      <c r="DP155" s="1">
        <v>16777215</v>
      </c>
      <c r="DQ155" s="1">
        <v>0</v>
      </c>
      <c r="DR155" s="1">
        <v>0</v>
      </c>
      <c r="DS155" s="1">
        <v>0</v>
      </c>
      <c r="DT155" s="1">
        <v>0</v>
      </c>
      <c r="DU155" s="1">
        <v>0</v>
      </c>
      <c r="DV155" s="1">
        <v>194807.4</v>
      </c>
      <c r="DW155" s="1">
        <v>194807.4</v>
      </c>
      <c r="DX155" s="1">
        <v>31345322.399999999</v>
      </c>
      <c r="DY155" s="1">
        <v>-1110160.2399999984</v>
      </c>
      <c r="DZ155" s="1">
        <v>92570020.519999966</v>
      </c>
      <c r="EA155" s="1">
        <v>0</v>
      </c>
      <c r="EB155" s="1">
        <v>0</v>
      </c>
      <c r="EC155" s="1" t="s">
        <v>176</v>
      </c>
      <c r="EE155" s="1">
        <v>0</v>
      </c>
      <c r="EF155" s="1">
        <v>3</v>
      </c>
      <c r="EG155" s="1">
        <v>0</v>
      </c>
      <c r="EH155" s="3">
        <v>0.21044329000000001</v>
      </c>
      <c r="EI155" s="1">
        <v>0</v>
      </c>
      <c r="EL155" s="1">
        <v>0</v>
      </c>
      <c r="EM155" s="1">
        <v>0</v>
      </c>
      <c r="EN155" s="1">
        <v>1633661.45</v>
      </c>
      <c r="EO155" s="1">
        <v>1.2333592799999999</v>
      </c>
      <c r="ER155" s="1">
        <v>97.402589041094998</v>
      </c>
      <c r="ES155" s="1">
        <v>1</v>
      </c>
      <c r="ET155" s="3">
        <v>5.4908081160000002</v>
      </c>
      <c r="EU155" s="3">
        <v>1.0449235079999999</v>
      </c>
      <c r="EV155" s="3">
        <v>0.964806857111</v>
      </c>
      <c r="EW155" s="3">
        <v>1.0630136990000001</v>
      </c>
      <c r="EX155" s="3">
        <v>1.9337198E-2</v>
      </c>
      <c r="EY155" s="3">
        <v>12</v>
      </c>
      <c r="EZ155" s="3">
        <v>388</v>
      </c>
      <c r="FA155" s="1">
        <v>0</v>
      </c>
      <c r="FB155" s="1">
        <v>0</v>
      </c>
      <c r="FC155" s="3">
        <v>0.82017775999999998</v>
      </c>
      <c r="FD155" s="1">
        <v>0</v>
      </c>
      <c r="FE155" s="1">
        <v>0</v>
      </c>
    </row>
    <row r="156" spans="1:161" x14ac:dyDescent="0.3">
      <c r="A156" s="1">
        <v>16975483</v>
      </c>
      <c r="B156" s="1">
        <v>128</v>
      </c>
      <c r="C156" s="1">
        <v>7395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500</v>
      </c>
      <c r="J156" s="3">
        <v>500</v>
      </c>
      <c r="K156" s="1">
        <v>500000</v>
      </c>
      <c r="L156" s="1">
        <v>500000</v>
      </c>
      <c r="M156" s="1">
        <v>500000</v>
      </c>
      <c r="N156" s="3">
        <v>500000</v>
      </c>
      <c r="O156" s="1">
        <v>510156.67</v>
      </c>
      <c r="P156" s="1">
        <v>510156.67</v>
      </c>
      <c r="Q156" s="1">
        <v>510156.67</v>
      </c>
      <c r="R156" s="1">
        <v>510156.67</v>
      </c>
      <c r="S156" s="1">
        <v>500000</v>
      </c>
      <c r="T156" s="1">
        <v>500000</v>
      </c>
      <c r="U156" s="1">
        <v>500000</v>
      </c>
      <c r="V156" s="1">
        <v>500000</v>
      </c>
      <c r="W156" s="1">
        <v>0</v>
      </c>
      <c r="X156" s="1">
        <v>0</v>
      </c>
      <c r="Y156" s="1">
        <v>0</v>
      </c>
      <c r="Z156" s="1">
        <v>0</v>
      </c>
      <c r="AA156" s="1">
        <v>-1145.0899999999999</v>
      </c>
      <c r="AB156" s="1">
        <v>-1145.0899999999999</v>
      </c>
      <c r="AC156" s="1">
        <v>-1145.0899999999999</v>
      </c>
      <c r="AD156" s="1">
        <v>-1145.0899999999999</v>
      </c>
      <c r="AE156" s="3" t="s">
        <v>398</v>
      </c>
      <c r="AF156" s="3" t="s">
        <v>161</v>
      </c>
      <c r="AG156" s="1" t="s">
        <v>970</v>
      </c>
      <c r="AH156" s="3" t="s">
        <v>399</v>
      </c>
      <c r="AI156" s="1">
        <v>4</v>
      </c>
      <c r="AJ156" s="3" t="s">
        <v>165</v>
      </c>
      <c r="AK156" s="1" t="s">
        <v>191</v>
      </c>
      <c r="AL156" s="3">
        <v>96.357260438650002</v>
      </c>
      <c r="AM156" s="3">
        <v>96.292616438356006</v>
      </c>
      <c r="AN156" s="3">
        <v>481463.08</v>
      </c>
      <c r="AO156" s="3">
        <v>481463.08</v>
      </c>
      <c r="AP156" s="1" t="s">
        <v>164</v>
      </c>
      <c r="AQ156" s="1">
        <v>4</v>
      </c>
      <c r="AR156" s="1" t="s">
        <v>165</v>
      </c>
      <c r="AS156" s="3">
        <v>132534288.59999999</v>
      </c>
      <c r="AT156" s="1" t="s">
        <v>176</v>
      </c>
      <c r="AU156" s="1">
        <v>1</v>
      </c>
      <c r="AV156" s="1">
        <v>1</v>
      </c>
      <c r="AW156" s="3" t="s">
        <v>210</v>
      </c>
      <c r="AX156" s="3" t="s">
        <v>237</v>
      </c>
      <c r="AY156" s="1">
        <v>0</v>
      </c>
      <c r="BA156" s="3">
        <v>8205251.6799999997</v>
      </c>
      <c r="BB156" s="1">
        <v>1</v>
      </c>
      <c r="BD156" s="1" t="s">
        <v>971</v>
      </c>
      <c r="BE156" s="1">
        <v>1</v>
      </c>
      <c r="BF156" s="1">
        <v>1</v>
      </c>
      <c r="BG156" s="1" t="s">
        <v>168</v>
      </c>
      <c r="BH156" s="1">
        <v>0</v>
      </c>
      <c r="BI156" s="1">
        <v>31345322.399999999</v>
      </c>
      <c r="BJ156" s="1">
        <v>0</v>
      </c>
      <c r="BK156" s="1">
        <v>123618989.48999999</v>
      </c>
      <c r="BL156" s="1">
        <v>132456249.91</v>
      </c>
      <c r="BM156" s="1">
        <v>596150.00000000012</v>
      </c>
      <c r="BN156" s="1">
        <v>9219855.2300000004</v>
      </c>
      <c r="BO156" s="1">
        <v>23.664660909999998</v>
      </c>
      <c r="BP156" s="1">
        <v>0.45007313999999998</v>
      </c>
      <c r="BQ156" s="1">
        <v>6.9606796500000003</v>
      </c>
      <c r="BR156" s="1">
        <v>0.36348838</v>
      </c>
      <c r="BS156" s="1" t="s">
        <v>169</v>
      </c>
      <c r="BT156" s="1" t="s">
        <v>169</v>
      </c>
      <c r="BU156" s="1">
        <v>26356083.120000001</v>
      </c>
      <c r="BV156" s="1">
        <v>0</v>
      </c>
      <c r="BW156" s="1">
        <v>-323.22000000000003</v>
      </c>
      <c r="BX156" s="1">
        <v>-0.06</v>
      </c>
      <c r="BY156" s="1" t="s">
        <v>170</v>
      </c>
      <c r="BZ156" s="1">
        <v>-78038.69</v>
      </c>
      <c r="CA156" s="1" t="s">
        <v>250</v>
      </c>
      <c r="CB156" s="1" t="s">
        <v>251</v>
      </c>
      <c r="CC156" s="1">
        <v>-27225.279999999999</v>
      </c>
      <c r="CD156" s="1">
        <v>-27225.279999999999</v>
      </c>
      <c r="CE156" s="1">
        <v>481786.3</v>
      </c>
      <c r="CF156" s="1">
        <v>481786.3</v>
      </c>
      <c r="CG156" s="1">
        <v>0</v>
      </c>
      <c r="CH156" s="1">
        <v>1.4438757900000001</v>
      </c>
      <c r="CI156" s="1">
        <v>13.27863496</v>
      </c>
      <c r="CJ156" s="1">
        <v>17588381.91</v>
      </c>
      <c r="CK156" s="1">
        <v>1912503.72</v>
      </c>
      <c r="CL156" s="1">
        <v>6269233.6699999999</v>
      </c>
      <c r="CM156" s="1" t="s">
        <v>164</v>
      </c>
      <c r="CN156" s="1" t="s">
        <v>164</v>
      </c>
      <c r="CO156" s="1" t="s">
        <v>184</v>
      </c>
      <c r="CP156" s="1" t="s">
        <v>243</v>
      </c>
      <c r="CQ156" s="3" t="s">
        <v>252</v>
      </c>
      <c r="CR156" s="1">
        <v>0</v>
      </c>
      <c r="CS156" s="1" t="s">
        <v>243</v>
      </c>
      <c r="CT156" s="1">
        <v>0.38947340000000003</v>
      </c>
      <c r="CV156" s="1">
        <v>0</v>
      </c>
      <c r="CW156" s="1">
        <v>-219173.26</v>
      </c>
      <c r="DA156" s="1">
        <v>1355558.46</v>
      </c>
      <c r="DB156" s="1">
        <v>0</v>
      </c>
      <c r="DC156" s="1">
        <v>2520.3126550000002</v>
      </c>
      <c r="DD156" s="1">
        <v>52555.483399999997</v>
      </c>
      <c r="DE156" s="1">
        <v>-296353.43</v>
      </c>
      <c r="DF156" s="1">
        <v>92570020.519999996</v>
      </c>
      <c r="DG156" s="1">
        <v>-323.22000000000003</v>
      </c>
      <c r="DH156" s="1">
        <v>394770.09</v>
      </c>
      <c r="DI156" s="1">
        <v>0.29803809999999997</v>
      </c>
      <c r="DK156" s="1">
        <v>0</v>
      </c>
      <c r="DL156" s="1">
        <v>0</v>
      </c>
      <c r="DM156" s="1">
        <v>-296353.43</v>
      </c>
      <c r="DN156" s="1">
        <v>0</v>
      </c>
      <c r="DO156" s="1">
        <v>0</v>
      </c>
      <c r="DP156" s="1">
        <v>16777215</v>
      </c>
      <c r="DQ156" s="1">
        <v>0</v>
      </c>
      <c r="DR156" s="1">
        <v>0</v>
      </c>
      <c r="DS156" s="1">
        <v>0</v>
      </c>
      <c r="DT156" s="1">
        <v>0</v>
      </c>
      <c r="DU156" s="1">
        <v>0</v>
      </c>
      <c r="DV156" s="1">
        <v>481463.08</v>
      </c>
      <c r="DW156" s="1">
        <v>481463.08</v>
      </c>
      <c r="DX156" s="1">
        <v>31345322.399999999</v>
      </c>
      <c r="DY156" s="1">
        <v>-1110160.2399999984</v>
      </c>
      <c r="DZ156" s="1">
        <v>92570020.519999966</v>
      </c>
      <c r="EA156" s="1">
        <v>0</v>
      </c>
      <c r="EB156" s="1">
        <v>0</v>
      </c>
      <c r="EC156" s="1" t="s">
        <v>176</v>
      </c>
      <c r="EE156" s="1">
        <v>0</v>
      </c>
      <c r="EF156" s="1">
        <v>3</v>
      </c>
      <c r="EG156" s="1">
        <v>0</v>
      </c>
      <c r="EH156" s="3">
        <v>0.52010692000000003</v>
      </c>
      <c r="EI156" s="1">
        <v>0</v>
      </c>
      <c r="EL156" s="1">
        <v>0</v>
      </c>
      <c r="EM156" s="1">
        <v>0</v>
      </c>
      <c r="EN156" s="1">
        <v>1633661.45</v>
      </c>
      <c r="EO156" s="1">
        <v>1.2333592799999999</v>
      </c>
      <c r="ER156" s="1">
        <v>96.360164383561994</v>
      </c>
      <c r="ES156" s="1">
        <v>1</v>
      </c>
      <c r="ET156" s="3">
        <v>5.1907669109999999</v>
      </c>
      <c r="EU156" s="3">
        <v>1.3642799839999999</v>
      </c>
      <c r="EV156" s="3">
        <v>1.2497507856250001</v>
      </c>
      <c r="EW156" s="3">
        <v>1.383561644</v>
      </c>
      <c r="EX156" s="3">
        <v>2.9297601999999999E-2</v>
      </c>
      <c r="EY156" s="3">
        <v>16</v>
      </c>
      <c r="EZ156" s="3">
        <v>505</v>
      </c>
      <c r="FA156" s="1">
        <v>0</v>
      </c>
      <c r="FB156" s="1">
        <v>0</v>
      </c>
      <c r="FC156" s="3">
        <v>0.87362048299999995</v>
      </c>
      <c r="FD156" s="1">
        <v>0</v>
      </c>
      <c r="FE156" s="1">
        <v>0</v>
      </c>
    </row>
    <row r="157" spans="1:161" x14ac:dyDescent="0.3">
      <c r="A157" s="1">
        <v>16975539</v>
      </c>
      <c r="B157" s="1">
        <v>128</v>
      </c>
      <c r="C157" s="1">
        <v>7399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900</v>
      </c>
      <c r="J157" s="3">
        <v>900</v>
      </c>
      <c r="K157" s="1">
        <v>900000</v>
      </c>
      <c r="L157" s="1">
        <v>900000</v>
      </c>
      <c r="M157" s="1">
        <v>900000</v>
      </c>
      <c r="N157" s="3">
        <v>900000</v>
      </c>
      <c r="O157" s="1">
        <v>890460</v>
      </c>
      <c r="P157" s="1">
        <v>890460</v>
      </c>
      <c r="Q157" s="1">
        <v>890460</v>
      </c>
      <c r="R157" s="1">
        <v>890460</v>
      </c>
      <c r="S157" s="1">
        <v>900000</v>
      </c>
      <c r="T157" s="1">
        <v>900000</v>
      </c>
      <c r="U157" s="1">
        <v>900000</v>
      </c>
      <c r="V157" s="1">
        <v>900000</v>
      </c>
      <c r="W157" s="1">
        <v>0</v>
      </c>
      <c r="X157" s="1">
        <v>0</v>
      </c>
      <c r="Y157" s="1">
        <v>0</v>
      </c>
      <c r="Z157" s="1">
        <v>0</v>
      </c>
      <c r="AA157" s="1">
        <v>7793.34</v>
      </c>
      <c r="AB157" s="1">
        <v>7793.34</v>
      </c>
      <c r="AC157" s="1">
        <v>7793.34</v>
      </c>
      <c r="AD157" s="1">
        <v>7793.34</v>
      </c>
      <c r="AE157" s="3" t="s">
        <v>400</v>
      </c>
      <c r="AF157" s="3" t="s">
        <v>161</v>
      </c>
      <c r="AG157" s="1" t="s">
        <v>970</v>
      </c>
      <c r="AH157" s="3" t="s">
        <v>401</v>
      </c>
      <c r="AI157" s="1">
        <v>4</v>
      </c>
      <c r="AJ157" s="3" t="s">
        <v>165</v>
      </c>
      <c r="AK157" s="1" t="s">
        <v>191</v>
      </c>
      <c r="AL157" s="3">
        <v>97.390694571913997</v>
      </c>
      <c r="AM157" s="3">
        <v>97.417292349727006</v>
      </c>
      <c r="AN157" s="3">
        <v>876755.63</v>
      </c>
      <c r="AO157" s="3">
        <v>876755.63</v>
      </c>
      <c r="AP157" s="1" t="s">
        <v>164</v>
      </c>
      <c r="AQ157" s="1">
        <v>4</v>
      </c>
      <c r="AR157" s="1" t="s">
        <v>165</v>
      </c>
      <c r="AS157" s="3">
        <v>132534288.59999999</v>
      </c>
      <c r="AT157" s="1" t="s">
        <v>176</v>
      </c>
      <c r="AU157" s="1">
        <v>1</v>
      </c>
      <c r="AV157" s="1">
        <v>1</v>
      </c>
      <c r="AW157" s="3" t="s">
        <v>210</v>
      </c>
      <c r="AX157" s="3" t="s">
        <v>237</v>
      </c>
      <c r="AY157" s="1">
        <v>0</v>
      </c>
      <c r="BA157" s="3">
        <v>8205251.6799999997</v>
      </c>
      <c r="BB157" s="1">
        <v>1</v>
      </c>
      <c r="BD157" s="1" t="s">
        <v>971</v>
      </c>
      <c r="BE157" s="1">
        <v>1</v>
      </c>
      <c r="BF157" s="1">
        <v>1</v>
      </c>
      <c r="BG157" s="1" t="s">
        <v>168</v>
      </c>
      <c r="BH157" s="1">
        <v>0</v>
      </c>
      <c r="BI157" s="1">
        <v>31345322.399999999</v>
      </c>
      <c r="BJ157" s="1">
        <v>0</v>
      </c>
      <c r="BK157" s="1">
        <v>123618989.48999999</v>
      </c>
      <c r="BL157" s="1">
        <v>132456249.91</v>
      </c>
      <c r="BM157" s="1">
        <v>596150.00000000012</v>
      </c>
      <c r="BN157" s="1">
        <v>9219855.2300000004</v>
      </c>
      <c r="BO157" s="1">
        <v>23.664660909999998</v>
      </c>
      <c r="BP157" s="1">
        <v>0.45007313999999998</v>
      </c>
      <c r="BQ157" s="1">
        <v>6.9606796500000003</v>
      </c>
      <c r="BR157" s="1">
        <v>0.66192092000000002</v>
      </c>
      <c r="BS157" s="1" t="s">
        <v>169</v>
      </c>
      <c r="BT157" s="1" t="s">
        <v>169</v>
      </c>
      <c r="BU157" s="1">
        <v>26356083.120000001</v>
      </c>
      <c r="BV157" s="1">
        <v>0</v>
      </c>
      <c r="BW157" s="1">
        <v>239.38</v>
      </c>
      <c r="BX157" s="1">
        <v>0.03</v>
      </c>
      <c r="BY157" s="1" t="s">
        <v>170</v>
      </c>
      <c r="BZ157" s="1">
        <v>-78038.69</v>
      </c>
      <c r="CA157" s="1" t="s">
        <v>250</v>
      </c>
      <c r="CB157" s="1" t="s">
        <v>251</v>
      </c>
      <c r="CC157" s="1">
        <v>-21737.09</v>
      </c>
      <c r="CD157" s="1">
        <v>-21737.09</v>
      </c>
      <c r="CE157" s="1">
        <v>876516.25</v>
      </c>
      <c r="CF157" s="1">
        <v>876516.25</v>
      </c>
      <c r="CG157" s="1">
        <v>0</v>
      </c>
      <c r="CH157" s="1">
        <v>1.4438757900000001</v>
      </c>
      <c r="CI157" s="1">
        <v>13.27863496</v>
      </c>
      <c r="CJ157" s="1">
        <v>17588381.91</v>
      </c>
      <c r="CK157" s="1">
        <v>1912503.72</v>
      </c>
      <c r="CL157" s="1">
        <v>6269233.6699999999</v>
      </c>
      <c r="CM157" s="1" t="s">
        <v>164</v>
      </c>
      <c r="CN157" s="1" t="s">
        <v>164</v>
      </c>
      <c r="CO157" s="1" t="s">
        <v>184</v>
      </c>
      <c r="CP157" s="1" t="s">
        <v>243</v>
      </c>
      <c r="CQ157" s="3" t="s">
        <v>252</v>
      </c>
      <c r="CR157" s="1">
        <v>0</v>
      </c>
      <c r="CS157" s="1" t="s">
        <v>243</v>
      </c>
      <c r="CT157" s="1">
        <v>0.70924025000000002</v>
      </c>
      <c r="CV157" s="1">
        <v>0</v>
      </c>
      <c r="CW157" s="1">
        <v>-219173.26</v>
      </c>
      <c r="DA157" s="1">
        <v>1355558.46</v>
      </c>
      <c r="DB157" s="1">
        <v>0</v>
      </c>
      <c r="DC157" s="1">
        <v>2520.3126550000002</v>
      </c>
      <c r="DD157" s="1">
        <v>52555.483399999997</v>
      </c>
      <c r="DE157" s="1">
        <v>-296353.43</v>
      </c>
      <c r="DF157" s="1">
        <v>92570020.519999996</v>
      </c>
      <c r="DG157" s="1">
        <v>239.38</v>
      </c>
      <c r="DH157" s="1">
        <v>394770.09</v>
      </c>
      <c r="DI157" s="1">
        <v>0.29803809999999997</v>
      </c>
      <c r="DK157" s="1">
        <v>0</v>
      </c>
      <c r="DL157" s="1">
        <v>0</v>
      </c>
      <c r="DM157" s="1">
        <v>-296353.43</v>
      </c>
      <c r="DN157" s="1">
        <v>0</v>
      </c>
      <c r="DO157" s="1">
        <v>0</v>
      </c>
      <c r="DP157" s="1">
        <v>16777215</v>
      </c>
      <c r="DQ157" s="1">
        <v>0</v>
      </c>
      <c r="DR157" s="1">
        <v>0</v>
      </c>
      <c r="DS157" s="1">
        <v>0</v>
      </c>
      <c r="DT157" s="1">
        <v>0</v>
      </c>
      <c r="DU157" s="1">
        <v>0</v>
      </c>
      <c r="DV157" s="1">
        <v>876755.63</v>
      </c>
      <c r="DW157" s="1">
        <v>876755.63</v>
      </c>
      <c r="DX157" s="1">
        <v>31345322.399999999</v>
      </c>
      <c r="DY157" s="1">
        <v>-1110160.2399999984</v>
      </c>
      <c r="DZ157" s="1">
        <v>92570020.519999966</v>
      </c>
      <c r="EA157" s="1">
        <v>0</v>
      </c>
      <c r="EB157" s="1">
        <v>0</v>
      </c>
      <c r="EC157" s="1" t="s">
        <v>176</v>
      </c>
      <c r="EE157" s="1">
        <v>0</v>
      </c>
      <c r="EF157" s="1">
        <v>3</v>
      </c>
      <c r="EG157" s="1">
        <v>0</v>
      </c>
      <c r="EH157" s="3">
        <v>0.94712697000000001</v>
      </c>
      <c r="EI157" s="1">
        <v>0</v>
      </c>
      <c r="EL157" s="1">
        <v>0</v>
      </c>
      <c r="EM157" s="1">
        <v>0</v>
      </c>
      <c r="EN157" s="1">
        <v>1633661.45</v>
      </c>
      <c r="EO157" s="1">
        <v>1.2333592799999999</v>
      </c>
      <c r="ER157" s="1">
        <v>97.397926229508002</v>
      </c>
      <c r="ES157" s="1">
        <v>1</v>
      </c>
      <c r="ET157" s="3">
        <v>5.0930404210000004</v>
      </c>
      <c r="EU157" s="3">
        <v>0.63114754100000003</v>
      </c>
      <c r="EV157" s="3">
        <v>0.58493370650900001</v>
      </c>
      <c r="EW157" s="3">
        <v>0.63287671199999995</v>
      </c>
      <c r="EX157" s="3">
        <v>9.3212940000000008E-3</v>
      </c>
      <c r="EY157" s="3">
        <v>7</v>
      </c>
      <c r="EZ157" s="3">
        <v>231</v>
      </c>
      <c r="FA157" s="1">
        <v>0</v>
      </c>
      <c r="FB157" s="1">
        <v>0</v>
      </c>
      <c r="FC157" s="3">
        <v>2.5096536619999998</v>
      </c>
      <c r="FD157" s="1">
        <v>0</v>
      </c>
      <c r="FE157" s="1">
        <v>0</v>
      </c>
    </row>
    <row r="158" spans="1:161" x14ac:dyDescent="0.3">
      <c r="A158" s="1">
        <v>16975351</v>
      </c>
      <c r="B158" s="1">
        <v>128</v>
      </c>
      <c r="C158" s="1">
        <v>8972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200</v>
      </c>
      <c r="J158" s="3">
        <v>200</v>
      </c>
      <c r="K158" s="1">
        <v>200000</v>
      </c>
      <c r="L158" s="1">
        <v>200000</v>
      </c>
      <c r="M158" s="1">
        <v>200000</v>
      </c>
      <c r="N158" s="3">
        <v>200000</v>
      </c>
      <c r="O158" s="1">
        <v>199132</v>
      </c>
      <c r="P158" s="1">
        <v>199132</v>
      </c>
      <c r="Q158" s="1">
        <v>199132</v>
      </c>
      <c r="R158" s="1">
        <v>199132</v>
      </c>
      <c r="S158" s="1">
        <v>200000</v>
      </c>
      <c r="T158" s="1">
        <v>200000</v>
      </c>
      <c r="U158" s="1">
        <v>200000</v>
      </c>
      <c r="V158" s="1">
        <v>200000</v>
      </c>
      <c r="W158" s="1">
        <v>0</v>
      </c>
      <c r="X158" s="1">
        <v>0</v>
      </c>
      <c r="Y158" s="1">
        <v>0</v>
      </c>
      <c r="Z158" s="1">
        <v>0</v>
      </c>
      <c r="AA158" s="1">
        <v>794.33</v>
      </c>
      <c r="AB158" s="1">
        <v>794.33</v>
      </c>
      <c r="AC158" s="1">
        <v>794.33</v>
      </c>
      <c r="AD158" s="1">
        <v>794.33</v>
      </c>
      <c r="AE158" s="3" t="s">
        <v>402</v>
      </c>
      <c r="AF158" s="3" t="s">
        <v>161</v>
      </c>
      <c r="AG158" s="1" t="s">
        <v>970</v>
      </c>
      <c r="AH158" s="3" t="s">
        <v>403</v>
      </c>
      <c r="AI158" s="1">
        <v>4</v>
      </c>
      <c r="AJ158" s="3" t="s">
        <v>165</v>
      </c>
      <c r="AK158" s="1" t="s">
        <v>191</v>
      </c>
      <c r="AL158" s="3">
        <v>92.741195491837004</v>
      </c>
      <c r="AM158" s="3">
        <v>92.734770491803005</v>
      </c>
      <c r="AN158" s="3">
        <v>185469.54</v>
      </c>
      <c r="AO158" s="3">
        <v>185469.54</v>
      </c>
      <c r="AP158" s="1" t="s">
        <v>164</v>
      </c>
      <c r="AQ158" s="1">
        <v>4</v>
      </c>
      <c r="AR158" s="1" t="s">
        <v>165</v>
      </c>
      <c r="AS158" s="3">
        <v>132534288.59999999</v>
      </c>
      <c r="AT158" s="1" t="s">
        <v>176</v>
      </c>
      <c r="AU158" s="1">
        <v>1</v>
      </c>
      <c r="AV158" s="1">
        <v>1</v>
      </c>
      <c r="AW158" s="3" t="s">
        <v>210</v>
      </c>
      <c r="AX158" s="3" t="s">
        <v>237</v>
      </c>
      <c r="AY158" s="1">
        <v>0</v>
      </c>
      <c r="BA158" s="3">
        <v>8205251.6799999997</v>
      </c>
      <c r="BB158" s="1">
        <v>1</v>
      </c>
      <c r="BD158" s="1" t="s">
        <v>971</v>
      </c>
      <c r="BE158" s="1">
        <v>1</v>
      </c>
      <c r="BF158" s="1">
        <v>1</v>
      </c>
      <c r="BG158" s="1" t="s">
        <v>168</v>
      </c>
      <c r="BH158" s="1">
        <v>0</v>
      </c>
      <c r="BI158" s="1">
        <v>31345322.399999999</v>
      </c>
      <c r="BJ158" s="1">
        <v>0</v>
      </c>
      <c r="BK158" s="1">
        <v>123618989.48999999</v>
      </c>
      <c r="BL158" s="1">
        <v>132456249.91</v>
      </c>
      <c r="BM158" s="1">
        <v>596150.00000000012</v>
      </c>
      <c r="BN158" s="1">
        <v>9219855.2300000004</v>
      </c>
      <c r="BO158" s="1">
        <v>23.664660909999998</v>
      </c>
      <c r="BP158" s="1">
        <v>0.45007313999999998</v>
      </c>
      <c r="BQ158" s="1">
        <v>6.9606796500000003</v>
      </c>
      <c r="BR158" s="1">
        <v>0.14002324999999999</v>
      </c>
      <c r="BS158" s="1" t="s">
        <v>169</v>
      </c>
      <c r="BT158" s="1" t="s">
        <v>169</v>
      </c>
      <c r="BU158" s="1">
        <v>26356083.120000001</v>
      </c>
      <c r="BV158" s="1">
        <v>0</v>
      </c>
      <c r="BW158" s="1">
        <v>-12.85</v>
      </c>
      <c r="BX158" s="1">
        <v>-0.01</v>
      </c>
      <c r="BY158" s="1" t="s">
        <v>170</v>
      </c>
      <c r="BZ158" s="1">
        <v>-78038.69</v>
      </c>
      <c r="CA158" s="1" t="s">
        <v>250</v>
      </c>
      <c r="CB158" s="1" t="s">
        <v>251</v>
      </c>
      <c r="CC158" s="1">
        <v>-14443.94</v>
      </c>
      <c r="CD158" s="1">
        <v>-14443.94</v>
      </c>
      <c r="CE158" s="1">
        <v>185482.39</v>
      </c>
      <c r="CF158" s="1">
        <v>185482.39</v>
      </c>
      <c r="CG158" s="1">
        <v>0</v>
      </c>
      <c r="CH158" s="1">
        <v>1.4438757900000001</v>
      </c>
      <c r="CI158" s="1">
        <v>13.27863496</v>
      </c>
      <c r="CJ158" s="1">
        <v>17588381.91</v>
      </c>
      <c r="CK158" s="1">
        <v>1912503.72</v>
      </c>
      <c r="CL158" s="1">
        <v>6269233.6699999999</v>
      </c>
      <c r="CM158" s="1" t="s">
        <v>164</v>
      </c>
      <c r="CN158" s="1" t="s">
        <v>164</v>
      </c>
      <c r="CO158" s="1" t="s">
        <v>184</v>
      </c>
      <c r="CP158" s="1" t="s">
        <v>243</v>
      </c>
      <c r="CQ158" s="3" t="s">
        <v>252</v>
      </c>
      <c r="CR158" s="1">
        <v>0</v>
      </c>
      <c r="CS158" s="1" t="s">
        <v>243</v>
      </c>
      <c r="CT158" s="1">
        <v>0.15003321</v>
      </c>
      <c r="CV158" s="1">
        <v>0</v>
      </c>
      <c r="CW158" s="1">
        <v>-219173.26</v>
      </c>
      <c r="DA158" s="1">
        <v>1355558.46</v>
      </c>
      <c r="DB158" s="1">
        <v>0</v>
      </c>
      <c r="DC158" s="1">
        <v>2520.3126550000002</v>
      </c>
      <c r="DD158" s="1">
        <v>52555.483399999997</v>
      </c>
      <c r="DE158" s="1">
        <v>-296353.43</v>
      </c>
      <c r="DF158" s="1">
        <v>92570020.519999996</v>
      </c>
      <c r="DG158" s="1">
        <v>-12.85</v>
      </c>
      <c r="DH158" s="1">
        <v>394770.09</v>
      </c>
      <c r="DI158" s="1">
        <v>0.29803809999999997</v>
      </c>
      <c r="DK158" s="1">
        <v>0</v>
      </c>
      <c r="DL158" s="1">
        <v>0</v>
      </c>
      <c r="DM158" s="1">
        <v>-296353.43</v>
      </c>
      <c r="DN158" s="1">
        <v>0</v>
      </c>
      <c r="DO158" s="1">
        <v>0</v>
      </c>
      <c r="DP158" s="1">
        <v>16777215</v>
      </c>
      <c r="DQ158" s="1">
        <v>0</v>
      </c>
      <c r="DR158" s="1">
        <v>0</v>
      </c>
      <c r="DS158" s="1">
        <v>0</v>
      </c>
      <c r="DT158" s="1">
        <v>0</v>
      </c>
      <c r="DU158" s="1">
        <v>0</v>
      </c>
      <c r="DV158" s="1">
        <v>185469.54</v>
      </c>
      <c r="DW158" s="1">
        <v>185469.54</v>
      </c>
      <c r="DX158" s="1">
        <v>31345322.399999999</v>
      </c>
      <c r="DY158" s="1">
        <v>-1110160.2399999984</v>
      </c>
      <c r="DZ158" s="1">
        <v>92570020.519999966</v>
      </c>
      <c r="EA158" s="1">
        <v>0</v>
      </c>
      <c r="EB158" s="1">
        <v>0</v>
      </c>
      <c r="EC158" s="1" t="s">
        <v>176</v>
      </c>
      <c r="EE158" s="1">
        <v>0</v>
      </c>
      <c r="EF158" s="1">
        <v>3</v>
      </c>
      <c r="EG158" s="1">
        <v>0</v>
      </c>
      <c r="EH158" s="3">
        <v>0.20035595</v>
      </c>
      <c r="EI158" s="1">
        <v>0</v>
      </c>
      <c r="EL158" s="1">
        <v>0</v>
      </c>
      <c r="EM158" s="1">
        <v>0</v>
      </c>
      <c r="EN158" s="1">
        <v>1633661.45</v>
      </c>
      <c r="EO158" s="1">
        <v>1.2333592799999999</v>
      </c>
      <c r="ER158" s="1">
        <v>92.768245901639006</v>
      </c>
      <c r="ES158" s="1">
        <v>1</v>
      </c>
      <c r="ET158" s="3">
        <v>5.1760652809999996</v>
      </c>
      <c r="EU158" s="3">
        <v>1.635430274</v>
      </c>
      <c r="EV158" s="3">
        <v>1.4424954711910001</v>
      </c>
      <c r="EW158" s="3">
        <v>1.6410958899999999</v>
      </c>
      <c r="EX158" s="3">
        <v>3.8998005000000002E-2</v>
      </c>
      <c r="EY158" s="3">
        <v>19</v>
      </c>
      <c r="EZ158" s="3">
        <v>599</v>
      </c>
      <c r="FA158" s="1">
        <v>0</v>
      </c>
      <c r="FB158" s="1">
        <v>0</v>
      </c>
      <c r="FC158" s="3">
        <v>0.72537416300000002</v>
      </c>
      <c r="FD158" s="1">
        <v>0</v>
      </c>
      <c r="FE158" s="1">
        <v>0</v>
      </c>
    </row>
    <row r="159" spans="1:161" x14ac:dyDescent="0.3">
      <c r="A159" s="1">
        <v>16975517</v>
      </c>
      <c r="B159" s="1">
        <v>128</v>
      </c>
      <c r="C159" s="1">
        <v>9396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700</v>
      </c>
      <c r="J159" s="3">
        <v>700</v>
      </c>
      <c r="K159" s="1">
        <v>700000</v>
      </c>
      <c r="L159" s="1">
        <v>700000</v>
      </c>
      <c r="M159" s="1">
        <v>700000</v>
      </c>
      <c r="N159" s="3">
        <v>700000</v>
      </c>
      <c r="O159" s="1">
        <v>694884</v>
      </c>
      <c r="P159" s="1">
        <v>694884</v>
      </c>
      <c r="Q159" s="1">
        <v>694884</v>
      </c>
      <c r="R159" s="1">
        <v>694884</v>
      </c>
      <c r="S159" s="1">
        <v>700000</v>
      </c>
      <c r="T159" s="1">
        <v>700000</v>
      </c>
      <c r="U159" s="1">
        <v>700000</v>
      </c>
      <c r="V159" s="1">
        <v>700000</v>
      </c>
      <c r="W159" s="1">
        <v>0</v>
      </c>
      <c r="X159" s="1">
        <v>0</v>
      </c>
      <c r="Y159" s="1">
        <v>0</v>
      </c>
      <c r="Z159" s="1">
        <v>0</v>
      </c>
      <c r="AA159" s="1">
        <v>3088.84</v>
      </c>
      <c r="AB159" s="1">
        <v>3088.84</v>
      </c>
      <c r="AC159" s="1">
        <v>3088.84</v>
      </c>
      <c r="AD159" s="1">
        <v>3088.84</v>
      </c>
      <c r="AE159" s="3" t="s">
        <v>404</v>
      </c>
      <c r="AF159" s="3" t="s">
        <v>161</v>
      </c>
      <c r="AG159" s="1" t="s">
        <v>970</v>
      </c>
      <c r="AH159" s="3" t="s">
        <v>405</v>
      </c>
      <c r="AI159" s="1">
        <v>4</v>
      </c>
      <c r="AJ159" s="3" t="s">
        <v>165</v>
      </c>
      <c r="AK159" s="1" t="s">
        <v>191</v>
      </c>
      <c r="AL159" s="3">
        <v>92.431918946227</v>
      </c>
      <c r="AM159" s="3">
        <v>92.409491803278996</v>
      </c>
      <c r="AN159" s="3">
        <v>646866.43999999994</v>
      </c>
      <c r="AO159" s="3">
        <v>646866.43999999994</v>
      </c>
      <c r="AP159" s="1" t="s">
        <v>164</v>
      </c>
      <c r="AQ159" s="1">
        <v>4</v>
      </c>
      <c r="AR159" s="1" t="s">
        <v>165</v>
      </c>
      <c r="AS159" s="3">
        <v>132534288.59999999</v>
      </c>
      <c r="AT159" s="1" t="s">
        <v>176</v>
      </c>
      <c r="AU159" s="1">
        <v>1</v>
      </c>
      <c r="AV159" s="1">
        <v>1</v>
      </c>
      <c r="AW159" s="3" t="s">
        <v>210</v>
      </c>
      <c r="AX159" s="3" t="s">
        <v>237</v>
      </c>
      <c r="AY159" s="1">
        <v>0</v>
      </c>
      <c r="BA159" s="3">
        <v>8205251.6799999997</v>
      </c>
      <c r="BB159" s="1">
        <v>1</v>
      </c>
      <c r="BD159" s="1" t="s">
        <v>971</v>
      </c>
      <c r="BE159" s="1">
        <v>1</v>
      </c>
      <c r="BF159" s="1">
        <v>1</v>
      </c>
      <c r="BG159" s="1" t="s">
        <v>168</v>
      </c>
      <c r="BH159" s="1">
        <v>0</v>
      </c>
      <c r="BI159" s="1">
        <v>31345322.399999999</v>
      </c>
      <c r="BJ159" s="1">
        <v>0</v>
      </c>
      <c r="BK159" s="1">
        <v>123618989.48999999</v>
      </c>
      <c r="BL159" s="1">
        <v>132456249.91</v>
      </c>
      <c r="BM159" s="1">
        <v>596150.00000000012</v>
      </c>
      <c r="BN159" s="1">
        <v>9219855.2300000004</v>
      </c>
      <c r="BO159" s="1">
        <v>23.664660909999998</v>
      </c>
      <c r="BP159" s="1">
        <v>0.45007313999999998</v>
      </c>
      <c r="BQ159" s="1">
        <v>6.9606796500000003</v>
      </c>
      <c r="BR159" s="1">
        <v>0.48836234000000001</v>
      </c>
      <c r="BS159" s="1" t="s">
        <v>169</v>
      </c>
      <c r="BT159" s="1" t="s">
        <v>169</v>
      </c>
      <c r="BU159" s="1">
        <v>26356083.120000001</v>
      </c>
      <c r="BV159" s="1">
        <v>0</v>
      </c>
      <c r="BW159" s="1">
        <v>-156.99</v>
      </c>
      <c r="BX159" s="1">
        <v>-0.02</v>
      </c>
      <c r="BY159" s="1" t="s">
        <v>170</v>
      </c>
      <c r="BZ159" s="1">
        <v>-78038.69</v>
      </c>
      <c r="CA159" s="1" t="s">
        <v>250</v>
      </c>
      <c r="CB159" s="1" t="s">
        <v>251</v>
      </c>
      <c r="CC159" s="1">
        <v>-50949.41</v>
      </c>
      <c r="CD159" s="1">
        <v>-50949.41</v>
      </c>
      <c r="CE159" s="1">
        <v>647023.43000000005</v>
      </c>
      <c r="CF159" s="1">
        <v>647023.43000000005</v>
      </c>
      <c r="CG159" s="1">
        <v>0</v>
      </c>
      <c r="CH159" s="1">
        <v>1.4438757900000001</v>
      </c>
      <c r="CI159" s="1">
        <v>13.27863496</v>
      </c>
      <c r="CJ159" s="1">
        <v>17588381.91</v>
      </c>
      <c r="CK159" s="1">
        <v>1912503.72</v>
      </c>
      <c r="CL159" s="1">
        <v>6269233.6699999999</v>
      </c>
      <c r="CM159" s="1" t="s">
        <v>164</v>
      </c>
      <c r="CN159" s="1" t="s">
        <v>164</v>
      </c>
      <c r="CO159" s="1" t="s">
        <v>184</v>
      </c>
      <c r="CP159" s="1" t="s">
        <v>243</v>
      </c>
      <c r="CQ159" s="3" t="s">
        <v>252</v>
      </c>
      <c r="CR159" s="1">
        <v>0</v>
      </c>
      <c r="CS159" s="1" t="s">
        <v>243</v>
      </c>
      <c r="CT159" s="1">
        <v>0.52327433000000001</v>
      </c>
      <c r="CV159" s="1">
        <v>0</v>
      </c>
      <c r="CW159" s="1">
        <v>-219173.26</v>
      </c>
      <c r="DA159" s="1">
        <v>1355558.46</v>
      </c>
      <c r="DB159" s="1">
        <v>0</v>
      </c>
      <c r="DC159" s="1">
        <v>2520.3126550000002</v>
      </c>
      <c r="DD159" s="1">
        <v>52555.483399999997</v>
      </c>
      <c r="DE159" s="1">
        <v>-296353.43</v>
      </c>
      <c r="DF159" s="1">
        <v>92570020.519999996</v>
      </c>
      <c r="DG159" s="1">
        <v>-156.99</v>
      </c>
      <c r="DH159" s="1">
        <v>394770.09</v>
      </c>
      <c r="DI159" s="1">
        <v>0.29803809999999997</v>
      </c>
      <c r="DK159" s="1">
        <v>0</v>
      </c>
      <c r="DL159" s="1">
        <v>0</v>
      </c>
      <c r="DM159" s="1">
        <v>-296353.43</v>
      </c>
      <c r="DN159" s="1">
        <v>0</v>
      </c>
      <c r="DO159" s="1">
        <v>0</v>
      </c>
      <c r="DP159" s="1">
        <v>16777215</v>
      </c>
      <c r="DQ159" s="1">
        <v>0</v>
      </c>
      <c r="DR159" s="1">
        <v>0</v>
      </c>
      <c r="DS159" s="1">
        <v>0</v>
      </c>
      <c r="DT159" s="1">
        <v>0</v>
      </c>
      <c r="DU159" s="1">
        <v>0</v>
      </c>
      <c r="DV159" s="1">
        <v>646866.43999999994</v>
      </c>
      <c r="DW159" s="1">
        <v>646866.43999999994</v>
      </c>
      <c r="DX159" s="1">
        <v>31345322.399999999</v>
      </c>
      <c r="DY159" s="1">
        <v>-1110160.2399999984</v>
      </c>
      <c r="DZ159" s="1">
        <v>92570020.519999966</v>
      </c>
      <c r="EA159" s="1">
        <v>0</v>
      </c>
      <c r="EB159" s="1">
        <v>0</v>
      </c>
      <c r="EC159" s="1" t="s">
        <v>176</v>
      </c>
      <c r="EE159" s="1">
        <v>0</v>
      </c>
      <c r="EF159" s="1">
        <v>3</v>
      </c>
      <c r="EG159" s="1">
        <v>0</v>
      </c>
      <c r="EH159" s="3">
        <v>0.69878609999999997</v>
      </c>
      <c r="EI159" s="1">
        <v>0</v>
      </c>
      <c r="EL159" s="1">
        <v>0</v>
      </c>
      <c r="EM159" s="1">
        <v>0</v>
      </c>
      <c r="EN159" s="1">
        <v>1633661.45</v>
      </c>
      <c r="EO159" s="1">
        <v>1.2333592799999999</v>
      </c>
      <c r="ER159" s="1">
        <v>92.435467213115004</v>
      </c>
      <c r="ES159" s="1">
        <v>1</v>
      </c>
      <c r="ET159" s="3">
        <v>4.9646652390000003</v>
      </c>
      <c r="EU159" s="3">
        <v>1.7775146129999999</v>
      </c>
      <c r="EV159" s="3">
        <v>1.5653400448670001</v>
      </c>
      <c r="EW159" s="3">
        <v>1.7835616439999999</v>
      </c>
      <c r="EX159" s="3">
        <v>4.4846176000000001E-2</v>
      </c>
      <c r="EY159" s="3">
        <v>20</v>
      </c>
      <c r="EZ159" s="3">
        <v>651</v>
      </c>
      <c r="FA159" s="1">
        <v>0</v>
      </c>
      <c r="FB159" s="1">
        <v>0</v>
      </c>
      <c r="FC159" s="3">
        <v>0.83644073699999999</v>
      </c>
      <c r="FD159" s="1">
        <v>0</v>
      </c>
      <c r="FE159" s="1">
        <v>0</v>
      </c>
    </row>
    <row r="160" spans="1:161" x14ac:dyDescent="0.3">
      <c r="A160" s="1">
        <v>16975382</v>
      </c>
      <c r="B160" s="1">
        <v>128</v>
      </c>
      <c r="C160" s="1">
        <v>9471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250</v>
      </c>
      <c r="J160" s="3">
        <v>250</v>
      </c>
      <c r="K160" s="1">
        <v>250000</v>
      </c>
      <c r="L160" s="1">
        <v>250000</v>
      </c>
      <c r="M160" s="1">
        <v>250000</v>
      </c>
      <c r="N160" s="3">
        <v>250000</v>
      </c>
      <c r="O160" s="1">
        <v>250477.5</v>
      </c>
      <c r="P160" s="1">
        <v>250477.5</v>
      </c>
      <c r="Q160" s="1">
        <v>250477.5</v>
      </c>
      <c r="R160" s="1">
        <v>250477.5</v>
      </c>
      <c r="S160" s="1">
        <v>250000</v>
      </c>
      <c r="T160" s="1">
        <v>250000</v>
      </c>
      <c r="U160" s="1">
        <v>250000</v>
      </c>
      <c r="V160" s="1">
        <v>250000</v>
      </c>
      <c r="W160" s="1">
        <v>0</v>
      </c>
      <c r="X160" s="1">
        <v>0</v>
      </c>
      <c r="Y160" s="1">
        <v>0</v>
      </c>
      <c r="Z160" s="1">
        <v>0</v>
      </c>
      <c r="AA160" s="1">
        <v>1547.12</v>
      </c>
      <c r="AB160" s="1">
        <v>1547.12</v>
      </c>
      <c r="AC160" s="1">
        <v>1547.12</v>
      </c>
      <c r="AD160" s="1">
        <v>1547.12</v>
      </c>
      <c r="AE160" s="3" t="s">
        <v>406</v>
      </c>
      <c r="AF160" s="3" t="s">
        <v>161</v>
      </c>
      <c r="AG160" s="1" t="s">
        <v>970</v>
      </c>
      <c r="AH160" s="3" t="s">
        <v>407</v>
      </c>
      <c r="AI160" s="1">
        <v>4</v>
      </c>
      <c r="AJ160" s="3" t="s">
        <v>165</v>
      </c>
      <c r="AK160" s="1" t="s">
        <v>191</v>
      </c>
      <c r="AL160" s="3">
        <v>85.884192164745002</v>
      </c>
      <c r="AM160" s="3">
        <v>85.695856164383997</v>
      </c>
      <c r="AN160" s="3">
        <v>214239.64</v>
      </c>
      <c r="AO160" s="3">
        <v>214239.64</v>
      </c>
      <c r="AP160" s="1" t="s">
        <v>164</v>
      </c>
      <c r="AQ160" s="1">
        <v>4</v>
      </c>
      <c r="AR160" s="1" t="s">
        <v>165</v>
      </c>
      <c r="AS160" s="3">
        <v>132534288.59999999</v>
      </c>
      <c r="AT160" s="1" t="s">
        <v>176</v>
      </c>
      <c r="AU160" s="1">
        <v>1</v>
      </c>
      <c r="AV160" s="1">
        <v>1</v>
      </c>
      <c r="AW160" s="3" t="s">
        <v>210</v>
      </c>
      <c r="AX160" s="3" t="s">
        <v>237</v>
      </c>
      <c r="AY160" s="1">
        <v>0</v>
      </c>
      <c r="BA160" s="3">
        <v>8205251.6799999997</v>
      </c>
      <c r="BB160" s="1">
        <v>1</v>
      </c>
      <c r="BD160" s="1" t="s">
        <v>971</v>
      </c>
      <c r="BE160" s="1">
        <v>1</v>
      </c>
      <c r="BF160" s="1">
        <v>1</v>
      </c>
      <c r="BG160" s="1" t="s">
        <v>168</v>
      </c>
      <c r="BH160" s="1">
        <v>0</v>
      </c>
      <c r="BI160" s="1">
        <v>31345322.399999999</v>
      </c>
      <c r="BJ160" s="1">
        <v>0</v>
      </c>
      <c r="BK160" s="1">
        <v>123618989.48999999</v>
      </c>
      <c r="BL160" s="1">
        <v>132456249.91</v>
      </c>
      <c r="BM160" s="1">
        <v>596150.00000000012</v>
      </c>
      <c r="BN160" s="1">
        <v>9219855.2300000004</v>
      </c>
      <c r="BO160" s="1">
        <v>23.664660909999998</v>
      </c>
      <c r="BP160" s="1">
        <v>0.45007313999999998</v>
      </c>
      <c r="BQ160" s="1">
        <v>6.9606796500000003</v>
      </c>
      <c r="BR160" s="1">
        <v>0.16174369999999999</v>
      </c>
      <c r="BS160" s="1" t="s">
        <v>169</v>
      </c>
      <c r="BT160" s="1" t="s">
        <v>169</v>
      </c>
      <c r="BU160" s="1">
        <v>26356083.120000001</v>
      </c>
      <c r="BV160" s="1">
        <v>0</v>
      </c>
      <c r="BW160" s="1">
        <v>-470.84</v>
      </c>
      <c r="BX160" s="1">
        <v>-0.22</v>
      </c>
      <c r="BY160" s="1" t="s">
        <v>170</v>
      </c>
      <c r="BZ160" s="1">
        <v>-78038.69</v>
      </c>
      <c r="CA160" s="1" t="s">
        <v>250</v>
      </c>
      <c r="CB160" s="1" t="s">
        <v>251</v>
      </c>
      <c r="CC160" s="1">
        <v>-37314.14</v>
      </c>
      <c r="CD160" s="1">
        <v>-37314.14</v>
      </c>
      <c r="CE160" s="1">
        <v>214710.48</v>
      </c>
      <c r="CF160" s="1">
        <v>214710.48</v>
      </c>
      <c r="CG160" s="1">
        <v>0</v>
      </c>
      <c r="CH160" s="1">
        <v>1.4438757900000001</v>
      </c>
      <c r="CI160" s="1">
        <v>13.27863496</v>
      </c>
      <c r="CJ160" s="1">
        <v>17588381.91</v>
      </c>
      <c r="CK160" s="1">
        <v>1912503.72</v>
      </c>
      <c r="CL160" s="1">
        <v>6269233.6699999999</v>
      </c>
      <c r="CM160" s="1" t="s">
        <v>164</v>
      </c>
      <c r="CN160" s="1" t="s">
        <v>164</v>
      </c>
      <c r="CO160" s="1" t="s">
        <v>184</v>
      </c>
      <c r="CP160" s="1" t="s">
        <v>243</v>
      </c>
      <c r="CQ160" s="3" t="s">
        <v>252</v>
      </c>
      <c r="CR160" s="1">
        <v>0</v>
      </c>
      <c r="CS160" s="1" t="s">
        <v>243</v>
      </c>
      <c r="CT160" s="1">
        <v>0.17330641999999999</v>
      </c>
      <c r="CV160" s="1">
        <v>0</v>
      </c>
      <c r="CW160" s="1">
        <v>-219173.26</v>
      </c>
      <c r="DA160" s="1">
        <v>1355558.46</v>
      </c>
      <c r="DB160" s="1">
        <v>0</v>
      </c>
      <c r="DC160" s="1">
        <v>2520.3126550000002</v>
      </c>
      <c r="DD160" s="1">
        <v>52555.483399999997</v>
      </c>
      <c r="DE160" s="1">
        <v>-296353.43</v>
      </c>
      <c r="DF160" s="1">
        <v>92570020.519999996</v>
      </c>
      <c r="DG160" s="1">
        <v>-470.84</v>
      </c>
      <c r="DH160" s="1">
        <v>394770.09</v>
      </c>
      <c r="DI160" s="1">
        <v>0.29803809999999997</v>
      </c>
      <c r="DK160" s="1">
        <v>0</v>
      </c>
      <c r="DL160" s="1">
        <v>0</v>
      </c>
      <c r="DM160" s="1">
        <v>-296353.43</v>
      </c>
      <c r="DN160" s="1">
        <v>0</v>
      </c>
      <c r="DO160" s="1">
        <v>0</v>
      </c>
      <c r="DP160" s="1">
        <v>16777215</v>
      </c>
      <c r="DQ160" s="1">
        <v>0</v>
      </c>
      <c r="DR160" s="1">
        <v>0</v>
      </c>
      <c r="DS160" s="1">
        <v>0</v>
      </c>
      <c r="DT160" s="1">
        <v>0</v>
      </c>
      <c r="DU160" s="1">
        <v>0</v>
      </c>
      <c r="DV160" s="1">
        <v>214239.64</v>
      </c>
      <c r="DW160" s="1">
        <v>214239.64</v>
      </c>
      <c r="DX160" s="1">
        <v>31345322.399999999</v>
      </c>
      <c r="DY160" s="1">
        <v>-1110160.2399999984</v>
      </c>
      <c r="DZ160" s="1">
        <v>92570020.519999966</v>
      </c>
      <c r="EA160" s="1">
        <v>0</v>
      </c>
      <c r="EB160" s="1">
        <v>0</v>
      </c>
      <c r="EC160" s="1" t="s">
        <v>176</v>
      </c>
      <c r="EE160" s="1">
        <v>0</v>
      </c>
      <c r="EF160" s="1">
        <v>3</v>
      </c>
      <c r="EG160" s="1">
        <v>0</v>
      </c>
      <c r="EH160" s="3">
        <v>0.23143522999999999</v>
      </c>
      <c r="EI160" s="1">
        <v>0</v>
      </c>
      <c r="EL160" s="1">
        <v>0</v>
      </c>
      <c r="EM160" s="1">
        <v>0</v>
      </c>
      <c r="EN160" s="1">
        <v>1633661.45</v>
      </c>
      <c r="EO160" s="1">
        <v>1.2333592799999999</v>
      </c>
      <c r="ER160" s="1">
        <v>85.865301369863005</v>
      </c>
      <c r="ES160" s="1">
        <v>1</v>
      </c>
      <c r="ET160" s="3">
        <v>4.8346254890000004</v>
      </c>
      <c r="EU160" s="3">
        <v>8.4931507000000003E-2</v>
      </c>
      <c r="EV160" s="3">
        <v>6.9563556666000004E-2</v>
      </c>
      <c r="EW160" s="3">
        <v>4.087671233</v>
      </c>
      <c r="EX160" s="3">
        <v>8.3841999999999999E-4</v>
      </c>
      <c r="EY160" s="3">
        <v>1</v>
      </c>
      <c r="EZ160" s="3">
        <v>1492</v>
      </c>
      <c r="FA160" s="1">
        <v>0</v>
      </c>
      <c r="FB160" s="1">
        <v>0</v>
      </c>
      <c r="FC160" s="3">
        <v>0.87389335499999998</v>
      </c>
      <c r="FD160" s="1">
        <v>0</v>
      </c>
      <c r="FE160" s="1">
        <v>0</v>
      </c>
    </row>
    <row r="161" spans="1:161" x14ac:dyDescent="0.3">
      <c r="A161" s="1">
        <v>16975396</v>
      </c>
      <c r="B161" s="1">
        <v>128</v>
      </c>
      <c r="C161" s="1">
        <v>9871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1</v>
      </c>
      <c r="J161" s="3">
        <v>1</v>
      </c>
      <c r="K161" s="1">
        <v>100000</v>
      </c>
      <c r="L161" s="1">
        <v>100000</v>
      </c>
      <c r="M161" s="1">
        <v>100000</v>
      </c>
      <c r="N161" s="3">
        <v>100000</v>
      </c>
      <c r="O161" s="1">
        <v>100147</v>
      </c>
      <c r="P161" s="1">
        <v>100147</v>
      </c>
      <c r="Q161" s="1">
        <v>100147</v>
      </c>
      <c r="R161" s="1">
        <v>100147</v>
      </c>
      <c r="S161" s="1">
        <v>100000</v>
      </c>
      <c r="T161" s="1">
        <v>100000</v>
      </c>
      <c r="U161" s="1">
        <v>100000</v>
      </c>
      <c r="V161" s="1">
        <v>100000</v>
      </c>
      <c r="W161" s="1">
        <v>0</v>
      </c>
      <c r="X161" s="1">
        <v>0</v>
      </c>
      <c r="Y161" s="1">
        <v>0</v>
      </c>
      <c r="Z161" s="1">
        <v>0</v>
      </c>
      <c r="AA161" s="1">
        <v>1281.3499999999999</v>
      </c>
      <c r="AB161" s="1">
        <v>1281.3499999999999</v>
      </c>
      <c r="AC161" s="1">
        <v>1281.3499999999999</v>
      </c>
      <c r="AD161" s="1">
        <v>1281.3499999999999</v>
      </c>
      <c r="AE161" s="3" t="s">
        <v>408</v>
      </c>
      <c r="AF161" s="3" t="s">
        <v>161</v>
      </c>
      <c r="AG161" s="1" t="s">
        <v>970</v>
      </c>
      <c r="AH161" s="3" t="s">
        <v>409</v>
      </c>
      <c r="AI161" s="1">
        <v>4</v>
      </c>
      <c r="AJ161" s="3" t="s">
        <v>165</v>
      </c>
      <c r="AK161" s="1" t="s">
        <v>176</v>
      </c>
      <c r="AL161" s="3">
        <v>97.524701311086005</v>
      </c>
      <c r="AM161" s="3">
        <v>97.553721311475996</v>
      </c>
      <c r="AN161" s="3">
        <v>97553.72</v>
      </c>
      <c r="AO161" s="3">
        <v>97553.72</v>
      </c>
      <c r="AP161" s="1" t="s">
        <v>164</v>
      </c>
      <c r="AQ161" s="1">
        <v>4</v>
      </c>
      <c r="AR161" s="1" t="s">
        <v>165</v>
      </c>
      <c r="AS161" s="3">
        <v>132534288.59999999</v>
      </c>
      <c r="AT161" s="1" t="s">
        <v>176</v>
      </c>
      <c r="AU161" s="1">
        <v>1</v>
      </c>
      <c r="AV161" s="1">
        <v>1</v>
      </c>
      <c r="AW161" s="3" t="s">
        <v>210</v>
      </c>
      <c r="AX161" s="3" t="s">
        <v>237</v>
      </c>
      <c r="AY161" s="1">
        <v>0</v>
      </c>
      <c r="BA161" s="3">
        <v>8205251.6799999997</v>
      </c>
      <c r="BB161" s="1">
        <v>1</v>
      </c>
      <c r="BD161" s="1" t="s">
        <v>971</v>
      </c>
      <c r="BE161" s="1">
        <v>1</v>
      </c>
      <c r="BF161" s="1">
        <v>1</v>
      </c>
      <c r="BG161" s="1" t="s">
        <v>168</v>
      </c>
      <c r="BH161" s="1">
        <v>0</v>
      </c>
      <c r="BI161" s="1">
        <v>31345322.399999999</v>
      </c>
      <c r="BJ161" s="1">
        <v>0</v>
      </c>
      <c r="BK161" s="1">
        <v>123618989.48999999</v>
      </c>
      <c r="BL161" s="1">
        <v>132456249.91</v>
      </c>
      <c r="BM161" s="1">
        <v>596150.00000000012</v>
      </c>
      <c r="BN161" s="1">
        <v>9219855.2300000004</v>
      </c>
      <c r="BO161" s="1">
        <v>23.664660909999998</v>
      </c>
      <c r="BP161" s="1">
        <v>0.45007313999999998</v>
      </c>
      <c r="BQ161" s="1">
        <v>6.9606796500000003</v>
      </c>
      <c r="BR161" s="1">
        <v>7.3649770000000003E-2</v>
      </c>
      <c r="BS161" s="1" t="s">
        <v>169</v>
      </c>
      <c r="BT161" s="1" t="s">
        <v>169</v>
      </c>
      <c r="BU161" s="1">
        <v>26356083.120000001</v>
      </c>
      <c r="BV161" s="1">
        <v>0</v>
      </c>
      <c r="BW161" s="1">
        <v>29.02</v>
      </c>
      <c r="BX161" s="1">
        <v>0.03</v>
      </c>
      <c r="BY161" s="1" t="s">
        <v>170</v>
      </c>
      <c r="BZ161" s="1">
        <v>-78038.69</v>
      </c>
      <c r="CA161" s="1" t="s">
        <v>250</v>
      </c>
      <c r="CB161" s="1" t="s">
        <v>251</v>
      </c>
      <c r="CC161" s="1">
        <v>-3903.65</v>
      </c>
      <c r="CD161" s="1">
        <v>-3903.65</v>
      </c>
      <c r="CE161" s="1">
        <v>97524.7</v>
      </c>
      <c r="CF161" s="1">
        <v>97524.7</v>
      </c>
      <c r="CG161" s="1">
        <v>0</v>
      </c>
      <c r="CH161" s="1">
        <v>1.4438757900000001</v>
      </c>
      <c r="CI161" s="1">
        <v>13.27863496</v>
      </c>
      <c r="CJ161" s="1">
        <v>17588381.91</v>
      </c>
      <c r="CK161" s="1">
        <v>1912503.72</v>
      </c>
      <c r="CL161" s="1">
        <v>6269233.6699999999</v>
      </c>
      <c r="CM161" s="1" t="s">
        <v>164</v>
      </c>
      <c r="CN161" s="1" t="s">
        <v>164</v>
      </c>
      <c r="CO161" s="1" t="s">
        <v>184</v>
      </c>
      <c r="CP161" s="1" t="s">
        <v>243</v>
      </c>
      <c r="CQ161" s="3" t="s">
        <v>252</v>
      </c>
      <c r="CR161" s="1">
        <v>0</v>
      </c>
      <c r="CS161" s="1" t="s">
        <v>243</v>
      </c>
      <c r="CT161" s="1">
        <v>7.8914830000000005E-2</v>
      </c>
      <c r="CV161" s="1">
        <v>0</v>
      </c>
      <c r="CW161" s="1">
        <v>-219173.26</v>
      </c>
      <c r="DA161" s="1">
        <v>1355558.46</v>
      </c>
      <c r="DB161" s="1">
        <v>0</v>
      </c>
      <c r="DC161" s="1">
        <v>2520.3126550000002</v>
      </c>
      <c r="DD161" s="1">
        <v>52555.483399999997</v>
      </c>
      <c r="DE161" s="1">
        <v>-296353.43</v>
      </c>
      <c r="DF161" s="1">
        <v>92570020.519999996</v>
      </c>
      <c r="DG161" s="1">
        <v>29.02</v>
      </c>
      <c r="DH161" s="1">
        <v>394770.09</v>
      </c>
      <c r="DI161" s="1">
        <v>0.29803809999999997</v>
      </c>
      <c r="DK161" s="1">
        <v>0</v>
      </c>
      <c r="DL161" s="1">
        <v>0</v>
      </c>
      <c r="DM161" s="1">
        <v>-296353.43</v>
      </c>
      <c r="DN161" s="1">
        <v>0</v>
      </c>
      <c r="DO161" s="1">
        <v>0</v>
      </c>
      <c r="DP161" s="1">
        <v>16777215</v>
      </c>
      <c r="DQ161" s="1">
        <v>0</v>
      </c>
      <c r="DR161" s="1">
        <v>0</v>
      </c>
      <c r="DS161" s="1">
        <v>0</v>
      </c>
      <c r="DT161" s="1">
        <v>0</v>
      </c>
      <c r="DU161" s="1">
        <v>0</v>
      </c>
      <c r="DV161" s="1">
        <v>97553.72</v>
      </c>
      <c r="DW161" s="1">
        <v>97553.72</v>
      </c>
      <c r="DX161" s="1">
        <v>31345322.399999999</v>
      </c>
      <c r="DY161" s="1">
        <v>-1110160.2399999984</v>
      </c>
      <c r="DZ161" s="1">
        <v>92570020.519999966</v>
      </c>
      <c r="EA161" s="1">
        <v>0</v>
      </c>
      <c r="EB161" s="1">
        <v>0</v>
      </c>
      <c r="EC161" s="1" t="s">
        <v>176</v>
      </c>
      <c r="EE161" s="1">
        <v>0</v>
      </c>
      <c r="EF161" s="1">
        <v>3</v>
      </c>
      <c r="EG161" s="1">
        <v>0</v>
      </c>
      <c r="EH161" s="3">
        <v>0.10538371000000001</v>
      </c>
      <c r="EI161" s="1">
        <v>0</v>
      </c>
      <c r="EL161" s="1">
        <v>0</v>
      </c>
      <c r="EM161" s="1">
        <v>0</v>
      </c>
      <c r="EN161" s="1">
        <v>1633661.45</v>
      </c>
      <c r="EO161" s="1">
        <v>1.2333592799999999</v>
      </c>
      <c r="ER161" s="1">
        <v>97.556049180326994</v>
      </c>
      <c r="ES161" s="1">
        <v>1</v>
      </c>
      <c r="ET161" s="3">
        <v>5.3754091339999999</v>
      </c>
      <c r="EU161" s="3">
        <v>1.4491637449999999</v>
      </c>
      <c r="EV161" s="3">
        <v>1.3416288556739999</v>
      </c>
      <c r="EW161" s="3">
        <v>1.4767123289999999</v>
      </c>
      <c r="EX161" s="3">
        <v>3.2193840000000001E-2</v>
      </c>
      <c r="EY161" s="3">
        <v>17</v>
      </c>
      <c r="EZ161" s="3">
        <v>539</v>
      </c>
      <c r="FA161" s="1">
        <v>0</v>
      </c>
      <c r="FB161" s="1">
        <v>0</v>
      </c>
      <c r="FC161" s="3">
        <v>3.4868424309999999</v>
      </c>
      <c r="FD161" s="1">
        <v>0</v>
      </c>
      <c r="FE161" s="1">
        <v>0</v>
      </c>
    </row>
    <row r="162" spans="1:161" x14ac:dyDescent="0.3">
      <c r="A162" s="1">
        <v>16975353</v>
      </c>
      <c r="B162" s="1">
        <v>128</v>
      </c>
      <c r="C162" s="1">
        <v>9894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200</v>
      </c>
      <c r="J162" s="3">
        <v>200</v>
      </c>
      <c r="K162" s="1">
        <v>200000</v>
      </c>
      <c r="L162" s="1">
        <v>200000</v>
      </c>
      <c r="M162" s="1">
        <v>200000</v>
      </c>
      <c r="N162" s="3">
        <v>200000</v>
      </c>
      <c r="O162" s="1">
        <v>199382</v>
      </c>
      <c r="P162" s="1">
        <v>199382</v>
      </c>
      <c r="Q162" s="1">
        <v>199382</v>
      </c>
      <c r="R162" s="1">
        <v>199382</v>
      </c>
      <c r="S162" s="1">
        <v>200000</v>
      </c>
      <c r="T162" s="1">
        <v>200000</v>
      </c>
      <c r="U162" s="1">
        <v>200000</v>
      </c>
      <c r="V162" s="1">
        <v>200000</v>
      </c>
      <c r="W162" s="1">
        <v>0</v>
      </c>
      <c r="X162" s="1">
        <v>0</v>
      </c>
      <c r="Y162" s="1">
        <v>0</v>
      </c>
      <c r="Z162" s="1">
        <v>0</v>
      </c>
      <c r="AA162" s="1">
        <v>1471.25</v>
      </c>
      <c r="AB162" s="1">
        <v>1471.25</v>
      </c>
      <c r="AC162" s="1">
        <v>1471.25</v>
      </c>
      <c r="AD162" s="1">
        <v>1471.25</v>
      </c>
      <c r="AE162" s="3" t="s">
        <v>410</v>
      </c>
      <c r="AF162" s="3" t="s">
        <v>161</v>
      </c>
      <c r="AG162" s="1" t="s">
        <v>970</v>
      </c>
      <c r="AH162" s="3" t="s">
        <v>411</v>
      </c>
      <c r="AI162" s="1">
        <v>4</v>
      </c>
      <c r="AJ162" s="3" t="s">
        <v>165</v>
      </c>
      <c r="AK162" s="1" t="s">
        <v>191</v>
      </c>
      <c r="AL162" s="3">
        <v>96.052384097955994</v>
      </c>
      <c r="AM162" s="3">
        <v>96.009254098360998</v>
      </c>
      <c r="AN162" s="3">
        <v>192018.51</v>
      </c>
      <c r="AO162" s="3">
        <v>192018.51</v>
      </c>
      <c r="AP162" s="1" t="s">
        <v>164</v>
      </c>
      <c r="AQ162" s="1">
        <v>4</v>
      </c>
      <c r="AR162" s="1" t="s">
        <v>165</v>
      </c>
      <c r="AS162" s="3">
        <v>132534288.59999999</v>
      </c>
      <c r="AT162" s="1" t="s">
        <v>176</v>
      </c>
      <c r="AU162" s="1">
        <v>1</v>
      </c>
      <c r="AV162" s="1">
        <v>1</v>
      </c>
      <c r="AW162" s="3" t="s">
        <v>210</v>
      </c>
      <c r="AX162" s="3" t="s">
        <v>237</v>
      </c>
      <c r="AY162" s="1">
        <v>0</v>
      </c>
      <c r="BA162" s="3">
        <v>8205251.6799999997</v>
      </c>
      <c r="BB162" s="1">
        <v>1</v>
      </c>
      <c r="BD162" s="1" t="s">
        <v>971</v>
      </c>
      <c r="BE162" s="1">
        <v>1</v>
      </c>
      <c r="BF162" s="1">
        <v>1</v>
      </c>
      <c r="BG162" s="1" t="s">
        <v>168</v>
      </c>
      <c r="BH162" s="1">
        <v>0</v>
      </c>
      <c r="BI162" s="1">
        <v>31345322.399999999</v>
      </c>
      <c r="BJ162" s="1">
        <v>0</v>
      </c>
      <c r="BK162" s="1">
        <v>123618989.48999999</v>
      </c>
      <c r="BL162" s="1">
        <v>132456249.91</v>
      </c>
      <c r="BM162" s="1">
        <v>596150.00000000012</v>
      </c>
      <c r="BN162" s="1">
        <v>9219855.2300000004</v>
      </c>
      <c r="BO162" s="1">
        <v>23.664660909999998</v>
      </c>
      <c r="BP162" s="1">
        <v>0.45007313999999998</v>
      </c>
      <c r="BQ162" s="1">
        <v>6.9606796500000003</v>
      </c>
      <c r="BR162" s="1">
        <v>0.1449675</v>
      </c>
      <c r="BS162" s="1" t="s">
        <v>169</v>
      </c>
      <c r="BT162" s="1" t="s">
        <v>169</v>
      </c>
      <c r="BU162" s="1">
        <v>26356083.120000001</v>
      </c>
      <c r="BV162" s="1">
        <v>0</v>
      </c>
      <c r="BW162" s="1">
        <v>-86.26</v>
      </c>
      <c r="BX162" s="1">
        <v>-0.04</v>
      </c>
      <c r="BY162" s="1" t="s">
        <v>170</v>
      </c>
      <c r="BZ162" s="1">
        <v>-78038.69</v>
      </c>
      <c r="CA162" s="1" t="s">
        <v>250</v>
      </c>
      <c r="CB162" s="1" t="s">
        <v>251</v>
      </c>
      <c r="CC162" s="1">
        <v>-8748.48</v>
      </c>
      <c r="CD162" s="1">
        <v>-8748.48</v>
      </c>
      <c r="CE162" s="1">
        <v>192104.77</v>
      </c>
      <c r="CF162" s="1">
        <v>192104.77</v>
      </c>
      <c r="CG162" s="1">
        <v>0</v>
      </c>
      <c r="CH162" s="1">
        <v>1.4438757900000001</v>
      </c>
      <c r="CI162" s="1">
        <v>13.27863496</v>
      </c>
      <c r="CJ162" s="1">
        <v>17588381.91</v>
      </c>
      <c r="CK162" s="1">
        <v>1912503.72</v>
      </c>
      <c r="CL162" s="1">
        <v>6269233.6699999999</v>
      </c>
      <c r="CM162" s="1" t="s">
        <v>164</v>
      </c>
      <c r="CN162" s="1" t="s">
        <v>164</v>
      </c>
      <c r="CO162" s="1" t="s">
        <v>184</v>
      </c>
      <c r="CP162" s="1" t="s">
        <v>243</v>
      </c>
      <c r="CQ162" s="3" t="s">
        <v>252</v>
      </c>
      <c r="CR162" s="1">
        <v>0</v>
      </c>
      <c r="CS162" s="1" t="s">
        <v>243</v>
      </c>
      <c r="CT162" s="1">
        <v>0.15533092000000001</v>
      </c>
      <c r="CV162" s="1">
        <v>0</v>
      </c>
      <c r="CW162" s="1">
        <v>-219173.26</v>
      </c>
      <c r="DA162" s="1">
        <v>1355558.46</v>
      </c>
      <c r="DB162" s="1">
        <v>0</v>
      </c>
      <c r="DC162" s="1">
        <v>2520.3126550000002</v>
      </c>
      <c r="DD162" s="1">
        <v>52555.483399999997</v>
      </c>
      <c r="DE162" s="1">
        <v>-296353.43</v>
      </c>
      <c r="DF162" s="1">
        <v>92570020.519999996</v>
      </c>
      <c r="DG162" s="1">
        <v>-86.26</v>
      </c>
      <c r="DH162" s="1">
        <v>394770.09</v>
      </c>
      <c r="DI162" s="1">
        <v>0.29803809999999997</v>
      </c>
      <c r="DK162" s="1">
        <v>0</v>
      </c>
      <c r="DL162" s="1">
        <v>0</v>
      </c>
      <c r="DM162" s="1">
        <v>-296353.43</v>
      </c>
      <c r="DN162" s="1">
        <v>0</v>
      </c>
      <c r="DO162" s="1">
        <v>0</v>
      </c>
      <c r="DP162" s="1">
        <v>16777215</v>
      </c>
      <c r="DQ162" s="1">
        <v>0</v>
      </c>
      <c r="DR162" s="1">
        <v>0</v>
      </c>
      <c r="DS162" s="1">
        <v>0</v>
      </c>
      <c r="DT162" s="1">
        <v>0</v>
      </c>
      <c r="DU162" s="1">
        <v>0</v>
      </c>
      <c r="DV162" s="1">
        <v>192018.51</v>
      </c>
      <c r="DW162" s="1">
        <v>192018.51</v>
      </c>
      <c r="DX162" s="1">
        <v>31345322.399999999</v>
      </c>
      <c r="DY162" s="1">
        <v>-1110160.2399999984</v>
      </c>
      <c r="DZ162" s="1">
        <v>92570020.519999966</v>
      </c>
      <c r="EA162" s="1">
        <v>0</v>
      </c>
      <c r="EB162" s="1">
        <v>0</v>
      </c>
      <c r="EC162" s="1" t="s">
        <v>176</v>
      </c>
      <c r="EE162" s="1">
        <v>0</v>
      </c>
      <c r="EF162" s="1">
        <v>3</v>
      </c>
      <c r="EG162" s="1">
        <v>0</v>
      </c>
      <c r="EH162" s="3">
        <v>0.20743056000000001</v>
      </c>
      <c r="EI162" s="1">
        <v>0</v>
      </c>
      <c r="EL162" s="1">
        <v>0</v>
      </c>
      <c r="EM162" s="1">
        <v>0</v>
      </c>
      <c r="EN162" s="1">
        <v>1633661.45</v>
      </c>
      <c r="EO162" s="1">
        <v>1.2333592799999999</v>
      </c>
      <c r="ER162" s="1">
        <v>96.030631147541001</v>
      </c>
      <c r="ES162" s="1">
        <v>1</v>
      </c>
      <c r="ET162" s="3">
        <v>4.7785129160000004</v>
      </c>
      <c r="EU162" s="3">
        <v>1.655943851</v>
      </c>
      <c r="EV162" s="3">
        <v>1.5176903046200001</v>
      </c>
      <c r="EW162" s="3">
        <v>1.6767123289999999</v>
      </c>
      <c r="EX162" s="3">
        <v>4.0229910000000001E-2</v>
      </c>
      <c r="EY162" s="3">
        <v>19</v>
      </c>
      <c r="EZ162" s="3">
        <v>612</v>
      </c>
      <c r="FA162" s="1">
        <v>0</v>
      </c>
      <c r="FB162" s="1">
        <v>0</v>
      </c>
      <c r="FC162" s="3">
        <v>2.4383651500000001</v>
      </c>
      <c r="FD162" s="1">
        <v>0</v>
      </c>
      <c r="FE162" s="1">
        <v>0</v>
      </c>
    </row>
    <row r="163" spans="1:161" x14ac:dyDescent="0.3">
      <c r="A163" s="1">
        <v>16975548</v>
      </c>
      <c r="B163" s="1">
        <v>128</v>
      </c>
      <c r="C163" s="1">
        <v>10488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10</v>
      </c>
      <c r="J163" s="3">
        <v>10</v>
      </c>
      <c r="K163" s="1">
        <v>1000000</v>
      </c>
      <c r="L163" s="1">
        <v>1000000</v>
      </c>
      <c r="M163" s="1">
        <v>1000000</v>
      </c>
      <c r="N163" s="3">
        <v>1000000</v>
      </c>
      <c r="O163" s="1">
        <v>944800</v>
      </c>
      <c r="P163" s="1">
        <v>944800</v>
      </c>
      <c r="Q163" s="1">
        <v>944800</v>
      </c>
      <c r="R163" s="1">
        <v>944800</v>
      </c>
      <c r="S163" s="1">
        <v>1000000</v>
      </c>
      <c r="T163" s="1">
        <v>1000000</v>
      </c>
      <c r="U163" s="1">
        <v>1000000</v>
      </c>
      <c r="V163" s="1">
        <v>1000000</v>
      </c>
      <c r="W163" s="1">
        <v>3463.11</v>
      </c>
      <c r="X163" s="1">
        <v>3463.11</v>
      </c>
      <c r="Y163" s="1">
        <v>3463.11</v>
      </c>
      <c r="Z163" s="1">
        <v>3463.11</v>
      </c>
      <c r="AA163" s="1">
        <v>11543.17</v>
      </c>
      <c r="AB163" s="1">
        <v>11543.17</v>
      </c>
      <c r="AC163" s="1">
        <v>11543.17</v>
      </c>
      <c r="AD163" s="1">
        <v>11543.17</v>
      </c>
      <c r="AE163" s="3" t="s">
        <v>763</v>
      </c>
      <c r="AF163" s="3" t="s">
        <v>161</v>
      </c>
      <c r="AG163" s="1" t="s">
        <v>970</v>
      </c>
      <c r="AH163" s="3" t="s">
        <v>764</v>
      </c>
      <c r="AI163" s="1">
        <v>4</v>
      </c>
      <c r="AJ163" s="3" t="s">
        <v>165</v>
      </c>
      <c r="AK163" s="1" t="s">
        <v>176</v>
      </c>
      <c r="AL163" s="3">
        <v>96.128781092919994</v>
      </c>
      <c r="AM163" s="3">
        <v>96.103601092896</v>
      </c>
      <c r="AN163" s="3">
        <v>961036.01</v>
      </c>
      <c r="AO163" s="3">
        <v>961036.01</v>
      </c>
      <c r="AP163" s="1" t="s">
        <v>164</v>
      </c>
      <c r="AQ163" s="1">
        <v>4</v>
      </c>
      <c r="AR163" s="1" t="s">
        <v>165</v>
      </c>
      <c r="AS163" s="3">
        <v>132534288.59999999</v>
      </c>
      <c r="AT163" s="1" t="s">
        <v>176</v>
      </c>
      <c r="AU163" s="1">
        <v>1</v>
      </c>
      <c r="AV163" s="1">
        <v>1</v>
      </c>
      <c r="AW163" s="3" t="s">
        <v>210</v>
      </c>
      <c r="AX163" s="3" t="s">
        <v>237</v>
      </c>
      <c r="AY163" s="1">
        <v>0</v>
      </c>
      <c r="BA163" s="3">
        <v>8205251.6799999997</v>
      </c>
      <c r="BB163" s="1">
        <v>1</v>
      </c>
      <c r="BD163" s="1" t="s">
        <v>971</v>
      </c>
      <c r="BE163" s="1">
        <v>1</v>
      </c>
      <c r="BF163" s="1">
        <v>1</v>
      </c>
      <c r="BG163" s="1" t="s">
        <v>168</v>
      </c>
      <c r="BH163" s="1">
        <v>0</v>
      </c>
      <c r="BI163" s="1">
        <v>31345322.399999999</v>
      </c>
      <c r="BJ163" s="1">
        <v>0</v>
      </c>
      <c r="BK163" s="1">
        <v>123618989.48999999</v>
      </c>
      <c r="BL163" s="1">
        <v>132456249.91</v>
      </c>
      <c r="BM163" s="1">
        <v>596150.00000000012</v>
      </c>
      <c r="BN163" s="1">
        <v>9219855.2300000004</v>
      </c>
      <c r="BO163" s="1">
        <v>23.664660909999998</v>
      </c>
      <c r="BP163" s="1">
        <v>0.45007313999999998</v>
      </c>
      <c r="BQ163" s="1">
        <v>6.9606796500000003</v>
      </c>
      <c r="BR163" s="1">
        <v>0.72554976999999998</v>
      </c>
      <c r="BS163" s="1" t="s">
        <v>169</v>
      </c>
      <c r="BT163" s="1" t="s">
        <v>169</v>
      </c>
      <c r="BU163" s="1">
        <v>26356083.120000001</v>
      </c>
      <c r="BV163" s="1">
        <v>0</v>
      </c>
      <c r="BW163" s="1">
        <v>-251.8</v>
      </c>
      <c r="BX163" s="1">
        <v>-0.03</v>
      </c>
      <c r="BY163" s="1" t="s">
        <v>170</v>
      </c>
      <c r="BZ163" s="1">
        <v>-78038.69</v>
      </c>
      <c r="CA163" s="1" t="s">
        <v>250</v>
      </c>
      <c r="CB163" s="1" t="s">
        <v>251</v>
      </c>
      <c r="CC163" s="1">
        <v>1481.53</v>
      </c>
      <c r="CD163" s="1">
        <v>1481.53</v>
      </c>
      <c r="CE163" s="1">
        <v>961287.81</v>
      </c>
      <c r="CF163" s="1">
        <v>961287.81</v>
      </c>
      <c r="CG163" s="1">
        <v>0</v>
      </c>
      <c r="CH163" s="1">
        <v>1.4438757900000001</v>
      </c>
      <c r="CI163" s="1">
        <v>13.27863496</v>
      </c>
      <c r="CJ163" s="1">
        <v>17588381.91</v>
      </c>
      <c r="CK163" s="1">
        <v>1912503.72</v>
      </c>
      <c r="CL163" s="1">
        <v>6269233.6699999999</v>
      </c>
      <c r="CM163" s="1" t="s">
        <v>164</v>
      </c>
      <c r="CN163" s="1" t="s">
        <v>164</v>
      </c>
      <c r="CO163" s="1" t="s">
        <v>184</v>
      </c>
      <c r="CP163" s="1" t="s">
        <v>243</v>
      </c>
      <c r="CQ163" s="3" t="s">
        <v>252</v>
      </c>
      <c r="CR163" s="1">
        <v>0</v>
      </c>
      <c r="CS163" s="1" t="s">
        <v>243</v>
      </c>
      <c r="CT163" s="1">
        <v>0.77741779</v>
      </c>
      <c r="CV163" s="1">
        <v>0</v>
      </c>
      <c r="CW163" s="1">
        <v>-219173.26</v>
      </c>
      <c r="DA163" s="1">
        <v>1355558.46</v>
      </c>
      <c r="DB163" s="1">
        <v>0</v>
      </c>
      <c r="DC163" s="1">
        <v>2520.3126550000002</v>
      </c>
      <c r="DD163" s="1">
        <v>52555.483399999997</v>
      </c>
      <c r="DE163" s="1">
        <v>-296353.43</v>
      </c>
      <c r="DF163" s="1">
        <v>92570020.519999996</v>
      </c>
      <c r="DG163" s="1">
        <v>-251.8</v>
      </c>
      <c r="DH163" s="1">
        <v>394770.09</v>
      </c>
      <c r="DI163" s="1">
        <v>0.29803809999999997</v>
      </c>
      <c r="DK163" s="1">
        <v>0</v>
      </c>
      <c r="DL163" s="1">
        <v>0</v>
      </c>
      <c r="DM163" s="1">
        <v>-296353.43</v>
      </c>
      <c r="DN163" s="1">
        <v>0</v>
      </c>
      <c r="DO163" s="1">
        <v>0</v>
      </c>
      <c r="DP163" s="1">
        <v>16777215</v>
      </c>
      <c r="DQ163" s="1">
        <v>0</v>
      </c>
      <c r="DR163" s="1">
        <v>0</v>
      </c>
      <c r="DS163" s="1">
        <v>0</v>
      </c>
      <c r="DT163" s="1">
        <v>0</v>
      </c>
      <c r="DU163" s="1">
        <v>0</v>
      </c>
      <c r="DV163" s="1">
        <v>961036.01</v>
      </c>
      <c r="DW163" s="1">
        <v>961036.01</v>
      </c>
      <c r="DX163" s="1">
        <v>31345322.399999999</v>
      </c>
      <c r="DY163" s="1">
        <v>-1110160.2399999984</v>
      </c>
      <c r="DZ163" s="1">
        <v>92570020.519999966</v>
      </c>
      <c r="EA163" s="1">
        <v>0</v>
      </c>
      <c r="EB163" s="1">
        <v>0</v>
      </c>
      <c r="EC163" s="1" t="s">
        <v>176</v>
      </c>
      <c r="EE163" s="1">
        <v>0</v>
      </c>
      <c r="EF163" s="1">
        <v>3</v>
      </c>
      <c r="EG163" s="1">
        <v>0</v>
      </c>
      <c r="EH163" s="3">
        <v>1.0381719700000001</v>
      </c>
      <c r="EI163" s="1">
        <v>0</v>
      </c>
      <c r="EL163" s="1">
        <v>0</v>
      </c>
      <c r="EM163" s="1">
        <v>0</v>
      </c>
      <c r="EN163" s="1">
        <v>1633661.45</v>
      </c>
      <c r="EO163" s="1">
        <v>1.2333592799999999</v>
      </c>
      <c r="ER163" s="1">
        <v>96.120661202185005</v>
      </c>
      <c r="ES163" s="1">
        <v>1</v>
      </c>
      <c r="ET163" s="3">
        <v>4.8394507339999997</v>
      </c>
      <c r="EU163" s="3">
        <v>1.513567047</v>
      </c>
      <c r="EV163" s="3">
        <v>1.3876938915779999</v>
      </c>
      <c r="EW163" s="3">
        <v>1.5315068489999999</v>
      </c>
      <c r="EX163" s="3">
        <v>3.4760804999999999E-2</v>
      </c>
      <c r="EY163" s="3">
        <v>17</v>
      </c>
      <c r="EZ163" s="3">
        <v>559</v>
      </c>
      <c r="FA163" s="1">
        <v>0</v>
      </c>
      <c r="FB163" s="1">
        <v>0</v>
      </c>
      <c r="FC163" s="3">
        <v>6.0388319700000004</v>
      </c>
      <c r="FD163" s="1">
        <v>0</v>
      </c>
      <c r="FE163" s="1">
        <v>0</v>
      </c>
    </row>
    <row r="164" spans="1:161" x14ac:dyDescent="0.3">
      <c r="A164" s="1">
        <v>16975503</v>
      </c>
      <c r="B164" s="1">
        <v>128</v>
      </c>
      <c r="C164" s="1">
        <v>10137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3</v>
      </c>
      <c r="J164" s="3">
        <v>3</v>
      </c>
      <c r="K164" s="1">
        <v>300000</v>
      </c>
      <c r="L164" s="1">
        <v>300000</v>
      </c>
      <c r="M164" s="1">
        <v>300000</v>
      </c>
      <c r="N164" s="3">
        <v>300000</v>
      </c>
      <c r="O164" s="1">
        <v>301389</v>
      </c>
      <c r="P164" s="1">
        <v>301389</v>
      </c>
      <c r="Q164" s="1">
        <v>301389</v>
      </c>
      <c r="R164" s="1">
        <v>301389</v>
      </c>
      <c r="S164" s="1">
        <v>300000</v>
      </c>
      <c r="T164" s="1">
        <v>300000</v>
      </c>
      <c r="U164" s="1">
        <v>300000</v>
      </c>
      <c r="V164" s="1">
        <v>300000</v>
      </c>
      <c r="W164" s="1">
        <v>0</v>
      </c>
      <c r="X164" s="1">
        <v>0</v>
      </c>
      <c r="Y164" s="1">
        <v>0</v>
      </c>
      <c r="Z164" s="1">
        <v>0</v>
      </c>
      <c r="AA164" s="1">
        <v>466.42</v>
      </c>
      <c r="AB164" s="1">
        <v>466.42</v>
      </c>
      <c r="AC164" s="1">
        <v>466.42</v>
      </c>
      <c r="AD164" s="1">
        <v>466.42</v>
      </c>
      <c r="AE164" s="3" t="s">
        <v>412</v>
      </c>
      <c r="AF164" s="3" t="s">
        <v>161</v>
      </c>
      <c r="AG164" s="1" t="s">
        <v>970</v>
      </c>
      <c r="AH164" s="3" t="s">
        <v>413</v>
      </c>
      <c r="AI164" s="1">
        <v>4</v>
      </c>
      <c r="AJ164" s="3" t="s">
        <v>165</v>
      </c>
      <c r="AK164" s="1" t="s">
        <v>176</v>
      </c>
      <c r="AL164" s="3">
        <v>100.189088142031</v>
      </c>
      <c r="AM164" s="3">
        <v>100.192144808743</v>
      </c>
      <c r="AN164" s="3">
        <v>300576.43</v>
      </c>
      <c r="AO164" s="3">
        <v>300576.43</v>
      </c>
      <c r="AP164" s="1" t="s">
        <v>164</v>
      </c>
      <c r="AQ164" s="1">
        <v>4</v>
      </c>
      <c r="AR164" s="1" t="s">
        <v>165</v>
      </c>
      <c r="AS164" s="3">
        <v>132534288.59999999</v>
      </c>
      <c r="AT164" s="1" t="s">
        <v>176</v>
      </c>
      <c r="AU164" s="1">
        <v>1</v>
      </c>
      <c r="AV164" s="1">
        <v>1</v>
      </c>
      <c r="AW164" s="3" t="s">
        <v>210</v>
      </c>
      <c r="AX164" s="3" t="s">
        <v>237</v>
      </c>
      <c r="AY164" s="1">
        <v>0</v>
      </c>
      <c r="BA164" s="3">
        <v>8205251.6799999997</v>
      </c>
      <c r="BB164" s="1">
        <v>1</v>
      </c>
      <c r="BD164" s="1" t="s">
        <v>971</v>
      </c>
      <c r="BE164" s="1">
        <v>1</v>
      </c>
      <c r="BF164" s="1">
        <v>1</v>
      </c>
      <c r="BG164" s="1" t="s">
        <v>168</v>
      </c>
      <c r="BH164" s="1">
        <v>0</v>
      </c>
      <c r="BI164" s="1">
        <v>31345322.399999999</v>
      </c>
      <c r="BJ164" s="1">
        <v>0</v>
      </c>
      <c r="BK164" s="1">
        <v>123618989.48999999</v>
      </c>
      <c r="BL164" s="1">
        <v>132456249.91</v>
      </c>
      <c r="BM164" s="1">
        <v>596150.00000000012</v>
      </c>
      <c r="BN164" s="1">
        <v>9219855.2300000004</v>
      </c>
      <c r="BO164" s="1">
        <v>23.664660909999998</v>
      </c>
      <c r="BP164" s="1">
        <v>0.45007313999999998</v>
      </c>
      <c r="BQ164" s="1">
        <v>6.9606796500000003</v>
      </c>
      <c r="BR164" s="1">
        <v>0.22692506000000001</v>
      </c>
      <c r="BS164" s="1" t="s">
        <v>169</v>
      </c>
      <c r="BT164" s="1" t="s">
        <v>169</v>
      </c>
      <c r="BU164" s="1">
        <v>26356083.120000001</v>
      </c>
      <c r="BV164" s="1">
        <v>0</v>
      </c>
      <c r="BW164" s="1">
        <v>9.17</v>
      </c>
      <c r="BX164" s="1">
        <v>0</v>
      </c>
      <c r="BY164" s="1" t="s">
        <v>170</v>
      </c>
      <c r="BZ164" s="1">
        <v>-78038.69</v>
      </c>
      <c r="CA164" s="1" t="s">
        <v>250</v>
      </c>
      <c r="CB164" s="1" t="s">
        <v>251</v>
      </c>
      <c r="CC164" s="1">
        <v>-1288.1600000000001</v>
      </c>
      <c r="CD164" s="1">
        <v>-1288.1600000000001</v>
      </c>
      <c r="CE164" s="1">
        <v>300567.26</v>
      </c>
      <c r="CF164" s="1">
        <v>300567.26</v>
      </c>
      <c r="CG164" s="1">
        <v>0</v>
      </c>
      <c r="CH164" s="1">
        <v>1.4438757900000001</v>
      </c>
      <c r="CI164" s="1">
        <v>13.27863496</v>
      </c>
      <c r="CJ164" s="1">
        <v>17588381.91</v>
      </c>
      <c r="CK164" s="1">
        <v>1912503.72</v>
      </c>
      <c r="CL164" s="1">
        <v>6269233.6699999999</v>
      </c>
      <c r="CM164" s="1" t="s">
        <v>164</v>
      </c>
      <c r="CN164" s="1" t="s">
        <v>164</v>
      </c>
      <c r="CO164" s="1" t="s">
        <v>184</v>
      </c>
      <c r="CP164" s="1" t="s">
        <v>243</v>
      </c>
      <c r="CQ164" s="3" t="s">
        <v>252</v>
      </c>
      <c r="CR164" s="1">
        <v>0</v>
      </c>
      <c r="CS164" s="1" t="s">
        <v>243</v>
      </c>
      <c r="CT164" s="1">
        <v>0.24314746000000001</v>
      </c>
      <c r="CV164" s="1">
        <v>0</v>
      </c>
      <c r="CW164" s="1">
        <v>-219173.26</v>
      </c>
      <c r="DA164" s="1">
        <v>1355558.46</v>
      </c>
      <c r="DB164" s="1">
        <v>0</v>
      </c>
      <c r="DC164" s="1">
        <v>2520.3126550000002</v>
      </c>
      <c r="DD164" s="1">
        <v>52555.483399999997</v>
      </c>
      <c r="DE164" s="1">
        <v>-296353.43</v>
      </c>
      <c r="DF164" s="1">
        <v>92570020.519999996</v>
      </c>
      <c r="DG164" s="1">
        <v>9.17</v>
      </c>
      <c r="DH164" s="1">
        <v>394770.09</v>
      </c>
      <c r="DI164" s="1">
        <v>0.29803809999999997</v>
      </c>
      <c r="DK164" s="1">
        <v>0</v>
      </c>
      <c r="DL164" s="1">
        <v>0</v>
      </c>
      <c r="DM164" s="1">
        <v>-296353.43</v>
      </c>
      <c r="DN164" s="1">
        <v>0</v>
      </c>
      <c r="DO164" s="1">
        <v>0</v>
      </c>
      <c r="DP164" s="1">
        <v>16777215</v>
      </c>
      <c r="DQ164" s="1">
        <v>0</v>
      </c>
      <c r="DR164" s="1">
        <v>0</v>
      </c>
      <c r="DS164" s="1">
        <v>0</v>
      </c>
      <c r="DT164" s="1">
        <v>0</v>
      </c>
      <c r="DU164" s="1">
        <v>0</v>
      </c>
      <c r="DV164" s="1">
        <v>300576.43</v>
      </c>
      <c r="DW164" s="1">
        <v>300576.43</v>
      </c>
      <c r="DX164" s="1">
        <v>31345322.399999999</v>
      </c>
      <c r="DY164" s="1">
        <v>-1110160.2399999984</v>
      </c>
      <c r="DZ164" s="1">
        <v>92570020.519999966</v>
      </c>
      <c r="EA164" s="1">
        <v>0</v>
      </c>
      <c r="EB164" s="1">
        <v>0</v>
      </c>
      <c r="EC164" s="1" t="s">
        <v>176</v>
      </c>
      <c r="EE164" s="1">
        <v>0</v>
      </c>
      <c r="EF164" s="1">
        <v>3</v>
      </c>
      <c r="EG164" s="1">
        <v>0</v>
      </c>
      <c r="EH164" s="3">
        <v>0.32470169999999998</v>
      </c>
      <c r="EI164" s="1">
        <v>0</v>
      </c>
      <c r="EL164" s="1">
        <v>0</v>
      </c>
      <c r="EM164" s="1">
        <v>0</v>
      </c>
      <c r="EN164" s="1">
        <v>1633661.45</v>
      </c>
      <c r="EO164" s="1">
        <v>1.2333592799999999</v>
      </c>
      <c r="ER164" s="1">
        <v>100.260959016394</v>
      </c>
      <c r="ES164" s="1">
        <v>1</v>
      </c>
      <c r="ET164" s="3">
        <v>5.4212761140000003</v>
      </c>
      <c r="EU164" s="3">
        <v>1.8833966680000001</v>
      </c>
      <c r="EV164" s="3">
        <v>1.7912053726329999</v>
      </c>
      <c r="EW164" s="3">
        <v>1.9369863009999999</v>
      </c>
      <c r="EX164" s="3">
        <v>4.9299801999999997E-2</v>
      </c>
      <c r="EY164" s="3">
        <v>21</v>
      </c>
      <c r="EZ164" s="3">
        <v>707</v>
      </c>
      <c r="FA164" s="1">
        <v>0</v>
      </c>
      <c r="FB164" s="1">
        <v>0</v>
      </c>
      <c r="FC164" s="3">
        <v>5.3086558049999999</v>
      </c>
      <c r="FD164" s="1">
        <v>0</v>
      </c>
      <c r="FE164" s="1">
        <v>0</v>
      </c>
    </row>
    <row r="165" spans="1:161" x14ac:dyDescent="0.3">
      <c r="A165" s="1">
        <v>16975410</v>
      </c>
      <c r="B165" s="1">
        <v>128</v>
      </c>
      <c r="C165" s="1">
        <v>10189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300</v>
      </c>
      <c r="J165" s="3">
        <v>300</v>
      </c>
      <c r="K165" s="1">
        <v>300000</v>
      </c>
      <c r="L165" s="1">
        <v>300000</v>
      </c>
      <c r="M165" s="1">
        <v>300000</v>
      </c>
      <c r="N165" s="3">
        <v>300000</v>
      </c>
      <c r="O165" s="1">
        <v>296835</v>
      </c>
      <c r="P165" s="1">
        <v>296835</v>
      </c>
      <c r="Q165" s="1">
        <v>296835</v>
      </c>
      <c r="R165" s="1">
        <v>296835</v>
      </c>
      <c r="S165" s="1">
        <v>300000</v>
      </c>
      <c r="T165" s="1">
        <v>300000</v>
      </c>
      <c r="U165" s="1">
        <v>300000</v>
      </c>
      <c r="V165" s="1">
        <v>300000</v>
      </c>
      <c r="W165" s="1">
        <v>0</v>
      </c>
      <c r="X165" s="1">
        <v>0</v>
      </c>
      <c r="Y165" s="1">
        <v>0</v>
      </c>
      <c r="Z165" s="1">
        <v>0</v>
      </c>
      <c r="AA165" s="1">
        <v>7565.32</v>
      </c>
      <c r="AB165" s="1">
        <v>7565.32</v>
      </c>
      <c r="AC165" s="1">
        <v>7565.32</v>
      </c>
      <c r="AD165" s="1">
        <v>7565.32</v>
      </c>
      <c r="AE165" s="3" t="s">
        <v>414</v>
      </c>
      <c r="AF165" s="3" t="s">
        <v>161</v>
      </c>
      <c r="AG165" s="1" t="s">
        <v>970</v>
      </c>
      <c r="AH165" s="3" t="s">
        <v>415</v>
      </c>
      <c r="AI165" s="1">
        <v>4</v>
      </c>
      <c r="AJ165" s="3" t="s">
        <v>165</v>
      </c>
      <c r="AK165" s="1" t="s">
        <v>191</v>
      </c>
      <c r="AL165" s="3">
        <v>101.987497103805</v>
      </c>
      <c r="AM165" s="3">
        <v>101.992407103826</v>
      </c>
      <c r="AN165" s="3">
        <v>305977.21999999997</v>
      </c>
      <c r="AO165" s="3">
        <v>305977.21999999997</v>
      </c>
      <c r="AP165" s="1" t="s">
        <v>164</v>
      </c>
      <c r="AQ165" s="1">
        <v>4</v>
      </c>
      <c r="AR165" s="1" t="s">
        <v>165</v>
      </c>
      <c r="AS165" s="3">
        <v>132534288.59999999</v>
      </c>
      <c r="AT165" s="1" t="s">
        <v>176</v>
      </c>
      <c r="AU165" s="1">
        <v>1</v>
      </c>
      <c r="AV165" s="1">
        <v>1</v>
      </c>
      <c r="AW165" s="3" t="s">
        <v>210</v>
      </c>
      <c r="AX165" s="3" t="s">
        <v>237</v>
      </c>
      <c r="AY165" s="1">
        <v>0</v>
      </c>
      <c r="BA165" s="3">
        <v>8205251.6799999997</v>
      </c>
      <c r="BB165" s="1">
        <v>1</v>
      </c>
      <c r="BD165" s="1" t="s">
        <v>971</v>
      </c>
      <c r="BE165" s="1">
        <v>1</v>
      </c>
      <c r="BF165" s="1">
        <v>1</v>
      </c>
      <c r="BG165" s="1" t="s">
        <v>168</v>
      </c>
      <c r="BH165" s="1">
        <v>0</v>
      </c>
      <c r="BI165" s="1">
        <v>31345322.399999999</v>
      </c>
      <c r="BJ165" s="1">
        <v>0</v>
      </c>
      <c r="BK165" s="1">
        <v>123618989.48999999</v>
      </c>
      <c r="BL165" s="1">
        <v>132456249.91</v>
      </c>
      <c r="BM165" s="1">
        <v>596150.00000000012</v>
      </c>
      <c r="BN165" s="1">
        <v>9219855.2300000004</v>
      </c>
      <c r="BO165" s="1">
        <v>23.664660909999998</v>
      </c>
      <c r="BP165" s="1">
        <v>0.45007313999999998</v>
      </c>
      <c r="BQ165" s="1">
        <v>6.9606796500000003</v>
      </c>
      <c r="BR165" s="1">
        <v>0.23100248000000001</v>
      </c>
      <c r="BS165" s="1" t="s">
        <v>169</v>
      </c>
      <c r="BT165" s="1" t="s">
        <v>169</v>
      </c>
      <c r="BU165" s="1">
        <v>26356083.120000001</v>
      </c>
      <c r="BV165" s="1">
        <v>0</v>
      </c>
      <c r="BW165" s="1">
        <v>14.73</v>
      </c>
      <c r="BX165" s="1">
        <v>0</v>
      </c>
      <c r="BY165" s="1" t="s">
        <v>170</v>
      </c>
      <c r="BZ165" s="1">
        <v>-78038.69</v>
      </c>
      <c r="CA165" s="1" t="s">
        <v>250</v>
      </c>
      <c r="CB165" s="1" t="s">
        <v>251</v>
      </c>
      <c r="CC165" s="1">
        <v>1562.17</v>
      </c>
      <c r="CD165" s="1">
        <v>1562.17</v>
      </c>
      <c r="CE165" s="1">
        <v>305962.49</v>
      </c>
      <c r="CF165" s="1">
        <v>305962.49</v>
      </c>
      <c r="CG165" s="1">
        <v>0</v>
      </c>
      <c r="CH165" s="1">
        <v>1.4438757900000001</v>
      </c>
      <c r="CI165" s="1">
        <v>13.27863496</v>
      </c>
      <c r="CJ165" s="1">
        <v>17588381.91</v>
      </c>
      <c r="CK165" s="1">
        <v>1912503.72</v>
      </c>
      <c r="CL165" s="1">
        <v>6269233.6699999999</v>
      </c>
      <c r="CM165" s="1" t="s">
        <v>164</v>
      </c>
      <c r="CN165" s="1" t="s">
        <v>164</v>
      </c>
      <c r="CO165" s="1" t="s">
        <v>184</v>
      </c>
      <c r="CP165" s="1" t="s">
        <v>243</v>
      </c>
      <c r="CQ165" s="3" t="s">
        <v>252</v>
      </c>
      <c r="CR165" s="1">
        <v>0</v>
      </c>
      <c r="CS165" s="1" t="s">
        <v>243</v>
      </c>
      <c r="CT165" s="1">
        <v>0.24751635999999999</v>
      </c>
      <c r="CV165" s="1">
        <v>0</v>
      </c>
      <c r="CW165" s="1">
        <v>-219173.26</v>
      </c>
      <c r="DA165" s="1">
        <v>1355558.46</v>
      </c>
      <c r="DB165" s="1">
        <v>0</v>
      </c>
      <c r="DC165" s="1">
        <v>2520.3126550000002</v>
      </c>
      <c r="DD165" s="1">
        <v>52555.483399999997</v>
      </c>
      <c r="DE165" s="1">
        <v>-296353.43</v>
      </c>
      <c r="DF165" s="1">
        <v>92570020.519999996</v>
      </c>
      <c r="DG165" s="1">
        <v>14.73</v>
      </c>
      <c r="DH165" s="1">
        <v>394770.09</v>
      </c>
      <c r="DI165" s="1">
        <v>0.29803809999999997</v>
      </c>
      <c r="DK165" s="1">
        <v>0</v>
      </c>
      <c r="DL165" s="1">
        <v>0</v>
      </c>
      <c r="DM165" s="1">
        <v>-296353.43</v>
      </c>
      <c r="DN165" s="1">
        <v>0</v>
      </c>
      <c r="DO165" s="1">
        <v>0</v>
      </c>
      <c r="DP165" s="1">
        <v>16777215</v>
      </c>
      <c r="DQ165" s="1">
        <v>0</v>
      </c>
      <c r="DR165" s="1">
        <v>0</v>
      </c>
      <c r="DS165" s="1">
        <v>0</v>
      </c>
      <c r="DT165" s="1">
        <v>0</v>
      </c>
      <c r="DU165" s="1">
        <v>0</v>
      </c>
      <c r="DV165" s="1">
        <v>305977.21999999997</v>
      </c>
      <c r="DW165" s="1">
        <v>305977.21999999997</v>
      </c>
      <c r="DX165" s="1">
        <v>31345322.399999999</v>
      </c>
      <c r="DY165" s="1">
        <v>-1110160.2399999984</v>
      </c>
      <c r="DZ165" s="1">
        <v>92570020.519999966</v>
      </c>
      <c r="EA165" s="1">
        <v>0</v>
      </c>
      <c r="EB165" s="1">
        <v>0</v>
      </c>
      <c r="EC165" s="1" t="s">
        <v>176</v>
      </c>
      <c r="EE165" s="1">
        <v>0</v>
      </c>
      <c r="EF165" s="1">
        <v>3</v>
      </c>
      <c r="EG165" s="1">
        <v>0</v>
      </c>
      <c r="EH165" s="3">
        <v>0.33053598000000001</v>
      </c>
      <c r="EI165" s="1">
        <v>0</v>
      </c>
      <c r="EL165" s="1">
        <v>0</v>
      </c>
      <c r="EM165" s="1">
        <v>0</v>
      </c>
      <c r="EN165" s="1">
        <v>1633661.45</v>
      </c>
      <c r="EO165" s="1">
        <v>1.2333592799999999</v>
      </c>
      <c r="ER165" s="1">
        <v>101.991770491805</v>
      </c>
      <c r="ES165" s="1">
        <v>1</v>
      </c>
      <c r="ET165" s="3">
        <v>4.7503439810000003</v>
      </c>
      <c r="EU165" s="3">
        <v>1.4803340519999999</v>
      </c>
      <c r="EV165" s="3">
        <v>1.441349834258</v>
      </c>
      <c r="EW165" s="3">
        <v>1.526027397</v>
      </c>
      <c r="EX165" s="3">
        <v>3.3848028000000002E-2</v>
      </c>
      <c r="EY165" s="3">
        <v>17</v>
      </c>
      <c r="EZ165" s="3">
        <v>557</v>
      </c>
      <c r="FA165" s="1">
        <v>0</v>
      </c>
      <c r="FB165" s="1">
        <v>0</v>
      </c>
      <c r="FC165" s="3">
        <v>6.9191708829999996</v>
      </c>
      <c r="FD165" s="1">
        <v>0</v>
      </c>
      <c r="FE165" s="1">
        <v>0</v>
      </c>
    </row>
    <row r="166" spans="1:161" x14ac:dyDescent="0.3">
      <c r="A166" s="1">
        <v>16975541</v>
      </c>
      <c r="B166" s="1">
        <v>128</v>
      </c>
      <c r="C166" s="1">
        <v>10371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1000</v>
      </c>
      <c r="J166" s="3">
        <v>1000</v>
      </c>
      <c r="K166" s="1">
        <v>1000000</v>
      </c>
      <c r="L166" s="1">
        <v>1000000</v>
      </c>
      <c r="M166" s="1">
        <v>1000000</v>
      </c>
      <c r="N166" s="3">
        <v>1000000</v>
      </c>
      <c r="O166" s="1">
        <v>998950</v>
      </c>
      <c r="P166" s="1">
        <v>998950</v>
      </c>
      <c r="Q166" s="1">
        <v>998950</v>
      </c>
      <c r="R166" s="1">
        <v>998950</v>
      </c>
      <c r="S166" s="1">
        <v>1000000</v>
      </c>
      <c r="T166" s="1">
        <v>1000000</v>
      </c>
      <c r="U166" s="1">
        <v>1000000</v>
      </c>
      <c r="V166" s="1">
        <v>1000000</v>
      </c>
      <c r="W166" s="1">
        <v>0</v>
      </c>
      <c r="X166" s="1">
        <v>0</v>
      </c>
      <c r="Y166" s="1">
        <v>0</v>
      </c>
      <c r="Z166" s="1">
        <v>0</v>
      </c>
      <c r="AA166" s="1">
        <v>22337.72</v>
      </c>
      <c r="AB166" s="1">
        <v>22337.72</v>
      </c>
      <c r="AC166" s="1">
        <v>22337.72</v>
      </c>
      <c r="AD166" s="1">
        <v>22337.72</v>
      </c>
      <c r="AE166" s="3" t="s">
        <v>416</v>
      </c>
      <c r="AF166" s="3" t="s">
        <v>161</v>
      </c>
      <c r="AG166" s="1" t="s">
        <v>970</v>
      </c>
      <c r="AH166" s="3" t="s">
        <v>417</v>
      </c>
      <c r="AI166" s="1">
        <v>4</v>
      </c>
      <c r="AJ166" s="3" t="s">
        <v>165</v>
      </c>
      <c r="AK166" s="1" t="s">
        <v>418</v>
      </c>
      <c r="AL166" s="3">
        <v>101.005278931521</v>
      </c>
      <c r="AM166" s="3">
        <v>101.02588493150699</v>
      </c>
      <c r="AN166" s="3">
        <v>1010258.85</v>
      </c>
      <c r="AO166" s="3">
        <v>1010258.85</v>
      </c>
      <c r="AP166" s="1" t="s">
        <v>164</v>
      </c>
      <c r="AQ166" s="1">
        <v>4</v>
      </c>
      <c r="AR166" s="1" t="s">
        <v>165</v>
      </c>
      <c r="AS166" s="3">
        <v>132534288.59999999</v>
      </c>
      <c r="AT166" s="1" t="s">
        <v>176</v>
      </c>
      <c r="AU166" s="1">
        <v>1</v>
      </c>
      <c r="AV166" s="1">
        <v>1</v>
      </c>
      <c r="AW166" s="3" t="s">
        <v>210</v>
      </c>
      <c r="AX166" s="3" t="s">
        <v>237</v>
      </c>
      <c r="AY166" s="1">
        <v>0</v>
      </c>
      <c r="BA166" s="3">
        <v>8205251.6799999997</v>
      </c>
      <c r="BB166" s="1">
        <v>1</v>
      </c>
      <c r="BD166" s="1" t="s">
        <v>971</v>
      </c>
      <c r="BE166" s="1">
        <v>1</v>
      </c>
      <c r="BF166" s="1">
        <v>1</v>
      </c>
      <c r="BG166" s="1" t="s">
        <v>168</v>
      </c>
      <c r="BH166" s="1">
        <v>0</v>
      </c>
      <c r="BI166" s="1">
        <v>31345322.399999999</v>
      </c>
      <c r="BJ166" s="1">
        <v>0</v>
      </c>
      <c r="BK166" s="1">
        <v>123618989.48999999</v>
      </c>
      <c r="BL166" s="1">
        <v>132456249.91</v>
      </c>
      <c r="BM166" s="1">
        <v>596150.00000000012</v>
      </c>
      <c r="BN166" s="1">
        <v>9219855.2300000004</v>
      </c>
      <c r="BO166" s="1">
        <v>23.664660909999998</v>
      </c>
      <c r="BP166" s="1">
        <v>0.45007313999999998</v>
      </c>
      <c r="BQ166" s="1">
        <v>6.9606796500000003</v>
      </c>
      <c r="BR166" s="1">
        <v>0.76271135000000001</v>
      </c>
      <c r="BS166" s="1" t="s">
        <v>169</v>
      </c>
      <c r="BT166" s="1" t="s">
        <v>169</v>
      </c>
      <c r="BU166" s="1">
        <v>26356083.120000001</v>
      </c>
      <c r="BV166" s="1">
        <v>0</v>
      </c>
      <c r="BW166" s="1">
        <v>206.06</v>
      </c>
      <c r="BX166" s="1">
        <v>0.02</v>
      </c>
      <c r="BY166" s="1" t="s">
        <v>170</v>
      </c>
      <c r="BZ166" s="1">
        <v>-78038.69</v>
      </c>
      <c r="CA166" s="1" t="s">
        <v>250</v>
      </c>
      <c r="CB166" s="1" t="s">
        <v>251</v>
      </c>
      <c r="CC166" s="1">
        <v>-11234.93</v>
      </c>
      <c r="CD166" s="1">
        <v>-11234.93</v>
      </c>
      <c r="CE166" s="1">
        <v>1010052.79</v>
      </c>
      <c r="CF166" s="1">
        <v>1010052.79</v>
      </c>
      <c r="CG166" s="1">
        <v>0</v>
      </c>
      <c r="CH166" s="1">
        <v>1.4438757900000001</v>
      </c>
      <c r="CI166" s="1">
        <v>13.27863496</v>
      </c>
      <c r="CJ166" s="1">
        <v>17588381.91</v>
      </c>
      <c r="CK166" s="1">
        <v>1912503.72</v>
      </c>
      <c r="CL166" s="1">
        <v>6269233.6699999999</v>
      </c>
      <c r="CM166" s="1" t="s">
        <v>164</v>
      </c>
      <c r="CN166" s="1" t="s">
        <v>164</v>
      </c>
      <c r="CO166" s="1" t="s">
        <v>184</v>
      </c>
      <c r="CP166" s="1" t="s">
        <v>243</v>
      </c>
      <c r="CQ166" s="3" t="s">
        <v>252</v>
      </c>
      <c r="CR166" s="1">
        <v>0</v>
      </c>
      <c r="CS166" s="1" t="s">
        <v>243</v>
      </c>
      <c r="CT166" s="1">
        <v>0.81723597000000003</v>
      </c>
      <c r="CV166" s="1">
        <v>0</v>
      </c>
      <c r="CW166" s="1">
        <v>-219173.26</v>
      </c>
      <c r="DA166" s="1">
        <v>1355558.46</v>
      </c>
      <c r="DB166" s="1">
        <v>0</v>
      </c>
      <c r="DC166" s="1">
        <v>2520.3126550000002</v>
      </c>
      <c r="DD166" s="1">
        <v>52555.483399999997</v>
      </c>
      <c r="DE166" s="1">
        <v>-296353.43</v>
      </c>
      <c r="DF166" s="1">
        <v>92570020.519999996</v>
      </c>
      <c r="DG166" s="1">
        <v>206.06</v>
      </c>
      <c r="DH166" s="1">
        <v>394770.09</v>
      </c>
      <c r="DI166" s="1">
        <v>0.29803809999999997</v>
      </c>
      <c r="DK166" s="1">
        <v>0</v>
      </c>
      <c r="DL166" s="1">
        <v>0</v>
      </c>
      <c r="DM166" s="1">
        <v>-296353.43</v>
      </c>
      <c r="DN166" s="1">
        <v>0</v>
      </c>
      <c r="DO166" s="1">
        <v>0</v>
      </c>
      <c r="DP166" s="1">
        <v>16777215</v>
      </c>
      <c r="DQ166" s="1">
        <v>0</v>
      </c>
      <c r="DR166" s="1">
        <v>0</v>
      </c>
      <c r="DS166" s="1">
        <v>0</v>
      </c>
      <c r="DT166" s="1">
        <v>0</v>
      </c>
      <c r="DU166" s="1">
        <v>0</v>
      </c>
      <c r="DV166" s="1">
        <v>1010258.85</v>
      </c>
      <c r="DW166" s="1">
        <v>1010258.85</v>
      </c>
      <c r="DX166" s="1">
        <v>31345322.399999999</v>
      </c>
      <c r="DY166" s="1">
        <v>-1110160.2399999984</v>
      </c>
      <c r="DZ166" s="1">
        <v>92570020.519999966</v>
      </c>
      <c r="EA166" s="1">
        <v>0</v>
      </c>
      <c r="EB166" s="1">
        <v>0</v>
      </c>
      <c r="EC166" s="1" t="s">
        <v>176</v>
      </c>
      <c r="EE166" s="1">
        <v>0</v>
      </c>
      <c r="EF166" s="1">
        <v>3</v>
      </c>
      <c r="EG166" s="1">
        <v>0</v>
      </c>
      <c r="EH166" s="3">
        <v>1.0913455999999999</v>
      </c>
      <c r="EI166" s="1">
        <v>0</v>
      </c>
      <c r="EL166" s="1">
        <v>0</v>
      </c>
      <c r="EM166" s="1">
        <v>0</v>
      </c>
      <c r="EN166" s="1">
        <v>1633661.45</v>
      </c>
      <c r="EO166" s="1">
        <v>1.2333592799999999</v>
      </c>
      <c r="ER166" s="1">
        <v>101.07551643835799</v>
      </c>
      <c r="ES166" s="1">
        <v>1</v>
      </c>
      <c r="ET166" s="3">
        <v>4.12348304</v>
      </c>
      <c r="EU166" s="3">
        <v>2.2714315680000001</v>
      </c>
      <c r="EV166" s="3">
        <v>2.2049408266410002</v>
      </c>
      <c r="EW166" s="3">
        <v>2.3780821919999999</v>
      </c>
      <c r="EX166" s="3">
        <v>7.0045723000000004E-2</v>
      </c>
      <c r="EY166" s="3">
        <v>26</v>
      </c>
      <c r="EZ166" s="3">
        <v>868</v>
      </c>
      <c r="FA166" s="1">
        <v>0</v>
      </c>
      <c r="FB166" s="1">
        <v>0</v>
      </c>
      <c r="FC166" s="3">
        <v>4.6635260780000003</v>
      </c>
      <c r="FD166" s="1">
        <v>0</v>
      </c>
      <c r="FE166" s="1">
        <v>0</v>
      </c>
    </row>
    <row r="167" spans="1:161" x14ac:dyDescent="0.3">
      <c r="A167" s="1">
        <v>16975406</v>
      </c>
      <c r="B167" s="1">
        <v>128</v>
      </c>
      <c r="C167" s="1">
        <v>10368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300</v>
      </c>
      <c r="J167" s="3">
        <v>300</v>
      </c>
      <c r="K167" s="1">
        <v>300000</v>
      </c>
      <c r="L167" s="1">
        <v>300000</v>
      </c>
      <c r="M167" s="1">
        <v>300000</v>
      </c>
      <c r="N167" s="3">
        <v>300000</v>
      </c>
      <c r="O167" s="1">
        <v>299598</v>
      </c>
      <c r="P167" s="1">
        <v>299598</v>
      </c>
      <c r="Q167" s="1">
        <v>299598</v>
      </c>
      <c r="R167" s="1">
        <v>299598</v>
      </c>
      <c r="S167" s="1">
        <v>300000</v>
      </c>
      <c r="T167" s="1">
        <v>300000</v>
      </c>
      <c r="U167" s="1">
        <v>300000</v>
      </c>
      <c r="V167" s="1">
        <v>300000</v>
      </c>
      <c r="W167" s="1">
        <v>0</v>
      </c>
      <c r="X167" s="1">
        <v>0</v>
      </c>
      <c r="Y167" s="1">
        <v>0</v>
      </c>
      <c r="Z167" s="1">
        <v>0</v>
      </c>
      <c r="AA167" s="1">
        <v>6981.66</v>
      </c>
      <c r="AB167" s="1">
        <v>6981.66</v>
      </c>
      <c r="AC167" s="1">
        <v>6981.66</v>
      </c>
      <c r="AD167" s="1">
        <v>6981.66</v>
      </c>
      <c r="AE167" s="3" t="s">
        <v>419</v>
      </c>
      <c r="AF167" s="3" t="s">
        <v>161</v>
      </c>
      <c r="AG167" s="1" t="s">
        <v>970</v>
      </c>
      <c r="AH167" s="3" t="s">
        <v>420</v>
      </c>
      <c r="AI167" s="1">
        <v>4</v>
      </c>
      <c r="AJ167" s="3" t="s">
        <v>165</v>
      </c>
      <c r="AK167" s="1" t="s">
        <v>191</v>
      </c>
      <c r="AL167" s="3">
        <v>101.09111077616799</v>
      </c>
      <c r="AM167" s="3">
        <v>101.10240410958799</v>
      </c>
      <c r="AN167" s="3">
        <v>303307.21000000002</v>
      </c>
      <c r="AO167" s="3">
        <v>303307.21000000002</v>
      </c>
      <c r="AP167" s="1" t="s">
        <v>164</v>
      </c>
      <c r="AQ167" s="1">
        <v>4</v>
      </c>
      <c r="AR167" s="1" t="s">
        <v>165</v>
      </c>
      <c r="AS167" s="3">
        <v>132534288.59999999</v>
      </c>
      <c r="AT167" s="1" t="s">
        <v>176</v>
      </c>
      <c r="AU167" s="1">
        <v>1</v>
      </c>
      <c r="AV167" s="1">
        <v>1</v>
      </c>
      <c r="AW167" s="3" t="s">
        <v>210</v>
      </c>
      <c r="AX167" s="3" t="s">
        <v>237</v>
      </c>
      <c r="AY167" s="1">
        <v>0</v>
      </c>
      <c r="BA167" s="3">
        <v>8205251.6799999997</v>
      </c>
      <c r="BB167" s="1">
        <v>1</v>
      </c>
      <c r="BD167" s="1" t="s">
        <v>971</v>
      </c>
      <c r="BE167" s="1">
        <v>1</v>
      </c>
      <c r="BF167" s="1">
        <v>1</v>
      </c>
      <c r="BG167" s="1" t="s">
        <v>168</v>
      </c>
      <c r="BH167" s="1">
        <v>0</v>
      </c>
      <c r="BI167" s="1">
        <v>31345322.399999999</v>
      </c>
      <c r="BJ167" s="1">
        <v>0</v>
      </c>
      <c r="BK167" s="1">
        <v>123618989.48999999</v>
      </c>
      <c r="BL167" s="1">
        <v>132456249.91</v>
      </c>
      <c r="BM167" s="1">
        <v>596150.00000000012</v>
      </c>
      <c r="BN167" s="1">
        <v>9219855.2300000004</v>
      </c>
      <c r="BO167" s="1">
        <v>23.664660909999998</v>
      </c>
      <c r="BP167" s="1">
        <v>0.45007313999999998</v>
      </c>
      <c r="BQ167" s="1">
        <v>6.9606796500000003</v>
      </c>
      <c r="BR167" s="1">
        <v>0.22898671000000001</v>
      </c>
      <c r="BS167" s="1" t="s">
        <v>169</v>
      </c>
      <c r="BT167" s="1" t="s">
        <v>169</v>
      </c>
      <c r="BU167" s="1">
        <v>26356083.120000001</v>
      </c>
      <c r="BV167" s="1">
        <v>0</v>
      </c>
      <c r="BW167" s="1">
        <v>33.880000000000003</v>
      </c>
      <c r="BX167" s="1">
        <v>0.01</v>
      </c>
      <c r="BY167" s="1" t="s">
        <v>170</v>
      </c>
      <c r="BZ167" s="1">
        <v>-78038.69</v>
      </c>
      <c r="CA167" s="1" t="s">
        <v>250</v>
      </c>
      <c r="CB167" s="1" t="s">
        <v>251</v>
      </c>
      <c r="CC167" s="1">
        <v>-3306.33</v>
      </c>
      <c r="CD167" s="1">
        <v>-3306.33</v>
      </c>
      <c r="CE167" s="1">
        <v>303273.33</v>
      </c>
      <c r="CF167" s="1">
        <v>303273.33</v>
      </c>
      <c r="CG167" s="1">
        <v>0</v>
      </c>
      <c r="CH167" s="1">
        <v>1.4438757900000001</v>
      </c>
      <c r="CI167" s="1">
        <v>13.27863496</v>
      </c>
      <c r="CJ167" s="1">
        <v>17588381.91</v>
      </c>
      <c r="CK167" s="1">
        <v>1912503.72</v>
      </c>
      <c r="CL167" s="1">
        <v>6269233.6699999999</v>
      </c>
      <c r="CM167" s="1" t="s">
        <v>164</v>
      </c>
      <c r="CN167" s="1" t="s">
        <v>164</v>
      </c>
      <c r="CO167" s="1" t="s">
        <v>184</v>
      </c>
      <c r="CP167" s="1" t="s">
        <v>243</v>
      </c>
      <c r="CQ167" s="3" t="s">
        <v>252</v>
      </c>
      <c r="CR167" s="1">
        <v>0</v>
      </c>
      <c r="CS167" s="1" t="s">
        <v>243</v>
      </c>
      <c r="CT167" s="1">
        <v>0.24535649000000001</v>
      </c>
      <c r="CV167" s="1">
        <v>0</v>
      </c>
      <c r="CW167" s="1">
        <v>-219173.26</v>
      </c>
      <c r="DA167" s="1">
        <v>1355558.46</v>
      </c>
      <c r="DB167" s="1">
        <v>0</v>
      </c>
      <c r="DC167" s="1">
        <v>2520.3126550000002</v>
      </c>
      <c r="DD167" s="1">
        <v>52555.483399999997</v>
      </c>
      <c r="DE167" s="1">
        <v>-296353.43</v>
      </c>
      <c r="DF167" s="1">
        <v>92570020.519999996</v>
      </c>
      <c r="DG167" s="1">
        <v>33.880000000000003</v>
      </c>
      <c r="DH167" s="1">
        <v>394770.09</v>
      </c>
      <c r="DI167" s="1">
        <v>0.29803809999999997</v>
      </c>
      <c r="DK167" s="1">
        <v>0</v>
      </c>
      <c r="DL167" s="1">
        <v>0</v>
      </c>
      <c r="DM167" s="1">
        <v>-296353.43</v>
      </c>
      <c r="DN167" s="1">
        <v>0</v>
      </c>
      <c r="DO167" s="1">
        <v>0</v>
      </c>
      <c r="DP167" s="1">
        <v>16777215</v>
      </c>
      <c r="DQ167" s="1">
        <v>0</v>
      </c>
      <c r="DR167" s="1">
        <v>0</v>
      </c>
      <c r="DS167" s="1">
        <v>0</v>
      </c>
      <c r="DT167" s="1">
        <v>0</v>
      </c>
      <c r="DU167" s="1">
        <v>0</v>
      </c>
      <c r="DV167" s="1">
        <v>303307.21000000002</v>
      </c>
      <c r="DW167" s="1">
        <v>303307.21000000002</v>
      </c>
      <c r="DX167" s="1">
        <v>31345322.399999999</v>
      </c>
      <c r="DY167" s="1">
        <v>-1110160.2399999984</v>
      </c>
      <c r="DZ167" s="1">
        <v>92570020.519999966</v>
      </c>
      <c r="EA167" s="1">
        <v>0</v>
      </c>
      <c r="EB167" s="1">
        <v>0</v>
      </c>
      <c r="EC167" s="1" t="s">
        <v>176</v>
      </c>
      <c r="EE167" s="1">
        <v>0</v>
      </c>
      <c r="EF167" s="1">
        <v>3</v>
      </c>
      <c r="EG167" s="1">
        <v>0</v>
      </c>
      <c r="EH167" s="3">
        <v>0.32765166000000001</v>
      </c>
      <c r="EI167" s="1">
        <v>0</v>
      </c>
      <c r="EL167" s="1">
        <v>0</v>
      </c>
      <c r="EM167" s="1">
        <v>0</v>
      </c>
      <c r="EN167" s="1">
        <v>1633661.45</v>
      </c>
      <c r="EO167" s="1">
        <v>1.2333592799999999</v>
      </c>
      <c r="ER167" s="1">
        <v>101.10697260274</v>
      </c>
      <c r="ES167" s="1">
        <v>1</v>
      </c>
      <c r="ET167" s="3">
        <v>4.5543754429999996</v>
      </c>
      <c r="EU167" s="3">
        <v>1.3236195340000001</v>
      </c>
      <c r="EV167" s="3">
        <v>1.2799766947219999</v>
      </c>
      <c r="EW167" s="3">
        <v>1.3616438360000001</v>
      </c>
      <c r="EX167" s="3">
        <v>2.8446182E-2</v>
      </c>
      <c r="EY167" s="3">
        <v>15</v>
      </c>
      <c r="EZ167" s="3">
        <v>497</v>
      </c>
      <c r="FA167" s="1">
        <v>0</v>
      </c>
      <c r="FB167" s="1">
        <v>0</v>
      </c>
      <c r="FC167" s="3">
        <v>5.5345862610000003</v>
      </c>
      <c r="FD167" s="1">
        <v>0</v>
      </c>
      <c r="FE167" s="1">
        <v>0</v>
      </c>
    </row>
    <row r="168" spans="1:161" x14ac:dyDescent="0.3">
      <c r="A168" s="1">
        <v>16975484</v>
      </c>
      <c r="B168" s="1">
        <v>128</v>
      </c>
      <c r="C168" s="1">
        <v>10426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500</v>
      </c>
      <c r="J168" s="3">
        <v>500</v>
      </c>
      <c r="K168" s="1">
        <v>500000</v>
      </c>
      <c r="L168" s="1">
        <v>500000</v>
      </c>
      <c r="M168" s="1">
        <v>500000</v>
      </c>
      <c r="N168" s="3">
        <v>500000</v>
      </c>
      <c r="O168" s="1">
        <v>496630</v>
      </c>
      <c r="P168" s="1">
        <v>496630</v>
      </c>
      <c r="Q168" s="1">
        <v>496630</v>
      </c>
      <c r="R168" s="1">
        <v>496630</v>
      </c>
      <c r="S168" s="1">
        <v>500000</v>
      </c>
      <c r="T168" s="1">
        <v>500000</v>
      </c>
      <c r="U168" s="1">
        <v>500000</v>
      </c>
      <c r="V168" s="1">
        <v>500000</v>
      </c>
      <c r="W168" s="1">
        <v>0</v>
      </c>
      <c r="X168" s="1">
        <v>0</v>
      </c>
      <c r="Y168" s="1">
        <v>0</v>
      </c>
      <c r="Z168" s="1">
        <v>0</v>
      </c>
      <c r="AA168" s="1">
        <v>14378.35</v>
      </c>
      <c r="AB168" s="1">
        <v>14378.35</v>
      </c>
      <c r="AC168" s="1">
        <v>14378.35</v>
      </c>
      <c r="AD168" s="1">
        <v>14378.35</v>
      </c>
      <c r="AE168" s="3" t="s">
        <v>421</v>
      </c>
      <c r="AF168" s="3" t="s">
        <v>161</v>
      </c>
      <c r="AG168" s="1" t="s">
        <v>970</v>
      </c>
      <c r="AH168" s="3" t="s">
        <v>422</v>
      </c>
      <c r="AI168" s="1">
        <v>4</v>
      </c>
      <c r="AJ168" s="3" t="s">
        <v>165</v>
      </c>
      <c r="AK168" s="1" t="s">
        <v>191</v>
      </c>
      <c r="AL168" s="3">
        <v>102.68320725595299</v>
      </c>
      <c r="AM168" s="3">
        <v>102.56219125683</v>
      </c>
      <c r="AN168" s="3">
        <v>512810.96</v>
      </c>
      <c r="AO168" s="3">
        <v>512810.96</v>
      </c>
      <c r="AP168" s="1" t="s">
        <v>164</v>
      </c>
      <c r="AQ168" s="1">
        <v>4</v>
      </c>
      <c r="AR168" s="1" t="s">
        <v>165</v>
      </c>
      <c r="AS168" s="3">
        <v>132534288.59999999</v>
      </c>
      <c r="AT168" s="1" t="s">
        <v>176</v>
      </c>
      <c r="AU168" s="1">
        <v>1</v>
      </c>
      <c r="AV168" s="1">
        <v>1</v>
      </c>
      <c r="AW168" s="3" t="s">
        <v>210</v>
      </c>
      <c r="AX168" s="3" t="s">
        <v>237</v>
      </c>
      <c r="AY168" s="1">
        <v>0</v>
      </c>
      <c r="BA168" s="3">
        <v>8205251.6799999997</v>
      </c>
      <c r="BB168" s="1">
        <v>1</v>
      </c>
      <c r="BD168" s="1" t="s">
        <v>971</v>
      </c>
      <c r="BE168" s="1">
        <v>1</v>
      </c>
      <c r="BF168" s="1">
        <v>1</v>
      </c>
      <c r="BG168" s="1" t="s">
        <v>168</v>
      </c>
      <c r="BH168" s="1">
        <v>0</v>
      </c>
      <c r="BI168" s="1">
        <v>31345322.399999999</v>
      </c>
      <c r="BJ168" s="1">
        <v>0</v>
      </c>
      <c r="BK168" s="1">
        <v>123618989.48999999</v>
      </c>
      <c r="BL168" s="1">
        <v>132456249.91</v>
      </c>
      <c r="BM168" s="1">
        <v>596150.00000000012</v>
      </c>
      <c r="BN168" s="1">
        <v>9219855.2300000004</v>
      </c>
      <c r="BO168" s="1">
        <v>23.664660909999998</v>
      </c>
      <c r="BP168" s="1">
        <v>0.45007313999999998</v>
      </c>
      <c r="BQ168" s="1">
        <v>6.9606796500000003</v>
      </c>
      <c r="BR168" s="1">
        <v>0.38715496999999999</v>
      </c>
      <c r="BS168" s="1" t="s">
        <v>169</v>
      </c>
      <c r="BT168" s="1" t="s">
        <v>169</v>
      </c>
      <c r="BU168" s="1">
        <v>26356083.120000001</v>
      </c>
      <c r="BV168" s="1">
        <v>0</v>
      </c>
      <c r="BW168" s="1">
        <v>-605.08000000000004</v>
      </c>
      <c r="BX168" s="1">
        <v>-0.12</v>
      </c>
      <c r="BY168" s="1" t="s">
        <v>170</v>
      </c>
      <c r="BZ168" s="1">
        <v>-78038.69</v>
      </c>
      <c r="CA168" s="1" t="s">
        <v>250</v>
      </c>
      <c r="CB168" s="1" t="s">
        <v>251</v>
      </c>
      <c r="CC168" s="1">
        <v>2407.69</v>
      </c>
      <c r="CD168" s="1">
        <v>2407.69</v>
      </c>
      <c r="CE168" s="1">
        <v>513416.04</v>
      </c>
      <c r="CF168" s="1">
        <v>513416.04</v>
      </c>
      <c r="CG168" s="1">
        <v>0</v>
      </c>
      <c r="CH168" s="1">
        <v>1.4438757900000001</v>
      </c>
      <c r="CI168" s="1">
        <v>13.27863496</v>
      </c>
      <c r="CJ168" s="1">
        <v>17588381.91</v>
      </c>
      <c r="CK168" s="1">
        <v>1912503.72</v>
      </c>
      <c r="CL168" s="1">
        <v>6269233.6699999999</v>
      </c>
      <c r="CM168" s="1" t="s">
        <v>164</v>
      </c>
      <c r="CN168" s="1" t="s">
        <v>164</v>
      </c>
      <c r="CO168" s="1" t="s">
        <v>184</v>
      </c>
      <c r="CP168" s="1" t="s">
        <v>243</v>
      </c>
      <c r="CQ168" s="3" t="s">
        <v>252</v>
      </c>
      <c r="CR168" s="1">
        <v>0</v>
      </c>
      <c r="CS168" s="1" t="s">
        <v>243</v>
      </c>
      <c r="CT168" s="1">
        <v>0.41483186999999999</v>
      </c>
      <c r="CV168" s="1">
        <v>0</v>
      </c>
      <c r="CW168" s="1">
        <v>-219173.26</v>
      </c>
      <c r="DA168" s="1">
        <v>1355558.46</v>
      </c>
      <c r="DB168" s="1">
        <v>0</v>
      </c>
      <c r="DC168" s="1">
        <v>2520.3126550000002</v>
      </c>
      <c r="DD168" s="1">
        <v>52555.483399999997</v>
      </c>
      <c r="DE168" s="1">
        <v>-296353.43</v>
      </c>
      <c r="DF168" s="1">
        <v>92570020.519999996</v>
      </c>
      <c r="DG168" s="1">
        <v>-605.08000000000004</v>
      </c>
      <c r="DH168" s="1">
        <v>394770.09</v>
      </c>
      <c r="DI168" s="1">
        <v>0.29803809999999997</v>
      </c>
      <c r="DK168" s="1">
        <v>0</v>
      </c>
      <c r="DL168" s="1">
        <v>0</v>
      </c>
      <c r="DM168" s="1">
        <v>-296353.43</v>
      </c>
      <c r="DN168" s="1">
        <v>0</v>
      </c>
      <c r="DO168" s="1">
        <v>0</v>
      </c>
      <c r="DP168" s="1">
        <v>16777215</v>
      </c>
      <c r="DQ168" s="1">
        <v>0</v>
      </c>
      <c r="DR168" s="1">
        <v>0</v>
      </c>
      <c r="DS168" s="1">
        <v>0</v>
      </c>
      <c r="DT168" s="1">
        <v>0</v>
      </c>
      <c r="DU168" s="1">
        <v>0</v>
      </c>
      <c r="DV168" s="1">
        <v>512810.96</v>
      </c>
      <c r="DW168" s="1">
        <v>512810.96</v>
      </c>
      <c r="DX168" s="1">
        <v>31345322.399999999</v>
      </c>
      <c r="DY168" s="1">
        <v>-1110160.2399999984</v>
      </c>
      <c r="DZ168" s="1">
        <v>92570020.519999966</v>
      </c>
      <c r="EA168" s="1">
        <v>0</v>
      </c>
      <c r="EB168" s="1">
        <v>0</v>
      </c>
      <c r="EC168" s="1" t="s">
        <v>176</v>
      </c>
      <c r="EE168" s="1">
        <v>0</v>
      </c>
      <c r="EF168" s="1">
        <v>3</v>
      </c>
      <c r="EG168" s="1">
        <v>0</v>
      </c>
      <c r="EH168" s="3">
        <v>0.55397088000000005</v>
      </c>
      <c r="EI168" s="1">
        <v>0</v>
      </c>
      <c r="EL168" s="1">
        <v>0</v>
      </c>
      <c r="EM168" s="1">
        <v>0</v>
      </c>
      <c r="EN168" s="1">
        <v>1633661.45</v>
      </c>
      <c r="EO168" s="1">
        <v>1.2333592799999999</v>
      </c>
      <c r="ER168" s="1">
        <v>102.734030054645</v>
      </c>
      <c r="ES168" s="1">
        <v>1</v>
      </c>
      <c r="ET168" s="3">
        <v>5.0251146240000004</v>
      </c>
      <c r="EU168" s="3">
        <v>3.1548040909999999</v>
      </c>
      <c r="EV168" s="3">
        <v>3.0859831908589999</v>
      </c>
      <c r="EW168" s="3">
        <v>3.4328767120000001</v>
      </c>
      <c r="EX168" s="3">
        <v>0.124062691</v>
      </c>
      <c r="EY168" s="3">
        <v>36</v>
      </c>
      <c r="EZ168" s="3">
        <v>1253</v>
      </c>
      <c r="FA168" s="1">
        <v>0</v>
      </c>
      <c r="FB168" s="1">
        <v>0</v>
      </c>
      <c r="FC168" s="3">
        <v>6.1553522520000001</v>
      </c>
      <c r="FD168" s="1">
        <v>0</v>
      </c>
      <c r="FE168" s="1">
        <v>0</v>
      </c>
    </row>
    <row r="169" spans="1:161" x14ac:dyDescent="0.3">
      <c r="A169" s="1">
        <v>16975512</v>
      </c>
      <c r="B169" s="1">
        <v>128</v>
      </c>
      <c r="C169" s="1">
        <v>10613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5</v>
      </c>
      <c r="J169" s="3">
        <v>5</v>
      </c>
      <c r="K169" s="1">
        <v>500000</v>
      </c>
      <c r="L169" s="1">
        <v>500000</v>
      </c>
      <c r="M169" s="1">
        <v>500000</v>
      </c>
      <c r="N169" s="3">
        <v>500000</v>
      </c>
      <c r="O169" s="1">
        <v>499180</v>
      </c>
      <c r="P169" s="1">
        <v>499180</v>
      </c>
      <c r="Q169" s="1">
        <v>499180</v>
      </c>
      <c r="R169" s="1">
        <v>499180</v>
      </c>
      <c r="S169" s="1">
        <v>500000</v>
      </c>
      <c r="T169" s="1">
        <v>500000</v>
      </c>
      <c r="U169" s="1">
        <v>500000</v>
      </c>
      <c r="V169" s="1">
        <v>500000</v>
      </c>
      <c r="W169" s="1">
        <v>0</v>
      </c>
      <c r="X169" s="1">
        <v>0</v>
      </c>
      <c r="Y169" s="1">
        <v>0</v>
      </c>
      <c r="Z169" s="1">
        <v>0</v>
      </c>
      <c r="AA169" s="1">
        <v>7781.86</v>
      </c>
      <c r="AB169" s="1">
        <v>7781.86</v>
      </c>
      <c r="AC169" s="1">
        <v>7781.86</v>
      </c>
      <c r="AD169" s="1">
        <v>7781.86</v>
      </c>
      <c r="AE169" s="3" t="s">
        <v>693</v>
      </c>
      <c r="AF169" s="3" t="s">
        <v>161</v>
      </c>
      <c r="AG169" s="1" t="s">
        <v>970</v>
      </c>
      <c r="AH169" s="3" t="s">
        <v>694</v>
      </c>
      <c r="AI169" s="1">
        <v>4</v>
      </c>
      <c r="AJ169" s="3" t="s">
        <v>165</v>
      </c>
      <c r="AK169" s="1" t="s">
        <v>176</v>
      </c>
      <c r="AL169" s="3">
        <v>101.369037857748</v>
      </c>
      <c r="AM169" s="3">
        <v>101.243021857925</v>
      </c>
      <c r="AN169" s="3">
        <v>506215.11</v>
      </c>
      <c r="AO169" s="3">
        <v>506215.11</v>
      </c>
      <c r="AP169" s="1" t="s">
        <v>164</v>
      </c>
      <c r="AQ169" s="1">
        <v>4</v>
      </c>
      <c r="AR169" s="1" t="s">
        <v>165</v>
      </c>
      <c r="AS169" s="3">
        <v>132534288.59999999</v>
      </c>
      <c r="AT169" s="1" t="s">
        <v>176</v>
      </c>
      <c r="AU169" s="1">
        <v>1</v>
      </c>
      <c r="AV169" s="1">
        <v>1</v>
      </c>
      <c r="AW169" s="3" t="s">
        <v>210</v>
      </c>
      <c r="AX169" s="3" t="s">
        <v>237</v>
      </c>
      <c r="AY169" s="1">
        <v>0</v>
      </c>
      <c r="BA169" s="3">
        <v>8205251.6799999997</v>
      </c>
      <c r="BB169" s="1">
        <v>1</v>
      </c>
      <c r="BD169" s="1" t="s">
        <v>971</v>
      </c>
      <c r="BE169" s="1">
        <v>1</v>
      </c>
      <c r="BF169" s="1">
        <v>1</v>
      </c>
      <c r="BG169" s="1" t="s">
        <v>168</v>
      </c>
      <c r="BH169" s="1">
        <v>0</v>
      </c>
      <c r="BI169" s="1">
        <v>31345322.399999999</v>
      </c>
      <c r="BJ169" s="1">
        <v>0</v>
      </c>
      <c r="BK169" s="1">
        <v>123618989.48999999</v>
      </c>
      <c r="BL169" s="1">
        <v>132456249.91</v>
      </c>
      <c r="BM169" s="1">
        <v>596150.00000000012</v>
      </c>
      <c r="BN169" s="1">
        <v>9219855.2300000004</v>
      </c>
      <c r="BO169" s="1">
        <v>23.664660909999998</v>
      </c>
      <c r="BP169" s="1">
        <v>0.45007313999999998</v>
      </c>
      <c r="BQ169" s="1">
        <v>6.9606796500000003</v>
      </c>
      <c r="BR169" s="1">
        <v>0.38217532999999998</v>
      </c>
      <c r="BS169" s="1" t="s">
        <v>169</v>
      </c>
      <c r="BT169" s="1" t="s">
        <v>169</v>
      </c>
      <c r="BU169" s="1">
        <v>26356083.120000001</v>
      </c>
      <c r="BV169" s="1">
        <v>0</v>
      </c>
      <c r="BW169" s="1">
        <v>-630.08000000000004</v>
      </c>
      <c r="BX169" s="1">
        <v>-0.13</v>
      </c>
      <c r="BY169" s="1" t="s">
        <v>170</v>
      </c>
      <c r="BZ169" s="1">
        <v>-78038.69</v>
      </c>
      <c r="CA169" s="1" t="s">
        <v>250</v>
      </c>
      <c r="CB169" s="1" t="s">
        <v>251</v>
      </c>
      <c r="CC169" s="1">
        <v>-116.67</v>
      </c>
      <c r="CD169" s="1">
        <v>-116.67</v>
      </c>
      <c r="CE169" s="1">
        <v>506845.19</v>
      </c>
      <c r="CF169" s="1">
        <v>506845.19</v>
      </c>
      <c r="CG169" s="1">
        <v>0</v>
      </c>
      <c r="CH169" s="1">
        <v>1.4438757900000001</v>
      </c>
      <c r="CI169" s="1">
        <v>13.27863496</v>
      </c>
      <c r="CJ169" s="1">
        <v>17588381.91</v>
      </c>
      <c r="CK169" s="1">
        <v>1912503.72</v>
      </c>
      <c r="CL169" s="1">
        <v>6269233.6699999999</v>
      </c>
      <c r="CM169" s="1" t="s">
        <v>164</v>
      </c>
      <c r="CN169" s="1" t="s">
        <v>164</v>
      </c>
      <c r="CO169" s="1" t="s">
        <v>184</v>
      </c>
      <c r="CP169" s="1" t="s">
        <v>243</v>
      </c>
      <c r="CQ169" s="3" t="s">
        <v>252</v>
      </c>
      <c r="CR169" s="1">
        <v>0</v>
      </c>
      <c r="CS169" s="1" t="s">
        <v>243</v>
      </c>
      <c r="CT169" s="1">
        <v>0.40949624000000001</v>
      </c>
      <c r="CV169" s="1">
        <v>0</v>
      </c>
      <c r="CW169" s="1">
        <v>-219173.26</v>
      </c>
      <c r="DA169" s="1">
        <v>1355558.46</v>
      </c>
      <c r="DB169" s="1">
        <v>0</v>
      </c>
      <c r="DC169" s="1">
        <v>2520.3126550000002</v>
      </c>
      <c r="DD169" s="1">
        <v>52555.483399999997</v>
      </c>
      <c r="DE169" s="1">
        <v>-296353.43</v>
      </c>
      <c r="DF169" s="1">
        <v>92570020.519999996</v>
      </c>
      <c r="DG169" s="1">
        <v>-630.08000000000004</v>
      </c>
      <c r="DH169" s="1">
        <v>394770.09</v>
      </c>
      <c r="DI169" s="1">
        <v>0.29803809999999997</v>
      </c>
      <c r="DK169" s="1">
        <v>0</v>
      </c>
      <c r="DL169" s="1">
        <v>0</v>
      </c>
      <c r="DM169" s="1">
        <v>-296353.43</v>
      </c>
      <c r="DN169" s="1">
        <v>0</v>
      </c>
      <c r="DO169" s="1">
        <v>0</v>
      </c>
      <c r="DP169" s="1">
        <v>16777215</v>
      </c>
      <c r="DQ169" s="1">
        <v>0</v>
      </c>
      <c r="DR169" s="1">
        <v>0</v>
      </c>
      <c r="DS169" s="1">
        <v>0</v>
      </c>
      <c r="DT169" s="1">
        <v>0</v>
      </c>
      <c r="DU169" s="1">
        <v>0</v>
      </c>
      <c r="DV169" s="1">
        <v>506215.11</v>
      </c>
      <c r="DW169" s="1">
        <v>506215.11</v>
      </c>
      <c r="DX169" s="1">
        <v>31345322.399999999</v>
      </c>
      <c r="DY169" s="1">
        <v>-1110160.2399999984</v>
      </c>
      <c r="DZ169" s="1">
        <v>92570020.519999966</v>
      </c>
      <c r="EA169" s="1">
        <v>0</v>
      </c>
      <c r="EB169" s="1">
        <v>0</v>
      </c>
      <c r="EC169" s="1" t="s">
        <v>176</v>
      </c>
      <c r="EE169" s="1">
        <v>0</v>
      </c>
      <c r="EF169" s="1">
        <v>3</v>
      </c>
      <c r="EG169" s="1">
        <v>0</v>
      </c>
      <c r="EH169" s="3">
        <v>0.54684562999999997</v>
      </c>
      <c r="EI169" s="1">
        <v>0</v>
      </c>
      <c r="EL169" s="1">
        <v>0</v>
      </c>
      <c r="EM169" s="1">
        <v>0</v>
      </c>
      <c r="EN169" s="1">
        <v>1633661.45</v>
      </c>
      <c r="EO169" s="1">
        <v>1.2333592799999999</v>
      </c>
      <c r="ER169" s="1">
        <v>101.46036065574</v>
      </c>
      <c r="ES169" s="1">
        <v>1</v>
      </c>
      <c r="ET169" s="3">
        <v>5.0273052610000004</v>
      </c>
      <c r="EU169" s="3">
        <v>4.2259720229999997</v>
      </c>
      <c r="EV169" s="3">
        <v>4.0824492685899996</v>
      </c>
      <c r="EW169" s="3">
        <v>4.6849315069999999</v>
      </c>
      <c r="EX169" s="3">
        <v>0.21089611599999999</v>
      </c>
      <c r="EY169" s="3">
        <v>48</v>
      </c>
      <c r="EZ169" s="3">
        <v>1710</v>
      </c>
      <c r="FA169" s="1">
        <v>0</v>
      </c>
      <c r="FB169" s="1">
        <v>0</v>
      </c>
      <c r="FC169" s="3">
        <v>5.4293955790000004</v>
      </c>
      <c r="FD169" s="1">
        <v>0</v>
      </c>
      <c r="FE169" s="1">
        <v>0</v>
      </c>
    </row>
    <row r="170" spans="1:161" x14ac:dyDescent="0.3">
      <c r="A170" s="1">
        <v>16975525</v>
      </c>
      <c r="B170" s="1">
        <v>128</v>
      </c>
      <c r="C170" s="1">
        <v>10554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6</v>
      </c>
      <c r="J170" s="3">
        <v>6</v>
      </c>
      <c r="K170" s="1">
        <v>600000</v>
      </c>
      <c r="L170" s="1">
        <v>600000</v>
      </c>
      <c r="M170" s="1">
        <v>600000</v>
      </c>
      <c r="N170" s="3">
        <v>600000</v>
      </c>
      <c r="O170" s="1">
        <v>601272</v>
      </c>
      <c r="P170" s="1">
        <v>601272</v>
      </c>
      <c r="Q170" s="1">
        <v>601272</v>
      </c>
      <c r="R170" s="1">
        <v>601272</v>
      </c>
      <c r="S170" s="1">
        <v>600000</v>
      </c>
      <c r="T170" s="1">
        <v>600000</v>
      </c>
      <c r="U170" s="1">
        <v>600000</v>
      </c>
      <c r="V170" s="1">
        <v>600000</v>
      </c>
      <c r="W170" s="1">
        <v>0</v>
      </c>
      <c r="X170" s="1">
        <v>0</v>
      </c>
      <c r="Y170" s="1">
        <v>0</v>
      </c>
      <c r="Z170" s="1">
        <v>0</v>
      </c>
      <c r="AA170" s="1">
        <v>10111.59</v>
      </c>
      <c r="AB170" s="1">
        <v>10111.59</v>
      </c>
      <c r="AC170" s="1">
        <v>10111.59</v>
      </c>
      <c r="AD170" s="1">
        <v>10111.59</v>
      </c>
      <c r="AE170" s="3" t="s">
        <v>685</v>
      </c>
      <c r="AF170" s="3" t="s">
        <v>161</v>
      </c>
      <c r="AG170" s="1" t="s">
        <v>970</v>
      </c>
      <c r="AH170" s="3" t="s">
        <v>686</v>
      </c>
      <c r="AI170" s="1">
        <v>4</v>
      </c>
      <c r="AJ170" s="3" t="s">
        <v>165</v>
      </c>
      <c r="AK170" s="1" t="s">
        <v>176</v>
      </c>
      <c r="AL170" s="3">
        <v>101.234217350077</v>
      </c>
      <c r="AM170" s="3">
        <v>101.182125683059</v>
      </c>
      <c r="AN170" s="3">
        <v>607092.75</v>
      </c>
      <c r="AO170" s="3">
        <v>607092.75</v>
      </c>
      <c r="AP170" s="1" t="s">
        <v>164</v>
      </c>
      <c r="AQ170" s="1">
        <v>4</v>
      </c>
      <c r="AR170" s="1" t="s">
        <v>165</v>
      </c>
      <c r="AS170" s="3">
        <v>132534288.59999999</v>
      </c>
      <c r="AT170" s="1" t="s">
        <v>176</v>
      </c>
      <c r="AU170" s="1">
        <v>1</v>
      </c>
      <c r="AV170" s="1">
        <v>1</v>
      </c>
      <c r="AW170" s="3" t="s">
        <v>210</v>
      </c>
      <c r="AX170" s="3" t="s">
        <v>237</v>
      </c>
      <c r="AY170" s="1">
        <v>0</v>
      </c>
      <c r="BA170" s="3">
        <v>8205251.6799999997</v>
      </c>
      <c r="BB170" s="1">
        <v>1</v>
      </c>
      <c r="BD170" s="1" t="s">
        <v>971</v>
      </c>
      <c r="BE170" s="1">
        <v>1</v>
      </c>
      <c r="BF170" s="1">
        <v>1</v>
      </c>
      <c r="BG170" s="1" t="s">
        <v>168</v>
      </c>
      <c r="BH170" s="1">
        <v>0</v>
      </c>
      <c r="BI170" s="1">
        <v>31345322.399999999</v>
      </c>
      <c r="BJ170" s="1">
        <v>0</v>
      </c>
      <c r="BK170" s="1">
        <v>123618989.48999999</v>
      </c>
      <c r="BL170" s="1">
        <v>132456249.91</v>
      </c>
      <c r="BM170" s="1">
        <v>596150.00000000012</v>
      </c>
      <c r="BN170" s="1">
        <v>9219855.2300000004</v>
      </c>
      <c r="BO170" s="1">
        <v>23.664660909999998</v>
      </c>
      <c r="BP170" s="1">
        <v>0.45007313999999998</v>
      </c>
      <c r="BQ170" s="1">
        <v>6.9606796500000003</v>
      </c>
      <c r="BR170" s="1">
        <v>0.45833454000000001</v>
      </c>
      <c r="BS170" s="1" t="s">
        <v>169</v>
      </c>
      <c r="BT170" s="1" t="s">
        <v>169</v>
      </c>
      <c r="BU170" s="1">
        <v>26356083.120000001</v>
      </c>
      <c r="BV170" s="1">
        <v>0</v>
      </c>
      <c r="BW170" s="1">
        <v>-312.55</v>
      </c>
      <c r="BX170" s="1">
        <v>-0.05</v>
      </c>
      <c r="BY170" s="1" t="s">
        <v>170</v>
      </c>
      <c r="BZ170" s="1">
        <v>-78038.69</v>
      </c>
      <c r="CA170" s="1" t="s">
        <v>250</v>
      </c>
      <c r="CB170" s="1" t="s">
        <v>251</v>
      </c>
      <c r="CC170" s="1">
        <v>-3978.29</v>
      </c>
      <c r="CD170" s="1">
        <v>-3978.29</v>
      </c>
      <c r="CE170" s="1">
        <v>607405.30000000005</v>
      </c>
      <c r="CF170" s="1">
        <v>607405.30000000005</v>
      </c>
      <c r="CG170" s="1">
        <v>0</v>
      </c>
      <c r="CH170" s="1">
        <v>1.4438757900000001</v>
      </c>
      <c r="CI170" s="1">
        <v>13.27863496</v>
      </c>
      <c r="CJ170" s="1">
        <v>17588381.91</v>
      </c>
      <c r="CK170" s="1">
        <v>1912503.72</v>
      </c>
      <c r="CL170" s="1">
        <v>6269233.6699999999</v>
      </c>
      <c r="CM170" s="1" t="s">
        <v>164</v>
      </c>
      <c r="CN170" s="1" t="s">
        <v>164</v>
      </c>
      <c r="CO170" s="1" t="s">
        <v>184</v>
      </c>
      <c r="CP170" s="1" t="s">
        <v>243</v>
      </c>
      <c r="CQ170" s="3" t="s">
        <v>252</v>
      </c>
      <c r="CR170" s="1">
        <v>0</v>
      </c>
      <c r="CS170" s="1" t="s">
        <v>243</v>
      </c>
      <c r="CT170" s="1">
        <v>0.49109990999999997</v>
      </c>
      <c r="CV170" s="1">
        <v>0</v>
      </c>
      <c r="CW170" s="1">
        <v>-219173.26</v>
      </c>
      <c r="DA170" s="1">
        <v>1355558.46</v>
      </c>
      <c r="DB170" s="1">
        <v>0</v>
      </c>
      <c r="DC170" s="1">
        <v>2520.3126550000002</v>
      </c>
      <c r="DD170" s="1">
        <v>52555.483399999997</v>
      </c>
      <c r="DE170" s="1">
        <v>-296353.43</v>
      </c>
      <c r="DF170" s="1">
        <v>92570020.519999996</v>
      </c>
      <c r="DG170" s="1">
        <v>-312.55</v>
      </c>
      <c r="DH170" s="1">
        <v>394770.09</v>
      </c>
      <c r="DI170" s="1">
        <v>0.29803809999999997</v>
      </c>
      <c r="DK170" s="1">
        <v>0</v>
      </c>
      <c r="DL170" s="1">
        <v>0</v>
      </c>
      <c r="DM170" s="1">
        <v>-296353.43</v>
      </c>
      <c r="DN170" s="1">
        <v>0</v>
      </c>
      <c r="DO170" s="1">
        <v>0</v>
      </c>
      <c r="DP170" s="1">
        <v>16777215</v>
      </c>
      <c r="DQ170" s="1">
        <v>0</v>
      </c>
      <c r="DR170" s="1">
        <v>0</v>
      </c>
      <c r="DS170" s="1">
        <v>0</v>
      </c>
      <c r="DT170" s="1">
        <v>0</v>
      </c>
      <c r="DU170" s="1">
        <v>0</v>
      </c>
      <c r="DV170" s="1">
        <v>607092.75</v>
      </c>
      <c r="DW170" s="1">
        <v>607092.75</v>
      </c>
      <c r="DX170" s="1">
        <v>31345322.399999999</v>
      </c>
      <c r="DY170" s="1">
        <v>-1110160.2399999984</v>
      </c>
      <c r="DZ170" s="1">
        <v>92570020.519999966</v>
      </c>
      <c r="EA170" s="1">
        <v>0</v>
      </c>
      <c r="EB170" s="1">
        <v>0</v>
      </c>
      <c r="EC170" s="1" t="s">
        <v>176</v>
      </c>
      <c r="EE170" s="1">
        <v>0</v>
      </c>
      <c r="EF170" s="1">
        <v>3</v>
      </c>
      <c r="EG170" s="1">
        <v>0</v>
      </c>
      <c r="EH170" s="3">
        <v>0.65582004000000005</v>
      </c>
      <c r="EI170" s="1">
        <v>0</v>
      </c>
      <c r="EL170" s="1">
        <v>0</v>
      </c>
      <c r="EM170" s="1">
        <v>0</v>
      </c>
      <c r="EN170" s="1">
        <v>1633661.45</v>
      </c>
      <c r="EO170" s="1">
        <v>1.2333592799999999</v>
      </c>
      <c r="ER170" s="1">
        <v>101.235489071038</v>
      </c>
      <c r="ES170" s="1">
        <v>1</v>
      </c>
      <c r="ET170" s="3">
        <v>4.8307917460000001</v>
      </c>
      <c r="EU170" s="3">
        <v>2.4891586760000002</v>
      </c>
      <c r="EV170" s="3">
        <v>2.4037898756890002</v>
      </c>
      <c r="EW170" s="3">
        <v>2.6219178080000001</v>
      </c>
      <c r="EX170" s="3">
        <v>8.0874408999999994E-2</v>
      </c>
      <c r="EY170" s="3">
        <v>28</v>
      </c>
      <c r="EZ170" s="3">
        <v>957</v>
      </c>
      <c r="FA170" s="1">
        <v>0</v>
      </c>
      <c r="FB170" s="1">
        <v>0</v>
      </c>
      <c r="FC170" s="3">
        <v>5.259686061</v>
      </c>
      <c r="FD170" s="1">
        <v>0</v>
      </c>
      <c r="FE170" s="1">
        <v>0</v>
      </c>
    </row>
    <row r="171" spans="1:161" x14ac:dyDescent="0.3">
      <c r="A171" s="1">
        <v>16975569</v>
      </c>
      <c r="B171" s="1">
        <v>128</v>
      </c>
      <c r="C171" s="1">
        <v>10577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2000</v>
      </c>
      <c r="J171" s="3">
        <v>2000</v>
      </c>
      <c r="K171" s="1">
        <v>2000000</v>
      </c>
      <c r="L171" s="1">
        <v>2000000</v>
      </c>
      <c r="M171" s="1">
        <v>2000000</v>
      </c>
      <c r="N171" s="3">
        <v>2000000</v>
      </c>
      <c r="O171" s="1">
        <v>1997710</v>
      </c>
      <c r="P171" s="1">
        <v>1997710</v>
      </c>
      <c r="Q171" s="1">
        <v>1997710</v>
      </c>
      <c r="R171" s="1">
        <v>1997710</v>
      </c>
      <c r="S171" s="1">
        <v>2000000</v>
      </c>
      <c r="T171" s="1">
        <v>2000000</v>
      </c>
      <c r="U171" s="1">
        <v>2000000</v>
      </c>
      <c r="V171" s="1">
        <v>2000000</v>
      </c>
      <c r="W171" s="1">
        <v>13268.44</v>
      </c>
      <c r="X171" s="1">
        <v>13268.44</v>
      </c>
      <c r="Y171" s="1">
        <v>13268.44</v>
      </c>
      <c r="Z171" s="1">
        <v>13268.44</v>
      </c>
      <c r="AA171" s="1">
        <v>17844.28</v>
      </c>
      <c r="AB171" s="1">
        <v>17844.28</v>
      </c>
      <c r="AC171" s="1">
        <v>17844.28</v>
      </c>
      <c r="AD171" s="1">
        <v>17844.28</v>
      </c>
      <c r="AE171" s="3" t="s">
        <v>687</v>
      </c>
      <c r="AF171" s="3" t="s">
        <v>161</v>
      </c>
      <c r="AG171" s="1" t="s">
        <v>970</v>
      </c>
      <c r="AH171" s="3" t="s">
        <v>688</v>
      </c>
      <c r="AI171" s="1">
        <v>4</v>
      </c>
      <c r="AJ171" s="3" t="s">
        <v>165</v>
      </c>
      <c r="AK171" s="1" t="s">
        <v>191</v>
      </c>
      <c r="AL171" s="3">
        <v>101.582303614738</v>
      </c>
      <c r="AM171" s="3">
        <v>101.596713114754</v>
      </c>
      <c r="AN171" s="3">
        <v>2031934.26</v>
      </c>
      <c r="AO171" s="3">
        <v>2031934.26</v>
      </c>
      <c r="AP171" s="1" t="s">
        <v>164</v>
      </c>
      <c r="AQ171" s="1">
        <v>4</v>
      </c>
      <c r="AR171" s="1" t="s">
        <v>165</v>
      </c>
      <c r="AS171" s="3">
        <v>132534288.59999999</v>
      </c>
      <c r="AT171" s="1" t="s">
        <v>176</v>
      </c>
      <c r="AU171" s="1">
        <v>1</v>
      </c>
      <c r="AV171" s="1">
        <v>1</v>
      </c>
      <c r="AW171" s="3" t="s">
        <v>210</v>
      </c>
      <c r="AX171" s="3" t="s">
        <v>237</v>
      </c>
      <c r="AY171" s="1">
        <v>0</v>
      </c>
      <c r="BA171" s="3">
        <v>8205251.6799999997</v>
      </c>
      <c r="BB171" s="1">
        <v>1</v>
      </c>
      <c r="BD171" s="1" t="s">
        <v>971</v>
      </c>
      <c r="BE171" s="1">
        <v>1</v>
      </c>
      <c r="BF171" s="1">
        <v>1</v>
      </c>
      <c r="BG171" s="1" t="s">
        <v>168</v>
      </c>
      <c r="BH171" s="1">
        <v>0</v>
      </c>
      <c r="BI171" s="1">
        <v>31345322.399999999</v>
      </c>
      <c r="BJ171" s="1">
        <v>0</v>
      </c>
      <c r="BK171" s="1">
        <v>123618989.48999999</v>
      </c>
      <c r="BL171" s="1">
        <v>132456249.91</v>
      </c>
      <c r="BM171" s="1">
        <v>596150.00000000012</v>
      </c>
      <c r="BN171" s="1">
        <v>9219855.2300000004</v>
      </c>
      <c r="BO171" s="1">
        <v>23.664660909999998</v>
      </c>
      <c r="BP171" s="1">
        <v>0.45007313999999998</v>
      </c>
      <c r="BQ171" s="1">
        <v>6.9606796500000003</v>
      </c>
      <c r="BR171" s="1">
        <v>1.53404181</v>
      </c>
      <c r="BS171" s="1" t="s">
        <v>169</v>
      </c>
      <c r="BT171" s="1" t="s">
        <v>169</v>
      </c>
      <c r="BU171" s="1">
        <v>26356083.120000001</v>
      </c>
      <c r="BV171" s="1">
        <v>0</v>
      </c>
      <c r="BW171" s="1">
        <v>288.19</v>
      </c>
      <c r="BX171" s="1">
        <v>0.01</v>
      </c>
      <c r="BY171" s="1" t="s">
        <v>170</v>
      </c>
      <c r="BZ171" s="1">
        <v>-78038.69</v>
      </c>
      <c r="CA171" s="1" t="s">
        <v>250</v>
      </c>
      <c r="CB171" s="1" t="s">
        <v>251</v>
      </c>
      <c r="CC171" s="1">
        <v>2823.35</v>
      </c>
      <c r="CD171" s="1">
        <v>2823.35</v>
      </c>
      <c r="CE171" s="1">
        <v>2031646.07</v>
      </c>
      <c r="CF171" s="1">
        <v>2031646.07</v>
      </c>
      <c r="CG171" s="1">
        <v>0</v>
      </c>
      <c r="CH171" s="1">
        <v>1.4438757900000001</v>
      </c>
      <c r="CI171" s="1">
        <v>13.27863496</v>
      </c>
      <c r="CJ171" s="1">
        <v>17588381.91</v>
      </c>
      <c r="CK171" s="1">
        <v>1912503.72</v>
      </c>
      <c r="CL171" s="1">
        <v>6269233.6699999999</v>
      </c>
      <c r="CM171" s="1" t="s">
        <v>164</v>
      </c>
      <c r="CN171" s="1" t="s">
        <v>164</v>
      </c>
      <c r="CO171" s="1" t="s">
        <v>184</v>
      </c>
      <c r="CP171" s="1" t="s">
        <v>243</v>
      </c>
      <c r="CQ171" s="3" t="s">
        <v>252</v>
      </c>
      <c r="CR171" s="1">
        <v>0</v>
      </c>
      <c r="CS171" s="1" t="s">
        <v>243</v>
      </c>
      <c r="CT171" s="1">
        <v>1.64370722</v>
      </c>
      <c r="CV171" s="1">
        <v>0</v>
      </c>
      <c r="CW171" s="1">
        <v>-219173.26</v>
      </c>
      <c r="DA171" s="1">
        <v>1355558.46</v>
      </c>
      <c r="DB171" s="1">
        <v>0</v>
      </c>
      <c r="DC171" s="1">
        <v>2520.3126550000002</v>
      </c>
      <c r="DD171" s="1">
        <v>52555.483399999997</v>
      </c>
      <c r="DE171" s="1">
        <v>-296353.43</v>
      </c>
      <c r="DF171" s="1">
        <v>92570020.519999996</v>
      </c>
      <c r="DG171" s="1">
        <v>288.19</v>
      </c>
      <c r="DH171" s="1">
        <v>394770.09</v>
      </c>
      <c r="DI171" s="1">
        <v>0.29803809999999997</v>
      </c>
      <c r="DK171" s="1">
        <v>0</v>
      </c>
      <c r="DL171" s="1">
        <v>0</v>
      </c>
      <c r="DM171" s="1">
        <v>-296353.43</v>
      </c>
      <c r="DN171" s="1">
        <v>0</v>
      </c>
      <c r="DO171" s="1">
        <v>0</v>
      </c>
      <c r="DP171" s="1">
        <v>16777215</v>
      </c>
      <c r="DQ171" s="1">
        <v>0</v>
      </c>
      <c r="DR171" s="1">
        <v>0</v>
      </c>
      <c r="DS171" s="1">
        <v>0</v>
      </c>
      <c r="DT171" s="1">
        <v>0</v>
      </c>
      <c r="DU171" s="1">
        <v>0</v>
      </c>
      <c r="DV171" s="1">
        <v>2031934.26</v>
      </c>
      <c r="DW171" s="1">
        <v>2031934.26</v>
      </c>
      <c r="DX171" s="1">
        <v>31345322.399999999</v>
      </c>
      <c r="DY171" s="1">
        <v>-1110160.2399999984</v>
      </c>
      <c r="DZ171" s="1">
        <v>92570020.519999966</v>
      </c>
      <c r="EA171" s="1">
        <v>0</v>
      </c>
      <c r="EB171" s="1">
        <v>0</v>
      </c>
      <c r="EC171" s="1" t="s">
        <v>176</v>
      </c>
      <c r="EE171" s="1">
        <v>0</v>
      </c>
      <c r="EF171" s="1">
        <v>3</v>
      </c>
      <c r="EG171" s="1">
        <v>0</v>
      </c>
      <c r="EH171" s="3">
        <v>2.1950240999999999</v>
      </c>
      <c r="EI171" s="1">
        <v>0</v>
      </c>
      <c r="EL171" s="1">
        <v>0</v>
      </c>
      <c r="EM171" s="1">
        <v>0</v>
      </c>
      <c r="EN171" s="1">
        <v>1633661.45</v>
      </c>
      <c r="EO171" s="1">
        <v>1.2333592799999999</v>
      </c>
      <c r="ER171" s="1">
        <v>101.592576502733</v>
      </c>
      <c r="ES171" s="1">
        <v>1</v>
      </c>
      <c r="ET171" s="3">
        <v>4.5679884780000002</v>
      </c>
      <c r="EU171" s="3">
        <v>0.658469945</v>
      </c>
      <c r="EV171" s="3">
        <v>0.63973362428400005</v>
      </c>
      <c r="EW171" s="3">
        <v>0.66027397300000001</v>
      </c>
      <c r="EX171" s="3">
        <v>9.9872529999999998E-3</v>
      </c>
      <c r="EY171" s="3">
        <v>8</v>
      </c>
      <c r="EZ171" s="3">
        <v>241</v>
      </c>
      <c r="FA171" s="1">
        <v>0</v>
      </c>
      <c r="FB171" s="1">
        <v>0</v>
      </c>
      <c r="FC171" s="3">
        <v>7.2940064309999997</v>
      </c>
      <c r="FD171" s="1">
        <v>0</v>
      </c>
      <c r="FE171" s="1">
        <v>0</v>
      </c>
    </row>
    <row r="172" spans="1:161" x14ac:dyDescent="0.3">
      <c r="A172" s="1">
        <v>16975534</v>
      </c>
      <c r="B172" s="1">
        <v>128</v>
      </c>
      <c r="C172" s="1">
        <v>10297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10</v>
      </c>
      <c r="J172" s="3">
        <v>10</v>
      </c>
      <c r="K172" s="1">
        <v>1000000</v>
      </c>
      <c r="L172" s="1">
        <v>1000000</v>
      </c>
      <c r="M172" s="1">
        <v>1000000</v>
      </c>
      <c r="N172" s="3">
        <v>1000000</v>
      </c>
      <c r="O172" s="1">
        <v>1009980</v>
      </c>
      <c r="P172" s="1">
        <v>1009980</v>
      </c>
      <c r="Q172" s="1">
        <v>1009980</v>
      </c>
      <c r="R172" s="1">
        <v>1009980</v>
      </c>
      <c r="S172" s="1">
        <v>1000000</v>
      </c>
      <c r="T172" s="1">
        <v>1000000</v>
      </c>
      <c r="U172" s="1">
        <v>1000000</v>
      </c>
      <c r="V172" s="1">
        <v>1000000</v>
      </c>
      <c r="W172" s="1">
        <v>0</v>
      </c>
      <c r="X172" s="1">
        <v>0</v>
      </c>
      <c r="Y172" s="1">
        <v>0</v>
      </c>
      <c r="Z172" s="1">
        <v>0</v>
      </c>
      <c r="AA172" s="1">
        <v>6658.29</v>
      </c>
      <c r="AB172" s="1">
        <v>6658.29</v>
      </c>
      <c r="AC172" s="1">
        <v>6658.29</v>
      </c>
      <c r="AD172" s="1">
        <v>6658.29</v>
      </c>
      <c r="AE172" s="3" t="s">
        <v>424</v>
      </c>
      <c r="AF172" s="3" t="s">
        <v>161</v>
      </c>
      <c r="AG172" s="1" t="s">
        <v>970</v>
      </c>
      <c r="AH172" s="3" t="s">
        <v>425</v>
      </c>
      <c r="AI172" s="1">
        <v>4</v>
      </c>
      <c r="AJ172" s="3" t="s">
        <v>165</v>
      </c>
      <c r="AK172" s="1" t="s">
        <v>176</v>
      </c>
      <c r="AL172" s="3">
        <v>100.151622655803</v>
      </c>
      <c r="AM172" s="3">
        <v>100.170860655737</v>
      </c>
      <c r="AN172" s="3">
        <v>1001708.61</v>
      </c>
      <c r="AO172" s="3">
        <v>1001708.61</v>
      </c>
      <c r="AP172" s="1" t="s">
        <v>164</v>
      </c>
      <c r="AQ172" s="1">
        <v>4</v>
      </c>
      <c r="AR172" s="1" t="s">
        <v>165</v>
      </c>
      <c r="AS172" s="3">
        <v>132534288.59999999</v>
      </c>
      <c r="AT172" s="1" t="s">
        <v>176</v>
      </c>
      <c r="AU172" s="1">
        <v>1</v>
      </c>
      <c r="AV172" s="1">
        <v>1</v>
      </c>
      <c r="AW172" s="3" t="s">
        <v>210</v>
      </c>
      <c r="AX172" s="3" t="s">
        <v>211</v>
      </c>
      <c r="AY172" s="1">
        <v>0</v>
      </c>
      <c r="BA172" s="3">
        <v>8205251.6799999997</v>
      </c>
      <c r="BB172" s="1">
        <v>1</v>
      </c>
      <c r="BD172" s="1" t="s">
        <v>971</v>
      </c>
      <c r="BE172" s="1">
        <v>1</v>
      </c>
      <c r="BF172" s="1">
        <v>1</v>
      </c>
      <c r="BG172" s="1" t="s">
        <v>168</v>
      </c>
      <c r="BH172" s="1">
        <v>0</v>
      </c>
      <c r="BI172" s="1">
        <v>31345322.399999999</v>
      </c>
      <c r="BJ172" s="1">
        <v>0</v>
      </c>
      <c r="BK172" s="1">
        <v>123618989.48999999</v>
      </c>
      <c r="BL172" s="1">
        <v>132456249.91</v>
      </c>
      <c r="BM172" s="1">
        <v>596150.00000000012</v>
      </c>
      <c r="BN172" s="1">
        <v>9219855.2300000004</v>
      </c>
      <c r="BO172" s="1">
        <v>23.664660909999998</v>
      </c>
      <c r="BP172" s="1">
        <v>0.45007313999999998</v>
      </c>
      <c r="BQ172" s="1">
        <v>6.9606796500000003</v>
      </c>
      <c r="BR172" s="1">
        <v>0.75625620999999998</v>
      </c>
      <c r="BS172" s="1" t="s">
        <v>169</v>
      </c>
      <c r="BT172" s="1" t="s">
        <v>169</v>
      </c>
      <c r="BU172" s="1">
        <v>26356083.120000001</v>
      </c>
      <c r="BV172" s="1">
        <v>0</v>
      </c>
      <c r="BW172" s="1">
        <v>192.38</v>
      </c>
      <c r="BX172" s="1">
        <v>0.02</v>
      </c>
      <c r="BY172" s="1" t="s">
        <v>170</v>
      </c>
      <c r="BZ172" s="1">
        <v>-78038.69</v>
      </c>
      <c r="CA172" s="1" t="s">
        <v>250</v>
      </c>
      <c r="CB172" s="1" t="s">
        <v>423</v>
      </c>
      <c r="CC172" s="1">
        <v>-15122.06</v>
      </c>
      <c r="CD172" s="1">
        <v>-15122.06</v>
      </c>
      <c r="CE172" s="1">
        <v>1001516.23</v>
      </c>
      <c r="CF172" s="1">
        <v>1001516.23</v>
      </c>
      <c r="CG172" s="1">
        <v>0</v>
      </c>
      <c r="CH172" s="1">
        <v>1.4438757900000001</v>
      </c>
      <c r="CI172" s="1">
        <v>13.27863496</v>
      </c>
      <c r="CJ172" s="1">
        <v>17588381.91</v>
      </c>
      <c r="CK172" s="1">
        <v>1912503.72</v>
      </c>
      <c r="CL172" s="1">
        <v>6269233.6699999999</v>
      </c>
      <c r="CM172" s="1" t="s">
        <v>164</v>
      </c>
      <c r="CN172" s="1" t="s">
        <v>164</v>
      </c>
      <c r="CO172" s="1" t="s">
        <v>184</v>
      </c>
      <c r="CP172" s="1" t="s">
        <v>243</v>
      </c>
      <c r="CQ172" s="3" t="s">
        <v>252</v>
      </c>
      <c r="CR172" s="1">
        <v>0</v>
      </c>
      <c r="CS172" s="1" t="s">
        <v>243</v>
      </c>
      <c r="CT172" s="1">
        <v>0.81031936000000004</v>
      </c>
      <c r="CV172" s="1">
        <v>0</v>
      </c>
      <c r="CW172" s="1">
        <v>-219173.26</v>
      </c>
      <c r="DA172" s="1">
        <v>1355558.46</v>
      </c>
      <c r="DB172" s="1">
        <v>0</v>
      </c>
      <c r="DC172" s="1">
        <v>2520.3126550000002</v>
      </c>
      <c r="DD172" s="1">
        <v>52555.483399999997</v>
      </c>
      <c r="DE172" s="1">
        <v>-296353.43</v>
      </c>
      <c r="DF172" s="1">
        <v>92570020.519999996</v>
      </c>
      <c r="DG172" s="1">
        <v>192.38</v>
      </c>
      <c r="DH172" s="1">
        <v>394770.09</v>
      </c>
      <c r="DI172" s="1">
        <v>0.29803809999999997</v>
      </c>
      <c r="DK172" s="1">
        <v>0</v>
      </c>
      <c r="DL172" s="1">
        <v>0</v>
      </c>
      <c r="DM172" s="1">
        <v>-296353.43</v>
      </c>
      <c r="DN172" s="1">
        <v>0</v>
      </c>
      <c r="DO172" s="1">
        <v>0</v>
      </c>
      <c r="DP172" s="1">
        <v>16777215</v>
      </c>
      <c r="DQ172" s="1">
        <v>0</v>
      </c>
      <c r="DR172" s="1">
        <v>0</v>
      </c>
      <c r="DS172" s="1">
        <v>0</v>
      </c>
      <c r="DT172" s="1">
        <v>0</v>
      </c>
      <c r="DU172" s="1">
        <v>0</v>
      </c>
      <c r="DV172" s="1">
        <v>1001708.61</v>
      </c>
      <c r="DW172" s="1">
        <v>1001708.61</v>
      </c>
      <c r="DX172" s="1">
        <v>31345322.399999999</v>
      </c>
      <c r="DY172" s="1">
        <v>-1110160.2399999984</v>
      </c>
      <c r="DZ172" s="1">
        <v>92570020.519999966</v>
      </c>
      <c r="EA172" s="1">
        <v>0</v>
      </c>
      <c r="EB172" s="1">
        <v>0</v>
      </c>
      <c r="EC172" s="1" t="s">
        <v>176</v>
      </c>
      <c r="EE172" s="1">
        <v>0</v>
      </c>
      <c r="EF172" s="1">
        <v>3</v>
      </c>
      <c r="EG172" s="1">
        <v>0</v>
      </c>
      <c r="EH172" s="3">
        <v>1.0821090900000001</v>
      </c>
      <c r="EI172" s="1">
        <v>0</v>
      </c>
      <c r="EL172" s="1">
        <v>0</v>
      </c>
      <c r="EM172" s="1">
        <v>0</v>
      </c>
      <c r="EN172" s="1">
        <v>1633661.45</v>
      </c>
      <c r="EO172" s="1">
        <v>1.2333592799999999</v>
      </c>
      <c r="ER172" s="1">
        <v>100.186614754099</v>
      </c>
      <c r="ES172" s="1">
        <v>1</v>
      </c>
      <c r="ET172" s="3">
        <v>4.2123883490000003</v>
      </c>
      <c r="EU172" s="3">
        <v>1.7068695810000001</v>
      </c>
      <c r="EV172" s="3">
        <v>1.640932405059</v>
      </c>
      <c r="EW172" s="3">
        <v>1.745205479</v>
      </c>
      <c r="EX172" s="3">
        <v>4.2865197000000001E-2</v>
      </c>
      <c r="EY172" s="3">
        <v>20</v>
      </c>
      <c r="EZ172" s="3">
        <v>637</v>
      </c>
      <c r="FA172" s="1">
        <v>0</v>
      </c>
      <c r="FB172" s="1">
        <v>0</v>
      </c>
      <c r="FC172" s="3">
        <v>3.7210995580000001</v>
      </c>
      <c r="FD172" s="1">
        <v>0</v>
      </c>
      <c r="FE172" s="1">
        <v>0</v>
      </c>
    </row>
    <row r="173" spans="1:161" x14ac:dyDescent="0.3">
      <c r="A173" s="1">
        <v>16975552</v>
      </c>
      <c r="B173" s="1">
        <v>128</v>
      </c>
      <c r="C173" s="1">
        <v>10295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15</v>
      </c>
      <c r="J173" s="3">
        <v>15</v>
      </c>
      <c r="K173" s="1">
        <v>1500000</v>
      </c>
      <c r="L173" s="1">
        <v>1500000</v>
      </c>
      <c r="M173" s="1">
        <v>1500000</v>
      </c>
      <c r="N173" s="3">
        <v>1500000</v>
      </c>
      <c r="O173" s="1">
        <v>1502220</v>
      </c>
      <c r="P173" s="1">
        <v>1502220</v>
      </c>
      <c r="Q173" s="1">
        <v>1502220</v>
      </c>
      <c r="R173" s="1">
        <v>1502220</v>
      </c>
      <c r="S173" s="1">
        <v>1500000</v>
      </c>
      <c r="T173" s="1">
        <v>1500000</v>
      </c>
      <c r="U173" s="1">
        <v>1500000</v>
      </c>
      <c r="V173" s="1">
        <v>1500000</v>
      </c>
      <c r="W173" s="1">
        <v>3070.36</v>
      </c>
      <c r="X173" s="1">
        <v>3070.36</v>
      </c>
      <c r="Y173" s="1">
        <v>3070.36</v>
      </c>
      <c r="Z173" s="1">
        <v>3070.36</v>
      </c>
      <c r="AA173" s="1">
        <v>16264.61</v>
      </c>
      <c r="AB173" s="1">
        <v>16264.61</v>
      </c>
      <c r="AC173" s="1">
        <v>16264.61</v>
      </c>
      <c r="AD173" s="1">
        <v>16264.61</v>
      </c>
      <c r="AE173" s="3" t="s">
        <v>402</v>
      </c>
      <c r="AF173" s="3" t="s">
        <v>161</v>
      </c>
      <c r="AG173" s="1" t="s">
        <v>970</v>
      </c>
      <c r="AH173" s="3" t="s">
        <v>426</v>
      </c>
      <c r="AI173" s="1">
        <v>4</v>
      </c>
      <c r="AJ173" s="3" t="s">
        <v>165</v>
      </c>
      <c r="AK173" s="1" t="s">
        <v>176</v>
      </c>
      <c r="AL173" s="3">
        <v>100.906365748669</v>
      </c>
      <c r="AM173" s="3">
        <v>100.9206284153</v>
      </c>
      <c r="AN173" s="3">
        <v>1513809.43</v>
      </c>
      <c r="AO173" s="3">
        <v>1513809.43</v>
      </c>
      <c r="AP173" s="1" t="s">
        <v>164</v>
      </c>
      <c r="AQ173" s="1">
        <v>4</v>
      </c>
      <c r="AR173" s="1" t="s">
        <v>165</v>
      </c>
      <c r="AS173" s="3">
        <v>132534288.59999999</v>
      </c>
      <c r="AT173" s="1" t="s">
        <v>176</v>
      </c>
      <c r="AU173" s="1">
        <v>1</v>
      </c>
      <c r="AV173" s="1">
        <v>1</v>
      </c>
      <c r="AW173" s="3" t="s">
        <v>210</v>
      </c>
      <c r="AX173" s="3" t="s">
        <v>211</v>
      </c>
      <c r="AY173" s="1">
        <v>0</v>
      </c>
      <c r="BA173" s="3">
        <v>8205251.6799999997</v>
      </c>
      <c r="BB173" s="1">
        <v>1</v>
      </c>
      <c r="BD173" s="1" t="s">
        <v>971</v>
      </c>
      <c r="BE173" s="1">
        <v>1</v>
      </c>
      <c r="BF173" s="1">
        <v>1</v>
      </c>
      <c r="BG173" s="1" t="s">
        <v>168</v>
      </c>
      <c r="BH173" s="1">
        <v>0</v>
      </c>
      <c r="BI173" s="1">
        <v>31345322.399999999</v>
      </c>
      <c r="BJ173" s="1">
        <v>0</v>
      </c>
      <c r="BK173" s="1">
        <v>123618989.48999999</v>
      </c>
      <c r="BL173" s="1">
        <v>132456249.91</v>
      </c>
      <c r="BM173" s="1">
        <v>596150.00000000012</v>
      </c>
      <c r="BN173" s="1">
        <v>9219855.2300000004</v>
      </c>
      <c r="BO173" s="1">
        <v>23.664660909999998</v>
      </c>
      <c r="BP173" s="1">
        <v>0.45007313999999998</v>
      </c>
      <c r="BQ173" s="1">
        <v>6.9606796500000003</v>
      </c>
      <c r="BR173" s="1">
        <v>1.14287505</v>
      </c>
      <c r="BS173" s="1" t="s">
        <v>169</v>
      </c>
      <c r="BT173" s="1" t="s">
        <v>169</v>
      </c>
      <c r="BU173" s="1">
        <v>26356083.120000001</v>
      </c>
      <c r="BV173" s="1">
        <v>0</v>
      </c>
      <c r="BW173" s="1">
        <v>213.94</v>
      </c>
      <c r="BX173" s="1">
        <v>0.01</v>
      </c>
      <c r="BY173" s="1" t="s">
        <v>170</v>
      </c>
      <c r="BZ173" s="1">
        <v>-78038.69</v>
      </c>
      <c r="CA173" s="1" t="s">
        <v>250</v>
      </c>
      <c r="CB173" s="1" t="s">
        <v>423</v>
      </c>
      <c r="CC173" s="1">
        <v>-7959.48</v>
      </c>
      <c r="CD173" s="1">
        <v>-7959.48</v>
      </c>
      <c r="CE173" s="1">
        <v>1513595.49</v>
      </c>
      <c r="CF173" s="1">
        <v>1513595.49</v>
      </c>
      <c r="CG173" s="1">
        <v>0</v>
      </c>
      <c r="CH173" s="1">
        <v>1.4438757900000001</v>
      </c>
      <c r="CI173" s="1">
        <v>13.27863496</v>
      </c>
      <c r="CJ173" s="1">
        <v>17588381.91</v>
      </c>
      <c r="CK173" s="1">
        <v>1912503.72</v>
      </c>
      <c r="CL173" s="1">
        <v>6269233.6699999999</v>
      </c>
      <c r="CM173" s="1" t="s">
        <v>164</v>
      </c>
      <c r="CN173" s="1" t="s">
        <v>164</v>
      </c>
      <c r="CO173" s="1" t="s">
        <v>184</v>
      </c>
      <c r="CP173" s="1" t="s">
        <v>243</v>
      </c>
      <c r="CQ173" s="3" t="s">
        <v>252</v>
      </c>
      <c r="CR173" s="1">
        <v>0</v>
      </c>
      <c r="CS173" s="1" t="s">
        <v>243</v>
      </c>
      <c r="CT173" s="1">
        <v>1.2245767700000001</v>
      </c>
      <c r="CV173" s="1">
        <v>0</v>
      </c>
      <c r="CW173" s="1">
        <v>-219173.26</v>
      </c>
      <c r="DA173" s="1">
        <v>1355558.46</v>
      </c>
      <c r="DB173" s="1">
        <v>0</v>
      </c>
      <c r="DC173" s="1">
        <v>2520.3126550000002</v>
      </c>
      <c r="DD173" s="1">
        <v>52555.483399999997</v>
      </c>
      <c r="DE173" s="1">
        <v>-296353.43</v>
      </c>
      <c r="DF173" s="1">
        <v>92570020.519999996</v>
      </c>
      <c r="DG173" s="1">
        <v>213.94</v>
      </c>
      <c r="DH173" s="1">
        <v>394770.09</v>
      </c>
      <c r="DI173" s="1">
        <v>0.29803809999999997</v>
      </c>
      <c r="DK173" s="1">
        <v>0</v>
      </c>
      <c r="DL173" s="1">
        <v>0</v>
      </c>
      <c r="DM173" s="1">
        <v>-296353.43</v>
      </c>
      <c r="DN173" s="1">
        <v>0</v>
      </c>
      <c r="DO173" s="1">
        <v>0</v>
      </c>
      <c r="DP173" s="1">
        <v>16777215</v>
      </c>
      <c r="DQ173" s="1">
        <v>0</v>
      </c>
      <c r="DR173" s="1">
        <v>0</v>
      </c>
      <c r="DS173" s="1">
        <v>0</v>
      </c>
      <c r="DT173" s="1">
        <v>0</v>
      </c>
      <c r="DU173" s="1">
        <v>0</v>
      </c>
      <c r="DV173" s="1">
        <v>1513809.43</v>
      </c>
      <c r="DW173" s="1">
        <v>1513809.43</v>
      </c>
      <c r="DX173" s="1">
        <v>31345322.399999999</v>
      </c>
      <c r="DY173" s="1">
        <v>-1110160.2399999984</v>
      </c>
      <c r="DZ173" s="1">
        <v>92570020.519999966</v>
      </c>
      <c r="EA173" s="1">
        <v>0</v>
      </c>
      <c r="EB173" s="1">
        <v>0</v>
      </c>
      <c r="EC173" s="1" t="s">
        <v>176</v>
      </c>
      <c r="EE173" s="1">
        <v>0</v>
      </c>
      <c r="EF173" s="1">
        <v>3</v>
      </c>
      <c r="EG173" s="1">
        <v>0</v>
      </c>
      <c r="EH173" s="3">
        <v>1.6353128400000001</v>
      </c>
      <c r="EI173" s="1">
        <v>0</v>
      </c>
      <c r="EL173" s="1">
        <v>0</v>
      </c>
      <c r="EM173" s="1">
        <v>0</v>
      </c>
      <c r="EN173" s="1">
        <v>1633661.45</v>
      </c>
      <c r="EO173" s="1">
        <v>1.2333592799999999</v>
      </c>
      <c r="ER173" s="1">
        <v>100.968040983607</v>
      </c>
      <c r="ES173" s="1">
        <v>1</v>
      </c>
      <c r="ET173" s="3">
        <v>4.1397315470000002</v>
      </c>
      <c r="EU173" s="3">
        <v>1.601948293</v>
      </c>
      <c r="EV173" s="3">
        <v>1.5531591878590001</v>
      </c>
      <c r="EW173" s="3">
        <v>1.6410958899999999</v>
      </c>
      <c r="EX173" s="3">
        <v>3.8765806E-2</v>
      </c>
      <c r="EY173" s="3">
        <v>18</v>
      </c>
      <c r="EZ173" s="3">
        <v>599</v>
      </c>
      <c r="FA173" s="1">
        <v>0</v>
      </c>
      <c r="FB173" s="1">
        <v>0</v>
      </c>
      <c r="FC173" s="3">
        <v>4.6712518689999998</v>
      </c>
      <c r="FD173" s="1">
        <v>0</v>
      </c>
      <c r="FE173" s="1">
        <v>0</v>
      </c>
    </row>
    <row r="174" spans="1:161" x14ac:dyDescent="0.3">
      <c r="A174" s="1">
        <v>16975475</v>
      </c>
      <c r="B174" s="1">
        <v>128</v>
      </c>
      <c r="C174" s="1">
        <v>9585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3</v>
      </c>
      <c r="J174" s="3">
        <v>3</v>
      </c>
      <c r="K174" s="1">
        <v>300000</v>
      </c>
      <c r="L174" s="1">
        <v>300000</v>
      </c>
      <c r="M174" s="1">
        <v>300000</v>
      </c>
      <c r="N174" s="3">
        <v>300000</v>
      </c>
      <c r="O174" s="1">
        <v>300573</v>
      </c>
      <c r="P174" s="1">
        <v>300573</v>
      </c>
      <c r="Q174" s="1">
        <v>300573</v>
      </c>
      <c r="R174" s="1">
        <v>300573</v>
      </c>
      <c r="S174" s="1">
        <v>300000</v>
      </c>
      <c r="T174" s="1">
        <v>300000</v>
      </c>
      <c r="U174" s="1">
        <v>300000</v>
      </c>
      <c r="V174" s="1">
        <v>300000</v>
      </c>
      <c r="W174" s="1">
        <v>0</v>
      </c>
      <c r="X174" s="1">
        <v>0</v>
      </c>
      <c r="Y174" s="1">
        <v>0</v>
      </c>
      <c r="Z174" s="1">
        <v>0</v>
      </c>
      <c r="AA174" s="1">
        <v>6477.07</v>
      </c>
      <c r="AB174" s="1">
        <v>6477.07</v>
      </c>
      <c r="AC174" s="1">
        <v>6477.07</v>
      </c>
      <c r="AD174" s="1">
        <v>6477.07</v>
      </c>
      <c r="AE174" s="3" t="s">
        <v>427</v>
      </c>
      <c r="AF174" s="3" t="s">
        <v>161</v>
      </c>
      <c r="AG174" s="1" t="s">
        <v>970</v>
      </c>
      <c r="AH174" s="3" t="s">
        <v>428</v>
      </c>
      <c r="AI174" s="1">
        <v>4</v>
      </c>
      <c r="AJ174" s="3" t="s">
        <v>165</v>
      </c>
      <c r="AK174" s="1" t="s">
        <v>191</v>
      </c>
      <c r="AL174" s="3">
        <v>93.069422602352006</v>
      </c>
      <c r="AM174" s="3">
        <v>93.019972602739998</v>
      </c>
      <c r="AN174" s="3">
        <v>279059.92</v>
      </c>
      <c r="AO174" s="3">
        <v>279059.92</v>
      </c>
      <c r="AP174" s="1" t="s">
        <v>164</v>
      </c>
      <c r="AQ174" s="1">
        <v>4</v>
      </c>
      <c r="AR174" s="1" t="s">
        <v>165</v>
      </c>
      <c r="AS174" s="3">
        <v>132534288.59999999</v>
      </c>
      <c r="AT174" s="1" t="s">
        <v>176</v>
      </c>
      <c r="AU174" s="1">
        <v>1</v>
      </c>
      <c r="AV174" s="1">
        <v>1</v>
      </c>
      <c r="AW174" s="3" t="s">
        <v>210</v>
      </c>
      <c r="AX174" s="3" t="s">
        <v>211</v>
      </c>
      <c r="AY174" s="1">
        <v>0</v>
      </c>
      <c r="BA174" s="3">
        <v>8205251.6799999997</v>
      </c>
      <c r="BB174" s="1">
        <v>1</v>
      </c>
      <c r="BD174" s="1" t="s">
        <v>971</v>
      </c>
      <c r="BE174" s="1">
        <v>1</v>
      </c>
      <c r="BF174" s="1">
        <v>1</v>
      </c>
      <c r="BG174" s="1" t="s">
        <v>168</v>
      </c>
      <c r="BH174" s="1">
        <v>0</v>
      </c>
      <c r="BI174" s="1">
        <v>31345322.399999999</v>
      </c>
      <c r="BJ174" s="1">
        <v>0</v>
      </c>
      <c r="BK174" s="1">
        <v>123618989.48999999</v>
      </c>
      <c r="BL174" s="1">
        <v>132456249.91</v>
      </c>
      <c r="BM174" s="1">
        <v>596150.00000000012</v>
      </c>
      <c r="BN174" s="1">
        <v>9219855.2300000004</v>
      </c>
      <c r="BO174" s="1">
        <v>23.664660909999998</v>
      </c>
      <c r="BP174" s="1">
        <v>0.45007313999999998</v>
      </c>
      <c r="BQ174" s="1">
        <v>6.9606796500000003</v>
      </c>
      <c r="BR174" s="1">
        <v>0.21068081999999999</v>
      </c>
      <c r="BS174" s="1" t="s">
        <v>169</v>
      </c>
      <c r="BT174" s="1" t="s">
        <v>169</v>
      </c>
      <c r="BU174" s="1">
        <v>26356083.120000001</v>
      </c>
      <c r="BV174" s="1">
        <v>0</v>
      </c>
      <c r="BW174" s="1">
        <v>-148.35</v>
      </c>
      <c r="BX174" s="1">
        <v>-0.05</v>
      </c>
      <c r="BY174" s="1" t="s">
        <v>170</v>
      </c>
      <c r="BZ174" s="1">
        <v>-78038.69</v>
      </c>
      <c r="CA174" s="1" t="s">
        <v>250</v>
      </c>
      <c r="CB174" s="1" t="s">
        <v>251</v>
      </c>
      <c r="CC174" s="1">
        <v>-27841.8</v>
      </c>
      <c r="CD174" s="1">
        <v>-27841.8</v>
      </c>
      <c r="CE174" s="1">
        <v>279208.27</v>
      </c>
      <c r="CF174" s="1">
        <v>279208.27</v>
      </c>
      <c r="CG174" s="1">
        <v>0</v>
      </c>
      <c r="CH174" s="1">
        <v>1.4438757900000001</v>
      </c>
      <c r="CI174" s="1">
        <v>13.27863496</v>
      </c>
      <c r="CJ174" s="1">
        <v>17588381.91</v>
      </c>
      <c r="CK174" s="1">
        <v>1912503.72</v>
      </c>
      <c r="CL174" s="1">
        <v>6269233.6699999999</v>
      </c>
      <c r="CM174" s="1" t="s">
        <v>164</v>
      </c>
      <c r="CN174" s="1" t="s">
        <v>164</v>
      </c>
      <c r="CO174" s="1" t="s">
        <v>184</v>
      </c>
      <c r="CP174" s="1" t="s">
        <v>243</v>
      </c>
      <c r="CQ174" s="3" t="s">
        <v>252</v>
      </c>
      <c r="CR174" s="1">
        <v>0</v>
      </c>
      <c r="CS174" s="1" t="s">
        <v>243</v>
      </c>
      <c r="CT174" s="1">
        <v>0.22574195</v>
      </c>
      <c r="CV174" s="1">
        <v>0</v>
      </c>
      <c r="CW174" s="1">
        <v>-219173.26</v>
      </c>
      <c r="DA174" s="1">
        <v>1355558.46</v>
      </c>
      <c r="DB174" s="1">
        <v>0</v>
      </c>
      <c r="DC174" s="1">
        <v>2520.3126550000002</v>
      </c>
      <c r="DD174" s="1">
        <v>52555.483399999997</v>
      </c>
      <c r="DE174" s="1">
        <v>-296353.43</v>
      </c>
      <c r="DF174" s="1">
        <v>92570020.519999996</v>
      </c>
      <c r="DG174" s="1">
        <v>-148.35</v>
      </c>
      <c r="DH174" s="1">
        <v>394770.09</v>
      </c>
      <c r="DI174" s="1">
        <v>0.29803809999999997</v>
      </c>
      <c r="DK174" s="1">
        <v>0</v>
      </c>
      <c r="DL174" s="1">
        <v>0</v>
      </c>
      <c r="DM174" s="1">
        <v>-296353.43</v>
      </c>
      <c r="DN174" s="1">
        <v>0</v>
      </c>
      <c r="DO174" s="1">
        <v>0</v>
      </c>
      <c r="DP174" s="1">
        <v>16777215</v>
      </c>
      <c r="DQ174" s="1">
        <v>0</v>
      </c>
      <c r="DR174" s="1">
        <v>0</v>
      </c>
      <c r="DS174" s="1">
        <v>0</v>
      </c>
      <c r="DT174" s="1">
        <v>0</v>
      </c>
      <c r="DU174" s="1">
        <v>0</v>
      </c>
      <c r="DV174" s="1">
        <v>279059.92</v>
      </c>
      <c r="DW174" s="1">
        <v>279059.92</v>
      </c>
      <c r="DX174" s="1">
        <v>31345322.399999999</v>
      </c>
      <c r="DY174" s="1">
        <v>-1110160.2399999984</v>
      </c>
      <c r="DZ174" s="1">
        <v>92570020.519999966</v>
      </c>
      <c r="EA174" s="1">
        <v>0</v>
      </c>
      <c r="EB174" s="1">
        <v>0</v>
      </c>
      <c r="EC174" s="1" t="s">
        <v>176</v>
      </c>
      <c r="EE174" s="1">
        <v>0</v>
      </c>
      <c r="EF174" s="1">
        <v>3</v>
      </c>
      <c r="EG174" s="1">
        <v>0</v>
      </c>
      <c r="EH174" s="3">
        <v>0.30145820000000001</v>
      </c>
      <c r="EI174" s="1">
        <v>0</v>
      </c>
      <c r="EL174" s="1">
        <v>0</v>
      </c>
      <c r="EM174" s="1">
        <v>0</v>
      </c>
      <c r="EN174" s="1">
        <v>1633661.45</v>
      </c>
      <c r="EO174" s="1">
        <v>1.2333592799999999</v>
      </c>
      <c r="ER174" s="1">
        <v>93.102623287669999</v>
      </c>
      <c r="ES174" s="1">
        <v>1</v>
      </c>
      <c r="ET174" s="3">
        <v>7.380528709</v>
      </c>
      <c r="EU174" s="3">
        <v>2.0149603969999998</v>
      </c>
      <c r="EV174" s="3">
        <v>1.74704018554</v>
      </c>
      <c r="EW174" s="3">
        <v>2.0958904110000001</v>
      </c>
      <c r="EX174" s="3">
        <v>5.3773987000000002E-2</v>
      </c>
      <c r="EY174" s="3">
        <v>23</v>
      </c>
      <c r="EZ174" s="3">
        <v>765</v>
      </c>
      <c r="FA174" s="1">
        <v>0</v>
      </c>
      <c r="FB174" s="1">
        <v>0</v>
      </c>
      <c r="FC174" s="3">
        <v>3.5447231719999999</v>
      </c>
      <c r="FD174" s="1">
        <v>0</v>
      </c>
      <c r="FE174" s="1">
        <v>0</v>
      </c>
    </row>
    <row r="175" spans="1:161" x14ac:dyDescent="0.3">
      <c r="A175" s="1">
        <v>16975535</v>
      </c>
      <c r="B175" s="1">
        <v>128</v>
      </c>
      <c r="C175" s="1">
        <v>10458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10</v>
      </c>
      <c r="J175" s="3">
        <v>10</v>
      </c>
      <c r="K175" s="1">
        <v>1000000</v>
      </c>
      <c r="L175" s="1">
        <v>1000000</v>
      </c>
      <c r="M175" s="1">
        <v>1000000</v>
      </c>
      <c r="N175" s="3">
        <v>1000000</v>
      </c>
      <c r="O175" s="1">
        <v>959170</v>
      </c>
      <c r="P175" s="1">
        <v>959170</v>
      </c>
      <c r="Q175" s="1">
        <v>959170</v>
      </c>
      <c r="R175" s="1">
        <v>959170</v>
      </c>
      <c r="S175" s="1">
        <v>1000000</v>
      </c>
      <c r="T175" s="1">
        <v>1000000</v>
      </c>
      <c r="U175" s="1">
        <v>1000000</v>
      </c>
      <c r="V175" s="1">
        <v>1000000</v>
      </c>
      <c r="W175" s="1">
        <v>0</v>
      </c>
      <c r="X175" s="1">
        <v>0</v>
      </c>
      <c r="Y175" s="1">
        <v>0</v>
      </c>
      <c r="Z175" s="1">
        <v>0</v>
      </c>
      <c r="AA175" s="1">
        <v>17972.82</v>
      </c>
      <c r="AB175" s="1">
        <v>17972.82</v>
      </c>
      <c r="AC175" s="1">
        <v>17972.82</v>
      </c>
      <c r="AD175" s="1">
        <v>17972.82</v>
      </c>
      <c r="AE175" s="3" t="s">
        <v>429</v>
      </c>
      <c r="AF175" s="3" t="s">
        <v>161</v>
      </c>
      <c r="AG175" s="1" t="s">
        <v>970</v>
      </c>
      <c r="AH175" s="3" t="s">
        <v>430</v>
      </c>
      <c r="AI175" s="1">
        <v>4</v>
      </c>
      <c r="AJ175" s="3" t="s">
        <v>165</v>
      </c>
      <c r="AK175" s="1" t="s">
        <v>176</v>
      </c>
      <c r="AL175" s="3">
        <v>97.42833583606</v>
      </c>
      <c r="AM175" s="3">
        <v>97.424909836066007</v>
      </c>
      <c r="AN175" s="3">
        <v>974249.1</v>
      </c>
      <c r="AO175" s="3">
        <v>974249.1</v>
      </c>
      <c r="AP175" s="1" t="s">
        <v>164</v>
      </c>
      <c r="AQ175" s="1">
        <v>4</v>
      </c>
      <c r="AR175" s="1" t="s">
        <v>165</v>
      </c>
      <c r="AS175" s="3">
        <v>132534288.59999999</v>
      </c>
      <c r="AT175" s="1" t="s">
        <v>176</v>
      </c>
      <c r="AU175" s="1">
        <v>1</v>
      </c>
      <c r="AV175" s="1">
        <v>1</v>
      </c>
      <c r="AW175" s="3" t="s">
        <v>210</v>
      </c>
      <c r="AX175" s="3" t="s">
        <v>211</v>
      </c>
      <c r="AY175" s="1">
        <v>0</v>
      </c>
      <c r="BA175" s="3">
        <v>8205251.6799999997</v>
      </c>
      <c r="BB175" s="1">
        <v>1</v>
      </c>
      <c r="BD175" s="1" t="s">
        <v>971</v>
      </c>
      <c r="BE175" s="1">
        <v>1</v>
      </c>
      <c r="BF175" s="1">
        <v>1</v>
      </c>
      <c r="BG175" s="1" t="s">
        <v>168</v>
      </c>
      <c r="BH175" s="1">
        <v>0</v>
      </c>
      <c r="BI175" s="1">
        <v>31345322.399999999</v>
      </c>
      <c r="BJ175" s="1">
        <v>0</v>
      </c>
      <c r="BK175" s="1">
        <v>123618989.48999999</v>
      </c>
      <c r="BL175" s="1">
        <v>132456249.91</v>
      </c>
      <c r="BM175" s="1">
        <v>596150.00000000012</v>
      </c>
      <c r="BN175" s="1">
        <v>9219855.2300000004</v>
      </c>
      <c r="BO175" s="1">
        <v>23.664660909999998</v>
      </c>
      <c r="BP175" s="1">
        <v>0.45007313999999998</v>
      </c>
      <c r="BQ175" s="1">
        <v>6.9606796500000003</v>
      </c>
      <c r="BR175" s="1">
        <v>0.73552519999999999</v>
      </c>
      <c r="BS175" s="1" t="s">
        <v>169</v>
      </c>
      <c r="BT175" s="1" t="s">
        <v>169</v>
      </c>
      <c r="BU175" s="1">
        <v>26356083.120000001</v>
      </c>
      <c r="BV175" s="1">
        <v>0</v>
      </c>
      <c r="BW175" s="1">
        <v>-34.26</v>
      </c>
      <c r="BX175" s="1">
        <v>0</v>
      </c>
      <c r="BY175" s="1" t="s">
        <v>170</v>
      </c>
      <c r="BZ175" s="1">
        <v>-78038.69</v>
      </c>
      <c r="CA175" s="1" t="s">
        <v>250</v>
      </c>
      <c r="CB175" s="1" t="s">
        <v>251</v>
      </c>
      <c r="CC175" s="1">
        <v>-2859.46</v>
      </c>
      <c r="CD175" s="1">
        <v>-2859.46</v>
      </c>
      <c r="CE175" s="1">
        <v>974283.36</v>
      </c>
      <c r="CF175" s="1">
        <v>974283.36</v>
      </c>
      <c r="CG175" s="1">
        <v>0</v>
      </c>
      <c r="CH175" s="1">
        <v>1.4438757900000001</v>
      </c>
      <c r="CI175" s="1">
        <v>13.27863496</v>
      </c>
      <c r="CJ175" s="1">
        <v>17588381.91</v>
      </c>
      <c r="CK175" s="1">
        <v>1912503.72</v>
      </c>
      <c r="CL175" s="1">
        <v>6269233.6699999999</v>
      </c>
      <c r="CM175" s="1" t="s">
        <v>164</v>
      </c>
      <c r="CN175" s="1" t="s">
        <v>164</v>
      </c>
      <c r="CO175" s="1" t="s">
        <v>184</v>
      </c>
      <c r="CP175" s="1" t="s">
        <v>243</v>
      </c>
      <c r="CQ175" s="3" t="s">
        <v>252</v>
      </c>
      <c r="CR175" s="1">
        <v>0</v>
      </c>
      <c r="CS175" s="1" t="s">
        <v>243</v>
      </c>
      <c r="CT175" s="1">
        <v>0.78810634999999996</v>
      </c>
      <c r="CV175" s="1">
        <v>0</v>
      </c>
      <c r="CW175" s="1">
        <v>-219173.26</v>
      </c>
      <c r="DA175" s="1">
        <v>1355558.46</v>
      </c>
      <c r="DB175" s="1">
        <v>0</v>
      </c>
      <c r="DC175" s="1">
        <v>2520.3126550000002</v>
      </c>
      <c r="DD175" s="1">
        <v>52555.483399999997</v>
      </c>
      <c r="DE175" s="1">
        <v>-296353.43</v>
      </c>
      <c r="DF175" s="1">
        <v>92570020.519999996</v>
      </c>
      <c r="DG175" s="1">
        <v>-34.26</v>
      </c>
      <c r="DH175" s="1">
        <v>394770.09</v>
      </c>
      <c r="DI175" s="1">
        <v>0.29803809999999997</v>
      </c>
      <c r="DK175" s="1">
        <v>0</v>
      </c>
      <c r="DL175" s="1">
        <v>0</v>
      </c>
      <c r="DM175" s="1">
        <v>-296353.43</v>
      </c>
      <c r="DN175" s="1">
        <v>0</v>
      </c>
      <c r="DO175" s="1">
        <v>0</v>
      </c>
      <c r="DP175" s="1">
        <v>16777215</v>
      </c>
      <c r="DQ175" s="1">
        <v>0</v>
      </c>
      <c r="DR175" s="1">
        <v>0</v>
      </c>
      <c r="DS175" s="1">
        <v>0</v>
      </c>
      <c r="DT175" s="1">
        <v>0</v>
      </c>
      <c r="DU175" s="1">
        <v>0</v>
      </c>
      <c r="DV175" s="1">
        <v>974249.1</v>
      </c>
      <c r="DW175" s="1">
        <v>974249.1</v>
      </c>
      <c r="DX175" s="1">
        <v>31345322.399999999</v>
      </c>
      <c r="DY175" s="1">
        <v>-1110160.2399999984</v>
      </c>
      <c r="DZ175" s="1">
        <v>92570020.519999966</v>
      </c>
      <c r="EA175" s="1">
        <v>0</v>
      </c>
      <c r="EB175" s="1">
        <v>0</v>
      </c>
      <c r="EC175" s="1" t="s">
        <v>176</v>
      </c>
      <c r="EE175" s="1">
        <v>0</v>
      </c>
      <c r="EF175" s="1">
        <v>3</v>
      </c>
      <c r="EG175" s="1">
        <v>0</v>
      </c>
      <c r="EH175" s="3">
        <v>1.05244559</v>
      </c>
      <c r="EI175" s="1">
        <v>0</v>
      </c>
      <c r="EL175" s="1">
        <v>0</v>
      </c>
      <c r="EM175" s="1">
        <v>0</v>
      </c>
      <c r="EN175" s="1">
        <v>1633661.45</v>
      </c>
      <c r="EO175" s="1">
        <v>1.2333592799999999</v>
      </c>
      <c r="ER175" s="1">
        <v>97.404385245902006</v>
      </c>
      <c r="ES175" s="1">
        <v>1</v>
      </c>
      <c r="ET175" s="3">
        <v>4.1721788489999998</v>
      </c>
      <c r="EU175" s="3">
        <v>0.73497267799999999</v>
      </c>
      <c r="EV175" s="3">
        <v>0.68722342817199999</v>
      </c>
      <c r="EW175" s="3">
        <v>0.73698630099999995</v>
      </c>
      <c r="EX175" s="3">
        <v>1.1750607999999999E-2</v>
      </c>
      <c r="EY175" s="3">
        <v>8</v>
      </c>
      <c r="EZ175" s="3">
        <v>269</v>
      </c>
      <c r="FA175" s="1">
        <v>0</v>
      </c>
      <c r="FB175" s="1">
        <v>0</v>
      </c>
      <c r="FC175" s="3">
        <v>6.3762059200000003</v>
      </c>
      <c r="FD175" s="1">
        <v>0</v>
      </c>
      <c r="FE175" s="1">
        <v>0</v>
      </c>
    </row>
    <row r="176" spans="1:161" x14ac:dyDescent="0.3">
      <c r="A176" s="1">
        <v>16975401</v>
      </c>
      <c r="B176" s="1">
        <v>128</v>
      </c>
      <c r="C176" s="1">
        <v>9800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1</v>
      </c>
      <c r="J176" s="3">
        <v>1</v>
      </c>
      <c r="K176" s="1">
        <v>100000</v>
      </c>
      <c r="L176" s="1">
        <v>100000</v>
      </c>
      <c r="M176" s="1">
        <v>100000</v>
      </c>
      <c r="N176" s="3">
        <v>100000</v>
      </c>
      <c r="O176" s="1">
        <v>98919</v>
      </c>
      <c r="P176" s="1">
        <v>98919</v>
      </c>
      <c r="Q176" s="1">
        <v>98919</v>
      </c>
      <c r="R176" s="1">
        <v>98919</v>
      </c>
      <c r="S176" s="1">
        <v>100000</v>
      </c>
      <c r="T176" s="1">
        <v>100000</v>
      </c>
      <c r="U176" s="1">
        <v>100000</v>
      </c>
      <c r="V176" s="1">
        <v>100000</v>
      </c>
      <c r="W176" s="1">
        <v>0</v>
      </c>
      <c r="X176" s="1">
        <v>0</v>
      </c>
      <c r="Y176" s="1">
        <v>0</v>
      </c>
      <c r="Z176" s="1">
        <v>0</v>
      </c>
      <c r="AA176" s="1">
        <v>1282.52</v>
      </c>
      <c r="AB176" s="1">
        <v>1282.52</v>
      </c>
      <c r="AC176" s="1">
        <v>1282.52</v>
      </c>
      <c r="AD176" s="1">
        <v>1282.52</v>
      </c>
      <c r="AE176" s="3" t="s">
        <v>432</v>
      </c>
      <c r="AF176" s="3" t="s">
        <v>161</v>
      </c>
      <c r="AG176" s="1" t="s">
        <v>970</v>
      </c>
      <c r="AH176" s="3" t="s">
        <v>433</v>
      </c>
      <c r="AI176" s="1">
        <v>4</v>
      </c>
      <c r="AJ176" s="3" t="s">
        <v>165</v>
      </c>
      <c r="AK176" s="1" t="s">
        <v>191</v>
      </c>
      <c r="AL176" s="3">
        <v>85.638751372746995</v>
      </c>
      <c r="AM176" s="3">
        <v>85.458801369862002</v>
      </c>
      <c r="AN176" s="3">
        <v>85458.8</v>
      </c>
      <c r="AO176" s="3">
        <v>85458.8</v>
      </c>
      <c r="AP176" s="1" t="s">
        <v>164</v>
      </c>
      <c r="AQ176" s="1">
        <v>4</v>
      </c>
      <c r="AR176" s="1" t="s">
        <v>165</v>
      </c>
      <c r="AS176" s="3">
        <v>132534288.59999999</v>
      </c>
      <c r="AT176" s="1" t="s">
        <v>176</v>
      </c>
      <c r="AU176" s="1">
        <v>1</v>
      </c>
      <c r="AV176" s="1">
        <v>1</v>
      </c>
      <c r="AW176" s="3" t="s">
        <v>210</v>
      </c>
      <c r="AX176" s="3" t="s">
        <v>431</v>
      </c>
      <c r="AY176" s="1">
        <v>0</v>
      </c>
      <c r="BA176" s="3">
        <v>8205251.6799999997</v>
      </c>
      <c r="BB176" s="1">
        <v>1</v>
      </c>
      <c r="BD176" s="1" t="s">
        <v>971</v>
      </c>
      <c r="BE176" s="1">
        <v>1</v>
      </c>
      <c r="BF176" s="1">
        <v>1</v>
      </c>
      <c r="BG176" s="1" t="s">
        <v>168</v>
      </c>
      <c r="BH176" s="1">
        <v>0</v>
      </c>
      <c r="BI176" s="1">
        <v>31345322.399999999</v>
      </c>
      <c r="BJ176" s="1">
        <v>0</v>
      </c>
      <c r="BK176" s="1">
        <v>123618989.48999999</v>
      </c>
      <c r="BL176" s="1">
        <v>132456249.91</v>
      </c>
      <c r="BM176" s="1">
        <v>596150.00000000012</v>
      </c>
      <c r="BN176" s="1">
        <v>9219855.2300000004</v>
      </c>
      <c r="BO176" s="1">
        <v>23.664660909999998</v>
      </c>
      <c r="BP176" s="1">
        <v>0.45007313999999998</v>
      </c>
      <c r="BQ176" s="1">
        <v>6.9606796500000003</v>
      </c>
      <c r="BR176" s="1">
        <v>6.4518510000000001E-2</v>
      </c>
      <c r="BS176" s="1" t="s">
        <v>169</v>
      </c>
      <c r="BT176" s="1" t="s">
        <v>169</v>
      </c>
      <c r="BU176" s="1">
        <v>26356083.120000001</v>
      </c>
      <c r="BV176" s="1">
        <v>0</v>
      </c>
      <c r="BW176" s="1">
        <v>-179.95</v>
      </c>
      <c r="BX176" s="1">
        <v>-0.21</v>
      </c>
      <c r="BY176" s="1" t="s">
        <v>170</v>
      </c>
      <c r="BZ176" s="1">
        <v>-78038.69</v>
      </c>
      <c r="CA176" s="1" t="s">
        <v>250</v>
      </c>
      <c r="CB176" s="1" t="s">
        <v>251</v>
      </c>
      <c r="CC176" s="1">
        <v>-14562.77</v>
      </c>
      <c r="CD176" s="1">
        <v>-14562.77</v>
      </c>
      <c r="CE176" s="1">
        <v>85638.75</v>
      </c>
      <c r="CF176" s="1">
        <v>85638.75</v>
      </c>
      <c r="CG176" s="1">
        <v>0</v>
      </c>
      <c r="CH176" s="1">
        <v>1.4438757900000001</v>
      </c>
      <c r="CI176" s="1">
        <v>13.27863496</v>
      </c>
      <c r="CJ176" s="1">
        <v>17588381.91</v>
      </c>
      <c r="CK176" s="1">
        <v>1912503.72</v>
      </c>
      <c r="CL176" s="1">
        <v>6269233.6699999999</v>
      </c>
      <c r="CM176" s="1" t="s">
        <v>164</v>
      </c>
      <c r="CN176" s="1" t="s">
        <v>164</v>
      </c>
      <c r="CO176" s="1" t="s">
        <v>184</v>
      </c>
      <c r="CP176" s="1" t="s">
        <v>243</v>
      </c>
      <c r="CQ176" s="3" t="s">
        <v>252</v>
      </c>
      <c r="CR176" s="1">
        <v>0</v>
      </c>
      <c r="CS176" s="1" t="s">
        <v>243</v>
      </c>
      <c r="CT176" s="1">
        <v>6.9130800000000006E-2</v>
      </c>
      <c r="CV176" s="1">
        <v>0</v>
      </c>
      <c r="CW176" s="1">
        <v>-219173.26</v>
      </c>
      <c r="DA176" s="1">
        <v>1355558.46</v>
      </c>
      <c r="DB176" s="1">
        <v>0</v>
      </c>
      <c r="DC176" s="1">
        <v>2520.3126550000002</v>
      </c>
      <c r="DD176" s="1">
        <v>52555.483399999997</v>
      </c>
      <c r="DE176" s="1">
        <v>-296353.43</v>
      </c>
      <c r="DF176" s="1">
        <v>92570020.519999996</v>
      </c>
      <c r="DG176" s="1">
        <v>-179.95</v>
      </c>
      <c r="DH176" s="1">
        <v>394770.09</v>
      </c>
      <c r="DI176" s="1">
        <v>0.29803809999999997</v>
      </c>
      <c r="DK176" s="1">
        <v>0</v>
      </c>
      <c r="DL176" s="1">
        <v>0</v>
      </c>
      <c r="DM176" s="1">
        <v>-296353.43</v>
      </c>
      <c r="DN176" s="1">
        <v>0</v>
      </c>
      <c r="DO176" s="1">
        <v>0</v>
      </c>
      <c r="DP176" s="1">
        <v>16777215</v>
      </c>
      <c r="DQ176" s="1">
        <v>0</v>
      </c>
      <c r="DR176" s="1">
        <v>0</v>
      </c>
      <c r="DS176" s="1">
        <v>0</v>
      </c>
      <c r="DT176" s="1">
        <v>0</v>
      </c>
      <c r="DU176" s="1">
        <v>0</v>
      </c>
      <c r="DV176" s="1">
        <v>85458.8</v>
      </c>
      <c r="DW176" s="1">
        <v>85458.8</v>
      </c>
      <c r="DX176" s="1">
        <v>31345322.399999999</v>
      </c>
      <c r="DY176" s="1">
        <v>-1110160.2399999984</v>
      </c>
      <c r="DZ176" s="1">
        <v>92570020.519999966</v>
      </c>
      <c r="EA176" s="1">
        <v>0</v>
      </c>
      <c r="EB176" s="1">
        <v>0</v>
      </c>
      <c r="EC176" s="1" t="s">
        <v>176</v>
      </c>
      <c r="EE176" s="1">
        <v>0</v>
      </c>
      <c r="EF176" s="1">
        <v>3</v>
      </c>
      <c r="EG176" s="1">
        <v>0</v>
      </c>
      <c r="EH176" s="3">
        <v>9.2318010000000006E-2</v>
      </c>
      <c r="EI176" s="1">
        <v>0</v>
      </c>
      <c r="EL176" s="1">
        <v>0</v>
      </c>
      <c r="EM176" s="1">
        <v>0</v>
      </c>
      <c r="EN176" s="1">
        <v>1633661.45</v>
      </c>
      <c r="EO176" s="1">
        <v>1.2333592799999999</v>
      </c>
      <c r="ER176" s="1">
        <v>85.671452054794997</v>
      </c>
      <c r="ES176" s="1">
        <v>1</v>
      </c>
      <c r="ET176" s="3">
        <v>6.1707977659999997</v>
      </c>
      <c r="EU176" s="3">
        <v>4.7926597390000003</v>
      </c>
      <c r="EV176" s="3">
        <v>3.867298048261</v>
      </c>
      <c r="EW176" s="3">
        <v>5.1616438359999997</v>
      </c>
      <c r="EX176" s="3">
        <v>0.25660229800000001</v>
      </c>
      <c r="EY176" s="3">
        <v>54</v>
      </c>
      <c r="EZ176" s="3">
        <v>1884</v>
      </c>
      <c r="FA176" s="1">
        <v>0</v>
      </c>
      <c r="FB176" s="1">
        <v>0</v>
      </c>
      <c r="FC176" s="3">
        <v>3.0437481329999998</v>
      </c>
      <c r="FD176" s="1">
        <v>0</v>
      </c>
      <c r="FE176" s="1">
        <v>0</v>
      </c>
    </row>
    <row r="177" spans="1:161" x14ac:dyDescent="0.3">
      <c r="A177" s="1">
        <v>16975426</v>
      </c>
      <c r="B177" s="1">
        <v>128</v>
      </c>
      <c r="C177" s="1">
        <v>10699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1</v>
      </c>
      <c r="J177" s="3">
        <v>1</v>
      </c>
      <c r="K177" s="1">
        <v>100000</v>
      </c>
      <c r="L177" s="1">
        <v>100000</v>
      </c>
      <c r="M177" s="1">
        <v>100000</v>
      </c>
      <c r="N177" s="3">
        <v>100000</v>
      </c>
      <c r="O177" s="1">
        <v>98120.33</v>
      </c>
      <c r="P177" s="1">
        <v>98120.33</v>
      </c>
      <c r="Q177" s="1">
        <v>98120.33</v>
      </c>
      <c r="R177" s="1">
        <v>98120.33</v>
      </c>
      <c r="S177" s="1">
        <v>100000</v>
      </c>
      <c r="T177" s="1">
        <v>100000</v>
      </c>
      <c r="U177" s="1">
        <v>100000</v>
      </c>
      <c r="V177" s="1">
        <v>100000</v>
      </c>
      <c r="W177" s="1">
        <v>0</v>
      </c>
      <c r="X177" s="1">
        <v>0</v>
      </c>
      <c r="Y177" s="1">
        <v>0</v>
      </c>
      <c r="Z177" s="1">
        <v>0</v>
      </c>
      <c r="AA177" s="1">
        <v>1775.69</v>
      </c>
      <c r="AB177" s="1">
        <v>1775.69</v>
      </c>
      <c r="AC177" s="1">
        <v>1775.69</v>
      </c>
      <c r="AD177" s="1">
        <v>1775.69</v>
      </c>
      <c r="AE177" s="3" t="s">
        <v>765</v>
      </c>
      <c r="AF177" s="3" t="s">
        <v>161</v>
      </c>
      <c r="AG177" s="1" t="s">
        <v>970</v>
      </c>
      <c r="AH177" s="3" t="s">
        <v>766</v>
      </c>
      <c r="AI177" s="1">
        <v>4</v>
      </c>
      <c r="AJ177" s="3" t="s">
        <v>165</v>
      </c>
      <c r="AK177" s="1" t="s">
        <v>191</v>
      </c>
      <c r="AL177" s="3">
        <v>91.875814248553993</v>
      </c>
      <c r="AM177" s="3">
        <v>91.833034246576005</v>
      </c>
      <c r="AN177" s="3">
        <v>91833.03</v>
      </c>
      <c r="AO177" s="3">
        <v>91833.03</v>
      </c>
      <c r="AP177" s="1" t="s">
        <v>164</v>
      </c>
      <c r="AQ177" s="1">
        <v>4</v>
      </c>
      <c r="AR177" s="1" t="s">
        <v>165</v>
      </c>
      <c r="AS177" s="3">
        <v>132534288.59999999</v>
      </c>
      <c r="AT177" s="1" t="s">
        <v>176</v>
      </c>
      <c r="AU177" s="1">
        <v>1</v>
      </c>
      <c r="AV177" s="1">
        <v>1</v>
      </c>
      <c r="AW177" s="3" t="s">
        <v>210</v>
      </c>
      <c r="AX177" s="3" t="s">
        <v>431</v>
      </c>
      <c r="AY177" s="1">
        <v>0</v>
      </c>
      <c r="BA177" s="3">
        <v>8205251.6799999997</v>
      </c>
      <c r="BB177" s="1">
        <v>1</v>
      </c>
      <c r="BD177" s="1" t="s">
        <v>971</v>
      </c>
      <c r="BE177" s="1">
        <v>1</v>
      </c>
      <c r="BF177" s="1">
        <v>1</v>
      </c>
      <c r="BG177" s="1" t="s">
        <v>168</v>
      </c>
      <c r="BH177" s="1">
        <v>0</v>
      </c>
      <c r="BI177" s="1">
        <v>31345322.399999999</v>
      </c>
      <c r="BJ177" s="1">
        <v>0</v>
      </c>
      <c r="BK177" s="1">
        <v>123618989.48999999</v>
      </c>
      <c r="BL177" s="1">
        <v>132456249.91</v>
      </c>
      <c r="BM177" s="1">
        <v>596150.00000000012</v>
      </c>
      <c r="BN177" s="1">
        <v>9219855.2300000004</v>
      </c>
      <c r="BO177" s="1">
        <v>23.664660909999998</v>
      </c>
      <c r="BP177" s="1">
        <v>0.45007313999999998</v>
      </c>
      <c r="BQ177" s="1">
        <v>6.9606796500000003</v>
      </c>
      <c r="BR177" s="1">
        <v>6.9330840000000005E-2</v>
      </c>
      <c r="BS177" s="1" t="s">
        <v>169</v>
      </c>
      <c r="BT177" s="1" t="s">
        <v>169</v>
      </c>
      <c r="BU177" s="1">
        <v>26356083.120000001</v>
      </c>
      <c r="BV177" s="1">
        <v>0</v>
      </c>
      <c r="BW177" s="1">
        <v>-42.78</v>
      </c>
      <c r="BX177" s="1">
        <v>-0.04</v>
      </c>
      <c r="BY177" s="1" t="s">
        <v>170</v>
      </c>
      <c r="BZ177" s="1">
        <v>-78038.69</v>
      </c>
      <c r="CA177" s="1" t="s">
        <v>250</v>
      </c>
      <c r="CB177" s="1" t="s">
        <v>251</v>
      </c>
      <c r="CC177" s="1">
        <v>-8020.21</v>
      </c>
      <c r="CD177" s="1">
        <v>-8020.21</v>
      </c>
      <c r="CE177" s="1">
        <v>91875.81</v>
      </c>
      <c r="CF177" s="1">
        <v>91875.81</v>
      </c>
      <c r="CG177" s="1">
        <v>0</v>
      </c>
      <c r="CH177" s="1">
        <v>1.4438757900000001</v>
      </c>
      <c r="CI177" s="1">
        <v>13.27863496</v>
      </c>
      <c r="CJ177" s="1">
        <v>17588381.91</v>
      </c>
      <c r="CK177" s="1">
        <v>1912503.72</v>
      </c>
      <c r="CL177" s="1">
        <v>6269233.6699999999</v>
      </c>
      <c r="CM177" s="1" t="s">
        <v>164</v>
      </c>
      <c r="CN177" s="1" t="s">
        <v>164</v>
      </c>
      <c r="CO177" s="1" t="s">
        <v>184</v>
      </c>
      <c r="CP177" s="1" t="s">
        <v>243</v>
      </c>
      <c r="CQ177" s="3" t="s">
        <v>252</v>
      </c>
      <c r="CR177" s="1">
        <v>0</v>
      </c>
      <c r="CS177" s="1" t="s">
        <v>243</v>
      </c>
      <c r="CT177" s="1">
        <v>7.4287149999999996E-2</v>
      </c>
      <c r="CV177" s="1">
        <v>0</v>
      </c>
      <c r="CW177" s="1">
        <v>-219173.26</v>
      </c>
      <c r="DA177" s="1">
        <v>1355558.46</v>
      </c>
      <c r="DB177" s="1">
        <v>0</v>
      </c>
      <c r="DC177" s="1">
        <v>2520.3126550000002</v>
      </c>
      <c r="DD177" s="1">
        <v>52555.483399999997</v>
      </c>
      <c r="DE177" s="1">
        <v>-296353.43</v>
      </c>
      <c r="DF177" s="1">
        <v>92570020.519999996</v>
      </c>
      <c r="DG177" s="1">
        <v>-42.78</v>
      </c>
      <c r="DH177" s="1">
        <v>394770.09</v>
      </c>
      <c r="DI177" s="1">
        <v>0.29803809999999997</v>
      </c>
      <c r="DK177" s="1">
        <v>0</v>
      </c>
      <c r="DL177" s="1">
        <v>0</v>
      </c>
      <c r="DM177" s="1">
        <v>-296353.43</v>
      </c>
      <c r="DN177" s="1">
        <v>0</v>
      </c>
      <c r="DO177" s="1">
        <v>0</v>
      </c>
      <c r="DP177" s="1">
        <v>16777215</v>
      </c>
      <c r="DQ177" s="1">
        <v>0</v>
      </c>
      <c r="DR177" s="1">
        <v>0</v>
      </c>
      <c r="DS177" s="1">
        <v>0</v>
      </c>
      <c r="DT177" s="1">
        <v>0</v>
      </c>
      <c r="DU177" s="1">
        <v>0</v>
      </c>
      <c r="DV177" s="1">
        <v>91833.03</v>
      </c>
      <c r="DW177" s="1">
        <v>91833.03</v>
      </c>
      <c r="DX177" s="1">
        <v>31345322.399999999</v>
      </c>
      <c r="DY177" s="1">
        <v>-1110160.2399999984</v>
      </c>
      <c r="DZ177" s="1">
        <v>92570020.519999966</v>
      </c>
      <c r="EA177" s="1">
        <v>0</v>
      </c>
      <c r="EB177" s="1">
        <v>0</v>
      </c>
      <c r="EC177" s="1" t="s">
        <v>176</v>
      </c>
      <c r="EE177" s="1">
        <v>0</v>
      </c>
      <c r="EF177" s="1">
        <v>3</v>
      </c>
      <c r="EG177" s="1">
        <v>0</v>
      </c>
      <c r="EH177" s="3">
        <v>9.9203860000000005E-2</v>
      </c>
      <c r="EI177" s="1">
        <v>0</v>
      </c>
      <c r="EL177" s="1">
        <v>0</v>
      </c>
      <c r="EM177" s="1">
        <v>0</v>
      </c>
      <c r="EN177" s="1">
        <v>1633661.45</v>
      </c>
      <c r="EO177" s="1">
        <v>1.2333592799999999</v>
      </c>
      <c r="ER177" s="1">
        <v>91.887034246575993</v>
      </c>
      <c r="ES177" s="1">
        <v>1</v>
      </c>
      <c r="ET177" s="3">
        <v>9.9845240650000004</v>
      </c>
      <c r="EU177" s="3">
        <v>2.7397260000000001E-3</v>
      </c>
      <c r="EV177" s="3">
        <v>2.2889152119999999E-3</v>
      </c>
      <c r="EW177" s="3">
        <v>4.7561643839999999</v>
      </c>
      <c r="EX177" s="3">
        <v>2.2711E-5</v>
      </c>
      <c r="EY177" s="3">
        <v>0</v>
      </c>
      <c r="EZ177" s="3">
        <v>1736</v>
      </c>
      <c r="FA177" s="1">
        <v>0</v>
      </c>
      <c r="FB177" s="1">
        <v>0</v>
      </c>
      <c r="FC177" s="3">
        <v>8.2286244610000008</v>
      </c>
      <c r="FD177" s="1">
        <v>0</v>
      </c>
      <c r="FE177" s="1">
        <v>0</v>
      </c>
    </row>
    <row r="178" spans="1:161" x14ac:dyDescent="0.3">
      <c r="A178" s="1">
        <v>16975581</v>
      </c>
      <c r="B178" s="1">
        <v>128</v>
      </c>
      <c r="C178" s="1">
        <v>7497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100</v>
      </c>
      <c r="J178" s="3">
        <v>100</v>
      </c>
      <c r="K178" s="1">
        <v>100000</v>
      </c>
      <c r="L178" s="1">
        <v>100000</v>
      </c>
      <c r="M178" s="1">
        <v>100000</v>
      </c>
      <c r="N178" s="3">
        <v>100000</v>
      </c>
      <c r="O178" s="1">
        <v>101177</v>
      </c>
      <c r="P178" s="1">
        <v>101177</v>
      </c>
      <c r="Q178" s="1">
        <v>101177</v>
      </c>
      <c r="R178" s="1">
        <v>101177</v>
      </c>
      <c r="S178" s="1">
        <v>100000</v>
      </c>
      <c r="T178" s="1">
        <v>100000</v>
      </c>
      <c r="U178" s="1">
        <v>100000</v>
      </c>
      <c r="V178" s="1">
        <v>100000</v>
      </c>
      <c r="W178" s="1">
        <v>0</v>
      </c>
      <c r="X178" s="1">
        <v>0</v>
      </c>
      <c r="Y178" s="1">
        <v>0</v>
      </c>
      <c r="Z178" s="1">
        <v>0</v>
      </c>
      <c r="AA178" s="1">
        <v>-689.71</v>
      </c>
      <c r="AB178" s="1">
        <v>-689.71</v>
      </c>
      <c r="AC178" s="1">
        <v>-689.71</v>
      </c>
      <c r="AD178" s="1">
        <v>-689.71</v>
      </c>
      <c r="AE178" s="3" t="s">
        <v>434</v>
      </c>
      <c r="AF178" s="3" t="s">
        <v>161</v>
      </c>
      <c r="AG178" s="1" t="s">
        <v>970</v>
      </c>
      <c r="AH178" s="3" t="s">
        <v>435</v>
      </c>
      <c r="AI178" s="1">
        <v>4</v>
      </c>
      <c r="AJ178" s="3" t="s">
        <v>165</v>
      </c>
      <c r="AK178" s="1" t="s">
        <v>176</v>
      </c>
      <c r="AL178" s="3">
        <v>96.258244700657997</v>
      </c>
      <c r="AM178" s="3">
        <v>96.233584699453999</v>
      </c>
      <c r="AN178" s="3">
        <v>96233.58</v>
      </c>
      <c r="AO178" s="3">
        <v>96233.58</v>
      </c>
      <c r="AP178" s="1" t="s">
        <v>164</v>
      </c>
      <c r="AQ178" s="1">
        <v>4</v>
      </c>
      <c r="AR178" s="1" t="s">
        <v>165</v>
      </c>
      <c r="AS178" s="3">
        <v>132534288.59999999</v>
      </c>
      <c r="AT178" s="1" t="s">
        <v>176</v>
      </c>
      <c r="AU178" s="1">
        <v>1</v>
      </c>
      <c r="AV178" s="1">
        <v>1</v>
      </c>
      <c r="AW178" s="3" t="s">
        <v>210</v>
      </c>
      <c r="AX178" s="3" t="s">
        <v>431</v>
      </c>
      <c r="AY178" s="1">
        <v>0</v>
      </c>
      <c r="BA178" s="3">
        <v>8205251.6799999997</v>
      </c>
      <c r="BB178" s="1">
        <v>1</v>
      </c>
      <c r="BD178" s="1" t="s">
        <v>971</v>
      </c>
      <c r="BE178" s="1">
        <v>1</v>
      </c>
      <c r="BF178" s="1">
        <v>1</v>
      </c>
      <c r="BG178" s="1" t="s">
        <v>168</v>
      </c>
      <c r="BH178" s="1">
        <v>0</v>
      </c>
      <c r="BI178" s="1">
        <v>31345322.399999999</v>
      </c>
      <c r="BJ178" s="1">
        <v>0</v>
      </c>
      <c r="BK178" s="1">
        <v>123618989.48999999</v>
      </c>
      <c r="BL178" s="1">
        <v>132456249.91</v>
      </c>
      <c r="BM178" s="1">
        <v>596150.00000000012</v>
      </c>
      <c r="BN178" s="1">
        <v>9219855.2300000004</v>
      </c>
      <c r="BO178" s="1">
        <v>23.664660909999998</v>
      </c>
      <c r="BP178" s="1">
        <v>0.45007313999999998</v>
      </c>
      <c r="BQ178" s="1">
        <v>6.9606796500000003</v>
      </c>
      <c r="BR178" s="1">
        <v>7.2653110000000007E-2</v>
      </c>
      <c r="BS178" s="1" t="s">
        <v>169</v>
      </c>
      <c r="BT178" s="1" t="s">
        <v>169</v>
      </c>
      <c r="BU178" s="1">
        <v>26356083.120000001</v>
      </c>
      <c r="BV178" s="1">
        <v>0</v>
      </c>
      <c r="BW178" s="1">
        <v>-24.66</v>
      </c>
      <c r="BX178" s="1">
        <v>-0.02</v>
      </c>
      <c r="BY178" s="1" t="s">
        <v>170</v>
      </c>
      <c r="BZ178" s="1">
        <v>-78038.69</v>
      </c>
      <c r="CA178" s="1" t="s">
        <v>250</v>
      </c>
      <c r="CB178" s="1" t="s">
        <v>251</v>
      </c>
      <c r="CC178" s="1">
        <v>-4229.05</v>
      </c>
      <c r="CD178" s="1">
        <v>-4229.05</v>
      </c>
      <c r="CE178" s="1">
        <v>96258.240000000005</v>
      </c>
      <c r="CF178" s="1">
        <v>96258.240000000005</v>
      </c>
      <c r="CG178" s="1">
        <v>0</v>
      </c>
      <c r="CH178" s="1">
        <v>1.4438757900000001</v>
      </c>
      <c r="CI178" s="1">
        <v>13.27863496</v>
      </c>
      <c r="CJ178" s="1">
        <v>17588381.91</v>
      </c>
      <c r="CK178" s="1">
        <v>1912503.72</v>
      </c>
      <c r="CL178" s="1">
        <v>6269233.6699999999</v>
      </c>
      <c r="CM178" s="1" t="s">
        <v>164</v>
      </c>
      <c r="CN178" s="1" t="s">
        <v>164</v>
      </c>
      <c r="CO178" s="1" t="s">
        <v>184</v>
      </c>
      <c r="CP178" s="1" t="s">
        <v>243</v>
      </c>
      <c r="CQ178" s="3" t="s">
        <v>252</v>
      </c>
      <c r="CR178" s="1">
        <v>0</v>
      </c>
      <c r="CS178" s="1" t="s">
        <v>243</v>
      </c>
      <c r="CT178" s="1">
        <v>7.784692E-2</v>
      </c>
      <c r="CV178" s="1">
        <v>0</v>
      </c>
      <c r="CW178" s="1">
        <v>-219173.26</v>
      </c>
      <c r="DA178" s="1">
        <v>1355558.46</v>
      </c>
      <c r="DB178" s="1">
        <v>0</v>
      </c>
      <c r="DC178" s="1">
        <v>2520.3126550000002</v>
      </c>
      <c r="DD178" s="1">
        <v>52555.483399999997</v>
      </c>
      <c r="DE178" s="1">
        <v>-296353.43</v>
      </c>
      <c r="DF178" s="1">
        <v>92570020.519999996</v>
      </c>
      <c r="DG178" s="1">
        <v>-24.66</v>
      </c>
      <c r="DH178" s="1">
        <v>394770.09</v>
      </c>
      <c r="DI178" s="1">
        <v>0.29803809999999997</v>
      </c>
      <c r="DK178" s="1">
        <v>0</v>
      </c>
      <c r="DL178" s="1">
        <v>0</v>
      </c>
      <c r="DM178" s="1">
        <v>-296353.43</v>
      </c>
      <c r="DN178" s="1">
        <v>0</v>
      </c>
      <c r="DO178" s="1">
        <v>0</v>
      </c>
      <c r="DP178" s="1">
        <v>16777215</v>
      </c>
      <c r="DQ178" s="1">
        <v>0</v>
      </c>
      <c r="DR178" s="1">
        <v>0</v>
      </c>
      <c r="DS178" s="1">
        <v>0</v>
      </c>
      <c r="DT178" s="1">
        <v>0</v>
      </c>
      <c r="DU178" s="1">
        <v>0</v>
      </c>
      <c r="DV178" s="1">
        <v>96233.58</v>
      </c>
      <c r="DW178" s="1">
        <v>96233.58</v>
      </c>
      <c r="DX178" s="1">
        <v>31345322.399999999</v>
      </c>
      <c r="DY178" s="1">
        <v>-1110160.2399999984</v>
      </c>
      <c r="DZ178" s="1">
        <v>92570020.519999966</v>
      </c>
      <c r="EA178" s="1">
        <v>0</v>
      </c>
      <c r="EB178" s="1">
        <v>0</v>
      </c>
      <c r="EC178" s="1" t="s">
        <v>176</v>
      </c>
      <c r="EE178" s="1">
        <v>0</v>
      </c>
      <c r="EF178" s="1">
        <v>3</v>
      </c>
      <c r="EG178" s="1">
        <v>0</v>
      </c>
      <c r="EH178" s="3">
        <v>0.10395761000000001</v>
      </c>
      <c r="EI178" s="1">
        <v>0</v>
      </c>
      <c r="EL178" s="1">
        <v>0</v>
      </c>
      <c r="EM178" s="1">
        <v>0</v>
      </c>
      <c r="EN178" s="1">
        <v>1633661.45</v>
      </c>
      <c r="EO178" s="1">
        <v>1.2333592799999999</v>
      </c>
      <c r="ER178" s="1">
        <v>96.259303278687995</v>
      </c>
      <c r="ES178" s="1">
        <v>1</v>
      </c>
      <c r="ET178" s="3">
        <v>5.0447333890000001</v>
      </c>
      <c r="EU178" s="3">
        <v>1.389440821</v>
      </c>
      <c r="EV178" s="3">
        <v>1.273234755194</v>
      </c>
      <c r="EW178" s="3">
        <v>1.405479452</v>
      </c>
      <c r="EX178" s="3">
        <v>3.0177031E-2</v>
      </c>
      <c r="EY178" s="3">
        <v>16</v>
      </c>
      <c r="EZ178" s="3">
        <v>513</v>
      </c>
      <c r="FA178" s="1">
        <v>0</v>
      </c>
      <c r="FB178" s="1">
        <v>0</v>
      </c>
      <c r="FC178" s="3">
        <v>1.344990471</v>
      </c>
      <c r="FD178" s="1">
        <v>0</v>
      </c>
      <c r="FE178" s="1">
        <v>0</v>
      </c>
    </row>
    <row r="179" spans="1:161" x14ac:dyDescent="0.3">
      <c r="A179" s="1">
        <v>16975358</v>
      </c>
      <c r="B179" s="1">
        <v>128</v>
      </c>
      <c r="C179" s="1">
        <v>7262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200</v>
      </c>
      <c r="J179" s="3">
        <v>200</v>
      </c>
      <c r="K179" s="1">
        <v>200000</v>
      </c>
      <c r="L179" s="1">
        <v>200000</v>
      </c>
      <c r="M179" s="1">
        <v>200000</v>
      </c>
      <c r="N179" s="3">
        <v>200000</v>
      </c>
      <c r="O179" s="1">
        <v>199916.4</v>
      </c>
      <c r="P179" s="1">
        <v>199916.4</v>
      </c>
      <c r="Q179" s="1">
        <v>199916.4</v>
      </c>
      <c r="R179" s="1">
        <v>199916.4</v>
      </c>
      <c r="S179" s="1">
        <v>200000</v>
      </c>
      <c r="T179" s="1">
        <v>200000</v>
      </c>
      <c r="U179" s="1">
        <v>200000</v>
      </c>
      <c r="V179" s="1">
        <v>200000</v>
      </c>
      <c r="W179" s="1">
        <v>0</v>
      </c>
      <c r="X179" s="1">
        <v>0</v>
      </c>
      <c r="Y179" s="1">
        <v>0</v>
      </c>
      <c r="Z179" s="1">
        <v>0</v>
      </c>
      <c r="AA179" s="1">
        <v>1354.34</v>
      </c>
      <c r="AB179" s="1">
        <v>1354.34</v>
      </c>
      <c r="AC179" s="1">
        <v>1354.34</v>
      </c>
      <c r="AD179" s="1">
        <v>1354.34</v>
      </c>
      <c r="AE179" s="3" t="s">
        <v>436</v>
      </c>
      <c r="AF179" s="3" t="s">
        <v>161</v>
      </c>
      <c r="AG179" s="1" t="s">
        <v>970</v>
      </c>
      <c r="AH179" s="3" t="s">
        <v>437</v>
      </c>
      <c r="AI179" s="1">
        <v>4</v>
      </c>
      <c r="AJ179" s="3" t="s">
        <v>165</v>
      </c>
      <c r="AK179" s="1" t="s">
        <v>191</v>
      </c>
      <c r="AL179" s="3">
        <v>94.060502605107004</v>
      </c>
      <c r="AM179" s="3">
        <v>94.153472602739996</v>
      </c>
      <c r="AN179" s="3">
        <v>188306.95</v>
      </c>
      <c r="AO179" s="3">
        <v>188306.95</v>
      </c>
      <c r="AP179" s="1" t="s">
        <v>164</v>
      </c>
      <c r="AQ179" s="1">
        <v>4</v>
      </c>
      <c r="AR179" s="1" t="s">
        <v>165</v>
      </c>
      <c r="AS179" s="3">
        <v>132534288.59999999</v>
      </c>
      <c r="AT179" s="1" t="s">
        <v>176</v>
      </c>
      <c r="AU179" s="1">
        <v>1</v>
      </c>
      <c r="AV179" s="1">
        <v>1</v>
      </c>
      <c r="AW179" s="3" t="s">
        <v>210</v>
      </c>
      <c r="AX179" s="3" t="s">
        <v>431</v>
      </c>
      <c r="AY179" s="1">
        <v>0</v>
      </c>
      <c r="BA179" s="3">
        <v>8205251.6799999997</v>
      </c>
      <c r="BB179" s="1">
        <v>1</v>
      </c>
      <c r="BD179" s="1" t="s">
        <v>971</v>
      </c>
      <c r="BE179" s="1">
        <v>1</v>
      </c>
      <c r="BF179" s="1">
        <v>1</v>
      </c>
      <c r="BG179" s="1" t="s">
        <v>168</v>
      </c>
      <c r="BH179" s="1">
        <v>0</v>
      </c>
      <c r="BI179" s="1">
        <v>31345322.399999999</v>
      </c>
      <c r="BJ179" s="1">
        <v>0</v>
      </c>
      <c r="BK179" s="1">
        <v>123618989.48999999</v>
      </c>
      <c r="BL179" s="1">
        <v>132456249.91</v>
      </c>
      <c r="BM179" s="1">
        <v>596150.00000000012</v>
      </c>
      <c r="BN179" s="1">
        <v>9219855.2300000004</v>
      </c>
      <c r="BO179" s="1">
        <v>23.664660909999998</v>
      </c>
      <c r="BP179" s="1">
        <v>0.45007313999999998</v>
      </c>
      <c r="BQ179" s="1">
        <v>6.9606796500000003</v>
      </c>
      <c r="BR179" s="1">
        <v>0.14216539</v>
      </c>
      <c r="BS179" s="1" t="s">
        <v>169</v>
      </c>
      <c r="BT179" s="1" t="s">
        <v>169</v>
      </c>
      <c r="BU179" s="1">
        <v>26356083.120000001</v>
      </c>
      <c r="BV179" s="1">
        <v>0</v>
      </c>
      <c r="BW179" s="1">
        <v>185.94</v>
      </c>
      <c r="BX179" s="1">
        <v>0.1</v>
      </c>
      <c r="BY179" s="1" t="s">
        <v>170</v>
      </c>
      <c r="BZ179" s="1">
        <v>-78038.69</v>
      </c>
      <c r="CA179" s="1" t="s">
        <v>250</v>
      </c>
      <c r="CB179" s="1" t="s">
        <v>251</v>
      </c>
      <c r="CC179" s="1">
        <v>-13149.73</v>
      </c>
      <c r="CD179" s="1">
        <v>-13149.73</v>
      </c>
      <c r="CE179" s="1">
        <v>188121.01</v>
      </c>
      <c r="CF179" s="1">
        <v>188121.01</v>
      </c>
      <c r="CG179" s="1">
        <v>0</v>
      </c>
      <c r="CH179" s="1">
        <v>1.4438757900000001</v>
      </c>
      <c r="CI179" s="1">
        <v>13.27863496</v>
      </c>
      <c r="CJ179" s="1">
        <v>17588381.91</v>
      </c>
      <c r="CK179" s="1">
        <v>1912503.72</v>
      </c>
      <c r="CL179" s="1">
        <v>6269233.6699999999</v>
      </c>
      <c r="CM179" s="1" t="s">
        <v>164</v>
      </c>
      <c r="CN179" s="1" t="s">
        <v>164</v>
      </c>
      <c r="CO179" s="1" t="s">
        <v>184</v>
      </c>
      <c r="CP179" s="1" t="s">
        <v>243</v>
      </c>
      <c r="CQ179" s="3" t="s">
        <v>252</v>
      </c>
      <c r="CR179" s="1">
        <v>0</v>
      </c>
      <c r="CS179" s="1" t="s">
        <v>243</v>
      </c>
      <c r="CT179" s="1">
        <v>0.15232850000000001</v>
      </c>
      <c r="CV179" s="1">
        <v>0</v>
      </c>
      <c r="CW179" s="1">
        <v>-219173.26</v>
      </c>
      <c r="DA179" s="1">
        <v>1355558.46</v>
      </c>
      <c r="DB179" s="1">
        <v>0</v>
      </c>
      <c r="DC179" s="1">
        <v>2520.3126550000002</v>
      </c>
      <c r="DD179" s="1">
        <v>52555.483399999997</v>
      </c>
      <c r="DE179" s="1">
        <v>-296353.43</v>
      </c>
      <c r="DF179" s="1">
        <v>92570020.519999996</v>
      </c>
      <c r="DG179" s="1">
        <v>185.94</v>
      </c>
      <c r="DH179" s="1">
        <v>394770.09</v>
      </c>
      <c r="DI179" s="1">
        <v>0.29803809999999997</v>
      </c>
      <c r="DK179" s="1">
        <v>0</v>
      </c>
      <c r="DL179" s="1">
        <v>0</v>
      </c>
      <c r="DM179" s="1">
        <v>-296353.43</v>
      </c>
      <c r="DN179" s="1">
        <v>0</v>
      </c>
      <c r="DO179" s="1">
        <v>0</v>
      </c>
      <c r="DP179" s="1">
        <v>16777215</v>
      </c>
      <c r="DQ179" s="1">
        <v>0</v>
      </c>
      <c r="DR179" s="1">
        <v>0</v>
      </c>
      <c r="DS179" s="1">
        <v>0</v>
      </c>
      <c r="DT179" s="1">
        <v>0</v>
      </c>
      <c r="DU179" s="1">
        <v>0</v>
      </c>
      <c r="DV179" s="1">
        <v>188306.95</v>
      </c>
      <c r="DW179" s="1">
        <v>188306.95</v>
      </c>
      <c r="DX179" s="1">
        <v>31345322.399999999</v>
      </c>
      <c r="DY179" s="1">
        <v>-1110160.2399999984</v>
      </c>
      <c r="DZ179" s="1">
        <v>92570020.519999966</v>
      </c>
      <c r="EA179" s="1">
        <v>0</v>
      </c>
      <c r="EB179" s="1">
        <v>0</v>
      </c>
      <c r="EC179" s="1" t="s">
        <v>176</v>
      </c>
      <c r="EE179" s="1">
        <v>0</v>
      </c>
      <c r="EF179" s="1">
        <v>3</v>
      </c>
      <c r="EG179" s="1">
        <v>0</v>
      </c>
      <c r="EH179" s="3">
        <v>0.20342109999999999</v>
      </c>
      <c r="EI179" s="1">
        <v>0</v>
      </c>
      <c r="EL179" s="1">
        <v>0</v>
      </c>
      <c r="EM179" s="1">
        <v>0</v>
      </c>
      <c r="EN179" s="1">
        <v>1633661.45</v>
      </c>
      <c r="EO179" s="1">
        <v>1.2333592799999999</v>
      </c>
      <c r="ER179" s="1">
        <v>94.091650684930997</v>
      </c>
      <c r="ES179" s="1">
        <v>1</v>
      </c>
      <c r="ET179" s="3">
        <v>11.585164528</v>
      </c>
      <c r="EU179" s="3">
        <v>0.88776060300000004</v>
      </c>
      <c r="EV179" s="3">
        <v>0.74858392646299998</v>
      </c>
      <c r="EW179" s="3">
        <v>0.90684931499999999</v>
      </c>
      <c r="EX179" s="3">
        <v>1.3557130000000001E-2</v>
      </c>
      <c r="EY179" s="3">
        <v>10</v>
      </c>
      <c r="EZ179" s="3">
        <v>331</v>
      </c>
      <c r="FA179" s="1">
        <v>0</v>
      </c>
      <c r="FB179" s="1">
        <v>0</v>
      </c>
      <c r="FC179" s="3">
        <v>4.2393523210000001</v>
      </c>
      <c r="FD179" s="1">
        <v>0</v>
      </c>
      <c r="FE179" s="1">
        <v>0</v>
      </c>
    </row>
    <row r="180" spans="1:161" x14ac:dyDescent="0.3">
      <c r="A180" s="1">
        <v>16975474</v>
      </c>
      <c r="B180" s="1">
        <v>128</v>
      </c>
      <c r="C180" s="1">
        <v>8294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3</v>
      </c>
      <c r="J180" s="3">
        <v>3</v>
      </c>
      <c r="K180" s="1">
        <v>300000</v>
      </c>
      <c r="L180" s="1">
        <v>300000</v>
      </c>
      <c r="M180" s="1">
        <v>300000</v>
      </c>
      <c r="N180" s="3">
        <v>300000</v>
      </c>
      <c r="O180" s="1">
        <v>285557.57</v>
      </c>
      <c r="P180" s="1">
        <v>285557.57</v>
      </c>
      <c r="Q180" s="1">
        <v>285557.57</v>
      </c>
      <c r="R180" s="1">
        <v>285557.57</v>
      </c>
      <c r="S180" s="1">
        <v>300000</v>
      </c>
      <c r="T180" s="1">
        <v>300000</v>
      </c>
      <c r="U180" s="1">
        <v>300000</v>
      </c>
      <c r="V180" s="1">
        <v>300000</v>
      </c>
      <c r="W180" s="1">
        <v>0</v>
      </c>
      <c r="X180" s="1">
        <v>0</v>
      </c>
      <c r="Y180" s="1">
        <v>0</v>
      </c>
      <c r="Z180" s="1">
        <v>0</v>
      </c>
      <c r="AA180" s="1">
        <v>6629.39</v>
      </c>
      <c r="AB180" s="1">
        <v>6629.39</v>
      </c>
      <c r="AC180" s="1">
        <v>6629.39</v>
      </c>
      <c r="AD180" s="1">
        <v>6629.39</v>
      </c>
      <c r="AE180" s="3" t="s">
        <v>438</v>
      </c>
      <c r="AF180" s="3" t="s">
        <v>161</v>
      </c>
      <c r="AG180" s="1" t="s">
        <v>970</v>
      </c>
      <c r="AH180" s="3" t="s">
        <v>439</v>
      </c>
      <c r="AI180" s="1">
        <v>4</v>
      </c>
      <c r="AJ180" s="3" t="s">
        <v>165</v>
      </c>
      <c r="AK180" s="1" t="s">
        <v>176</v>
      </c>
      <c r="AL180" s="3">
        <v>71.489096850595999</v>
      </c>
      <c r="AM180" s="3">
        <v>70.991006849314005</v>
      </c>
      <c r="AN180" s="3">
        <v>212973.02</v>
      </c>
      <c r="AO180" s="3">
        <v>212973.02</v>
      </c>
      <c r="AP180" s="1" t="s">
        <v>164</v>
      </c>
      <c r="AQ180" s="1">
        <v>4</v>
      </c>
      <c r="AR180" s="1" t="s">
        <v>165</v>
      </c>
      <c r="AS180" s="3">
        <v>132534288.59999999</v>
      </c>
      <c r="AT180" s="1" t="s">
        <v>176</v>
      </c>
      <c r="AU180" s="1">
        <v>1</v>
      </c>
      <c r="AV180" s="1">
        <v>1</v>
      </c>
      <c r="AW180" s="3" t="s">
        <v>210</v>
      </c>
      <c r="AX180" s="3" t="s">
        <v>431</v>
      </c>
      <c r="AY180" s="1">
        <v>0</v>
      </c>
      <c r="BA180" s="3">
        <v>8205251.6799999997</v>
      </c>
      <c r="BB180" s="1">
        <v>1</v>
      </c>
      <c r="BD180" s="1" t="s">
        <v>971</v>
      </c>
      <c r="BE180" s="1">
        <v>1</v>
      </c>
      <c r="BF180" s="1">
        <v>1</v>
      </c>
      <c r="BG180" s="1" t="s">
        <v>168</v>
      </c>
      <c r="BH180" s="1">
        <v>0</v>
      </c>
      <c r="BI180" s="1">
        <v>31345322.399999999</v>
      </c>
      <c r="BJ180" s="1">
        <v>0</v>
      </c>
      <c r="BK180" s="1">
        <v>123618989.48999999</v>
      </c>
      <c r="BL180" s="1">
        <v>132456249.91</v>
      </c>
      <c r="BM180" s="1">
        <v>596150.00000000012</v>
      </c>
      <c r="BN180" s="1">
        <v>9219855.2300000004</v>
      </c>
      <c r="BO180" s="1">
        <v>23.664660909999998</v>
      </c>
      <c r="BP180" s="1">
        <v>0.45007313999999998</v>
      </c>
      <c r="BQ180" s="1">
        <v>6.9606796500000003</v>
      </c>
      <c r="BR180" s="1">
        <v>0.16078745</v>
      </c>
      <c r="BS180" s="1" t="s">
        <v>169</v>
      </c>
      <c r="BT180" s="1" t="s">
        <v>169</v>
      </c>
      <c r="BU180" s="1">
        <v>26356083.120000001</v>
      </c>
      <c r="BV180" s="1">
        <v>0</v>
      </c>
      <c r="BW180" s="1">
        <v>-1494.27</v>
      </c>
      <c r="BX180" s="1">
        <v>-0.7</v>
      </c>
      <c r="BY180" s="1" t="s">
        <v>170</v>
      </c>
      <c r="BZ180" s="1">
        <v>-78038.69</v>
      </c>
      <c r="CA180" s="1" t="s">
        <v>250</v>
      </c>
      <c r="CB180" s="1" t="s">
        <v>251</v>
      </c>
      <c r="CC180" s="1">
        <v>-77719.67</v>
      </c>
      <c r="CD180" s="1">
        <v>-77719.67</v>
      </c>
      <c r="CE180" s="1">
        <v>214467.29</v>
      </c>
      <c r="CF180" s="1">
        <v>214467.29</v>
      </c>
      <c r="CG180" s="1">
        <v>0</v>
      </c>
      <c r="CH180" s="1">
        <v>1.4438757900000001</v>
      </c>
      <c r="CI180" s="1">
        <v>13.27863496</v>
      </c>
      <c r="CJ180" s="1">
        <v>17588381.91</v>
      </c>
      <c r="CK180" s="1">
        <v>1912503.72</v>
      </c>
      <c r="CL180" s="1">
        <v>6269233.6699999999</v>
      </c>
      <c r="CM180" s="1" t="s">
        <v>164</v>
      </c>
      <c r="CN180" s="1" t="s">
        <v>164</v>
      </c>
      <c r="CO180" s="1" t="s">
        <v>184</v>
      </c>
      <c r="CP180" s="1" t="s">
        <v>243</v>
      </c>
      <c r="CQ180" s="3" t="s">
        <v>252</v>
      </c>
      <c r="CR180" s="1">
        <v>0</v>
      </c>
      <c r="CS180" s="1" t="s">
        <v>243</v>
      </c>
      <c r="CT180" s="1">
        <v>0.17228180000000001</v>
      </c>
      <c r="CV180" s="1">
        <v>0</v>
      </c>
      <c r="CW180" s="1">
        <v>-219173.26</v>
      </c>
      <c r="DA180" s="1">
        <v>1355558.46</v>
      </c>
      <c r="DB180" s="1">
        <v>0</v>
      </c>
      <c r="DC180" s="1">
        <v>2520.3126550000002</v>
      </c>
      <c r="DD180" s="1">
        <v>52555.483399999997</v>
      </c>
      <c r="DE180" s="1">
        <v>-296353.43</v>
      </c>
      <c r="DF180" s="1">
        <v>92570020.519999996</v>
      </c>
      <c r="DG180" s="1">
        <v>-1494.27</v>
      </c>
      <c r="DH180" s="1">
        <v>394770.09</v>
      </c>
      <c r="DI180" s="1">
        <v>0.29803809999999997</v>
      </c>
      <c r="DK180" s="1">
        <v>0</v>
      </c>
      <c r="DL180" s="1">
        <v>0</v>
      </c>
      <c r="DM180" s="1">
        <v>-296353.43</v>
      </c>
      <c r="DN180" s="1">
        <v>0</v>
      </c>
      <c r="DO180" s="1">
        <v>0</v>
      </c>
      <c r="DP180" s="1">
        <v>16777215</v>
      </c>
      <c r="DQ180" s="1">
        <v>0</v>
      </c>
      <c r="DR180" s="1">
        <v>0</v>
      </c>
      <c r="DS180" s="1">
        <v>0</v>
      </c>
      <c r="DT180" s="1">
        <v>0</v>
      </c>
      <c r="DU180" s="1">
        <v>0</v>
      </c>
      <c r="DV180" s="1">
        <v>212973.02</v>
      </c>
      <c r="DW180" s="1">
        <v>212973.02</v>
      </c>
      <c r="DX180" s="1">
        <v>31345322.399999999</v>
      </c>
      <c r="DY180" s="1">
        <v>-1110160.2399999984</v>
      </c>
      <c r="DZ180" s="1">
        <v>92570020.519999966</v>
      </c>
      <c r="EA180" s="1">
        <v>0</v>
      </c>
      <c r="EB180" s="1">
        <v>0</v>
      </c>
      <c r="EC180" s="1" t="s">
        <v>176</v>
      </c>
      <c r="EE180" s="1">
        <v>0</v>
      </c>
      <c r="EF180" s="1">
        <v>3</v>
      </c>
      <c r="EG180" s="1">
        <v>0</v>
      </c>
      <c r="EH180" s="3">
        <v>0.23006694999999999</v>
      </c>
      <c r="EI180" s="1">
        <v>0</v>
      </c>
      <c r="EL180" s="1">
        <v>0</v>
      </c>
      <c r="EM180" s="1">
        <v>0</v>
      </c>
      <c r="EN180" s="1">
        <v>1633661.45</v>
      </c>
      <c r="EO180" s="1">
        <v>1.2333592799999999</v>
      </c>
      <c r="ER180" s="1">
        <v>71.483369863014005</v>
      </c>
      <c r="ES180" s="1">
        <v>1</v>
      </c>
      <c r="ET180" s="3">
        <v>5.5588577270000004</v>
      </c>
      <c r="EU180" s="3">
        <v>9.7257385910000007</v>
      </c>
      <c r="EV180" s="3">
        <v>6.5861698760609997</v>
      </c>
      <c r="EW180" s="3">
        <v>11.180821917999999</v>
      </c>
      <c r="EX180" s="3">
        <v>1.0217991150000001</v>
      </c>
      <c r="EY180" s="3">
        <v>111</v>
      </c>
      <c r="EZ180" s="3">
        <v>4081</v>
      </c>
      <c r="FA180" s="1">
        <v>0</v>
      </c>
      <c r="FB180" s="1">
        <v>0</v>
      </c>
      <c r="FC180" s="3">
        <v>2.5360641930000001</v>
      </c>
      <c r="FD180" s="1">
        <v>0</v>
      </c>
      <c r="FE180" s="1">
        <v>0</v>
      </c>
    </row>
    <row r="181" spans="1:161" x14ac:dyDescent="0.3">
      <c r="A181" s="1">
        <v>16975506</v>
      </c>
      <c r="B181" s="1">
        <v>128</v>
      </c>
      <c r="C181" s="1">
        <v>8275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3</v>
      </c>
      <c r="J181" s="3">
        <v>3</v>
      </c>
      <c r="K181" s="1">
        <v>300000</v>
      </c>
      <c r="L181" s="1">
        <v>300000</v>
      </c>
      <c r="M181" s="1">
        <v>300000</v>
      </c>
      <c r="N181" s="3">
        <v>300000</v>
      </c>
      <c r="O181" s="1">
        <v>301917</v>
      </c>
      <c r="P181" s="1">
        <v>301917</v>
      </c>
      <c r="Q181" s="1">
        <v>301917</v>
      </c>
      <c r="R181" s="1">
        <v>301917</v>
      </c>
      <c r="S181" s="1">
        <v>300000</v>
      </c>
      <c r="T181" s="1">
        <v>300000</v>
      </c>
      <c r="U181" s="1">
        <v>300000</v>
      </c>
      <c r="V181" s="1">
        <v>300000</v>
      </c>
      <c r="W181" s="1">
        <v>0</v>
      </c>
      <c r="X181" s="1">
        <v>0</v>
      </c>
      <c r="Y181" s="1">
        <v>0</v>
      </c>
      <c r="Z181" s="1">
        <v>0</v>
      </c>
      <c r="AA181" s="1">
        <v>-1743.98</v>
      </c>
      <c r="AB181" s="1">
        <v>-1743.98</v>
      </c>
      <c r="AC181" s="1">
        <v>-1743.98</v>
      </c>
      <c r="AD181" s="1">
        <v>-1743.98</v>
      </c>
      <c r="AE181" s="3" t="s">
        <v>440</v>
      </c>
      <c r="AF181" s="3" t="s">
        <v>161</v>
      </c>
      <c r="AG181" s="1" t="s">
        <v>970</v>
      </c>
      <c r="AH181" s="3" t="s">
        <v>441</v>
      </c>
      <c r="AI181" s="1">
        <v>4</v>
      </c>
      <c r="AJ181" s="3" t="s">
        <v>165</v>
      </c>
      <c r="AK181" s="1" t="s">
        <v>176</v>
      </c>
      <c r="AL181" s="3">
        <v>93.424637159398998</v>
      </c>
      <c r="AM181" s="3">
        <v>93.248603825136996</v>
      </c>
      <c r="AN181" s="3">
        <v>279745.81</v>
      </c>
      <c r="AO181" s="3">
        <v>279745.81</v>
      </c>
      <c r="AP181" s="1" t="s">
        <v>164</v>
      </c>
      <c r="AQ181" s="1">
        <v>4</v>
      </c>
      <c r="AR181" s="1" t="s">
        <v>165</v>
      </c>
      <c r="AS181" s="3">
        <v>132534288.59999999</v>
      </c>
      <c r="AT181" s="1" t="s">
        <v>176</v>
      </c>
      <c r="AU181" s="1">
        <v>1</v>
      </c>
      <c r="AV181" s="1">
        <v>1</v>
      </c>
      <c r="AW181" s="3" t="s">
        <v>210</v>
      </c>
      <c r="AX181" s="3" t="s">
        <v>431</v>
      </c>
      <c r="AY181" s="1">
        <v>0</v>
      </c>
      <c r="BA181" s="3">
        <v>8205251.6799999997</v>
      </c>
      <c r="BB181" s="1">
        <v>1</v>
      </c>
      <c r="BD181" s="1" t="s">
        <v>971</v>
      </c>
      <c r="BE181" s="1">
        <v>1</v>
      </c>
      <c r="BF181" s="1">
        <v>1</v>
      </c>
      <c r="BG181" s="1" t="s">
        <v>168</v>
      </c>
      <c r="BH181" s="1">
        <v>0</v>
      </c>
      <c r="BI181" s="1">
        <v>31345322.399999999</v>
      </c>
      <c r="BJ181" s="1">
        <v>0</v>
      </c>
      <c r="BK181" s="1">
        <v>123618989.48999999</v>
      </c>
      <c r="BL181" s="1">
        <v>132456249.91</v>
      </c>
      <c r="BM181" s="1">
        <v>596150.00000000012</v>
      </c>
      <c r="BN181" s="1">
        <v>9219855.2300000004</v>
      </c>
      <c r="BO181" s="1">
        <v>23.664660909999998</v>
      </c>
      <c r="BP181" s="1">
        <v>0.45007313999999998</v>
      </c>
      <c r="BQ181" s="1">
        <v>6.9606796500000003</v>
      </c>
      <c r="BR181" s="1">
        <v>0.21119864999999999</v>
      </c>
      <c r="BS181" s="1" t="s">
        <v>169</v>
      </c>
      <c r="BT181" s="1" t="s">
        <v>169</v>
      </c>
      <c r="BU181" s="1">
        <v>26356083.120000001</v>
      </c>
      <c r="BV181" s="1">
        <v>0</v>
      </c>
      <c r="BW181" s="1">
        <v>-528.1</v>
      </c>
      <c r="BX181" s="1">
        <v>-0.19</v>
      </c>
      <c r="BY181" s="1" t="s">
        <v>170</v>
      </c>
      <c r="BZ181" s="1">
        <v>-78038.69</v>
      </c>
      <c r="CA181" s="1" t="s">
        <v>250</v>
      </c>
      <c r="CB181" s="1" t="s">
        <v>251</v>
      </c>
      <c r="CC181" s="1">
        <v>-19899.11</v>
      </c>
      <c r="CD181" s="1">
        <v>-19899.11</v>
      </c>
      <c r="CE181" s="1">
        <v>280273.90999999997</v>
      </c>
      <c r="CF181" s="1">
        <v>280273.90999999997</v>
      </c>
      <c r="CG181" s="1">
        <v>0</v>
      </c>
      <c r="CH181" s="1">
        <v>1.4438757900000001</v>
      </c>
      <c r="CI181" s="1">
        <v>13.27863496</v>
      </c>
      <c r="CJ181" s="1">
        <v>17588381.91</v>
      </c>
      <c r="CK181" s="1">
        <v>1912503.72</v>
      </c>
      <c r="CL181" s="1">
        <v>6269233.6699999999</v>
      </c>
      <c r="CM181" s="1" t="s">
        <v>164</v>
      </c>
      <c r="CN181" s="1" t="s">
        <v>164</v>
      </c>
      <c r="CO181" s="1" t="s">
        <v>184</v>
      </c>
      <c r="CP181" s="1" t="s">
        <v>243</v>
      </c>
      <c r="CQ181" s="3" t="s">
        <v>252</v>
      </c>
      <c r="CR181" s="1">
        <v>0</v>
      </c>
      <c r="CS181" s="1" t="s">
        <v>243</v>
      </c>
      <c r="CT181" s="1">
        <v>0.22629679</v>
      </c>
      <c r="CV181" s="1">
        <v>0</v>
      </c>
      <c r="CW181" s="1">
        <v>-219173.26</v>
      </c>
      <c r="DA181" s="1">
        <v>1355558.46</v>
      </c>
      <c r="DB181" s="1">
        <v>0</v>
      </c>
      <c r="DC181" s="1">
        <v>2520.3126550000002</v>
      </c>
      <c r="DD181" s="1">
        <v>52555.483399999997</v>
      </c>
      <c r="DE181" s="1">
        <v>-296353.43</v>
      </c>
      <c r="DF181" s="1">
        <v>92570020.519999996</v>
      </c>
      <c r="DG181" s="1">
        <v>-528.1</v>
      </c>
      <c r="DH181" s="1">
        <v>394770.09</v>
      </c>
      <c r="DI181" s="1">
        <v>0.29803809999999997</v>
      </c>
      <c r="DK181" s="1">
        <v>0</v>
      </c>
      <c r="DL181" s="1">
        <v>0</v>
      </c>
      <c r="DM181" s="1">
        <v>-296353.43</v>
      </c>
      <c r="DN181" s="1">
        <v>0</v>
      </c>
      <c r="DO181" s="1">
        <v>0</v>
      </c>
      <c r="DP181" s="1">
        <v>16777215</v>
      </c>
      <c r="DQ181" s="1">
        <v>0</v>
      </c>
      <c r="DR181" s="1">
        <v>0</v>
      </c>
      <c r="DS181" s="1">
        <v>0</v>
      </c>
      <c r="DT181" s="1">
        <v>0</v>
      </c>
      <c r="DU181" s="1">
        <v>0</v>
      </c>
      <c r="DV181" s="1">
        <v>279745.81</v>
      </c>
      <c r="DW181" s="1">
        <v>279745.81</v>
      </c>
      <c r="DX181" s="1">
        <v>31345322.399999999</v>
      </c>
      <c r="DY181" s="1">
        <v>-1110160.2399999984</v>
      </c>
      <c r="DZ181" s="1">
        <v>92570020.519999966</v>
      </c>
      <c r="EA181" s="1">
        <v>0</v>
      </c>
      <c r="EB181" s="1">
        <v>0</v>
      </c>
      <c r="EC181" s="1" t="s">
        <v>176</v>
      </c>
      <c r="EE181" s="1">
        <v>0</v>
      </c>
      <c r="EF181" s="1">
        <v>3</v>
      </c>
      <c r="EG181" s="1">
        <v>0</v>
      </c>
      <c r="EH181" s="3">
        <v>0.30219913999999998</v>
      </c>
      <c r="EI181" s="1">
        <v>0</v>
      </c>
      <c r="EL181" s="1">
        <v>0</v>
      </c>
      <c r="EM181" s="1">
        <v>0</v>
      </c>
      <c r="EN181" s="1">
        <v>1633661.45</v>
      </c>
      <c r="EO181" s="1">
        <v>1.2333592799999999</v>
      </c>
      <c r="ER181" s="1">
        <v>93.411114754099003</v>
      </c>
      <c r="ES181" s="1">
        <v>1</v>
      </c>
      <c r="ET181" s="3">
        <v>4.6039355430000004</v>
      </c>
      <c r="EU181" s="3">
        <v>3.4045492999999998</v>
      </c>
      <c r="EV181" s="3">
        <v>3.0402560253600002</v>
      </c>
      <c r="EW181" s="3">
        <v>3.5315068489999999</v>
      </c>
      <c r="EX181" s="3">
        <v>0.13937369499999999</v>
      </c>
      <c r="EY181" s="3">
        <v>39</v>
      </c>
      <c r="EZ181" s="3">
        <v>1289</v>
      </c>
      <c r="FA181" s="1">
        <v>0</v>
      </c>
      <c r="FB181" s="1">
        <v>0</v>
      </c>
      <c r="FC181" s="3">
        <v>2.3407198999999999</v>
      </c>
      <c r="FD181" s="1">
        <v>0</v>
      </c>
      <c r="FE181" s="1">
        <v>0</v>
      </c>
    </row>
    <row r="182" spans="1:161" x14ac:dyDescent="0.3">
      <c r="A182" s="1">
        <v>16975356</v>
      </c>
      <c r="B182" s="1">
        <v>128</v>
      </c>
      <c r="C182" s="1">
        <v>9386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200</v>
      </c>
      <c r="J182" s="3">
        <v>200</v>
      </c>
      <c r="K182" s="1">
        <v>200000</v>
      </c>
      <c r="L182" s="1">
        <v>200000</v>
      </c>
      <c r="M182" s="1">
        <v>200000</v>
      </c>
      <c r="N182" s="3">
        <v>200000</v>
      </c>
      <c r="O182" s="1">
        <v>216968</v>
      </c>
      <c r="P182" s="1">
        <v>216968</v>
      </c>
      <c r="Q182" s="1">
        <v>216968</v>
      </c>
      <c r="R182" s="1">
        <v>216968</v>
      </c>
      <c r="S182" s="1">
        <v>200000</v>
      </c>
      <c r="T182" s="1">
        <v>200000</v>
      </c>
      <c r="U182" s="1">
        <v>200000</v>
      </c>
      <c r="V182" s="1">
        <v>200000</v>
      </c>
      <c r="W182" s="1">
        <v>0</v>
      </c>
      <c r="X182" s="1">
        <v>0</v>
      </c>
      <c r="Y182" s="1">
        <v>0</v>
      </c>
      <c r="Z182" s="1">
        <v>0</v>
      </c>
      <c r="AA182" s="1">
        <v>-8819.56</v>
      </c>
      <c r="AB182" s="1">
        <v>-8819.56</v>
      </c>
      <c r="AC182" s="1">
        <v>-8819.56</v>
      </c>
      <c r="AD182" s="1">
        <v>-8819.56</v>
      </c>
      <c r="AE182" s="3" t="s">
        <v>442</v>
      </c>
      <c r="AF182" s="3" t="s">
        <v>161</v>
      </c>
      <c r="AG182" s="1" t="s">
        <v>970</v>
      </c>
      <c r="AH182" s="3" t="s">
        <v>443</v>
      </c>
      <c r="AI182" s="1">
        <v>4</v>
      </c>
      <c r="AJ182" s="3" t="s">
        <v>165</v>
      </c>
      <c r="AK182" s="1" t="s">
        <v>191</v>
      </c>
      <c r="AL182" s="3">
        <v>77.581787213121999</v>
      </c>
      <c r="AM182" s="3">
        <v>77.581467213113001</v>
      </c>
      <c r="AN182" s="3">
        <v>155162.93</v>
      </c>
      <c r="AO182" s="3">
        <v>155162.93</v>
      </c>
      <c r="AP182" s="1" t="s">
        <v>164</v>
      </c>
      <c r="AQ182" s="1">
        <v>4</v>
      </c>
      <c r="AR182" s="1" t="s">
        <v>165</v>
      </c>
      <c r="AS182" s="3">
        <v>132534288.59999999</v>
      </c>
      <c r="AT182" s="1" t="s">
        <v>176</v>
      </c>
      <c r="AU182" s="1">
        <v>1</v>
      </c>
      <c r="AV182" s="1">
        <v>1</v>
      </c>
      <c r="AW182" s="3" t="s">
        <v>210</v>
      </c>
      <c r="AX182" s="3" t="s">
        <v>431</v>
      </c>
      <c r="AY182" s="1">
        <v>0</v>
      </c>
      <c r="BA182" s="3">
        <v>8205251.6799999997</v>
      </c>
      <c r="BB182" s="1">
        <v>1</v>
      </c>
      <c r="BD182" s="1" t="s">
        <v>971</v>
      </c>
      <c r="BE182" s="1">
        <v>1</v>
      </c>
      <c r="BF182" s="1">
        <v>1</v>
      </c>
      <c r="BG182" s="1" t="s">
        <v>168</v>
      </c>
      <c r="BH182" s="1">
        <v>0</v>
      </c>
      <c r="BI182" s="1">
        <v>31345322.399999999</v>
      </c>
      <c r="BJ182" s="1">
        <v>0</v>
      </c>
      <c r="BK182" s="1">
        <v>123618989.48999999</v>
      </c>
      <c r="BL182" s="1">
        <v>132456249.91</v>
      </c>
      <c r="BM182" s="1">
        <v>596150.00000000012</v>
      </c>
      <c r="BN182" s="1">
        <v>9219855.2300000004</v>
      </c>
      <c r="BO182" s="1">
        <v>23.664660909999998</v>
      </c>
      <c r="BP182" s="1">
        <v>0.45007313999999998</v>
      </c>
      <c r="BQ182" s="1">
        <v>6.9606796500000003</v>
      </c>
      <c r="BR182" s="1">
        <v>0.11714278</v>
      </c>
      <c r="BS182" s="1" t="s">
        <v>169</v>
      </c>
      <c r="BT182" s="1" t="s">
        <v>169</v>
      </c>
      <c r="BU182" s="1">
        <v>26356083.120000001</v>
      </c>
      <c r="BV182" s="1">
        <v>0</v>
      </c>
      <c r="BW182" s="1">
        <v>-0.64</v>
      </c>
      <c r="BX182" s="1">
        <v>0</v>
      </c>
      <c r="BY182" s="1" t="s">
        <v>170</v>
      </c>
      <c r="BZ182" s="1">
        <v>-78038.69</v>
      </c>
      <c r="CA182" s="1" t="s">
        <v>250</v>
      </c>
      <c r="CB182" s="1" t="s">
        <v>251</v>
      </c>
      <c r="CC182" s="1">
        <v>-52984.87</v>
      </c>
      <c r="CD182" s="1">
        <v>-52984.87</v>
      </c>
      <c r="CE182" s="1">
        <v>155163.57</v>
      </c>
      <c r="CF182" s="1">
        <v>155163.57</v>
      </c>
      <c r="CG182" s="1">
        <v>0</v>
      </c>
      <c r="CH182" s="1">
        <v>1.4438757900000001</v>
      </c>
      <c r="CI182" s="1">
        <v>13.27863496</v>
      </c>
      <c r="CJ182" s="1">
        <v>17588381.91</v>
      </c>
      <c r="CK182" s="1">
        <v>1912503.72</v>
      </c>
      <c r="CL182" s="1">
        <v>6269233.6699999999</v>
      </c>
      <c r="CM182" s="1" t="s">
        <v>164</v>
      </c>
      <c r="CN182" s="1" t="s">
        <v>164</v>
      </c>
      <c r="CO182" s="1" t="s">
        <v>184</v>
      </c>
      <c r="CP182" s="1" t="s">
        <v>243</v>
      </c>
      <c r="CQ182" s="3" t="s">
        <v>252</v>
      </c>
      <c r="CR182" s="1">
        <v>0</v>
      </c>
      <c r="CS182" s="1" t="s">
        <v>243</v>
      </c>
      <c r="CT182" s="1">
        <v>0.12551707000000001</v>
      </c>
      <c r="CV182" s="1">
        <v>0</v>
      </c>
      <c r="CW182" s="1">
        <v>-219173.26</v>
      </c>
      <c r="DA182" s="1">
        <v>1355558.46</v>
      </c>
      <c r="DB182" s="1">
        <v>0</v>
      </c>
      <c r="DC182" s="1">
        <v>2520.3126550000002</v>
      </c>
      <c r="DD182" s="1">
        <v>52555.483399999997</v>
      </c>
      <c r="DE182" s="1">
        <v>-296353.43</v>
      </c>
      <c r="DF182" s="1">
        <v>92570020.519999996</v>
      </c>
      <c r="DG182" s="1">
        <v>-0.64</v>
      </c>
      <c r="DH182" s="1">
        <v>394770.09</v>
      </c>
      <c r="DI182" s="1">
        <v>0.29803809999999997</v>
      </c>
      <c r="DK182" s="1">
        <v>0</v>
      </c>
      <c r="DL182" s="1">
        <v>0</v>
      </c>
      <c r="DM182" s="1">
        <v>-296353.43</v>
      </c>
      <c r="DN182" s="1">
        <v>0</v>
      </c>
      <c r="DO182" s="1">
        <v>0</v>
      </c>
      <c r="DP182" s="1">
        <v>16777215</v>
      </c>
      <c r="DQ182" s="1">
        <v>0</v>
      </c>
      <c r="DR182" s="1">
        <v>0</v>
      </c>
      <c r="DS182" s="1">
        <v>0</v>
      </c>
      <c r="DT182" s="1">
        <v>0</v>
      </c>
      <c r="DU182" s="1">
        <v>0</v>
      </c>
      <c r="DV182" s="1">
        <v>155162.93</v>
      </c>
      <c r="DW182" s="1">
        <v>155162.93</v>
      </c>
      <c r="DX182" s="1">
        <v>31345322.399999999</v>
      </c>
      <c r="DY182" s="1">
        <v>-1110160.2399999984</v>
      </c>
      <c r="DZ182" s="1">
        <v>92570020.519999966</v>
      </c>
      <c r="EA182" s="1">
        <v>0</v>
      </c>
      <c r="EB182" s="1">
        <v>0</v>
      </c>
      <c r="EC182" s="1" t="s">
        <v>176</v>
      </c>
      <c r="EE182" s="1">
        <v>0</v>
      </c>
      <c r="EF182" s="1">
        <v>3</v>
      </c>
      <c r="EG182" s="1">
        <v>0</v>
      </c>
      <c r="EH182" s="3">
        <v>0.16761682999999999</v>
      </c>
      <c r="EI182" s="1">
        <v>0</v>
      </c>
      <c r="EL182" s="1">
        <v>0</v>
      </c>
      <c r="EM182" s="1">
        <v>0</v>
      </c>
      <c r="EN182" s="1">
        <v>1633661.45</v>
      </c>
      <c r="EO182" s="1">
        <v>1.2333592799999999</v>
      </c>
      <c r="ER182" s="1">
        <v>77.739407103824007</v>
      </c>
      <c r="ES182" s="1">
        <v>1</v>
      </c>
      <c r="ET182" s="3">
        <v>14.110082372000001</v>
      </c>
      <c r="EU182" s="3">
        <v>2.4917310879999999</v>
      </c>
      <c r="EV182" s="3">
        <v>1.697533587341</v>
      </c>
      <c r="EW182" s="3">
        <v>2.5753424659999999</v>
      </c>
      <c r="EX182" s="3">
        <v>6.7697673E-2</v>
      </c>
      <c r="EY182" s="3">
        <v>26</v>
      </c>
      <c r="EZ182" s="3">
        <v>940</v>
      </c>
      <c r="FA182" s="1">
        <v>0</v>
      </c>
      <c r="FB182" s="1">
        <v>0</v>
      </c>
      <c r="FC182" s="3">
        <v>-0.13607153599999999</v>
      </c>
      <c r="FD182" s="1">
        <v>0</v>
      </c>
      <c r="FE182" s="1">
        <v>0</v>
      </c>
    </row>
    <row r="183" spans="1:161" x14ac:dyDescent="0.3">
      <c r="A183" s="1">
        <v>16975478</v>
      </c>
      <c r="B183" s="1">
        <v>128</v>
      </c>
      <c r="C183" s="1">
        <v>9246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3</v>
      </c>
      <c r="J183" s="3">
        <v>3</v>
      </c>
      <c r="K183" s="1">
        <v>300000</v>
      </c>
      <c r="L183" s="1">
        <v>300000</v>
      </c>
      <c r="M183" s="1">
        <v>300000</v>
      </c>
      <c r="N183" s="3">
        <v>300000</v>
      </c>
      <c r="O183" s="1">
        <v>297822</v>
      </c>
      <c r="P183" s="1">
        <v>297822</v>
      </c>
      <c r="Q183" s="1">
        <v>297822</v>
      </c>
      <c r="R183" s="1">
        <v>297822</v>
      </c>
      <c r="S183" s="1">
        <v>300000</v>
      </c>
      <c r="T183" s="1">
        <v>300000</v>
      </c>
      <c r="U183" s="1">
        <v>300000</v>
      </c>
      <c r="V183" s="1">
        <v>300000</v>
      </c>
      <c r="W183" s="1">
        <v>0</v>
      </c>
      <c r="X183" s="1">
        <v>0</v>
      </c>
      <c r="Y183" s="1">
        <v>0</v>
      </c>
      <c r="Z183" s="1">
        <v>0</v>
      </c>
      <c r="AA183" s="1">
        <v>1125.23</v>
      </c>
      <c r="AB183" s="1">
        <v>1125.23</v>
      </c>
      <c r="AC183" s="1">
        <v>1125.23</v>
      </c>
      <c r="AD183" s="1">
        <v>1125.23</v>
      </c>
      <c r="AE183" s="3" t="s">
        <v>444</v>
      </c>
      <c r="AF183" s="3" t="s">
        <v>161</v>
      </c>
      <c r="AG183" s="1" t="s">
        <v>970</v>
      </c>
      <c r="AH183" s="3" t="s">
        <v>445</v>
      </c>
      <c r="AI183" s="1">
        <v>4</v>
      </c>
      <c r="AJ183" s="3" t="s">
        <v>165</v>
      </c>
      <c r="AK183" s="1" t="s">
        <v>176</v>
      </c>
      <c r="AL183" s="3">
        <v>78.806576995794003</v>
      </c>
      <c r="AM183" s="3">
        <v>78.505346994535998</v>
      </c>
      <c r="AN183" s="3">
        <v>235516.04</v>
      </c>
      <c r="AO183" s="3">
        <v>235516.04</v>
      </c>
      <c r="AP183" s="1" t="s">
        <v>164</v>
      </c>
      <c r="AQ183" s="1">
        <v>4</v>
      </c>
      <c r="AR183" s="1" t="s">
        <v>165</v>
      </c>
      <c r="AS183" s="3">
        <v>132534288.59999999</v>
      </c>
      <c r="AT183" s="1" t="s">
        <v>176</v>
      </c>
      <c r="AU183" s="1">
        <v>1</v>
      </c>
      <c r="AV183" s="1">
        <v>1</v>
      </c>
      <c r="AW183" s="3" t="s">
        <v>210</v>
      </c>
      <c r="AX183" s="3" t="s">
        <v>431</v>
      </c>
      <c r="AY183" s="1">
        <v>0</v>
      </c>
      <c r="BA183" s="3">
        <v>8205251.6799999997</v>
      </c>
      <c r="BB183" s="1">
        <v>1</v>
      </c>
      <c r="BD183" s="1" t="s">
        <v>971</v>
      </c>
      <c r="BE183" s="1">
        <v>1</v>
      </c>
      <c r="BF183" s="1">
        <v>1</v>
      </c>
      <c r="BG183" s="1" t="s">
        <v>168</v>
      </c>
      <c r="BH183" s="1">
        <v>0</v>
      </c>
      <c r="BI183" s="1">
        <v>31345322.399999999</v>
      </c>
      <c r="BJ183" s="1">
        <v>0</v>
      </c>
      <c r="BK183" s="1">
        <v>123618989.48999999</v>
      </c>
      <c r="BL183" s="1">
        <v>132456249.91</v>
      </c>
      <c r="BM183" s="1">
        <v>596150.00000000012</v>
      </c>
      <c r="BN183" s="1">
        <v>9219855.2300000004</v>
      </c>
      <c r="BO183" s="1">
        <v>23.664660909999998</v>
      </c>
      <c r="BP183" s="1">
        <v>0.45007313999999998</v>
      </c>
      <c r="BQ183" s="1">
        <v>6.9606796500000003</v>
      </c>
      <c r="BR183" s="1">
        <v>0.17780666000000001</v>
      </c>
      <c r="BS183" s="1" t="s">
        <v>169</v>
      </c>
      <c r="BT183" s="1" t="s">
        <v>169</v>
      </c>
      <c r="BU183" s="1">
        <v>26356083.120000001</v>
      </c>
      <c r="BV183" s="1">
        <v>0</v>
      </c>
      <c r="BW183" s="1">
        <v>-903.69</v>
      </c>
      <c r="BX183" s="1">
        <v>-0.38</v>
      </c>
      <c r="BY183" s="1" t="s">
        <v>170</v>
      </c>
      <c r="BZ183" s="1">
        <v>-78038.69</v>
      </c>
      <c r="CA183" s="1" t="s">
        <v>250</v>
      </c>
      <c r="CB183" s="1" t="s">
        <v>251</v>
      </c>
      <c r="CC183" s="1">
        <v>-62527.5</v>
      </c>
      <c r="CD183" s="1">
        <v>-62527.5</v>
      </c>
      <c r="CE183" s="1">
        <v>236419.73</v>
      </c>
      <c r="CF183" s="1">
        <v>236419.73</v>
      </c>
      <c r="CG183" s="1">
        <v>0</v>
      </c>
      <c r="CH183" s="1">
        <v>1.4438757900000001</v>
      </c>
      <c r="CI183" s="1">
        <v>13.27863496</v>
      </c>
      <c r="CJ183" s="1">
        <v>17588381.91</v>
      </c>
      <c r="CK183" s="1">
        <v>1912503.72</v>
      </c>
      <c r="CL183" s="1">
        <v>6269233.6699999999</v>
      </c>
      <c r="CM183" s="1" t="s">
        <v>164</v>
      </c>
      <c r="CN183" s="1" t="s">
        <v>164</v>
      </c>
      <c r="CO183" s="1" t="s">
        <v>184</v>
      </c>
      <c r="CP183" s="1" t="s">
        <v>243</v>
      </c>
      <c r="CQ183" s="3" t="s">
        <v>252</v>
      </c>
      <c r="CR183" s="1">
        <v>0</v>
      </c>
      <c r="CS183" s="1" t="s">
        <v>243</v>
      </c>
      <c r="CT183" s="1">
        <v>0.19051768999999999</v>
      </c>
      <c r="CV183" s="1">
        <v>0</v>
      </c>
      <c r="CW183" s="1">
        <v>-219173.26</v>
      </c>
      <c r="DA183" s="1">
        <v>1355558.46</v>
      </c>
      <c r="DB183" s="1">
        <v>0</v>
      </c>
      <c r="DC183" s="1">
        <v>2520.3126550000002</v>
      </c>
      <c r="DD183" s="1">
        <v>52555.483399999997</v>
      </c>
      <c r="DE183" s="1">
        <v>-296353.43</v>
      </c>
      <c r="DF183" s="1">
        <v>92570020.519999996</v>
      </c>
      <c r="DG183" s="1">
        <v>-903.69</v>
      </c>
      <c r="DH183" s="1">
        <v>394770.09</v>
      </c>
      <c r="DI183" s="1">
        <v>0.29803809999999997</v>
      </c>
      <c r="DK183" s="1">
        <v>0</v>
      </c>
      <c r="DL183" s="1">
        <v>0</v>
      </c>
      <c r="DM183" s="1">
        <v>-296353.43</v>
      </c>
      <c r="DN183" s="1">
        <v>0</v>
      </c>
      <c r="DO183" s="1">
        <v>0</v>
      </c>
      <c r="DP183" s="1">
        <v>16777215</v>
      </c>
      <c r="DQ183" s="1">
        <v>0</v>
      </c>
      <c r="DR183" s="1">
        <v>0</v>
      </c>
      <c r="DS183" s="1">
        <v>0</v>
      </c>
      <c r="DT183" s="1">
        <v>0</v>
      </c>
      <c r="DU183" s="1">
        <v>0</v>
      </c>
      <c r="DV183" s="1">
        <v>235516.04</v>
      </c>
      <c r="DW183" s="1">
        <v>235516.04</v>
      </c>
      <c r="DX183" s="1">
        <v>31345322.399999999</v>
      </c>
      <c r="DY183" s="1">
        <v>-1110160.2399999984</v>
      </c>
      <c r="DZ183" s="1">
        <v>92570020.519999966</v>
      </c>
      <c r="EA183" s="1">
        <v>0</v>
      </c>
      <c r="EB183" s="1">
        <v>0</v>
      </c>
      <c r="EC183" s="1" t="s">
        <v>176</v>
      </c>
      <c r="EE183" s="1">
        <v>0</v>
      </c>
      <c r="EF183" s="1">
        <v>3</v>
      </c>
      <c r="EG183" s="1">
        <v>0</v>
      </c>
      <c r="EH183" s="3">
        <v>0.25441934999999999</v>
      </c>
      <c r="EI183" s="1">
        <v>0</v>
      </c>
      <c r="EL183" s="1">
        <v>0</v>
      </c>
      <c r="EM183" s="1">
        <v>0</v>
      </c>
      <c r="EN183" s="1">
        <v>1633661.45</v>
      </c>
      <c r="EO183" s="1">
        <v>1.2333592799999999</v>
      </c>
      <c r="ER183" s="1">
        <v>78.795590163933994</v>
      </c>
      <c r="ES183" s="1">
        <v>1</v>
      </c>
      <c r="ET183" s="3">
        <v>5.3200495280000002</v>
      </c>
      <c r="EU183" s="3">
        <v>6.338223417</v>
      </c>
      <c r="EV183" s="3">
        <v>4.7419656278789999</v>
      </c>
      <c r="EW183" s="3">
        <v>6.6684931509999998</v>
      </c>
      <c r="EX183" s="3">
        <v>0.43140937099999999</v>
      </c>
      <c r="EY183" s="3">
        <v>72</v>
      </c>
      <c r="EZ183" s="3">
        <v>2434</v>
      </c>
      <c r="FA183" s="1">
        <v>0</v>
      </c>
      <c r="FB183" s="1">
        <v>0</v>
      </c>
      <c r="FC183" s="3">
        <v>1.5637478199999999</v>
      </c>
      <c r="FD183" s="1">
        <v>0</v>
      </c>
      <c r="FE183" s="1">
        <v>0</v>
      </c>
    </row>
    <row r="184" spans="1:161" x14ac:dyDescent="0.3">
      <c r="A184" s="1">
        <v>16975580</v>
      </c>
      <c r="B184" s="1">
        <v>128</v>
      </c>
      <c r="C184" s="1">
        <v>3089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100</v>
      </c>
      <c r="J184" s="3">
        <v>100</v>
      </c>
      <c r="K184" s="1">
        <v>100000</v>
      </c>
      <c r="L184" s="1">
        <v>100000</v>
      </c>
      <c r="M184" s="1">
        <v>100000</v>
      </c>
      <c r="N184" s="3">
        <v>100000</v>
      </c>
      <c r="O184" s="1">
        <v>114232.67</v>
      </c>
      <c r="P184" s="1">
        <v>114232.67</v>
      </c>
      <c r="Q184" s="1">
        <v>114232.67</v>
      </c>
      <c r="R184" s="1">
        <v>114232.67</v>
      </c>
      <c r="S184" s="1">
        <v>100000</v>
      </c>
      <c r="T184" s="1">
        <v>100000</v>
      </c>
      <c r="U184" s="1">
        <v>100000</v>
      </c>
      <c r="V184" s="1">
        <v>100000</v>
      </c>
      <c r="W184" s="1">
        <v>0</v>
      </c>
      <c r="X184" s="1">
        <v>0</v>
      </c>
      <c r="Y184" s="1">
        <v>0</v>
      </c>
      <c r="Z184" s="1">
        <v>0</v>
      </c>
      <c r="AA184" s="1">
        <v>-1454.92</v>
      </c>
      <c r="AB184" s="1">
        <v>-1454.92</v>
      </c>
      <c r="AC184" s="1">
        <v>-1454.92</v>
      </c>
      <c r="AD184" s="1">
        <v>-1454.92</v>
      </c>
      <c r="AE184" s="3" t="s">
        <v>446</v>
      </c>
      <c r="AF184" s="3" t="s">
        <v>161</v>
      </c>
      <c r="AG184" s="1" t="s">
        <v>970</v>
      </c>
      <c r="AH184" s="3" t="s">
        <v>447</v>
      </c>
      <c r="AI184" s="1">
        <v>4</v>
      </c>
      <c r="AJ184" s="3" t="s">
        <v>165</v>
      </c>
      <c r="AK184" s="1" t="s">
        <v>191</v>
      </c>
      <c r="AL184" s="3">
        <v>105.51414616106</v>
      </c>
      <c r="AM184" s="3">
        <v>105.422856164381</v>
      </c>
      <c r="AN184" s="3">
        <v>105422.86</v>
      </c>
      <c r="AO184" s="3">
        <v>105422.86</v>
      </c>
      <c r="AP184" s="1" t="s">
        <v>164</v>
      </c>
      <c r="AQ184" s="1">
        <v>4</v>
      </c>
      <c r="AR184" s="1" t="s">
        <v>165</v>
      </c>
      <c r="AS184" s="3">
        <v>132534288.59999999</v>
      </c>
      <c r="AT184" s="1" t="s">
        <v>176</v>
      </c>
      <c r="AU184" s="1">
        <v>1</v>
      </c>
      <c r="AV184" s="1">
        <v>1</v>
      </c>
      <c r="AW184" s="3" t="s">
        <v>210</v>
      </c>
      <c r="AX184" s="3" t="s">
        <v>448</v>
      </c>
      <c r="AY184" s="1">
        <v>0</v>
      </c>
      <c r="BA184" s="3">
        <v>8205251.6799999997</v>
      </c>
      <c r="BB184" s="1">
        <v>1</v>
      </c>
      <c r="BD184" s="1" t="s">
        <v>971</v>
      </c>
      <c r="BE184" s="1">
        <v>1</v>
      </c>
      <c r="BF184" s="1">
        <v>1</v>
      </c>
      <c r="BG184" s="1" t="s">
        <v>168</v>
      </c>
      <c r="BH184" s="1">
        <v>0</v>
      </c>
      <c r="BI184" s="1">
        <v>31345322.399999999</v>
      </c>
      <c r="BJ184" s="1">
        <v>0</v>
      </c>
      <c r="BK184" s="1">
        <v>123618989.48999999</v>
      </c>
      <c r="BL184" s="1">
        <v>132456249.91</v>
      </c>
      <c r="BM184" s="1">
        <v>596150.00000000012</v>
      </c>
      <c r="BN184" s="1">
        <v>9219855.2300000004</v>
      </c>
      <c r="BO184" s="1">
        <v>23.664660909999998</v>
      </c>
      <c r="BP184" s="1">
        <v>0.45007313999999998</v>
      </c>
      <c r="BQ184" s="1">
        <v>6.9606796500000003</v>
      </c>
      <c r="BR184" s="1">
        <v>7.95907E-2</v>
      </c>
      <c r="BS184" s="1" t="s">
        <v>169</v>
      </c>
      <c r="BT184" s="1" t="s">
        <v>169</v>
      </c>
      <c r="BU184" s="1">
        <v>26356083.120000001</v>
      </c>
      <c r="BV184" s="1">
        <v>0</v>
      </c>
      <c r="BW184" s="1">
        <v>-91.29</v>
      </c>
      <c r="BX184" s="1">
        <v>-0.09</v>
      </c>
      <c r="BY184" s="1" t="s">
        <v>170</v>
      </c>
      <c r="BZ184" s="1">
        <v>-78038.69</v>
      </c>
      <c r="CA184" s="1" t="s">
        <v>250</v>
      </c>
      <c r="CB184" s="1" t="s">
        <v>251</v>
      </c>
      <c r="CC184" s="1">
        <v>-7263.6</v>
      </c>
      <c r="CD184" s="1">
        <v>-7263.6</v>
      </c>
      <c r="CE184" s="1">
        <v>105514.15</v>
      </c>
      <c r="CF184" s="1">
        <v>105514.15</v>
      </c>
      <c r="CG184" s="1">
        <v>0</v>
      </c>
      <c r="CH184" s="1">
        <v>1.4438757900000001</v>
      </c>
      <c r="CI184" s="1">
        <v>13.27863496</v>
      </c>
      <c r="CJ184" s="1">
        <v>17588381.91</v>
      </c>
      <c r="CK184" s="1">
        <v>1912503.72</v>
      </c>
      <c r="CL184" s="1">
        <v>6269233.6699999999</v>
      </c>
      <c r="CM184" s="1" t="s">
        <v>164</v>
      </c>
      <c r="CN184" s="1" t="s">
        <v>164</v>
      </c>
      <c r="CO184" s="1" t="s">
        <v>184</v>
      </c>
      <c r="CP184" s="1" t="s">
        <v>243</v>
      </c>
      <c r="CQ184" s="3" t="s">
        <v>252</v>
      </c>
      <c r="CR184" s="1">
        <v>0</v>
      </c>
      <c r="CS184" s="1" t="s">
        <v>243</v>
      </c>
      <c r="CT184" s="1">
        <v>8.5280469999999997E-2</v>
      </c>
      <c r="CV184" s="1">
        <v>0</v>
      </c>
      <c r="CW184" s="1">
        <v>-219173.26</v>
      </c>
      <c r="DA184" s="1">
        <v>1355558.46</v>
      </c>
      <c r="DB184" s="1">
        <v>0</v>
      </c>
      <c r="DC184" s="1">
        <v>2520.3126550000002</v>
      </c>
      <c r="DD184" s="1">
        <v>52555.483399999997</v>
      </c>
      <c r="DE184" s="1">
        <v>-296353.43</v>
      </c>
      <c r="DF184" s="1">
        <v>92570020.519999996</v>
      </c>
      <c r="DG184" s="1">
        <v>-91.29</v>
      </c>
      <c r="DH184" s="1">
        <v>394770.09</v>
      </c>
      <c r="DI184" s="1">
        <v>0.29803809999999997</v>
      </c>
      <c r="DK184" s="1">
        <v>0</v>
      </c>
      <c r="DL184" s="1">
        <v>0</v>
      </c>
      <c r="DM184" s="1">
        <v>-296353.43</v>
      </c>
      <c r="DN184" s="1">
        <v>0</v>
      </c>
      <c r="DO184" s="1">
        <v>0</v>
      </c>
      <c r="DP184" s="1">
        <v>16777215</v>
      </c>
      <c r="DQ184" s="1">
        <v>0</v>
      </c>
      <c r="DR184" s="1">
        <v>0</v>
      </c>
      <c r="DS184" s="1">
        <v>0</v>
      </c>
      <c r="DT184" s="1">
        <v>0</v>
      </c>
      <c r="DU184" s="1">
        <v>0</v>
      </c>
      <c r="DV184" s="1">
        <v>105422.86</v>
      </c>
      <c r="DW184" s="1">
        <v>105422.86</v>
      </c>
      <c r="DX184" s="1">
        <v>31345322.399999999</v>
      </c>
      <c r="DY184" s="1">
        <v>-1110160.2399999984</v>
      </c>
      <c r="DZ184" s="1">
        <v>92570020.519999966</v>
      </c>
      <c r="EA184" s="1">
        <v>0</v>
      </c>
      <c r="EB184" s="1">
        <v>0</v>
      </c>
      <c r="EC184" s="1" t="s">
        <v>176</v>
      </c>
      <c r="EE184" s="1">
        <v>0</v>
      </c>
      <c r="EF184" s="1">
        <v>3</v>
      </c>
      <c r="EG184" s="1">
        <v>0</v>
      </c>
      <c r="EH184" s="3">
        <v>0.11388445</v>
      </c>
      <c r="EI184" s="1">
        <v>0</v>
      </c>
      <c r="EL184" s="1">
        <v>0</v>
      </c>
      <c r="EM184" s="1">
        <v>0</v>
      </c>
      <c r="EN184" s="1">
        <v>1633661.45</v>
      </c>
      <c r="EO184" s="1">
        <v>1.2333592799999999</v>
      </c>
      <c r="ER184" s="1">
        <v>105.502287671232</v>
      </c>
      <c r="ES184" s="1">
        <v>1</v>
      </c>
      <c r="ET184" s="3">
        <v>5.3911740159999999</v>
      </c>
      <c r="EU184" s="3">
        <v>3.5749479380000002</v>
      </c>
      <c r="EV184" s="3">
        <v>3.5787169967199999</v>
      </c>
      <c r="EW184" s="3">
        <v>4.0712328769999999</v>
      </c>
      <c r="EX184" s="3">
        <v>0.15861413899999999</v>
      </c>
      <c r="EY184" s="3">
        <v>41</v>
      </c>
      <c r="EZ184" s="3">
        <v>1486</v>
      </c>
      <c r="FA184" s="1">
        <v>0</v>
      </c>
      <c r="FB184" s="1">
        <v>0</v>
      </c>
      <c r="FC184" s="3">
        <v>3.0819828149999999</v>
      </c>
      <c r="FD184" s="1">
        <v>0</v>
      </c>
      <c r="FE184" s="1">
        <v>0</v>
      </c>
    </row>
    <row r="185" spans="1:161" x14ac:dyDescent="0.3">
      <c r="A185" s="1">
        <v>16975439</v>
      </c>
      <c r="B185" s="1">
        <v>128</v>
      </c>
      <c r="C185" s="1">
        <v>9571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1</v>
      </c>
      <c r="J185" s="3">
        <v>1</v>
      </c>
      <c r="K185" s="1">
        <v>100000</v>
      </c>
      <c r="L185" s="1">
        <v>100000</v>
      </c>
      <c r="M185" s="1">
        <v>100000</v>
      </c>
      <c r="N185" s="3">
        <v>100000</v>
      </c>
      <c r="O185" s="1">
        <v>103038.25</v>
      </c>
      <c r="P185" s="1">
        <v>103038.25</v>
      </c>
      <c r="Q185" s="1">
        <v>103038.25</v>
      </c>
      <c r="R185" s="1">
        <v>103038.25</v>
      </c>
      <c r="S185" s="1">
        <v>100000</v>
      </c>
      <c r="T185" s="1">
        <v>100000</v>
      </c>
      <c r="U185" s="1">
        <v>100000</v>
      </c>
      <c r="V185" s="1">
        <v>100000</v>
      </c>
      <c r="W185" s="1">
        <v>0</v>
      </c>
      <c r="X185" s="1">
        <v>0</v>
      </c>
      <c r="Y185" s="1">
        <v>0</v>
      </c>
      <c r="Z185" s="1">
        <v>0</v>
      </c>
      <c r="AA185" s="1">
        <v>-811.37</v>
      </c>
      <c r="AB185" s="1">
        <v>-811.37</v>
      </c>
      <c r="AC185" s="1">
        <v>-811.37</v>
      </c>
      <c r="AD185" s="1">
        <v>-811.37</v>
      </c>
      <c r="AE185" s="3" t="s">
        <v>449</v>
      </c>
      <c r="AF185" s="3" t="s">
        <v>161</v>
      </c>
      <c r="AG185" s="1" t="s">
        <v>970</v>
      </c>
      <c r="AH185" s="3" t="s">
        <v>450</v>
      </c>
      <c r="AI185" s="1">
        <v>4</v>
      </c>
      <c r="AJ185" s="3" t="s">
        <v>165</v>
      </c>
      <c r="AK185" s="1" t="s">
        <v>191</v>
      </c>
      <c r="AL185" s="3">
        <v>0</v>
      </c>
      <c r="AM185" s="3">
        <v>0</v>
      </c>
      <c r="AN185" s="3">
        <v>86882.91</v>
      </c>
      <c r="AO185" s="3">
        <v>86882.91</v>
      </c>
      <c r="AP185" s="1" t="s">
        <v>164</v>
      </c>
      <c r="AQ185" s="1">
        <v>4</v>
      </c>
      <c r="AR185" s="1" t="s">
        <v>165</v>
      </c>
      <c r="AS185" s="3">
        <v>132534288.59999999</v>
      </c>
      <c r="AT185" s="1" t="s">
        <v>176</v>
      </c>
      <c r="AU185" s="1">
        <v>1</v>
      </c>
      <c r="AV185" s="1">
        <v>1</v>
      </c>
      <c r="AW185" s="3" t="s">
        <v>210</v>
      </c>
      <c r="AX185" s="3" t="s">
        <v>448</v>
      </c>
      <c r="AY185" s="1">
        <v>0</v>
      </c>
      <c r="BA185" s="3">
        <v>8205251.6799999997</v>
      </c>
      <c r="BB185" s="1">
        <v>1</v>
      </c>
      <c r="BD185" s="1" t="s">
        <v>971</v>
      </c>
      <c r="BE185" s="1">
        <v>1</v>
      </c>
      <c r="BF185" s="1">
        <v>1</v>
      </c>
      <c r="BG185" s="1" t="s">
        <v>168</v>
      </c>
      <c r="BH185" s="1">
        <v>0</v>
      </c>
      <c r="BI185" s="1">
        <v>31345322.399999999</v>
      </c>
      <c r="BJ185" s="1">
        <v>0</v>
      </c>
      <c r="BK185" s="1">
        <v>123618989.48999999</v>
      </c>
      <c r="BL185" s="1">
        <v>132456249.91</v>
      </c>
      <c r="BM185" s="1">
        <v>596150.00000000012</v>
      </c>
      <c r="BN185" s="1">
        <v>9219855.2300000004</v>
      </c>
      <c r="BO185" s="1">
        <v>23.664660909999998</v>
      </c>
      <c r="BP185" s="1">
        <v>0.45007313999999998</v>
      </c>
      <c r="BQ185" s="1">
        <v>6.9606796500000003</v>
      </c>
      <c r="BR185" s="1">
        <v>6.5593670000000007E-2</v>
      </c>
      <c r="BS185" s="1" t="s">
        <v>169</v>
      </c>
      <c r="BT185" s="1" t="s">
        <v>169</v>
      </c>
      <c r="BU185" s="1">
        <v>26356083.120000001</v>
      </c>
      <c r="BV185" s="1">
        <v>0</v>
      </c>
      <c r="BW185" s="1">
        <v>0</v>
      </c>
      <c r="BX185" s="1">
        <v>0</v>
      </c>
      <c r="BY185" s="1" t="s">
        <v>170</v>
      </c>
      <c r="BZ185" s="1">
        <v>-78038.69</v>
      </c>
      <c r="CA185" s="1" t="s">
        <v>250</v>
      </c>
      <c r="CB185" s="1" t="s">
        <v>251</v>
      </c>
      <c r="CC185" s="1">
        <v>-15343.97</v>
      </c>
      <c r="CD185" s="1">
        <v>-15343.97</v>
      </c>
      <c r="CE185" s="1">
        <v>86882.91</v>
      </c>
      <c r="CF185" s="1">
        <v>86882.91</v>
      </c>
      <c r="CG185" s="1">
        <v>0</v>
      </c>
      <c r="CH185" s="1">
        <v>1.4438757900000001</v>
      </c>
      <c r="CI185" s="1">
        <v>13.27863496</v>
      </c>
      <c r="CJ185" s="1">
        <v>17588381.91</v>
      </c>
      <c r="CK185" s="1">
        <v>1912503.72</v>
      </c>
      <c r="CL185" s="1">
        <v>6269233.6699999999</v>
      </c>
      <c r="CM185" s="1" t="s">
        <v>164</v>
      </c>
      <c r="CN185" s="1" t="s">
        <v>164</v>
      </c>
      <c r="CO185" s="1" t="s">
        <v>184</v>
      </c>
      <c r="CP185" s="1" t="s">
        <v>243</v>
      </c>
      <c r="CQ185" s="3" t="s">
        <v>252</v>
      </c>
      <c r="CR185" s="1">
        <v>0</v>
      </c>
      <c r="CS185" s="1" t="s">
        <v>243</v>
      </c>
      <c r="CT185" s="1">
        <v>7.0282819999999996E-2</v>
      </c>
      <c r="CV185" s="1">
        <v>0</v>
      </c>
      <c r="CW185" s="1">
        <v>-219173.26</v>
      </c>
      <c r="DA185" s="1">
        <v>1355558.46</v>
      </c>
      <c r="DB185" s="1">
        <v>0</v>
      </c>
      <c r="DC185" s="1">
        <v>2520.3126550000002</v>
      </c>
      <c r="DD185" s="1">
        <v>52555.483399999997</v>
      </c>
      <c r="DE185" s="1">
        <v>-296353.43</v>
      </c>
      <c r="DF185" s="1">
        <v>92570020.519999996</v>
      </c>
      <c r="DG185" s="1">
        <v>0</v>
      </c>
      <c r="DH185" s="1">
        <v>394770.09</v>
      </c>
      <c r="DI185" s="1">
        <v>0.29803809999999997</v>
      </c>
      <c r="DK185" s="1">
        <v>0</v>
      </c>
      <c r="DL185" s="1">
        <v>0</v>
      </c>
      <c r="DM185" s="1">
        <v>-296353.43</v>
      </c>
      <c r="DN185" s="1">
        <v>0</v>
      </c>
      <c r="DO185" s="1">
        <v>0</v>
      </c>
      <c r="DP185" s="1">
        <v>16777215</v>
      </c>
      <c r="DQ185" s="1">
        <v>0</v>
      </c>
      <c r="DR185" s="1">
        <v>0</v>
      </c>
      <c r="DS185" s="1">
        <v>0</v>
      </c>
      <c r="DT185" s="1">
        <v>0</v>
      </c>
      <c r="DU185" s="1">
        <v>0</v>
      </c>
      <c r="DV185" s="1">
        <v>86882.91</v>
      </c>
      <c r="DW185" s="1">
        <v>86882.91</v>
      </c>
      <c r="DX185" s="1">
        <v>31345322.399999999</v>
      </c>
      <c r="DY185" s="1">
        <v>-1110160.2399999984</v>
      </c>
      <c r="DZ185" s="1">
        <v>92570020.519999966</v>
      </c>
      <c r="EA185" s="1">
        <v>0</v>
      </c>
      <c r="EB185" s="1">
        <v>0</v>
      </c>
      <c r="EC185" s="1" t="s">
        <v>176</v>
      </c>
      <c r="EE185" s="1">
        <v>0</v>
      </c>
      <c r="EF185" s="1">
        <v>3</v>
      </c>
      <c r="EG185" s="1">
        <v>0</v>
      </c>
      <c r="EH185" s="3">
        <v>9.3856419999999996E-2</v>
      </c>
      <c r="EI185" s="1">
        <v>0</v>
      </c>
      <c r="EL185" s="1">
        <v>0</v>
      </c>
      <c r="EM185" s="1">
        <v>0</v>
      </c>
      <c r="EN185" s="1">
        <v>1633661.45</v>
      </c>
      <c r="EO185" s="1">
        <v>1.2333592799999999</v>
      </c>
      <c r="ER185" s="1">
        <v>0</v>
      </c>
      <c r="ES185" s="1">
        <v>1</v>
      </c>
      <c r="ET185" s="3">
        <v>9.7477982430000001</v>
      </c>
      <c r="EU185" s="3">
        <v>2.7928145350000002</v>
      </c>
      <c r="EV185" s="3">
        <v>0</v>
      </c>
      <c r="EW185" s="3">
        <v>2.9260273969999999</v>
      </c>
      <c r="EX185" s="3">
        <v>8.9633784999999994E-2</v>
      </c>
      <c r="EY185" s="3">
        <v>31</v>
      </c>
      <c r="EZ185" s="3">
        <v>1068</v>
      </c>
      <c r="FA185" s="1">
        <v>0</v>
      </c>
      <c r="FB185" s="1">
        <v>0</v>
      </c>
      <c r="FC185" s="3">
        <v>3.2602513480000002</v>
      </c>
      <c r="FD185" s="1">
        <v>0</v>
      </c>
      <c r="FE185" s="1">
        <v>0</v>
      </c>
    </row>
    <row r="186" spans="1:161" x14ac:dyDescent="0.3">
      <c r="A186" s="1">
        <v>16975515</v>
      </c>
      <c r="B186" s="1">
        <v>128</v>
      </c>
      <c r="C186" s="1">
        <v>1410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700</v>
      </c>
      <c r="J186" s="3">
        <v>700</v>
      </c>
      <c r="K186" s="1">
        <v>700000</v>
      </c>
      <c r="L186" s="1">
        <v>700000</v>
      </c>
      <c r="M186" s="1">
        <v>700000</v>
      </c>
      <c r="N186" s="3">
        <v>700000</v>
      </c>
      <c r="O186" s="1">
        <v>708906</v>
      </c>
      <c r="P186" s="1">
        <v>708906</v>
      </c>
      <c r="Q186" s="1">
        <v>708906</v>
      </c>
      <c r="R186" s="1">
        <v>708906</v>
      </c>
      <c r="S186" s="1">
        <v>700000</v>
      </c>
      <c r="T186" s="1">
        <v>700000</v>
      </c>
      <c r="U186" s="1">
        <v>700000</v>
      </c>
      <c r="V186" s="1">
        <v>700000</v>
      </c>
      <c r="W186" s="1">
        <v>0</v>
      </c>
      <c r="X186" s="1">
        <v>0</v>
      </c>
      <c r="Y186" s="1">
        <v>0</v>
      </c>
      <c r="Z186" s="1">
        <v>0</v>
      </c>
      <c r="AA186" s="1">
        <v>-2305.5700000000002</v>
      </c>
      <c r="AB186" s="1">
        <v>-2305.5700000000002</v>
      </c>
      <c r="AC186" s="1">
        <v>-2305.5700000000002</v>
      </c>
      <c r="AD186" s="1">
        <v>-2305.5700000000002</v>
      </c>
      <c r="AE186" s="3" t="s">
        <v>388</v>
      </c>
      <c r="AF186" s="3" t="s">
        <v>161</v>
      </c>
      <c r="AG186" s="1" t="s">
        <v>970</v>
      </c>
      <c r="AH186" s="3" t="s">
        <v>451</v>
      </c>
      <c r="AI186" s="1">
        <v>4</v>
      </c>
      <c r="AJ186" s="3" t="s">
        <v>165</v>
      </c>
      <c r="AK186" s="1" t="s">
        <v>191</v>
      </c>
      <c r="AL186" s="3">
        <v>99.022409765934</v>
      </c>
      <c r="AM186" s="3">
        <v>99.074942622953003</v>
      </c>
      <c r="AN186" s="3">
        <v>693524.6</v>
      </c>
      <c r="AO186" s="3">
        <v>693524.6</v>
      </c>
      <c r="AP186" s="1" t="s">
        <v>164</v>
      </c>
      <c r="AQ186" s="1">
        <v>4</v>
      </c>
      <c r="AR186" s="1" t="s">
        <v>165</v>
      </c>
      <c r="AS186" s="3">
        <v>132534288.59999999</v>
      </c>
      <c r="AT186" s="1" t="s">
        <v>176</v>
      </c>
      <c r="AU186" s="1">
        <v>1</v>
      </c>
      <c r="AV186" s="1">
        <v>1</v>
      </c>
      <c r="AW186" s="3" t="s">
        <v>210</v>
      </c>
      <c r="AX186" s="3" t="s">
        <v>448</v>
      </c>
      <c r="AY186" s="1">
        <v>0</v>
      </c>
      <c r="BA186" s="3">
        <v>8205251.6799999997</v>
      </c>
      <c r="BB186" s="1">
        <v>1</v>
      </c>
      <c r="BD186" s="1" t="s">
        <v>971</v>
      </c>
      <c r="BE186" s="1">
        <v>1</v>
      </c>
      <c r="BF186" s="1">
        <v>1</v>
      </c>
      <c r="BG186" s="1" t="s">
        <v>168</v>
      </c>
      <c r="BH186" s="1">
        <v>0</v>
      </c>
      <c r="BI186" s="1">
        <v>31345322.399999999</v>
      </c>
      <c r="BJ186" s="1">
        <v>0</v>
      </c>
      <c r="BK186" s="1">
        <v>123618989.48999999</v>
      </c>
      <c r="BL186" s="1">
        <v>132456249.91</v>
      </c>
      <c r="BM186" s="1">
        <v>596150.00000000012</v>
      </c>
      <c r="BN186" s="1">
        <v>9219855.2300000004</v>
      </c>
      <c r="BO186" s="1">
        <v>23.664660909999998</v>
      </c>
      <c r="BP186" s="1">
        <v>0.45007313999999998</v>
      </c>
      <c r="BQ186" s="1">
        <v>6.9606796500000003</v>
      </c>
      <c r="BR186" s="1">
        <v>0.52358768</v>
      </c>
      <c r="BS186" s="1" t="s">
        <v>169</v>
      </c>
      <c r="BT186" s="1" t="s">
        <v>169</v>
      </c>
      <c r="BU186" s="1">
        <v>26356083.120000001</v>
      </c>
      <c r="BV186" s="1">
        <v>0</v>
      </c>
      <c r="BW186" s="1">
        <v>367.73</v>
      </c>
      <c r="BX186" s="1">
        <v>0.05</v>
      </c>
      <c r="BY186" s="1" t="s">
        <v>170</v>
      </c>
      <c r="BZ186" s="1">
        <v>-78038.69</v>
      </c>
      <c r="CA186" s="1" t="s">
        <v>250</v>
      </c>
      <c r="CB186" s="1" t="s">
        <v>251</v>
      </c>
      <c r="CC186" s="1">
        <v>-13443.56</v>
      </c>
      <c r="CD186" s="1">
        <v>-13443.56</v>
      </c>
      <c r="CE186" s="1">
        <v>693156.87</v>
      </c>
      <c r="CF186" s="1">
        <v>693156.87</v>
      </c>
      <c r="CG186" s="1">
        <v>0</v>
      </c>
      <c r="CH186" s="1">
        <v>1.4438757900000001</v>
      </c>
      <c r="CI186" s="1">
        <v>13.27863496</v>
      </c>
      <c r="CJ186" s="1">
        <v>17588381.91</v>
      </c>
      <c r="CK186" s="1">
        <v>1912503.72</v>
      </c>
      <c r="CL186" s="1">
        <v>6269233.6699999999</v>
      </c>
      <c r="CM186" s="1" t="s">
        <v>164</v>
      </c>
      <c r="CN186" s="1" t="s">
        <v>164</v>
      </c>
      <c r="CO186" s="1" t="s">
        <v>184</v>
      </c>
      <c r="CP186" s="1" t="s">
        <v>243</v>
      </c>
      <c r="CQ186" s="3" t="s">
        <v>252</v>
      </c>
      <c r="CR186" s="1">
        <v>0</v>
      </c>
      <c r="CS186" s="1" t="s">
        <v>243</v>
      </c>
      <c r="CT186" s="1">
        <v>0.56101785000000004</v>
      </c>
      <c r="CV186" s="1">
        <v>0</v>
      </c>
      <c r="CW186" s="1">
        <v>-219173.26</v>
      </c>
      <c r="DA186" s="1">
        <v>1355558.46</v>
      </c>
      <c r="DB186" s="1">
        <v>0</v>
      </c>
      <c r="DC186" s="1">
        <v>2520.3126550000002</v>
      </c>
      <c r="DD186" s="1">
        <v>52555.483399999997</v>
      </c>
      <c r="DE186" s="1">
        <v>-296353.43</v>
      </c>
      <c r="DF186" s="1">
        <v>92570020.519999996</v>
      </c>
      <c r="DG186" s="1">
        <v>367.73</v>
      </c>
      <c r="DH186" s="1">
        <v>394770.09</v>
      </c>
      <c r="DI186" s="1">
        <v>0.29803809999999997</v>
      </c>
      <c r="DK186" s="1">
        <v>0</v>
      </c>
      <c r="DL186" s="1">
        <v>0</v>
      </c>
      <c r="DM186" s="1">
        <v>-296353.43</v>
      </c>
      <c r="DN186" s="1">
        <v>0</v>
      </c>
      <c r="DO186" s="1">
        <v>0</v>
      </c>
      <c r="DP186" s="1">
        <v>16777215</v>
      </c>
      <c r="DQ186" s="1">
        <v>0</v>
      </c>
      <c r="DR186" s="1">
        <v>0</v>
      </c>
      <c r="DS186" s="1">
        <v>0</v>
      </c>
      <c r="DT186" s="1">
        <v>0</v>
      </c>
      <c r="DU186" s="1">
        <v>0</v>
      </c>
      <c r="DV186" s="1">
        <v>693524.6</v>
      </c>
      <c r="DW186" s="1">
        <v>693524.6</v>
      </c>
      <c r="DX186" s="1">
        <v>31345322.399999999</v>
      </c>
      <c r="DY186" s="1">
        <v>-1110160.2399999984</v>
      </c>
      <c r="DZ186" s="1">
        <v>92570020.519999966</v>
      </c>
      <c r="EA186" s="1">
        <v>0</v>
      </c>
      <c r="EB186" s="1">
        <v>0</v>
      </c>
      <c r="EC186" s="1" t="s">
        <v>176</v>
      </c>
      <c r="EE186" s="1">
        <v>0</v>
      </c>
      <c r="EF186" s="1">
        <v>3</v>
      </c>
      <c r="EG186" s="1">
        <v>0</v>
      </c>
      <c r="EH186" s="3">
        <v>0.7491892</v>
      </c>
      <c r="EI186" s="1">
        <v>0</v>
      </c>
      <c r="EL186" s="1">
        <v>0</v>
      </c>
      <c r="EM186" s="1">
        <v>0</v>
      </c>
      <c r="EN186" s="1">
        <v>1633661.45</v>
      </c>
      <c r="EO186" s="1">
        <v>1.2333592799999999</v>
      </c>
      <c r="ER186" s="1">
        <v>99.047598360654007</v>
      </c>
      <c r="ES186" s="1">
        <v>1</v>
      </c>
      <c r="ET186" s="3">
        <v>6.4248751930000001</v>
      </c>
      <c r="EU186" s="3">
        <v>0.97540983599999997</v>
      </c>
      <c r="EV186" s="3">
        <v>0.90779530159900002</v>
      </c>
      <c r="EW186" s="3">
        <v>0.97808219200000002</v>
      </c>
      <c r="EX186" s="3">
        <v>1.7012105E-2</v>
      </c>
      <c r="EY186" s="3">
        <v>11</v>
      </c>
      <c r="EZ186" s="3">
        <v>357</v>
      </c>
      <c r="FA186" s="1">
        <v>0</v>
      </c>
      <c r="FB186" s="1">
        <v>0</v>
      </c>
      <c r="FC186" s="3">
        <v>4.028729556</v>
      </c>
      <c r="FD186" s="1">
        <v>0</v>
      </c>
      <c r="FE186" s="1">
        <v>0</v>
      </c>
    </row>
    <row r="187" spans="1:161" x14ac:dyDescent="0.3">
      <c r="A187" s="1">
        <v>16975595</v>
      </c>
      <c r="B187" s="1">
        <v>128</v>
      </c>
      <c r="C187" s="1">
        <v>9897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100</v>
      </c>
      <c r="J187" s="3">
        <v>100</v>
      </c>
      <c r="K187" s="1">
        <v>100000</v>
      </c>
      <c r="L187" s="1">
        <v>100000</v>
      </c>
      <c r="M187" s="1">
        <v>100000</v>
      </c>
      <c r="N187" s="3">
        <v>100000</v>
      </c>
      <c r="O187" s="1">
        <v>105010</v>
      </c>
      <c r="P187" s="1">
        <v>105010</v>
      </c>
      <c r="Q187" s="1">
        <v>105010</v>
      </c>
      <c r="R187" s="1">
        <v>105010</v>
      </c>
      <c r="S187" s="1">
        <v>100000</v>
      </c>
      <c r="T187" s="1">
        <v>100000</v>
      </c>
      <c r="U187" s="1">
        <v>100000</v>
      </c>
      <c r="V187" s="1">
        <v>100000</v>
      </c>
      <c r="W187" s="1">
        <v>0</v>
      </c>
      <c r="X187" s="1">
        <v>0</v>
      </c>
      <c r="Y187" s="1">
        <v>0</v>
      </c>
      <c r="Z187" s="1">
        <v>0</v>
      </c>
      <c r="AA187" s="1">
        <v>-2085.27</v>
      </c>
      <c r="AB187" s="1">
        <v>-2085.27</v>
      </c>
      <c r="AC187" s="1">
        <v>-2085.27</v>
      </c>
      <c r="AD187" s="1">
        <v>-2085.27</v>
      </c>
      <c r="AE187" s="3" t="s">
        <v>357</v>
      </c>
      <c r="AF187" s="3" t="s">
        <v>161</v>
      </c>
      <c r="AG187" s="1" t="s">
        <v>970</v>
      </c>
      <c r="AH187" s="3" t="s">
        <v>452</v>
      </c>
      <c r="AI187" s="1">
        <v>4</v>
      </c>
      <c r="AJ187" s="3" t="s">
        <v>165</v>
      </c>
      <c r="AK187" s="1" t="s">
        <v>191</v>
      </c>
      <c r="AL187" s="3">
        <v>99.831937815190997</v>
      </c>
      <c r="AM187" s="3">
        <v>99.876797814208999</v>
      </c>
      <c r="AN187" s="3">
        <v>99876.800000000003</v>
      </c>
      <c r="AO187" s="3">
        <v>99876.800000000003</v>
      </c>
      <c r="AP187" s="1" t="s">
        <v>164</v>
      </c>
      <c r="AQ187" s="1">
        <v>4</v>
      </c>
      <c r="AR187" s="1" t="s">
        <v>165</v>
      </c>
      <c r="AS187" s="3">
        <v>132534288.59999999</v>
      </c>
      <c r="AT187" s="1" t="s">
        <v>176</v>
      </c>
      <c r="AU187" s="1">
        <v>1</v>
      </c>
      <c r="AV187" s="1">
        <v>1</v>
      </c>
      <c r="AW187" s="3" t="s">
        <v>210</v>
      </c>
      <c r="AX187" s="3" t="s">
        <v>448</v>
      </c>
      <c r="AY187" s="1">
        <v>0</v>
      </c>
      <c r="BA187" s="3">
        <v>8205251.6799999997</v>
      </c>
      <c r="BB187" s="1">
        <v>1</v>
      </c>
      <c r="BD187" s="1" t="s">
        <v>971</v>
      </c>
      <c r="BE187" s="1">
        <v>1</v>
      </c>
      <c r="BF187" s="1">
        <v>1</v>
      </c>
      <c r="BG187" s="1" t="s">
        <v>168</v>
      </c>
      <c r="BH187" s="1">
        <v>0</v>
      </c>
      <c r="BI187" s="1">
        <v>31345322.399999999</v>
      </c>
      <c r="BJ187" s="1">
        <v>0</v>
      </c>
      <c r="BK187" s="1">
        <v>123618989.48999999</v>
      </c>
      <c r="BL187" s="1">
        <v>132456249.91</v>
      </c>
      <c r="BM187" s="1">
        <v>596150.00000000012</v>
      </c>
      <c r="BN187" s="1">
        <v>9219855.2300000004</v>
      </c>
      <c r="BO187" s="1">
        <v>23.664660909999998</v>
      </c>
      <c r="BP187" s="1">
        <v>0.45007313999999998</v>
      </c>
      <c r="BQ187" s="1">
        <v>6.9606796500000003</v>
      </c>
      <c r="BR187" s="1">
        <v>7.5403609999999996E-2</v>
      </c>
      <c r="BS187" s="1" t="s">
        <v>169</v>
      </c>
      <c r="BT187" s="1" t="s">
        <v>169</v>
      </c>
      <c r="BU187" s="1">
        <v>26356083.120000001</v>
      </c>
      <c r="BV187" s="1">
        <v>0</v>
      </c>
      <c r="BW187" s="1">
        <v>44.86</v>
      </c>
      <c r="BX187" s="1">
        <v>0.04</v>
      </c>
      <c r="BY187" s="1" t="s">
        <v>170</v>
      </c>
      <c r="BZ187" s="1">
        <v>-78038.69</v>
      </c>
      <c r="CA187" s="1" t="s">
        <v>250</v>
      </c>
      <c r="CB187" s="1" t="s">
        <v>251</v>
      </c>
      <c r="CC187" s="1">
        <v>-3092.79</v>
      </c>
      <c r="CD187" s="1">
        <v>-3092.79</v>
      </c>
      <c r="CE187" s="1">
        <v>99831.94</v>
      </c>
      <c r="CF187" s="1">
        <v>99831.94</v>
      </c>
      <c r="CG187" s="1">
        <v>0</v>
      </c>
      <c r="CH187" s="1">
        <v>1.4438757900000001</v>
      </c>
      <c r="CI187" s="1">
        <v>13.27863496</v>
      </c>
      <c r="CJ187" s="1">
        <v>17588381.91</v>
      </c>
      <c r="CK187" s="1">
        <v>1912503.72</v>
      </c>
      <c r="CL187" s="1">
        <v>6269233.6699999999</v>
      </c>
      <c r="CM187" s="1" t="s">
        <v>164</v>
      </c>
      <c r="CN187" s="1" t="s">
        <v>164</v>
      </c>
      <c r="CO187" s="1" t="s">
        <v>184</v>
      </c>
      <c r="CP187" s="1" t="s">
        <v>243</v>
      </c>
      <c r="CQ187" s="3" t="s">
        <v>252</v>
      </c>
      <c r="CR187" s="1">
        <v>0</v>
      </c>
      <c r="CS187" s="1" t="s">
        <v>243</v>
      </c>
      <c r="CT187" s="1">
        <v>8.0794060000000001E-2</v>
      </c>
      <c r="CV187" s="1">
        <v>0</v>
      </c>
      <c r="CW187" s="1">
        <v>-219173.26</v>
      </c>
      <c r="DA187" s="1">
        <v>1355558.46</v>
      </c>
      <c r="DB187" s="1">
        <v>0</v>
      </c>
      <c r="DC187" s="1">
        <v>2520.3126550000002</v>
      </c>
      <c r="DD187" s="1">
        <v>52555.483399999997</v>
      </c>
      <c r="DE187" s="1">
        <v>-296353.43</v>
      </c>
      <c r="DF187" s="1">
        <v>92570020.519999996</v>
      </c>
      <c r="DG187" s="1">
        <v>44.86</v>
      </c>
      <c r="DH187" s="1">
        <v>394770.09</v>
      </c>
      <c r="DI187" s="1">
        <v>0.29803809999999997</v>
      </c>
      <c r="DK187" s="1">
        <v>0</v>
      </c>
      <c r="DL187" s="1">
        <v>0</v>
      </c>
      <c r="DM187" s="1">
        <v>-296353.43</v>
      </c>
      <c r="DN187" s="1">
        <v>0</v>
      </c>
      <c r="DO187" s="1">
        <v>0</v>
      </c>
      <c r="DP187" s="1">
        <v>16777215</v>
      </c>
      <c r="DQ187" s="1">
        <v>0</v>
      </c>
      <c r="DR187" s="1">
        <v>0</v>
      </c>
      <c r="DS187" s="1">
        <v>0</v>
      </c>
      <c r="DT187" s="1">
        <v>0</v>
      </c>
      <c r="DU187" s="1">
        <v>0</v>
      </c>
      <c r="DV187" s="1">
        <v>99876.800000000003</v>
      </c>
      <c r="DW187" s="1">
        <v>99876.800000000003</v>
      </c>
      <c r="DX187" s="1">
        <v>31345322.399999999</v>
      </c>
      <c r="DY187" s="1">
        <v>-1110160.2399999984</v>
      </c>
      <c r="DZ187" s="1">
        <v>92570020.519999966</v>
      </c>
      <c r="EA187" s="1">
        <v>0</v>
      </c>
      <c r="EB187" s="1">
        <v>0</v>
      </c>
      <c r="EC187" s="1" t="s">
        <v>176</v>
      </c>
      <c r="EE187" s="1">
        <v>0</v>
      </c>
      <c r="EF187" s="1">
        <v>3</v>
      </c>
      <c r="EG187" s="1">
        <v>0</v>
      </c>
      <c r="EH187" s="3">
        <v>0.10789325</v>
      </c>
      <c r="EI187" s="1">
        <v>0</v>
      </c>
      <c r="EL187" s="1">
        <v>0</v>
      </c>
      <c r="EM187" s="1">
        <v>0</v>
      </c>
      <c r="EN187" s="1">
        <v>1633661.45</v>
      </c>
      <c r="EO187" s="1">
        <v>1.2333592799999999</v>
      </c>
      <c r="ER187" s="1">
        <v>99.772344262296997</v>
      </c>
      <c r="ES187" s="1">
        <v>1</v>
      </c>
      <c r="ET187" s="3">
        <v>6.6871576670000001</v>
      </c>
      <c r="EU187" s="3">
        <v>0.69672131100000001</v>
      </c>
      <c r="EV187" s="3">
        <v>0.65156406843799997</v>
      </c>
      <c r="EW187" s="3">
        <v>0.69863013699999998</v>
      </c>
      <c r="EX187" s="3">
        <v>1.0385927999999999E-2</v>
      </c>
      <c r="EY187" s="3">
        <v>8</v>
      </c>
      <c r="EZ187" s="3">
        <v>255</v>
      </c>
      <c r="FA187" s="1">
        <v>0</v>
      </c>
      <c r="FB187" s="1">
        <v>0</v>
      </c>
      <c r="FC187" s="3">
        <v>-0.866784942</v>
      </c>
      <c r="FD187" s="1">
        <v>0</v>
      </c>
      <c r="FE187" s="1">
        <v>0</v>
      </c>
    </row>
    <row r="188" spans="1:161" x14ac:dyDescent="0.3">
      <c r="A188" s="1">
        <v>16975412</v>
      </c>
      <c r="B188" s="1">
        <v>128</v>
      </c>
      <c r="C188" s="1">
        <v>8365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300</v>
      </c>
      <c r="J188" s="3">
        <v>300</v>
      </c>
      <c r="K188" s="1">
        <v>300000</v>
      </c>
      <c r="L188" s="1">
        <v>300000</v>
      </c>
      <c r="M188" s="1">
        <v>300000</v>
      </c>
      <c r="N188" s="3">
        <v>300000</v>
      </c>
      <c r="O188" s="1">
        <v>303306</v>
      </c>
      <c r="P188" s="1">
        <v>303306</v>
      </c>
      <c r="Q188" s="1">
        <v>303306</v>
      </c>
      <c r="R188" s="1">
        <v>303306</v>
      </c>
      <c r="S188" s="1">
        <v>300000</v>
      </c>
      <c r="T188" s="1">
        <v>300000</v>
      </c>
      <c r="U188" s="1">
        <v>300000</v>
      </c>
      <c r="V188" s="1">
        <v>300000</v>
      </c>
      <c r="W188" s="1">
        <v>0</v>
      </c>
      <c r="X188" s="1">
        <v>0</v>
      </c>
      <c r="Y188" s="1">
        <v>0</v>
      </c>
      <c r="Z188" s="1">
        <v>0</v>
      </c>
      <c r="AA188" s="1">
        <v>-2796.33</v>
      </c>
      <c r="AB188" s="1">
        <v>-2796.33</v>
      </c>
      <c r="AC188" s="1">
        <v>-2796.33</v>
      </c>
      <c r="AD188" s="1">
        <v>-2796.33</v>
      </c>
      <c r="AE188" s="3" t="s">
        <v>453</v>
      </c>
      <c r="AF188" s="3" t="s">
        <v>161</v>
      </c>
      <c r="AG188" s="1" t="s">
        <v>970</v>
      </c>
      <c r="AH188" s="3" t="s">
        <v>454</v>
      </c>
      <c r="AI188" s="1">
        <v>4</v>
      </c>
      <c r="AJ188" s="3" t="s">
        <v>165</v>
      </c>
      <c r="AK188" s="1" t="s">
        <v>191</v>
      </c>
      <c r="AL188" s="3">
        <v>93.399161151127004</v>
      </c>
      <c r="AM188" s="3">
        <v>93.108297814208996</v>
      </c>
      <c r="AN188" s="3">
        <v>279324.89</v>
      </c>
      <c r="AO188" s="3">
        <v>279324.89</v>
      </c>
      <c r="AP188" s="1" t="s">
        <v>164</v>
      </c>
      <c r="AQ188" s="1">
        <v>4</v>
      </c>
      <c r="AR188" s="1" t="s">
        <v>165</v>
      </c>
      <c r="AS188" s="3">
        <v>132534288.59999999</v>
      </c>
      <c r="AT188" s="1" t="s">
        <v>176</v>
      </c>
      <c r="AU188" s="1">
        <v>1</v>
      </c>
      <c r="AV188" s="1">
        <v>1</v>
      </c>
      <c r="AW188" s="3" t="s">
        <v>210</v>
      </c>
      <c r="AX188" s="3" t="s">
        <v>448</v>
      </c>
      <c r="AY188" s="1">
        <v>0</v>
      </c>
      <c r="BA188" s="3">
        <v>8205251.6799999997</v>
      </c>
      <c r="BB188" s="1">
        <v>1</v>
      </c>
      <c r="BD188" s="1" t="s">
        <v>971</v>
      </c>
      <c r="BE188" s="1">
        <v>1</v>
      </c>
      <c r="BF188" s="1">
        <v>1</v>
      </c>
      <c r="BG188" s="1" t="s">
        <v>168</v>
      </c>
      <c r="BH188" s="1">
        <v>0</v>
      </c>
      <c r="BI188" s="1">
        <v>31345322.399999999</v>
      </c>
      <c r="BJ188" s="1">
        <v>0</v>
      </c>
      <c r="BK188" s="1">
        <v>123618989.48999999</v>
      </c>
      <c r="BL188" s="1">
        <v>132456249.91</v>
      </c>
      <c r="BM188" s="1">
        <v>596150.00000000012</v>
      </c>
      <c r="BN188" s="1">
        <v>9219855.2300000004</v>
      </c>
      <c r="BO188" s="1">
        <v>23.664660909999998</v>
      </c>
      <c r="BP188" s="1">
        <v>0.45007313999999998</v>
      </c>
      <c r="BQ188" s="1">
        <v>6.9606796500000003</v>
      </c>
      <c r="BR188" s="1">
        <v>0.21088087</v>
      </c>
      <c r="BS188" s="1" t="s">
        <v>169</v>
      </c>
      <c r="BT188" s="1" t="s">
        <v>169</v>
      </c>
      <c r="BU188" s="1">
        <v>26356083.120000001</v>
      </c>
      <c r="BV188" s="1">
        <v>0</v>
      </c>
      <c r="BW188" s="1">
        <v>-872.59</v>
      </c>
      <c r="BX188" s="1">
        <v>-0.31</v>
      </c>
      <c r="BY188" s="1" t="s">
        <v>170</v>
      </c>
      <c r="BZ188" s="1">
        <v>-78038.69</v>
      </c>
      <c r="CA188" s="1" t="s">
        <v>250</v>
      </c>
      <c r="CB188" s="1" t="s">
        <v>251</v>
      </c>
      <c r="CC188" s="1">
        <v>-20312.189999999999</v>
      </c>
      <c r="CD188" s="1">
        <v>-20312.189999999999</v>
      </c>
      <c r="CE188" s="1">
        <v>280197.48</v>
      </c>
      <c r="CF188" s="1">
        <v>280197.48</v>
      </c>
      <c r="CG188" s="1">
        <v>0</v>
      </c>
      <c r="CH188" s="1">
        <v>1.4438757900000001</v>
      </c>
      <c r="CI188" s="1">
        <v>13.27863496</v>
      </c>
      <c r="CJ188" s="1">
        <v>17588381.91</v>
      </c>
      <c r="CK188" s="1">
        <v>1912503.72</v>
      </c>
      <c r="CL188" s="1">
        <v>6269233.6699999999</v>
      </c>
      <c r="CM188" s="1" t="s">
        <v>164</v>
      </c>
      <c r="CN188" s="1" t="s">
        <v>164</v>
      </c>
      <c r="CO188" s="1" t="s">
        <v>184</v>
      </c>
      <c r="CP188" s="1" t="s">
        <v>243</v>
      </c>
      <c r="CQ188" s="3" t="s">
        <v>252</v>
      </c>
      <c r="CR188" s="1">
        <v>0</v>
      </c>
      <c r="CS188" s="1" t="s">
        <v>243</v>
      </c>
      <c r="CT188" s="1">
        <v>0.2259563</v>
      </c>
      <c r="CV188" s="1">
        <v>0</v>
      </c>
      <c r="CW188" s="1">
        <v>-219173.26</v>
      </c>
      <c r="DA188" s="1">
        <v>1355558.46</v>
      </c>
      <c r="DB188" s="1">
        <v>0</v>
      </c>
      <c r="DC188" s="1">
        <v>2520.3126550000002</v>
      </c>
      <c r="DD188" s="1">
        <v>52555.483399999997</v>
      </c>
      <c r="DE188" s="1">
        <v>-296353.43</v>
      </c>
      <c r="DF188" s="1">
        <v>92570020.519999996</v>
      </c>
      <c r="DG188" s="1">
        <v>-872.59</v>
      </c>
      <c r="DH188" s="1">
        <v>394770.09</v>
      </c>
      <c r="DI188" s="1">
        <v>0.29803809999999997</v>
      </c>
      <c r="DK188" s="1">
        <v>0</v>
      </c>
      <c r="DL188" s="1">
        <v>0</v>
      </c>
      <c r="DM188" s="1">
        <v>-296353.43</v>
      </c>
      <c r="DN188" s="1">
        <v>0</v>
      </c>
      <c r="DO188" s="1">
        <v>0</v>
      </c>
      <c r="DP188" s="1">
        <v>16777215</v>
      </c>
      <c r="DQ188" s="1">
        <v>0</v>
      </c>
      <c r="DR188" s="1">
        <v>0</v>
      </c>
      <c r="DS188" s="1">
        <v>0</v>
      </c>
      <c r="DT188" s="1">
        <v>0</v>
      </c>
      <c r="DU188" s="1">
        <v>0</v>
      </c>
      <c r="DV188" s="1">
        <v>279324.89</v>
      </c>
      <c r="DW188" s="1">
        <v>279324.89</v>
      </c>
      <c r="DX188" s="1">
        <v>31345322.399999999</v>
      </c>
      <c r="DY188" s="1">
        <v>-1110160.2399999984</v>
      </c>
      <c r="DZ188" s="1">
        <v>92570020.519999966</v>
      </c>
      <c r="EA188" s="1">
        <v>0</v>
      </c>
      <c r="EB188" s="1">
        <v>0</v>
      </c>
      <c r="EC188" s="1" t="s">
        <v>176</v>
      </c>
      <c r="EE188" s="1">
        <v>0</v>
      </c>
      <c r="EF188" s="1">
        <v>3</v>
      </c>
      <c r="EG188" s="1">
        <v>0</v>
      </c>
      <c r="EH188" s="3">
        <v>0.30174444</v>
      </c>
      <c r="EI188" s="1">
        <v>0</v>
      </c>
      <c r="EL188" s="1">
        <v>0</v>
      </c>
      <c r="EM188" s="1">
        <v>0</v>
      </c>
      <c r="EN188" s="1">
        <v>1633661.45</v>
      </c>
      <c r="EO188" s="1">
        <v>1.2333592799999999</v>
      </c>
      <c r="ER188" s="1">
        <v>93.473918032786003</v>
      </c>
      <c r="ES188" s="1">
        <v>1</v>
      </c>
      <c r="ET188" s="3">
        <v>4.4077032169999999</v>
      </c>
      <c r="EU188" s="3">
        <v>6.11646629</v>
      </c>
      <c r="EV188" s="3">
        <v>5.4759376081370004</v>
      </c>
      <c r="EW188" s="3">
        <v>6.7287671229999999</v>
      </c>
      <c r="EX188" s="3">
        <v>0.41952231299999998</v>
      </c>
      <c r="EY188" s="3">
        <v>70</v>
      </c>
      <c r="EZ188" s="3">
        <v>2456</v>
      </c>
      <c r="FA188" s="1">
        <v>0</v>
      </c>
      <c r="FB188" s="1">
        <v>0</v>
      </c>
      <c r="FC188" s="3">
        <v>3.0801559900000002</v>
      </c>
      <c r="FD188" s="1">
        <v>0</v>
      </c>
      <c r="FE188" s="1">
        <v>0</v>
      </c>
    </row>
    <row r="189" spans="1:161" x14ac:dyDescent="0.3">
      <c r="A189" s="1">
        <v>16975442</v>
      </c>
      <c r="B189" s="1">
        <v>128</v>
      </c>
      <c r="C189" s="1">
        <v>9468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2</v>
      </c>
      <c r="J189" s="3">
        <v>2</v>
      </c>
      <c r="K189" s="1">
        <v>200000</v>
      </c>
      <c r="L189" s="1">
        <v>200000</v>
      </c>
      <c r="M189" s="1">
        <v>200000</v>
      </c>
      <c r="N189" s="3">
        <v>200000</v>
      </c>
      <c r="O189" s="1">
        <v>198534</v>
      </c>
      <c r="P189" s="1">
        <v>198534</v>
      </c>
      <c r="Q189" s="1">
        <v>198534</v>
      </c>
      <c r="R189" s="1">
        <v>198534</v>
      </c>
      <c r="S189" s="1">
        <v>200000</v>
      </c>
      <c r="T189" s="1">
        <v>200000</v>
      </c>
      <c r="U189" s="1">
        <v>200000</v>
      </c>
      <c r="V189" s="1">
        <v>200000</v>
      </c>
      <c r="W189" s="1">
        <v>0</v>
      </c>
      <c r="X189" s="1">
        <v>0</v>
      </c>
      <c r="Y189" s="1">
        <v>0</v>
      </c>
      <c r="Z189" s="1">
        <v>0</v>
      </c>
      <c r="AA189" s="1">
        <v>99.47</v>
      </c>
      <c r="AB189" s="1">
        <v>99.47</v>
      </c>
      <c r="AC189" s="1">
        <v>99.47</v>
      </c>
      <c r="AD189" s="1">
        <v>99.47</v>
      </c>
      <c r="AE189" s="3" t="s">
        <v>455</v>
      </c>
      <c r="AF189" s="3" t="s">
        <v>161</v>
      </c>
      <c r="AG189" s="1" t="s">
        <v>970</v>
      </c>
      <c r="AH189" s="3" t="s">
        <v>456</v>
      </c>
      <c r="AI189" s="1">
        <v>4</v>
      </c>
      <c r="AJ189" s="3" t="s">
        <v>165</v>
      </c>
      <c r="AK189" s="1" t="s">
        <v>191</v>
      </c>
      <c r="AL189" s="3">
        <v>71.134118248250005</v>
      </c>
      <c r="AM189" s="3">
        <v>71.007538251366995</v>
      </c>
      <c r="AN189" s="3">
        <v>142015.07999999999</v>
      </c>
      <c r="AO189" s="3">
        <v>142015.07999999999</v>
      </c>
      <c r="AP189" s="1" t="s">
        <v>164</v>
      </c>
      <c r="AQ189" s="1">
        <v>4</v>
      </c>
      <c r="AR189" s="1" t="s">
        <v>165</v>
      </c>
      <c r="AS189" s="3">
        <v>132534288.59999999</v>
      </c>
      <c r="AT189" s="1" t="s">
        <v>176</v>
      </c>
      <c r="AU189" s="1">
        <v>1</v>
      </c>
      <c r="AV189" s="1">
        <v>1</v>
      </c>
      <c r="AW189" s="3" t="s">
        <v>210</v>
      </c>
      <c r="AX189" s="3" t="s">
        <v>448</v>
      </c>
      <c r="AY189" s="1">
        <v>0</v>
      </c>
      <c r="BA189" s="3">
        <v>8205251.6799999997</v>
      </c>
      <c r="BB189" s="1">
        <v>1</v>
      </c>
      <c r="BD189" s="1" t="s">
        <v>971</v>
      </c>
      <c r="BE189" s="1">
        <v>1</v>
      </c>
      <c r="BF189" s="1">
        <v>1</v>
      </c>
      <c r="BG189" s="1" t="s">
        <v>168</v>
      </c>
      <c r="BH189" s="1">
        <v>0</v>
      </c>
      <c r="BI189" s="1">
        <v>31345322.399999999</v>
      </c>
      <c r="BJ189" s="1">
        <v>0</v>
      </c>
      <c r="BK189" s="1">
        <v>123618989.48999999</v>
      </c>
      <c r="BL189" s="1">
        <v>132456249.91</v>
      </c>
      <c r="BM189" s="1">
        <v>596150.00000000012</v>
      </c>
      <c r="BN189" s="1">
        <v>9219855.2300000004</v>
      </c>
      <c r="BO189" s="1">
        <v>23.664660909999998</v>
      </c>
      <c r="BP189" s="1">
        <v>0.45007313999999998</v>
      </c>
      <c r="BQ189" s="1">
        <v>6.9606796500000003</v>
      </c>
      <c r="BR189" s="1">
        <v>0.10721659</v>
      </c>
      <c r="BS189" s="1" t="s">
        <v>169</v>
      </c>
      <c r="BT189" s="1" t="s">
        <v>169</v>
      </c>
      <c r="BU189" s="1">
        <v>26356083.120000001</v>
      </c>
      <c r="BV189" s="1">
        <v>0</v>
      </c>
      <c r="BW189" s="1">
        <v>-253.16</v>
      </c>
      <c r="BX189" s="1">
        <v>-0.18</v>
      </c>
      <c r="BY189" s="1" t="s">
        <v>170</v>
      </c>
      <c r="BZ189" s="1">
        <v>-78038.69</v>
      </c>
      <c r="CA189" s="1" t="s">
        <v>250</v>
      </c>
      <c r="CB189" s="1" t="s">
        <v>251</v>
      </c>
      <c r="CC189" s="1">
        <v>-56365.23</v>
      </c>
      <c r="CD189" s="1">
        <v>-56365.23</v>
      </c>
      <c r="CE189" s="1">
        <v>142268.24</v>
      </c>
      <c r="CF189" s="1">
        <v>142268.24</v>
      </c>
      <c r="CG189" s="1">
        <v>0</v>
      </c>
      <c r="CH189" s="1">
        <v>1.4438757900000001</v>
      </c>
      <c r="CI189" s="1">
        <v>13.27863496</v>
      </c>
      <c r="CJ189" s="1">
        <v>17588381.91</v>
      </c>
      <c r="CK189" s="1">
        <v>1912503.72</v>
      </c>
      <c r="CL189" s="1">
        <v>6269233.6699999999</v>
      </c>
      <c r="CM189" s="1" t="s">
        <v>164</v>
      </c>
      <c r="CN189" s="1" t="s">
        <v>164</v>
      </c>
      <c r="CO189" s="1" t="s">
        <v>184</v>
      </c>
      <c r="CP189" s="1" t="s">
        <v>243</v>
      </c>
      <c r="CQ189" s="3" t="s">
        <v>252</v>
      </c>
      <c r="CR189" s="1">
        <v>0</v>
      </c>
      <c r="CS189" s="1" t="s">
        <v>243</v>
      </c>
      <c r="CT189" s="1">
        <v>0.11488128</v>
      </c>
      <c r="CV189" s="1">
        <v>0</v>
      </c>
      <c r="CW189" s="1">
        <v>-219173.26</v>
      </c>
      <c r="DA189" s="1">
        <v>1355558.46</v>
      </c>
      <c r="DB189" s="1">
        <v>0</v>
      </c>
      <c r="DC189" s="1">
        <v>2520.3126550000002</v>
      </c>
      <c r="DD189" s="1">
        <v>52555.483399999997</v>
      </c>
      <c r="DE189" s="1">
        <v>-296353.43</v>
      </c>
      <c r="DF189" s="1">
        <v>92570020.519999996</v>
      </c>
      <c r="DG189" s="1">
        <v>-253.16</v>
      </c>
      <c r="DH189" s="1">
        <v>394770.09</v>
      </c>
      <c r="DI189" s="1">
        <v>0.29803809999999997</v>
      </c>
      <c r="DK189" s="1">
        <v>0</v>
      </c>
      <c r="DL189" s="1">
        <v>0</v>
      </c>
      <c r="DM189" s="1">
        <v>-296353.43</v>
      </c>
      <c r="DN189" s="1">
        <v>0</v>
      </c>
      <c r="DO189" s="1">
        <v>0</v>
      </c>
      <c r="DP189" s="1">
        <v>16777215</v>
      </c>
      <c r="DQ189" s="1">
        <v>0</v>
      </c>
      <c r="DR189" s="1">
        <v>0</v>
      </c>
      <c r="DS189" s="1">
        <v>0</v>
      </c>
      <c r="DT189" s="1">
        <v>0</v>
      </c>
      <c r="DU189" s="1">
        <v>0</v>
      </c>
      <c r="DV189" s="1">
        <v>142015.07999999999</v>
      </c>
      <c r="DW189" s="1">
        <v>142015.07999999999</v>
      </c>
      <c r="DX189" s="1">
        <v>31345322.399999999</v>
      </c>
      <c r="DY189" s="1">
        <v>-1110160.2399999984</v>
      </c>
      <c r="DZ189" s="1">
        <v>92570020.519999966</v>
      </c>
      <c r="EA189" s="1">
        <v>0</v>
      </c>
      <c r="EB189" s="1">
        <v>0</v>
      </c>
      <c r="EC189" s="1" t="s">
        <v>176</v>
      </c>
      <c r="EE189" s="1">
        <v>0</v>
      </c>
      <c r="EF189" s="1">
        <v>3</v>
      </c>
      <c r="EG189" s="1">
        <v>0</v>
      </c>
      <c r="EH189" s="3">
        <v>0.15341368999999999</v>
      </c>
      <c r="EI189" s="1">
        <v>0</v>
      </c>
      <c r="EL189" s="1">
        <v>0</v>
      </c>
      <c r="EM189" s="1">
        <v>0</v>
      </c>
      <c r="EN189" s="1">
        <v>1633661.45</v>
      </c>
      <c r="EO189" s="1">
        <v>1.2333592799999999</v>
      </c>
      <c r="ER189" s="1">
        <v>71.097232240436</v>
      </c>
      <c r="ES189" s="1">
        <v>1</v>
      </c>
      <c r="ET189" s="3">
        <v>7.3270054839999998</v>
      </c>
      <c r="EU189" s="3">
        <v>0.93989071000000002</v>
      </c>
      <c r="EV189" s="3">
        <v>0.62261709233700002</v>
      </c>
      <c r="EW189" s="3">
        <v>7.4410958899999997</v>
      </c>
      <c r="EX189" s="3">
        <v>1.5828385E-2</v>
      </c>
      <c r="EY189" s="3">
        <v>11</v>
      </c>
      <c r="EZ189" s="3">
        <v>2716</v>
      </c>
      <c r="FA189" s="1">
        <v>0</v>
      </c>
      <c r="FB189" s="1">
        <v>0</v>
      </c>
      <c r="FC189" s="3">
        <v>2.252169517</v>
      </c>
      <c r="FD189" s="1">
        <v>0</v>
      </c>
      <c r="FE189" s="1">
        <v>0</v>
      </c>
    </row>
    <row r="190" spans="1:161" x14ac:dyDescent="0.3">
      <c r="A190" s="1">
        <v>16975477</v>
      </c>
      <c r="B190" s="1">
        <v>128</v>
      </c>
      <c r="C190" s="1">
        <v>7106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3</v>
      </c>
      <c r="J190" s="3">
        <v>3</v>
      </c>
      <c r="K190" s="1">
        <v>300000</v>
      </c>
      <c r="L190" s="1">
        <v>300000</v>
      </c>
      <c r="M190" s="1">
        <v>300000</v>
      </c>
      <c r="N190" s="3">
        <v>300000</v>
      </c>
      <c r="O190" s="1">
        <v>303015</v>
      </c>
      <c r="P190" s="1">
        <v>303015</v>
      </c>
      <c r="Q190" s="1">
        <v>303015</v>
      </c>
      <c r="R190" s="1">
        <v>303015</v>
      </c>
      <c r="S190" s="1">
        <v>300000</v>
      </c>
      <c r="T190" s="1">
        <v>300000</v>
      </c>
      <c r="U190" s="1">
        <v>300000</v>
      </c>
      <c r="V190" s="1">
        <v>300000</v>
      </c>
      <c r="W190" s="1">
        <v>0</v>
      </c>
      <c r="X190" s="1">
        <v>0</v>
      </c>
      <c r="Y190" s="1">
        <v>0</v>
      </c>
      <c r="Z190" s="1">
        <v>0</v>
      </c>
      <c r="AA190" s="1">
        <v>-2511.4899999999998</v>
      </c>
      <c r="AB190" s="1">
        <v>-2511.4899999999998</v>
      </c>
      <c r="AC190" s="1">
        <v>-2511.4899999999998</v>
      </c>
      <c r="AD190" s="1">
        <v>-2511.4899999999998</v>
      </c>
      <c r="AE190" s="3" t="s">
        <v>767</v>
      </c>
      <c r="AF190" s="3" t="s">
        <v>161</v>
      </c>
      <c r="AG190" s="1" t="s">
        <v>970</v>
      </c>
      <c r="AH190" s="3" t="s">
        <v>458</v>
      </c>
      <c r="AI190" s="1">
        <v>4</v>
      </c>
      <c r="AJ190" s="3" t="s">
        <v>165</v>
      </c>
      <c r="AK190" s="1" t="s">
        <v>191</v>
      </c>
      <c r="AL190" s="3">
        <v>65.213488452077996</v>
      </c>
      <c r="AM190" s="3">
        <v>66.762928415299996</v>
      </c>
      <c r="AN190" s="3">
        <v>200288.79</v>
      </c>
      <c r="AO190" s="3">
        <v>200288.79</v>
      </c>
      <c r="AP190" s="1" t="s">
        <v>164</v>
      </c>
      <c r="AQ190" s="1">
        <v>4</v>
      </c>
      <c r="AR190" s="1" t="s">
        <v>165</v>
      </c>
      <c r="AS190" s="3">
        <v>132534288.59999999</v>
      </c>
      <c r="AT190" s="1" t="s">
        <v>176</v>
      </c>
      <c r="AU190" s="1">
        <v>1</v>
      </c>
      <c r="AV190" s="1">
        <v>1</v>
      </c>
      <c r="AW190" s="3" t="s">
        <v>210</v>
      </c>
      <c r="AX190" s="3" t="s">
        <v>457</v>
      </c>
      <c r="AY190" s="1">
        <v>0</v>
      </c>
      <c r="BA190" s="3">
        <v>8205251.6799999997</v>
      </c>
      <c r="BB190" s="1">
        <v>1</v>
      </c>
      <c r="BD190" s="1" t="s">
        <v>971</v>
      </c>
      <c r="BE190" s="1">
        <v>1</v>
      </c>
      <c r="BF190" s="1">
        <v>1</v>
      </c>
      <c r="BG190" s="1" t="s">
        <v>168</v>
      </c>
      <c r="BH190" s="1">
        <v>0</v>
      </c>
      <c r="BI190" s="1">
        <v>31345322.399999999</v>
      </c>
      <c r="BJ190" s="1">
        <v>0</v>
      </c>
      <c r="BK190" s="1">
        <v>123618989.48999999</v>
      </c>
      <c r="BL190" s="1">
        <v>132456249.91</v>
      </c>
      <c r="BM190" s="1">
        <v>596150.00000000012</v>
      </c>
      <c r="BN190" s="1">
        <v>9219855.2300000004</v>
      </c>
      <c r="BO190" s="1">
        <v>23.664660909999998</v>
      </c>
      <c r="BP190" s="1">
        <v>0.45007313999999998</v>
      </c>
      <c r="BQ190" s="1">
        <v>6.9606796500000003</v>
      </c>
      <c r="BR190" s="1">
        <v>0.15121128</v>
      </c>
      <c r="BS190" s="1" t="s">
        <v>169</v>
      </c>
      <c r="BT190" s="1" t="s">
        <v>169</v>
      </c>
      <c r="BU190" s="1">
        <v>26356083.120000001</v>
      </c>
      <c r="BV190" s="1">
        <v>0</v>
      </c>
      <c r="BW190" s="1">
        <v>4648.32</v>
      </c>
      <c r="BX190" s="1">
        <v>2.38</v>
      </c>
      <c r="BY190" s="1" t="s">
        <v>170</v>
      </c>
      <c r="BZ190" s="1">
        <v>-78038.69</v>
      </c>
      <c r="CA190" s="1" t="s">
        <v>250</v>
      </c>
      <c r="CB190" s="1" t="s">
        <v>251</v>
      </c>
      <c r="CC190" s="1">
        <v>-104863.03999999999</v>
      </c>
      <c r="CD190" s="1">
        <v>-104863.03999999999</v>
      </c>
      <c r="CE190" s="1">
        <v>195640.47</v>
      </c>
      <c r="CF190" s="1">
        <v>195640.47</v>
      </c>
      <c r="CG190" s="1">
        <v>0</v>
      </c>
      <c r="CH190" s="1">
        <v>1.4438757900000001</v>
      </c>
      <c r="CI190" s="1">
        <v>13.27863496</v>
      </c>
      <c r="CJ190" s="1">
        <v>17588381.91</v>
      </c>
      <c r="CK190" s="1">
        <v>1912503.72</v>
      </c>
      <c r="CL190" s="1">
        <v>6269233.6699999999</v>
      </c>
      <c r="CM190" s="1" t="s">
        <v>164</v>
      </c>
      <c r="CN190" s="1" t="s">
        <v>164</v>
      </c>
      <c r="CO190" s="1" t="s">
        <v>184</v>
      </c>
      <c r="CP190" s="1" t="s">
        <v>243</v>
      </c>
      <c r="CQ190" s="3" t="s">
        <v>252</v>
      </c>
      <c r="CR190" s="1">
        <v>0</v>
      </c>
      <c r="CS190" s="1" t="s">
        <v>243</v>
      </c>
      <c r="CT190" s="1">
        <v>0.16202105</v>
      </c>
      <c r="CV190" s="1">
        <v>0</v>
      </c>
      <c r="CW190" s="1">
        <v>-219173.26</v>
      </c>
      <c r="DA190" s="1">
        <v>1355558.46</v>
      </c>
      <c r="DB190" s="1">
        <v>0</v>
      </c>
      <c r="DC190" s="1">
        <v>2520.3126550000002</v>
      </c>
      <c r="DD190" s="1">
        <v>52555.483399999997</v>
      </c>
      <c r="DE190" s="1">
        <v>-296353.43</v>
      </c>
      <c r="DF190" s="1">
        <v>92570020.519999996</v>
      </c>
      <c r="DG190" s="1">
        <v>4648.32</v>
      </c>
      <c r="DH190" s="1">
        <v>394770.09</v>
      </c>
      <c r="DI190" s="1">
        <v>0.29803809999999997</v>
      </c>
      <c r="DK190" s="1">
        <v>0</v>
      </c>
      <c r="DL190" s="1">
        <v>0</v>
      </c>
      <c r="DM190" s="1">
        <v>-296353.43</v>
      </c>
      <c r="DN190" s="1">
        <v>0</v>
      </c>
      <c r="DO190" s="1">
        <v>0</v>
      </c>
      <c r="DP190" s="1">
        <v>16777215</v>
      </c>
      <c r="DQ190" s="1">
        <v>0</v>
      </c>
      <c r="DR190" s="1">
        <v>0</v>
      </c>
      <c r="DS190" s="1">
        <v>0</v>
      </c>
      <c r="DT190" s="1">
        <v>0</v>
      </c>
      <c r="DU190" s="1">
        <v>0</v>
      </c>
      <c r="DV190" s="1">
        <v>200288.79</v>
      </c>
      <c r="DW190" s="1">
        <v>200288.79</v>
      </c>
      <c r="DX190" s="1">
        <v>31345322.399999999</v>
      </c>
      <c r="DY190" s="1">
        <v>-1110160.2399999984</v>
      </c>
      <c r="DZ190" s="1">
        <v>92570020.519999966</v>
      </c>
      <c r="EA190" s="1">
        <v>0</v>
      </c>
      <c r="EB190" s="1">
        <v>0</v>
      </c>
      <c r="EC190" s="1" t="s">
        <v>176</v>
      </c>
      <c r="EE190" s="1">
        <v>0</v>
      </c>
      <c r="EF190" s="1">
        <v>3</v>
      </c>
      <c r="EG190" s="1">
        <v>0</v>
      </c>
      <c r="EH190" s="3">
        <v>0.21636464</v>
      </c>
      <c r="EI190" s="1">
        <v>0</v>
      </c>
      <c r="EL190" s="1">
        <v>0</v>
      </c>
      <c r="EM190" s="1">
        <v>0</v>
      </c>
      <c r="EN190" s="1">
        <v>1633661.45</v>
      </c>
      <c r="EO190" s="1">
        <v>1.2333592799999999</v>
      </c>
      <c r="ER190" s="1">
        <v>66.290467213114994</v>
      </c>
      <c r="ES190" s="1">
        <v>1</v>
      </c>
      <c r="ET190" s="3">
        <v>158.83203082899999</v>
      </c>
      <c r="EU190" s="3">
        <v>0.48360655699999999</v>
      </c>
      <c r="EV190" s="3">
        <v>0.123858335978</v>
      </c>
      <c r="EW190" s="3">
        <v>0.48493150699999998</v>
      </c>
      <c r="EX190" s="3">
        <v>1.070964E-3</v>
      </c>
      <c r="EY190" s="3">
        <v>2</v>
      </c>
      <c r="EZ190" s="3">
        <v>177</v>
      </c>
      <c r="FA190" s="1">
        <v>0</v>
      </c>
      <c r="FB190" s="1">
        <v>0</v>
      </c>
      <c r="FC190" s="3">
        <v>8.3515136650000006</v>
      </c>
      <c r="FD190" s="1">
        <v>0</v>
      </c>
      <c r="FE190" s="1">
        <v>0</v>
      </c>
    </row>
    <row r="191" spans="1:161" x14ac:dyDescent="0.3">
      <c r="A191" s="1">
        <v>16975508</v>
      </c>
      <c r="B191" s="1">
        <v>128</v>
      </c>
      <c r="C191" s="1">
        <v>7256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4</v>
      </c>
      <c r="J191" s="3">
        <v>4</v>
      </c>
      <c r="K191" s="1">
        <v>400000</v>
      </c>
      <c r="L191" s="1">
        <v>400000</v>
      </c>
      <c r="M191" s="1">
        <v>400000</v>
      </c>
      <c r="N191" s="3">
        <v>400000</v>
      </c>
      <c r="O191" s="1">
        <v>398540.44</v>
      </c>
      <c r="P191" s="1">
        <v>398540.44</v>
      </c>
      <c r="Q191" s="1">
        <v>398540.44</v>
      </c>
      <c r="R191" s="1">
        <v>398540.44</v>
      </c>
      <c r="S191" s="1">
        <v>400000</v>
      </c>
      <c r="T191" s="1">
        <v>400000</v>
      </c>
      <c r="U191" s="1">
        <v>400000</v>
      </c>
      <c r="V191" s="1">
        <v>400000</v>
      </c>
      <c r="W191" s="1">
        <v>0</v>
      </c>
      <c r="X191" s="1">
        <v>0</v>
      </c>
      <c r="Y191" s="1">
        <v>0</v>
      </c>
      <c r="Z191" s="1">
        <v>0</v>
      </c>
      <c r="AA191" s="1">
        <v>5649.35</v>
      </c>
      <c r="AB191" s="1">
        <v>5649.35</v>
      </c>
      <c r="AC191" s="1">
        <v>5649.35</v>
      </c>
      <c r="AD191" s="1">
        <v>5649.35</v>
      </c>
      <c r="AE191" s="3" t="s">
        <v>459</v>
      </c>
      <c r="AF191" s="3" t="s">
        <v>161</v>
      </c>
      <c r="AG191" s="1" t="s">
        <v>970</v>
      </c>
      <c r="AH191" s="3" t="s">
        <v>460</v>
      </c>
      <c r="AI191" s="1">
        <v>4</v>
      </c>
      <c r="AJ191" s="3" t="s">
        <v>165</v>
      </c>
      <c r="AK191" s="1" t="s">
        <v>191</v>
      </c>
      <c r="AL191" s="3">
        <v>93.301548185973004</v>
      </c>
      <c r="AM191" s="3">
        <v>93.160150684933001</v>
      </c>
      <c r="AN191" s="3">
        <v>372640.6</v>
      </c>
      <c r="AO191" s="3">
        <v>372640.6</v>
      </c>
      <c r="AP191" s="1" t="s">
        <v>164</v>
      </c>
      <c r="AQ191" s="1">
        <v>4</v>
      </c>
      <c r="AR191" s="1" t="s">
        <v>165</v>
      </c>
      <c r="AS191" s="3">
        <v>132534288.59999999</v>
      </c>
      <c r="AT191" s="1" t="s">
        <v>176</v>
      </c>
      <c r="AU191" s="1">
        <v>1</v>
      </c>
      <c r="AV191" s="1">
        <v>1</v>
      </c>
      <c r="AW191" s="3" t="s">
        <v>210</v>
      </c>
      <c r="AX191" s="3" t="s">
        <v>457</v>
      </c>
      <c r="AY191" s="1">
        <v>0</v>
      </c>
      <c r="BA191" s="3">
        <v>8205251.6799999997</v>
      </c>
      <c r="BB191" s="1">
        <v>1</v>
      </c>
      <c r="BD191" s="1" t="s">
        <v>971</v>
      </c>
      <c r="BE191" s="1">
        <v>1</v>
      </c>
      <c r="BF191" s="1">
        <v>1</v>
      </c>
      <c r="BG191" s="1" t="s">
        <v>168</v>
      </c>
      <c r="BH191" s="1">
        <v>0</v>
      </c>
      <c r="BI191" s="1">
        <v>31345322.399999999</v>
      </c>
      <c r="BJ191" s="1">
        <v>0</v>
      </c>
      <c r="BK191" s="1">
        <v>123618989.48999999</v>
      </c>
      <c r="BL191" s="1">
        <v>132456249.91</v>
      </c>
      <c r="BM191" s="1">
        <v>596150.00000000012</v>
      </c>
      <c r="BN191" s="1">
        <v>9219855.2300000004</v>
      </c>
      <c r="BO191" s="1">
        <v>23.664660909999998</v>
      </c>
      <c r="BP191" s="1">
        <v>0.45007313999999998</v>
      </c>
      <c r="BQ191" s="1">
        <v>6.9606796500000003</v>
      </c>
      <c r="BR191" s="1">
        <v>0.28133108000000001</v>
      </c>
      <c r="BS191" s="1" t="s">
        <v>169</v>
      </c>
      <c r="BT191" s="1" t="s">
        <v>169</v>
      </c>
      <c r="BU191" s="1">
        <v>26356083.120000001</v>
      </c>
      <c r="BV191" s="1">
        <v>0</v>
      </c>
      <c r="BW191" s="1">
        <v>-565.59</v>
      </c>
      <c r="BX191" s="1">
        <v>-0.15</v>
      </c>
      <c r="BY191" s="1" t="s">
        <v>170</v>
      </c>
      <c r="BZ191" s="1">
        <v>-78038.69</v>
      </c>
      <c r="CA191" s="1" t="s">
        <v>250</v>
      </c>
      <c r="CB191" s="1" t="s">
        <v>251</v>
      </c>
      <c r="CC191" s="1">
        <v>-30983.599999999999</v>
      </c>
      <c r="CD191" s="1">
        <v>-30983.599999999999</v>
      </c>
      <c r="CE191" s="1">
        <v>373206.19</v>
      </c>
      <c r="CF191" s="1">
        <v>373206.19</v>
      </c>
      <c r="CG191" s="1">
        <v>0</v>
      </c>
      <c r="CH191" s="1">
        <v>1.4438757900000001</v>
      </c>
      <c r="CI191" s="1">
        <v>13.27863496</v>
      </c>
      <c r="CJ191" s="1">
        <v>17588381.91</v>
      </c>
      <c r="CK191" s="1">
        <v>1912503.72</v>
      </c>
      <c r="CL191" s="1">
        <v>6269233.6699999999</v>
      </c>
      <c r="CM191" s="1" t="s">
        <v>164</v>
      </c>
      <c r="CN191" s="1" t="s">
        <v>164</v>
      </c>
      <c r="CO191" s="1" t="s">
        <v>184</v>
      </c>
      <c r="CP191" s="1" t="s">
        <v>243</v>
      </c>
      <c r="CQ191" s="3" t="s">
        <v>252</v>
      </c>
      <c r="CR191" s="1">
        <v>0</v>
      </c>
      <c r="CS191" s="1" t="s">
        <v>243</v>
      </c>
      <c r="CT191" s="1">
        <v>0.30144284999999998</v>
      </c>
      <c r="CV191" s="1">
        <v>0</v>
      </c>
      <c r="CW191" s="1">
        <v>-219173.26</v>
      </c>
      <c r="DA191" s="1">
        <v>1355558.46</v>
      </c>
      <c r="DB191" s="1">
        <v>0</v>
      </c>
      <c r="DC191" s="1">
        <v>2520.3126550000002</v>
      </c>
      <c r="DD191" s="1">
        <v>52555.483399999997</v>
      </c>
      <c r="DE191" s="1">
        <v>-296353.43</v>
      </c>
      <c r="DF191" s="1">
        <v>92570020.519999996</v>
      </c>
      <c r="DG191" s="1">
        <v>-565.59</v>
      </c>
      <c r="DH191" s="1">
        <v>394770.09</v>
      </c>
      <c r="DI191" s="1">
        <v>0.29803809999999997</v>
      </c>
      <c r="DK191" s="1">
        <v>0</v>
      </c>
      <c r="DL191" s="1">
        <v>0</v>
      </c>
      <c r="DM191" s="1">
        <v>-296353.43</v>
      </c>
      <c r="DN191" s="1">
        <v>0</v>
      </c>
      <c r="DO191" s="1">
        <v>0</v>
      </c>
      <c r="DP191" s="1">
        <v>16777215</v>
      </c>
      <c r="DQ191" s="1">
        <v>0</v>
      </c>
      <c r="DR191" s="1">
        <v>0</v>
      </c>
      <c r="DS191" s="1">
        <v>0</v>
      </c>
      <c r="DT191" s="1">
        <v>0</v>
      </c>
      <c r="DU191" s="1">
        <v>0</v>
      </c>
      <c r="DV191" s="1">
        <v>372640.6</v>
      </c>
      <c r="DW191" s="1">
        <v>372640.6</v>
      </c>
      <c r="DX191" s="1">
        <v>31345322.399999999</v>
      </c>
      <c r="DY191" s="1">
        <v>-1110160.2399999984</v>
      </c>
      <c r="DZ191" s="1">
        <v>92570020.519999966</v>
      </c>
      <c r="EA191" s="1">
        <v>0</v>
      </c>
      <c r="EB191" s="1">
        <v>0</v>
      </c>
      <c r="EC191" s="1" t="s">
        <v>176</v>
      </c>
      <c r="EE191" s="1">
        <v>0</v>
      </c>
      <c r="EF191" s="1">
        <v>3</v>
      </c>
      <c r="EG191" s="1">
        <v>0</v>
      </c>
      <c r="EH191" s="3">
        <v>0.40254997999999997</v>
      </c>
      <c r="EI191" s="1">
        <v>0</v>
      </c>
      <c r="EL191" s="1">
        <v>0</v>
      </c>
      <c r="EM191" s="1">
        <v>0</v>
      </c>
      <c r="EN191" s="1">
        <v>1633661.45</v>
      </c>
      <c r="EO191" s="1">
        <v>1.2333592799999999</v>
      </c>
      <c r="ER191" s="1">
        <v>93.290616438355997</v>
      </c>
      <c r="ES191" s="1">
        <v>1</v>
      </c>
      <c r="ET191" s="3">
        <v>6.2588715060000002</v>
      </c>
      <c r="EU191" s="3">
        <v>2.7512204040000001</v>
      </c>
      <c r="EV191" s="3">
        <v>2.4154505294100002</v>
      </c>
      <c r="EW191" s="3">
        <v>2.9013698630000002</v>
      </c>
      <c r="EX191" s="3">
        <v>9.4037539000000003E-2</v>
      </c>
      <c r="EY191" s="3">
        <v>31</v>
      </c>
      <c r="EZ191" s="3">
        <v>1059</v>
      </c>
      <c r="FA191" s="1">
        <v>0</v>
      </c>
      <c r="FB191" s="1">
        <v>0</v>
      </c>
      <c r="FC191" s="3">
        <v>3.750994264</v>
      </c>
      <c r="FD191" s="1">
        <v>0</v>
      </c>
      <c r="FE191" s="1">
        <v>0</v>
      </c>
    </row>
    <row r="192" spans="1:161" x14ac:dyDescent="0.3">
      <c r="A192" s="1">
        <v>16975473</v>
      </c>
      <c r="B192" s="1">
        <v>128</v>
      </c>
      <c r="C192" s="1">
        <v>8985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3</v>
      </c>
      <c r="J192" s="3">
        <v>3</v>
      </c>
      <c r="K192" s="1">
        <v>300000</v>
      </c>
      <c r="L192" s="1">
        <v>300000</v>
      </c>
      <c r="M192" s="1">
        <v>300000</v>
      </c>
      <c r="N192" s="3">
        <v>300000</v>
      </c>
      <c r="O192" s="1">
        <v>306682.2</v>
      </c>
      <c r="P192" s="1">
        <v>306682.2</v>
      </c>
      <c r="Q192" s="1">
        <v>306682.2</v>
      </c>
      <c r="R192" s="1">
        <v>306682.2</v>
      </c>
      <c r="S192" s="1">
        <v>300000</v>
      </c>
      <c r="T192" s="1">
        <v>300000</v>
      </c>
      <c r="U192" s="1">
        <v>300000</v>
      </c>
      <c r="V192" s="1">
        <v>300000</v>
      </c>
      <c r="W192" s="1">
        <v>0</v>
      </c>
      <c r="X192" s="1">
        <v>0</v>
      </c>
      <c r="Y192" s="1">
        <v>0</v>
      </c>
      <c r="Z192" s="1">
        <v>0</v>
      </c>
      <c r="AA192" s="1">
        <v>-4226.1499999999996</v>
      </c>
      <c r="AB192" s="1">
        <v>-4226.1499999999996</v>
      </c>
      <c r="AC192" s="1">
        <v>-4226.1499999999996</v>
      </c>
      <c r="AD192" s="1">
        <v>-4226.1499999999996</v>
      </c>
      <c r="AE192" s="3" t="s">
        <v>461</v>
      </c>
      <c r="AF192" s="3" t="s">
        <v>161</v>
      </c>
      <c r="AG192" s="1" t="s">
        <v>970</v>
      </c>
      <c r="AH192" s="3" t="s">
        <v>462</v>
      </c>
      <c r="AI192" s="1">
        <v>4</v>
      </c>
      <c r="AJ192" s="3" t="s">
        <v>165</v>
      </c>
      <c r="AK192" s="1" t="s">
        <v>191</v>
      </c>
      <c r="AL192" s="3">
        <v>49.675916666668002</v>
      </c>
      <c r="AM192" s="3">
        <v>49.712333333335003</v>
      </c>
      <c r="AN192" s="3">
        <v>149137</v>
      </c>
      <c r="AO192" s="3">
        <v>149137</v>
      </c>
      <c r="AP192" s="1" t="s">
        <v>164</v>
      </c>
      <c r="AQ192" s="1">
        <v>4</v>
      </c>
      <c r="AR192" s="1" t="s">
        <v>165</v>
      </c>
      <c r="AS192" s="3">
        <v>132534288.59999999</v>
      </c>
      <c r="AT192" s="1" t="s">
        <v>176</v>
      </c>
      <c r="AU192" s="1">
        <v>1</v>
      </c>
      <c r="AV192" s="1">
        <v>1</v>
      </c>
      <c r="AW192" s="3" t="s">
        <v>210</v>
      </c>
      <c r="AX192" s="3" t="s">
        <v>457</v>
      </c>
      <c r="AY192" s="1">
        <v>0</v>
      </c>
      <c r="BA192" s="3">
        <v>8205251.6799999997</v>
      </c>
      <c r="BB192" s="1">
        <v>1</v>
      </c>
      <c r="BD192" s="1" t="s">
        <v>971</v>
      </c>
      <c r="BE192" s="1">
        <v>1</v>
      </c>
      <c r="BF192" s="1">
        <v>1</v>
      </c>
      <c r="BG192" s="1" t="s">
        <v>168</v>
      </c>
      <c r="BH192" s="1">
        <v>0</v>
      </c>
      <c r="BI192" s="1">
        <v>31345322.399999999</v>
      </c>
      <c r="BJ192" s="1">
        <v>0</v>
      </c>
      <c r="BK192" s="1">
        <v>123618989.48999999</v>
      </c>
      <c r="BL192" s="1">
        <v>132456249.91</v>
      </c>
      <c r="BM192" s="1">
        <v>596150.00000000012</v>
      </c>
      <c r="BN192" s="1">
        <v>9219855.2300000004</v>
      </c>
      <c r="BO192" s="1">
        <v>23.664660909999998</v>
      </c>
      <c r="BP192" s="1">
        <v>0.45007313999999998</v>
      </c>
      <c r="BQ192" s="1">
        <v>6.9606796500000003</v>
      </c>
      <c r="BR192" s="1">
        <v>0.1125934</v>
      </c>
      <c r="BS192" s="1" t="s">
        <v>169</v>
      </c>
      <c r="BT192" s="1" t="s">
        <v>169</v>
      </c>
      <c r="BU192" s="1">
        <v>26356083.120000001</v>
      </c>
      <c r="BV192" s="1">
        <v>0</v>
      </c>
      <c r="BW192" s="1">
        <v>109.25</v>
      </c>
      <c r="BX192" s="1">
        <v>0.08</v>
      </c>
      <c r="BY192" s="1" t="s">
        <v>170</v>
      </c>
      <c r="BZ192" s="1">
        <v>-78038.69</v>
      </c>
      <c r="CA192" s="1" t="s">
        <v>250</v>
      </c>
      <c r="CB192" s="1" t="s">
        <v>251</v>
      </c>
      <c r="CC192" s="1">
        <v>-153428.29999999999</v>
      </c>
      <c r="CD192" s="1">
        <v>-153428.29999999999</v>
      </c>
      <c r="CE192" s="1">
        <v>149027.75</v>
      </c>
      <c r="CF192" s="1">
        <v>149027.75</v>
      </c>
      <c r="CG192" s="1">
        <v>0</v>
      </c>
      <c r="CH192" s="1">
        <v>1.4438757900000001</v>
      </c>
      <c r="CI192" s="1">
        <v>13.27863496</v>
      </c>
      <c r="CJ192" s="1">
        <v>17588381.91</v>
      </c>
      <c r="CK192" s="1">
        <v>1912503.72</v>
      </c>
      <c r="CL192" s="1">
        <v>6269233.6699999999</v>
      </c>
      <c r="CM192" s="1" t="s">
        <v>164</v>
      </c>
      <c r="CN192" s="1" t="s">
        <v>164</v>
      </c>
      <c r="CO192" s="1" t="s">
        <v>184</v>
      </c>
      <c r="CP192" s="1" t="s">
        <v>243</v>
      </c>
      <c r="CQ192" s="3" t="s">
        <v>252</v>
      </c>
      <c r="CR192" s="1">
        <v>0</v>
      </c>
      <c r="CS192" s="1" t="s">
        <v>243</v>
      </c>
      <c r="CT192" s="1">
        <v>0.12064247</v>
      </c>
      <c r="CV192" s="1">
        <v>0</v>
      </c>
      <c r="CW192" s="1">
        <v>-219173.26</v>
      </c>
      <c r="DA192" s="1">
        <v>1355558.46</v>
      </c>
      <c r="DB192" s="1">
        <v>0</v>
      </c>
      <c r="DC192" s="1">
        <v>2520.3126550000002</v>
      </c>
      <c r="DD192" s="1">
        <v>52555.483399999997</v>
      </c>
      <c r="DE192" s="1">
        <v>-296353.43</v>
      </c>
      <c r="DF192" s="1">
        <v>92570020.519999996</v>
      </c>
      <c r="DG192" s="1">
        <v>109.25</v>
      </c>
      <c r="DH192" s="1">
        <v>394770.09</v>
      </c>
      <c r="DI192" s="1">
        <v>0.29803809999999997</v>
      </c>
      <c r="DK192" s="1">
        <v>0</v>
      </c>
      <c r="DL192" s="1">
        <v>0</v>
      </c>
      <c r="DM192" s="1">
        <v>-296353.43</v>
      </c>
      <c r="DN192" s="1">
        <v>0</v>
      </c>
      <c r="DO192" s="1">
        <v>0</v>
      </c>
      <c r="DP192" s="1">
        <v>16777215</v>
      </c>
      <c r="DQ192" s="1">
        <v>0</v>
      </c>
      <c r="DR192" s="1">
        <v>0</v>
      </c>
      <c r="DS192" s="1">
        <v>0</v>
      </c>
      <c r="DT192" s="1">
        <v>0</v>
      </c>
      <c r="DU192" s="1">
        <v>0</v>
      </c>
      <c r="DV192" s="1">
        <v>149137</v>
      </c>
      <c r="DW192" s="1">
        <v>149137</v>
      </c>
      <c r="DX192" s="1">
        <v>31345322.399999999</v>
      </c>
      <c r="DY192" s="1">
        <v>-1110160.2399999984</v>
      </c>
      <c r="DZ192" s="1">
        <v>92570020.519999966</v>
      </c>
      <c r="EA192" s="1">
        <v>0</v>
      </c>
      <c r="EB192" s="1">
        <v>0</v>
      </c>
      <c r="EC192" s="1" t="s">
        <v>176</v>
      </c>
      <c r="EE192" s="1">
        <v>0</v>
      </c>
      <c r="EF192" s="1">
        <v>3</v>
      </c>
      <c r="EG192" s="1">
        <v>0</v>
      </c>
      <c r="EH192" s="3">
        <v>0.16110722999999999</v>
      </c>
      <c r="EI192" s="1">
        <v>0</v>
      </c>
      <c r="EL192" s="1">
        <v>0</v>
      </c>
      <c r="EM192" s="1">
        <v>0</v>
      </c>
      <c r="EN192" s="1">
        <v>1633661.45</v>
      </c>
      <c r="EO192" s="1">
        <v>1.2333592799999999</v>
      </c>
      <c r="ER192" s="1">
        <v>49.742527777778001</v>
      </c>
      <c r="ES192" s="1">
        <v>1</v>
      </c>
      <c r="ET192" s="3">
        <v>45.989764192999999</v>
      </c>
      <c r="EU192" s="3">
        <v>2.0615083890000001</v>
      </c>
      <c r="EV192" s="3">
        <v>0.83373093706699997</v>
      </c>
      <c r="EW192" s="3">
        <v>2.189041096</v>
      </c>
      <c r="EX192" s="3">
        <v>4.2761235000000002E-2</v>
      </c>
      <c r="EY192" s="3">
        <v>20</v>
      </c>
      <c r="EZ192" s="3">
        <v>799</v>
      </c>
      <c r="FA192" s="1">
        <v>0</v>
      </c>
      <c r="FB192" s="1">
        <v>0</v>
      </c>
      <c r="FC192" s="3">
        <v>3.3436097600000001</v>
      </c>
      <c r="FD192" s="1">
        <v>0</v>
      </c>
      <c r="FE192" s="1">
        <v>0</v>
      </c>
    </row>
    <row r="193" spans="1:161" x14ac:dyDescent="0.3">
      <c r="A193" s="1">
        <v>16975511</v>
      </c>
      <c r="B193" s="1">
        <v>128</v>
      </c>
      <c r="C193" s="1">
        <v>9469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5</v>
      </c>
      <c r="J193" s="3">
        <v>5</v>
      </c>
      <c r="K193" s="1">
        <v>500000</v>
      </c>
      <c r="L193" s="1">
        <v>500000</v>
      </c>
      <c r="M193" s="1">
        <v>500000</v>
      </c>
      <c r="N193" s="3">
        <v>500000</v>
      </c>
      <c r="O193" s="1">
        <v>501250</v>
      </c>
      <c r="P193" s="1">
        <v>501250</v>
      </c>
      <c r="Q193" s="1">
        <v>501250</v>
      </c>
      <c r="R193" s="1">
        <v>501250</v>
      </c>
      <c r="S193" s="1">
        <v>500000</v>
      </c>
      <c r="T193" s="1">
        <v>500000</v>
      </c>
      <c r="U193" s="1">
        <v>500000</v>
      </c>
      <c r="V193" s="1">
        <v>500000</v>
      </c>
      <c r="W193" s="1">
        <v>0</v>
      </c>
      <c r="X193" s="1">
        <v>0</v>
      </c>
      <c r="Y193" s="1">
        <v>0</v>
      </c>
      <c r="Z193" s="1">
        <v>0</v>
      </c>
      <c r="AA193" s="1">
        <v>-1055.47</v>
      </c>
      <c r="AB193" s="1">
        <v>-1055.47</v>
      </c>
      <c r="AC193" s="1">
        <v>-1055.47</v>
      </c>
      <c r="AD193" s="1">
        <v>-1055.47</v>
      </c>
      <c r="AE193" s="3" t="s">
        <v>463</v>
      </c>
      <c r="AF193" s="3" t="s">
        <v>161</v>
      </c>
      <c r="AG193" s="1" t="s">
        <v>970</v>
      </c>
      <c r="AH193" s="3" t="s">
        <v>464</v>
      </c>
      <c r="AI193" s="1">
        <v>4</v>
      </c>
      <c r="AJ193" s="3" t="s">
        <v>165</v>
      </c>
      <c r="AK193" s="1" t="s">
        <v>191</v>
      </c>
      <c r="AL193" s="3">
        <v>51.590665000366997</v>
      </c>
      <c r="AM193" s="3">
        <v>51.609625000000001</v>
      </c>
      <c r="AN193" s="3">
        <v>258048.13</v>
      </c>
      <c r="AO193" s="3">
        <v>258048.13</v>
      </c>
      <c r="AP193" s="1" t="s">
        <v>164</v>
      </c>
      <c r="AQ193" s="1">
        <v>4</v>
      </c>
      <c r="AR193" s="1" t="s">
        <v>165</v>
      </c>
      <c r="AS193" s="3">
        <v>132534288.59999999</v>
      </c>
      <c r="AT193" s="1" t="s">
        <v>176</v>
      </c>
      <c r="AU193" s="1">
        <v>1</v>
      </c>
      <c r="AV193" s="1">
        <v>1</v>
      </c>
      <c r="AW193" s="3" t="s">
        <v>210</v>
      </c>
      <c r="AX193" s="3" t="s">
        <v>457</v>
      </c>
      <c r="AY193" s="1">
        <v>0</v>
      </c>
      <c r="BA193" s="3">
        <v>8205251.6799999997</v>
      </c>
      <c r="BB193" s="1">
        <v>1</v>
      </c>
      <c r="BD193" s="1" t="s">
        <v>971</v>
      </c>
      <c r="BE193" s="1">
        <v>1</v>
      </c>
      <c r="BF193" s="1">
        <v>1</v>
      </c>
      <c r="BG193" s="1" t="s">
        <v>168</v>
      </c>
      <c r="BH193" s="1">
        <v>0</v>
      </c>
      <c r="BI193" s="1">
        <v>31345322.399999999</v>
      </c>
      <c r="BJ193" s="1">
        <v>0</v>
      </c>
      <c r="BK193" s="1">
        <v>123618989.48999999</v>
      </c>
      <c r="BL193" s="1">
        <v>132456249.91</v>
      </c>
      <c r="BM193" s="1">
        <v>596150.00000000012</v>
      </c>
      <c r="BN193" s="1">
        <v>9219855.2300000004</v>
      </c>
      <c r="BO193" s="1">
        <v>23.664660909999998</v>
      </c>
      <c r="BP193" s="1">
        <v>0.45007313999999998</v>
      </c>
      <c r="BQ193" s="1">
        <v>6.9606796500000003</v>
      </c>
      <c r="BR193" s="1">
        <v>0.19481762999999999</v>
      </c>
      <c r="BS193" s="1" t="s">
        <v>169</v>
      </c>
      <c r="BT193" s="1" t="s">
        <v>169</v>
      </c>
      <c r="BU193" s="1">
        <v>26356083.120000001</v>
      </c>
      <c r="BV193" s="1">
        <v>0</v>
      </c>
      <c r="BW193" s="1">
        <v>94.8</v>
      </c>
      <c r="BX193" s="1">
        <v>0.04</v>
      </c>
      <c r="BY193" s="1" t="s">
        <v>170</v>
      </c>
      <c r="BZ193" s="1">
        <v>-78038.69</v>
      </c>
      <c r="CA193" s="1" t="s">
        <v>250</v>
      </c>
      <c r="CB193" s="1" t="s">
        <v>251</v>
      </c>
      <c r="CC193" s="1">
        <v>-242241.2</v>
      </c>
      <c r="CD193" s="1">
        <v>-242241.2</v>
      </c>
      <c r="CE193" s="1">
        <v>257953.33</v>
      </c>
      <c r="CF193" s="1">
        <v>257953.33</v>
      </c>
      <c r="CG193" s="1">
        <v>0</v>
      </c>
      <c r="CH193" s="1">
        <v>1.4438757900000001</v>
      </c>
      <c r="CI193" s="1">
        <v>13.27863496</v>
      </c>
      <c r="CJ193" s="1">
        <v>17588381.91</v>
      </c>
      <c r="CK193" s="1">
        <v>1912503.72</v>
      </c>
      <c r="CL193" s="1">
        <v>6269233.6699999999</v>
      </c>
      <c r="CM193" s="1" t="s">
        <v>164</v>
      </c>
      <c r="CN193" s="1" t="s">
        <v>164</v>
      </c>
      <c r="CO193" s="1" t="s">
        <v>184</v>
      </c>
      <c r="CP193" s="1" t="s">
        <v>243</v>
      </c>
      <c r="CQ193" s="3" t="s">
        <v>252</v>
      </c>
      <c r="CR193" s="1">
        <v>0</v>
      </c>
      <c r="CS193" s="1" t="s">
        <v>243</v>
      </c>
      <c r="CT193" s="1">
        <v>0.20874472999999999</v>
      </c>
      <c r="CU193" s="1"/>
      <c r="CV193" s="1">
        <v>0</v>
      </c>
      <c r="CW193" s="1">
        <v>-219173.26</v>
      </c>
      <c r="CY193" s="1"/>
      <c r="DA193" s="1">
        <v>1355558.46</v>
      </c>
      <c r="DB193" s="1">
        <v>0</v>
      </c>
      <c r="DC193" s="1">
        <v>2520.3126550000002</v>
      </c>
      <c r="DD193" s="1">
        <v>52555.483399999997</v>
      </c>
      <c r="DE193" s="1">
        <v>-296353.43</v>
      </c>
      <c r="DF193" s="1">
        <v>92570020.519999996</v>
      </c>
      <c r="DG193" s="1">
        <v>94.8</v>
      </c>
      <c r="DH193" s="1">
        <v>394770.09</v>
      </c>
      <c r="DI193" s="1">
        <v>0.29803809999999997</v>
      </c>
      <c r="DK193" s="1">
        <v>0</v>
      </c>
      <c r="DL193" s="1">
        <v>0</v>
      </c>
      <c r="DM193" s="1">
        <v>-296353.43</v>
      </c>
      <c r="DN193" s="1">
        <v>0</v>
      </c>
      <c r="DO193" s="1">
        <v>0</v>
      </c>
      <c r="DP193" s="1">
        <v>16777215</v>
      </c>
      <c r="DQ193" s="1">
        <v>0</v>
      </c>
      <c r="DR193" s="1">
        <v>0</v>
      </c>
      <c r="DS193" s="1">
        <v>0</v>
      </c>
      <c r="DT193" s="1">
        <v>0</v>
      </c>
      <c r="DU193" s="1">
        <v>0</v>
      </c>
      <c r="DV193" s="1">
        <v>258048.13</v>
      </c>
      <c r="DW193" s="1">
        <v>258048.13</v>
      </c>
      <c r="DX193" s="1">
        <v>31345322.399999999</v>
      </c>
      <c r="DY193" s="1">
        <v>-1110160.2399999984</v>
      </c>
      <c r="DZ193" s="1">
        <v>92570020.519999966</v>
      </c>
      <c r="EA193" s="1">
        <v>0</v>
      </c>
      <c r="EB193" s="1">
        <v>0</v>
      </c>
      <c r="EC193" s="1" t="s">
        <v>176</v>
      </c>
      <c r="EE193" s="1">
        <v>0</v>
      </c>
      <c r="EF193" s="1">
        <v>3</v>
      </c>
      <c r="EG193" s="1">
        <v>0</v>
      </c>
      <c r="EH193" s="3">
        <v>0.27875993999999998</v>
      </c>
      <c r="EI193" s="1">
        <v>0</v>
      </c>
      <c r="EL193" s="1">
        <v>0</v>
      </c>
      <c r="EM193" s="1">
        <v>0</v>
      </c>
      <c r="EN193" s="1">
        <v>1633661.45</v>
      </c>
      <c r="EO193" s="1">
        <v>1.2333592799999999</v>
      </c>
      <c r="ER193" s="1">
        <v>51.607472222222</v>
      </c>
      <c r="ES193" s="1">
        <v>1</v>
      </c>
      <c r="ET193" s="3">
        <v>30.842423114999999</v>
      </c>
      <c r="EU193" s="3">
        <v>2.8960906240000002</v>
      </c>
      <c r="EV193" s="3">
        <v>1.294908573426</v>
      </c>
      <c r="EW193" s="3">
        <v>3.1808219179999999</v>
      </c>
      <c r="EX193" s="3">
        <v>8.8563903999999999E-2</v>
      </c>
      <c r="EY193" s="3">
        <v>30</v>
      </c>
      <c r="EZ193" s="3">
        <v>1161</v>
      </c>
      <c r="FA193" s="1">
        <v>0</v>
      </c>
      <c r="FB193" s="1">
        <v>0</v>
      </c>
      <c r="FC193" s="3">
        <v>4.4465989090000004</v>
      </c>
      <c r="FD193" s="1">
        <v>0</v>
      </c>
      <c r="FE193" s="1">
        <v>0</v>
      </c>
    </row>
    <row r="194" spans="1:161" x14ac:dyDescent="0.3">
      <c r="A194" s="1">
        <v>16975601</v>
      </c>
      <c r="B194" s="1">
        <v>128</v>
      </c>
      <c r="C194" s="1">
        <v>7081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200</v>
      </c>
      <c r="J194" s="3">
        <v>200</v>
      </c>
      <c r="K194" s="1">
        <v>200000</v>
      </c>
      <c r="L194" s="1">
        <v>200000</v>
      </c>
      <c r="M194" s="1">
        <v>200000</v>
      </c>
      <c r="N194" s="3">
        <v>200000</v>
      </c>
      <c r="O194" s="1">
        <v>207424</v>
      </c>
      <c r="P194" s="1">
        <v>207424</v>
      </c>
      <c r="Q194" s="1">
        <v>207424</v>
      </c>
      <c r="R194" s="1">
        <v>207424</v>
      </c>
      <c r="S194" s="1">
        <v>200000</v>
      </c>
      <c r="T194" s="1">
        <v>200000</v>
      </c>
      <c r="U194" s="1">
        <v>200000</v>
      </c>
      <c r="V194" s="1">
        <v>200000</v>
      </c>
      <c r="W194" s="1">
        <v>0</v>
      </c>
      <c r="X194" s="1">
        <v>0</v>
      </c>
      <c r="Y194" s="1">
        <v>0</v>
      </c>
      <c r="Z194" s="1">
        <v>0</v>
      </c>
      <c r="AA194" s="1">
        <v>-4104.5200000000004</v>
      </c>
      <c r="AB194" s="1">
        <v>-4104.5200000000004</v>
      </c>
      <c r="AC194" s="1">
        <v>-4104.5200000000004</v>
      </c>
      <c r="AD194" s="1">
        <v>-4104.5200000000004</v>
      </c>
      <c r="AE194" s="3" t="s">
        <v>465</v>
      </c>
      <c r="AF194" s="3" t="s">
        <v>161</v>
      </c>
      <c r="AG194" s="1" t="s">
        <v>970</v>
      </c>
      <c r="AH194" s="3" t="s">
        <v>466</v>
      </c>
      <c r="AI194" s="1">
        <v>4</v>
      </c>
      <c r="AJ194" s="3" t="s">
        <v>165</v>
      </c>
      <c r="AK194" s="1" t="s">
        <v>191</v>
      </c>
      <c r="AL194" s="3">
        <v>97.558094452039995</v>
      </c>
      <c r="AM194" s="3">
        <v>97.555479452054996</v>
      </c>
      <c r="AN194" s="3">
        <v>195110.96</v>
      </c>
      <c r="AO194" s="3">
        <v>195110.96</v>
      </c>
      <c r="AP194" s="1" t="s">
        <v>164</v>
      </c>
      <c r="AQ194" s="1">
        <v>4</v>
      </c>
      <c r="AR194" s="1" t="s">
        <v>165</v>
      </c>
      <c r="AS194" s="3">
        <v>132534288.59999999</v>
      </c>
      <c r="AT194" s="1" t="s">
        <v>176</v>
      </c>
      <c r="AU194" s="1">
        <v>1</v>
      </c>
      <c r="AV194" s="1">
        <v>1</v>
      </c>
      <c r="AW194" s="3" t="s">
        <v>210</v>
      </c>
      <c r="AX194" s="3" t="s">
        <v>457</v>
      </c>
      <c r="AY194" s="1">
        <v>0</v>
      </c>
      <c r="BA194" s="3">
        <v>8205251.6799999997</v>
      </c>
      <c r="BB194" s="1">
        <v>1</v>
      </c>
      <c r="BD194" s="1" t="s">
        <v>971</v>
      </c>
      <c r="BE194" s="1">
        <v>1</v>
      </c>
      <c r="BF194" s="1">
        <v>1</v>
      </c>
      <c r="BG194" s="1" t="s">
        <v>168</v>
      </c>
      <c r="BH194" s="1">
        <v>0</v>
      </c>
      <c r="BI194" s="1">
        <v>31345322.399999999</v>
      </c>
      <c r="BJ194" s="1">
        <v>0</v>
      </c>
      <c r="BK194" s="1">
        <v>123618989.48999999</v>
      </c>
      <c r="BL194" s="1">
        <v>132456249.91</v>
      </c>
      <c r="BM194" s="1">
        <v>596150.00000000012</v>
      </c>
      <c r="BN194" s="1">
        <v>9219855.2300000004</v>
      </c>
      <c r="BO194" s="1">
        <v>23.664660909999998</v>
      </c>
      <c r="BP194" s="1">
        <v>0.45007313999999998</v>
      </c>
      <c r="BQ194" s="1">
        <v>6.9606796500000003</v>
      </c>
      <c r="BR194" s="1">
        <v>0.14730219</v>
      </c>
      <c r="BS194" s="1" t="s">
        <v>169</v>
      </c>
      <c r="BT194" s="1" t="s">
        <v>169</v>
      </c>
      <c r="BU194" s="1">
        <v>26356083.120000001</v>
      </c>
      <c r="BV194" s="1">
        <v>0</v>
      </c>
      <c r="BW194" s="1">
        <v>-5.23</v>
      </c>
      <c r="BX194" s="1">
        <v>0</v>
      </c>
      <c r="BY194" s="1" t="s">
        <v>170</v>
      </c>
      <c r="BZ194" s="1">
        <v>-78038.69</v>
      </c>
      <c r="CA194" s="1" t="s">
        <v>250</v>
      </c>
      <c r="CB194" s="1" t="s">
        <v>251</v>
      </c>
      <c r="CC194" s="1">
        <v>-8203.2900000000009</v>
      </c>
      <c r="CD194" s="1">
        <v>-8203.2900000000009</v>
      </c>
      <c r="CE194" s="1">
        <v>195116.19</v>
      </c>
      <c r="CF194" s="1">
        <v>195116.19</v>
      </c>
      <c r="CG194" s="1">
        <v>0</v>
      </c>
      <c r="CH194" s="1">
        <v>1.4438757900000001</v>
      </c>
      <c r="CI194" s="1">
        <v>13.27863496</v>
      </c>
      <c r="CJ194" s="1">
        <v>17588381.91</v>
      </c>
      <c r="CK194" s="1">
        <v>1912503.72</v>
      </c>
      <c r="CL194" s="1">
        <v>6269233.6699999999</v>
      </c>
      <c r="CM194" s="1" t="s">
        <v>164</v>
      </c>
      <c r="CN194" s="1" t="s">
        <v>164</v>
      </c>
      <c r="CO194" s="1" t="s">
        <v>184</v>
      </c>
      <c r="CP194" s="1" t="s">
        <v>243</v>
      </c>
      <c r="CQ194" s="3" t="s">
        <v>252</v>
      </c>
      <c r="CR194" s="1">
        <v>0</v>
      </c>
      <c r="CS194" s="1" t="s">
        <v>243</v>
      </c>
      <c r="CT194" s="1">
        <v>0.15783251000000001</v>
      </c>
      <c r="CV194" s="1">
        <v>0</v>
      </c>
      <c r="CW194" s="1">
        <v>-219173.26</v>
      </c>
      <c r="DA194" s="1">
        <v>1355558.46</v>
      </c>
      <c r="DB194" s="1">
        <v>0</v>
      </c>
      <c r="DC194" s="1">
        <v>2520.3126550000002</v>
      </c>
      <c r="DD194" s="1">
        <v>52555.483399999997</v>
      </c>
      <c r="DE194" s="1">
        <v>-296353.43</v>
      </c>
      <c r="DF194" s="1">
        <v>92570020.519999996</v>
      </c>
      <c r="DG194" s="1">
        <v>-5.23</v>
      </c>
      <c r="DH194" s="1">
        <v>394770.09</v>
      </c>
      <c r="DI194" s="1">
        <v>0.29803809999999997</v>
      </c>
      <c r="DK194" s="1">
        <v>0</v>
      </c>
      <c r="DL194" s="1">
        <v>0</v>
      </c>
      <c r="DM194" s="1">
        <v>-296353.43</v>
      </c>
      <c r="DN194" s="1">
        <v>0</v>
      </c>
      <c r="DO194" s="1">
        <v>0</v>
      </c>
      <c r="DP194" s="1">
        <v>16777215</v>
      </c>
      <c r="DQ194" s="1">
        <v>0</v>
      </c>
      <c r="DR194" s="1">
        <v>0</v>
      </c>
      <c r="DS194" s="1">
        <v>0</v>
      </c>
      <c r="DT194" s="1">
        <v>0</v>
      </c>
      <c r="DU194" s="1">
        <v>0</v>
      </c>
      <c r="DV194" s="1">
        <v>195110.96</v>
      </c>
      <c r="DW194" s="1">
        <v>195110.96</v>
      </c>
      <c r="DX194" s="1">
        <v>31345322.399999999</v>
      </c>
      <c r="DY194" s="1">
        <v>-1110160.2399999984</v>
      </c>
      <c r="DZ194" s="1">
        <v>92570020.519999966</v>
      </c>
      <c r="EA194" s="1">
        <v>0</v>
      </c>
      <c r="EB194" s="1">
        <v>0</v>
      </c>
      <c r="EC194" s="1" t="s">
        <v>176</v>
      </c>
      <c r="EE194" s="1">
        <v>0</v>
      </c>
      <c r="EF194" s="1">
        <v>3</v>
      </c>
      <c r="EG194" s="1">
        <v>0</v>
      </c>
      <c r="EH194" s="3">
        <v>0.21077122000000001</v>
      </c>
      <c r="EI194" s="1">
        <v>0</v>
      </c>
      <c r="EL194" s="1">
        <v>0</v>
      </c>
      <c r="EM194" s="1">
        <v>0</v>
      </c>
      <c r="EN194" s="1">
        <v>1633661.45</v>
      </c>
      <c r="EO194" s="1">
        <v>1.2333592799999999</v>
      </c>
      <c r="ER194" s="1">
        <v>97.565684931505999</v>
      </c>
      <c r="ES194" s="1">
        <v>1</v>
      </c>
      <c r="ET194" s="3">
        <v>6.4409274410000004</v>
      </c>
      <c r="EU194" s="3">
        <v>0.87740821199999997</v>
      </c>
      <c r="EV194" s="3">
        <v>0.80424828304600005</v>
      </c>
      <c r="EW194" s="3">
        <v>0.89315068500000006</v>
      </c>
      <c r="EX194" s="3">
        <v>1.4625577000000001E-2</v>
      </c>
      <c r="EY194" s="3">
        <v>10</v>
      </c>
      <c r="EZ194" s="3">
        <v>326</v>
      </c>
      <c r="FA194" s="1">
        <v>0</v>
      </c>
      <c r="FB194" s="1">
        <v>0</v>
      </c>
      <c r="FC194" s="3">
        <v>-0.71555381399999995</v>
      </c>
      <c r="FD194" s="1">
        <v>0</v>
      </c>
      <c r="FE194" s="1">
        <v>0</v>
      </c>
    </row>
    <row r="195" spans="1:161" x14ac:dyDescent="0.3">
      <c r="A195" s="1">
        <v>16975398</v>
      </c>
      <c r="B195" s="1">
        <v>128</v>
      </c>
      <c r="C195" s="1">
        <v>9885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1</v>
      </c>
      <c r="J195" s="3">
        <v>1</v>
      </c>
      <c r="K195" s="1">
        <v>100000</v>
      </c>
      <c r="L195" s="1">
        <v>100000</v>
      </c>
      <c r="M195" s="1">
        <v>100000</v>
      </c>
      <c r="N195" s="3">
        <v>100000</v>
      </c>
      <c r="O195" s="1">
        <v>98270</v>
      </c>
      <c r="P195" s="1">
        <v>98270</v>
      </c>
      <c r="Q195" s="1">
        <v>98270</v>
      </c>
      <c r="R195" s="1">
        <v>98270</v>
      </c>
      <c r="S195" s="1">
        <v>100000</v>
      </c>
      <c r="T195" s="1">
        <v>100000</v>
      </c>
      <c r="U195" s="1">
        <v>100000</v>
      </c>
      <c r="V195" s="1">
        <v>100000</v>
      </c>
      <c r="W195" s="1">
        <v>0</v>
      </c>
      <c r="X195" s="1">
        <v>0</v>
      </c>
      <c r="Y195" s="1">
        <v>0</v>
      </c>
      <c r="Z195" s="1">
        <v>0</v>
      </c>
      <c r="AA195" s="1">
        <v>3087.19</v>
      </c>
      <c r="AB195" s="1">
        <v>3087.19</v>
      </c>
      <c r="AC195" s="1">
        <v>3087.19</v>
      </c>
      <c r="AD195" s="1">
        <v>3087.19</v>
      </c>
      <c r="AE195" s="3" t="s">
        <v>467</v>
      </c>
      <c r="AF195" s="3" t="s">
        <v>161</v>
      </c>
      <c r="AG195" s="1" t="s">
        <v>970</v>
      </c>
      <c r="AH195" s="3" t="s">
        <v>468</v>
      </c>
      <c r="AI195" s="1">
        <v>4</v>
      </c>
      <c r="AJ195" s="3" t="s">
        <v>165</v>
      </c>
      <c r="AK195" s="1" t="s">
        <v>191</v>
      </c>
      <c r="AL195" s="3">
        <v>46.702287408952998</v>
      </c>
      <c r="AM195" s="3">
        <v>46.913027397260997</v>
      </c>
      <c r="AN195" s="3">
        <v>46913.03</v>
      </c>
      <c r="AO195" s="3">
        <v>46913.03</v>
      </c>
      <c r="AP195" s="1" t="s">
        <v>164</v>
      </c>
      <c r="AQ195" s="1">
        <v>4</v>
      </c>
      <c r="AR195" s="1" t="s">
        <v>165</v>
      </c>
      <c r="AS195" s="3">
        <v>132534288.59999999</v>
      </c>
      <c r="AT195" s="1" t="s">
        <v>176</v>
      </c>
      <c r="AU195" s="1">
        <v>1</v>
      </c>
      <c r="AV195" s="1">
        <v>1</v>
      </c>
      <c r="AW195" s="3" t="s">
        <v>210</v>
      </c>
      <c r="AX195" s="3" t="s">
        <v>457</v>
      </c>
      <c r="AY195" s="1">
        <v>0</v>
      </c>
      <c r="BA195" s="3">
        <v>8205251.6799999997</v>
      </c>
      <c r="BB195" s="1">
        <v>1</v>
      </c>
      <c r="BD195" s="1" t="s">
        <v>971</v>
      </c>
      <c r="BE195" s="1">
        <v>1</v>
      </c>
      <c r="BF195" s="1">
        <v>1</v>
      </c>
      <c r="BG195" s="1" t="s">
        <v>168</v>
      </c>
      <c r="BH195" s="1">
        <v>0</v>
      </c>
      <c r="BI195" s="1">
        <v>31345322.399999999</v>
      </c>
      <c r="BJ195" s="1">
        <v>0</v>
      </c>
      <c r="BK195" s="1">
        <v>123618989.48999999</v>
      </c>
      <c r="BL195" s="1">
        <v>132456249.91</v>
      </c>
      <c r="BM195" s="1">
        <v>596150.00000000012</v>
      </c>
      <c r="BN195" s="1">
        <v>9219855.2300000004</v>
      </c>
      <c r="BO195" s="1">
        <v>23.664660909999998</v>
      </c>
      <c r="BP195" s="1">
        <v>0.45007313999999998</v>
      </c>
      <c r="BQ195" s="1">
        <v>6.9606796500000003</v>
      </c>
      <c r="BR195" s="1">
        <v>3.5417749999999998E-2</v>
      </c>
      <c r="BS195" s="1" t="s">
        <v>169</v>
      </c>
      <c r="BT195" s="1" t="s">
        <v>169</v>
      </c>
      <c r="BU195" s="1">
        <v>26356083.120000001</v>
      </c>
      <c r="BV195" s="1">
        <v>0</v>
      </c>
      <c r="BW195" s="1">
        <v>210.74</v>
      </c>
      <c r="BX195" s="1">
        <v>0.45</v>
      </c>
      <c r="BY195" s="1" t="s">
        <v>170</v>
      </c>
      <c r="BZ195" s="1">
        <v>-78038.69</v>
      </c>
      <c r="CA195" s="1" t="s">
        <v>250</v>
      </c>
      <c r="CB195" s="1" t="s">
        <v>251</v>
      </c>
      <c r="CC195" s="1">
        <v>-54654.9</v>
      </c>
      <c r="CD195" s="1">
        <v>-54654.9</v>
      </c>
      <c r="CE195" s="1">
        <v>46702.29</v>
      </c>
      <c r="CF195" s="1">
        <v>46702.29</v>
      </c>
      <c r="CG195" s="1">
        <v>0</v>
      </c>
      <c r="CH195" s="1">
        <v>1.4438757900000001</v>
      </c>
      <c r="CI195" s="1">
        <v>13.27863496</v>
      </c>
      <c r="CJ195" s="1">
        <v>17588381.91</v>
      </c>
      <c r="CK195" s="1">
        <v>1912503.72</v>
      </c>
      <c r="CL195" s="1">
        <v>6269233.6699999999</v>
      </c>
      <c r="CM195" s="1" t="s">
        <v>164</v>
      </c>
      <c r="CN195" s="1" t="s">
        <v>164</v>
      </c>
      <c r="CO195" s="1" t="s">
        <v>184</v>
      </c>
      <c r="CP195" s="1" t="s">
        <v>243</v>
      </c>
      <c r="CQ195" s="3" t="s">
        <v>252</v>
      </c>
      <c r="CR195" s="1">
        <v>0</v>
      </c>
      <c r="CS195" s="1" t="s">
        <v>243</v>
      </c>
      <c r="CT195" s="1">
        <v>3.7949700000000003E-2</v>
      </c>
      <c r="CV195" s="1">
        <v>0</v>
      </c>
      <c r="CW195" s="1">
        <v>-219173.26</v>
      </c>
      <c r="DA195" s="1">
        <v>1355558.46</v>
      </c>
      <c r="DB195" s="1">
        <v>0</v>
      </c>
      <c r="DC195" s="1">
        <v>2520.3126550000002</v>
      </c>
      <c r="DD195" s="1">
        <v>52555.483399999997</v>
      </c>
      <c r="DE195" s="1">
        <v>-296353.43</v>
      </c>
      <c r="DF195" s="1">
        <v>92570020.519999996</v>
      </c>
      <c r="DG195" s="1">
        <v>210.74</v>
      </c>
      <c r="DH195" s="1">
        <v>394770.09</v>
      </c>
      <c r="DI195" s="1">
        <v>0.29803809999999997</v>
      </c>
      <c r="DK195" s="1">
        <v>0</v>
      </c>
      <c r="DL195" s="1">
        <v>0</v>
      </c>
      <c r="DM195" s="1">
        <v>-296353.43</v>
      </c>
      <c r="DN195" s="1">
        <v>0</v>
      </c>
      <c r="DO195" s="1">
        <v>0</v>
      </c>
      <c r="DP195" s="1">
        <v>16777215</v>
      </c>
      <c r="DQ195" s="1">
        <v>0</v>
      </c>
      <c r="DR195" s="1">
        <v>0</v>
      </c>
      <c r="DS195" s="1">
        <v>0</v>
      </c>
      <c r="DT195" s="1">
        <v>0</v>
      </c>
      <c r="DU195" s="1">
        <v>0</v>
      </c>
      <c r="DV195" s="1">
        <v>46913.03</v>
      </c>
      <c r="DW195" s="1">
        <v>46913.03</v>
      </c>
      <c r="DX195" s="1">
        <v>31345322.399999999</v>
      </c>
      <c r="DY195" s="1">
        <v>-1110160.2399999984</v>
      </c>
      <c r="DZ195" s="1">
        <v>92570020.519999966</v>
      </c>
      <c r="EA195" s="1">
        <v>0</v>
      </c>
      <c r="EB195" s="1">
        <v>0</v>
      </c>
      <c r="EC195" s="1" t="s">
        <v>176</v>
      </c>
      <c r="EE195" s="1">
        <v>0</v>
      </c>
      <c r="EF195" s="1">
        <v>3</v>
      </c>
      <c r="EG195" s="1">
        <v>0</v>
      </c>
      <c r="EH195" s="3">
        <v>5.0678429999999997E-2</v>
      </c>
      <c r="EI195" s="1">
        <v>0</v>
      </c>
      <c r="EL195" s="1">
        <v>0</v>
      </c>
      <c r="EM195" s="1">
        <v>0</v>
      </c>
      <c r="EN195" s="1">
        <v>1633661.45</v>
      </c>
      <c r="EO195" s="1">
        <v>1.2333592799999999</v>
      </c>
      <c r="ER195" s="1">
        <v>46.985780821916002</v>
      </c>
      <c r="ES195" s="1">
        <v>1</v>
      </c>
      <c r="ET195" s="3">
        <v>136.92608516999999</v>
      </c>
      <c r="EU195" s="3">
        <v>0.93098309999999995</v>
      </c>
      <c r="EV195" s="3">
        <v>0.18462706562699999</v>
      </c>
      <c r="EW195" s="3">
        <v>1.22739726</v>
      </c>
      <c r="EX195" s="3">
        <v>3.2584409999999999E-3</v>
      </c>
      <c r="EY195" s="3">
        <v>5</v>
      </c>
      <c r="EZ195" s="3">
        <v>448</v>
      </c>
      <c r="FA195" s="1">
        <v>0</v>
      </c>
      <c r="FB195" s="1">
        <v>0</v>
      </c>
      <c r="FC195" s="3">
        <v>8.1938827029999999</v>
      </c>
      <c r="FD195" s="1">
        <v>0</v>
      </c>
      <c r="FE195" s="1">
        <v>0</v>
      </c>
    </row>
    <row r="196" spans="1:161" x14ac:dyDescent="0.3">
      <c r="A196" s="1">
        <v>16975487</v>
      </c>
      <c r="B196" s="1">
        <v>128</v>
      </c>
      <c r="C196" s="1">
        <v>7183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600</v>
      </c>
      <c r="J196" s="3">
        <v>600</v>
      </c>
      <c r="K196" s="1">
        <v>600000</v>
      </c>
      <c r="L196" s="1">
        <v>600000</v>
      </c>
      <c r="M196" s="1">
        <v>600000</v>
      </c>
      <c r="N196" s="3">
        <v>600000</v>
      </c>
      <c r="O196" s="1">
        <v>593988</v>
      </c>
      <c r="P196" s="1">
        <v>593988</v>
      </c>
      <c r="Q196" s="1">
        <v>593988</v>
      </c>
      <c r="R196" s="1">
        <v>593988</v>
      </c>
      <c r="S196" s="1">
        <v>600000</v>
      </c>
      <c r="T196" s="1">
        <v>600000</v>
      </c>
      <c r="U196" s="1">
        <v>600000</v>
      </c>
      <c r="V196" s="1">
        <v>600000</v>
      </c>
      <c r="W196" s="1">
        <v>0</v>
      </c>
      <c r="X196" s="1">
        <v>0</v>
      </c>
      <c r="Y196" s="1">
        <v>0</v>
      </c>
      <c r="Z196" s="1">
        <v>0</v>
      </c>
      <c r="AA196" s="1">
        <v>9596.5300000000007</v>
      </c>
      <c r="AB196" s="1">
        <v>9596.5300000000007</v>
      </c>
      <c r="AC196" s="1">
        <v>9596.5300000000007</v>
      </c>
      <c r="AD196" s="1">
        <v>9596.5300000000007</v>
      </c>
      <c r="AE196" s="3" t="s">
        <v>469</v>
      </c>
      <c r="AF196" s="3" t="s">
        <v>161</v>
      </c>
      <c r="AG196" s="1" t="s">
        <v>970</v>
      </c>
      <c r="AH196" s="3" t="s">
        <v>470</v>
      </c>
      <c r="AI196" s="1">
        <v>4</v>
      </c>
      <c r="AJ196" s="3" t="s">
        <v>165</v>
      </c>
      <c r="AK196" s="1" t="s">
        <v>191</v>
      </c>
      <c r="AL196" s="3">
        <v>90.721766415312004</v>
      </c>
      <c r="AM196" s="3">
        <v>90.644678082192002</v>
      </c>
      <c r="AN196" s="3">
        <v>543868.06999999995</v>
      </c>
      <c r="AO196" s="3">
        <v>543868.06999999995</v>
      </c>
      <c r="AP196" s="1" t="s">
        <v>164</v>
      </c>
      <c r="AQ196" s="1">
        <v>4</v>
      </c>
      <c r="AR196" s="1" t="s">
        <v>165</v>
      </c>
      <c r="AS196" s="3">
        <v>132534288.59999999</v>
      </c>
      <c r="AT196" s="1" t="s">
        <v>176</v>
      </c>
      <c r="AU196" s="1">
        <v>1</v>
      </c>
      <c r="AV196" s="1">
        <v>1</v>
      </c>
      <c r="AW196" s="3" t="s">
        <v>210</v>
      </c>
      <c r="AX196" s="3" t="s">
        <v>457</v>
      </c>
      <c r="AY196" s="1">
        <v>0</v>
      </c>
      <c r="BA196" s="3">
        <v>8205251.6799999997</v>
      </c>
      <c r="BB196" s="1">
        <v>1</v>
      </c>
      <c r="BD196" s="1" t="s">
        <v>971</v>
      </c>
      <c r="BE196" s="1">
        <v>1</v>
      </c>
      <c r="BF196" s="1">
        <v>1</v>
      </c>
      <c r="BG196" s="1" t="s">
        <v>168</v>
      </c>
      <c r="BH196" s="1">
        <v>0</v>
      </c>
      <c r="BI196" s="1">
        <v>31345322.399999999</v>
      </c>
      <c r="BJ196" s="1">
        <v>0</v>
      </c>
      <c r="BK196" s="1">
        <v>123618989.48999999</v>
      </c>
      <c r="BL196" s="1">
        <v>132456249.91</v>
      </c>
      <c r="BM196" s="1">
        <v>596150.00000000012</v>
      </c>
      <c r="BN196" s="1">
        <v>9219855.2300000004</v>
      </c>
      <c r="BO196" s="1">
        <v>23.664660909999998</v>
      </c>
      <c r="BP196" s="1">
        <v>0.45007313999999998</v>
      </c>
      <c r="BQ196" s="1">
        <v>6.9606796500000003</v>
      </c>
      <c r="BR196" s="1">
        <v>0.41060204</v>
      </c>
      <c r="BS196" s="1" t="s">
        <v>169</v>
      </c>
      <c r="BT196" s="1" t="s">
        <v>169</v>
      </c>
      <c r="BU196" s="1">
        <v>26356083.120000001</v>
      </c>
      <c r="BV196" s="1">
        <v>0</v>
      </c>
      <c r="BW196" s="1">
        <v>-462.53</v>
      </c>
      <c r="BX196" s="1">
        <v>-0.09</v>
      </c>
      <c r="BY196" s="1" t="s">
        <v>170</v>
      </c>
      <c r="BZ196" s="1">
        <v>-78038.69</v>
      </c>
      <c r="CA196" s="1" t="s">
        <v>250</v>
      </c>
      <c r="CB196" s="1" t="s">
        <v>251</v>
      </c>
      <c r="CC196" s="1">
        <v>-59253.93</v>
      </c>
      <c r="CD196" s="1">
        <v>-59253.93</v>
      </c>
      <c r="CE196" s="1">
        <v>544330.6</v>
      </c>
      <c r="CF196" s="1">
        <v>544330.6</v>
      </c>
      <c r="CG196" s="1">
        <v>0</v>
      </c>
      <c r="CH196" s="1">
        <v>1.4438757900000001</v>
      </c>
      <c r="CI196" s="1">
        <v>13.27863496</v>
      </c>
      <c r="CJ196" s="1">
        <v>17588381.91</v>
      </c>
      <c r="CK196" s="1">
        <v>1912503.72</v>
      </c>
      <c r="CL196" s="1">
        <v>6269233.6699999999</v>
      </c>
      <c r="CM196" s="1" t="s">
        <v>164</v>
      </c>
      <c r="CN196" s="1" t="s">
        <v>164</v>
      </c>
      <c r="CO196" s="1" t="s">
        <v>184</v>
      </c>
      <c r="CP196" s="1" t="s">
        <v>243</v>
      </c>
      <c r="CQ196" s="3" t="s">
        <v>252</v>
      </c>
      <c r="CR196" s="1">
        <v>0</v>
      </c>
      <c r="CS196" s="1" t="s">
        <v>243</v>
      </c>
      <c r="CT196" s="1">
        <v>0.43995511999999998</v>
      </c>
      <c r="CV196" s="1">
        <v>0</v>
      </c>
      <c r="CW196" s="1">
        <v>-219173.26</v>
      </c>
      <c r="DA196" s="1">
        <v>1355558.46</v>
      </c>
      <c r="DB196" s="1">
        <v>0</v>
      </c>
      <c r="DC196" s="1">
        <v>2520.3126550000002</v>
      </c>
      <c r="DD196" s="1">
        <v>52555.483399999997</v>
      </c>
      <c r="DE196" s="1">
        <v>-296353.43</v>
      </c>
      <c r="DF196" s="1">
        <v>92570020.519999996</v>
      </c>
      <c r="DG196" s="1">
        <v>-462.53</v>
      </c>
      <c r="DH196" s="1">
        <v>394770.09</v>
      </c>
      <c r="DI196" s="1">
        <v>0.29803809999999997</v>
      </c>
      <c r="DK196" s="1">
        <v>0</v>
      </c>
      <c r="DL196" s="1">
        <v>0</v>
      </c>
      <c r="DM196" s="1">
        <v>-296353.43</v>
      </c>
      <c r="DN196" s="1">
        <v>0</v>
      </c>
      <c r="DO196" s="1">
        <v>0</v>
      </c>
      <c r="DP196" s="1">
        <v>16777215</v>
      </c>
      <c r="DQ196" s="1">
        <v>0</v>
      </c>
      <c r="DR196" s="1">
        <v>0</v>
      </c>
      <c r="DS196" s="1">
        <v>0</v>
      </c>
      <c r="DT196" s="1">
        <v>0</v>
      </c>
      <c r="DU196" s="1">
        <v>0</v>
      </c>
      <c r="DV196" s="1">
        <v>543868.06999999995</v>
      </c>
      <c r="DW196" s="1">
        <v>543868.06999999995</v>
      </c>
      <c r="DX196" s="1">
        <v>31345322.399999999</v>
      </c>
      <c r="DY196" s="1">
        <v>-1110160.2399999984</v>
      </c>
      <c r="DZ196" s="1">
        <v>92570020.519999966</v>
      </c>
      <c r="EA196" s="1">
        <v>0</v>
      </c>
      <c r="EB196" s="1">
        <v>0</v>
      </c>
      <c r="EC196" s="1" t="s">
        <v>176</v>
      </c>
      <c r="EE196" s="1">
        <v>0</v>
      </c>
      <c r="EF196" s="1">
        <v>3</v>
      </c>
      <c r="EG196" s="1">
        <v>0</v>
      </c>
      <c r="EH196" s="3">
        <v>0.58752073999999999</v>
      </c>
      <c r="EI196" s="1">
        <v>0</v>
      </c>
      <c r="EL196" s="1">
        <v>0</v>
      </c>
      <c r="EM196" s="1">
        <v>0</v>
      </c>
      <c r="EN196" s="1">
        <v>1633661.45</v>
      </c>
      <c r="EO196" s="1">
        <v>1.2333592799999999</v>
      </c>
      <c r="ER196" s="1">
        <v>90.746041095890007</v>
      </c>
      <c r="ES196" s="1">
        <v>1</v>
      </c>
      <c r="ET196" s="3">
        <v>6.0005310720000002</v>
      </c>
      <c r="EU196" s="3">
        <v>2.899951433</v>
      </c>
      <c r="EV196" s="3">
        <v>2.482620693006</v>
      </c>
      <c r="EW196" s="3">
        <v>3.021917808</v>
      </c>
      <c r="EX196" s="3">
        <v>0.10303791900000001</v>
      </c>
      <c r="EY196" s="3">
        <v>33</v>
      </c>
      <c r="EZ196" s="3">
        <v>1103</v>
      </c>
      <c r="FA196" s="1">
        <v>0</v>
      </c>
      <c r="FB196" s="1">
        <v>0</v>
      </c>
      <c r="FC196" s="3">
        <v>2.8706234660000001</v>
      </c>
      <c r="FD196" s="1">
        <v>0</v>
      </c>
      <c r="FE196" s="1">
        <v>0</v>
      </c>
    </row>
    <row r="197" spans="1:161" x14ac:dyDescent="0.3">
      <c r="A197" s="1">
        <v>16975545</v>
      </c>
      <c r="B197" s="1">
        <v>128</v>
      </c>
      <c r="C197" s="1">
        <v>8349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1000</v>
      </c>
      <c r="J197" s="3">
        <v>1000</v>
      </c>
      <c r="K197" s="1">
        <v>1000000</v>
      </c>
      <c r="L197" s="1">
        <v>1000000</v>
      </c>
      <c r="M197" s="1">
        <v>1000000</v>
      </c>
      <c r="N197" s="3">
        <v>1000000</v>
      </c>
      <c r="O197" s="1">
        <v>944701</v>
      </c>
      <c r="P197" s="1">
        <v>944701</v>
      </c>
      <c r="Q197" s="1">
        <v>944701</v>
      </c>
      <c r="R197" s="1">
        <v>944701</v>
      </c>
      <c r="S197" s="1">
        <v>1000000</v>
      </c>
      <c r="T197" s="1">
        <v>1000000</v>
      </c>
      <c r="U197" s="1">
        <v>1000000</v>
      </c>
      <c r="V197" s="1">
        <v>1000000</v>
      </c>
      <c r="W197" s="1">
        <v>0</v>
      </c>
      <c r="X197" s="1">
        <v>0</v>
      </c>
      <c r="Y197" s="1">
        <v>0</v>
      </c>
      <c r="Z197" s="1">
        <v>0</v>
      </c>
      <c r="AA197" s="1">
        <v>47331.72</v>
      </c>
      <c r="AB197" s="1">
        <v>47331.72</v>
      </c>
      <c r="AC197" s="1">
        <v>47331.72</v>
      </c>
      <c r="AD197" s="1">
        <v>47331.72</v>
      </c>
      <c r="AE197" s="3" t="s">
        <v>471</v>
      </c>
      <c r="AF197" s="3" t="s">
        <v>161</v>
      </c>
      <c r="AG197" s="1" t="s">
        <v>970</v>
      </c>
      <c r="AH197" s="4" t="s">
        <v>472</v>
      </c>
      <c r="AI197" s="1">
        <v>4</v>
      </c>
      <c r="AJ197" s="3" t="s">
        <v>165</v>
      </c>
      <c r="AK197" s="1" t="s">
        <v>191</v>
      </c>
      <c r="AL197" s="3">
        <v>39.513259766845998</v>
      </c>
      <c r="AM197" s="3">
        <v>39.465828767125998</v>
      </c>
      <c r="AN197" s="3">
        <v>394658.29</v>
      </c>
      <c r="AO197" s="3">
        <v>394658.29</v>
      </c>
      <c r="AP197" s="1" t="s">
        <v>164</v>
      </c>
      <c r="AQ197" s="1">
        <v>4</v>
      </c>
      <c r="AR197" s="1" t="s">
        <v>165</v>
      </c>
      <c r="AS197" s="3">
        <v>132534288.59999999</v>
      </c>
      <c r="AT197" s="1" t="s">
        <v>176</v>
      </c>
      <c r="AU197" s="1">
        <v>1</v>
      </c>
      <c r="AV197" s="1">
        <v>1</v>
      </c>
      <c r="AW197" s="3" t="s">
        <v>210</v>
      </c>
      <c r="AX197" s="3" t="s">
        <v>457</v>
      </c>
      <c r="AY197" s="1">
        <v>0</v>
      </c>
      <c r="BA197" s="3">
        <v>8205251.6799999997</v>
      </c>
      <c r="BB197" s="1">
        <v>1</v>
      </c>
      <c r="BD197" s="1" t="s">
        <v>971</v>
      </c>
      <c r="BE197" s="1">
        <v>1</v>
      </c>
      <c r="BF197" s="1">
        <v>1</v>
      </c>
      <c r="BG197" s="1" t="s">
        <v>168</v>
      </c>
      <c r="BH197" s="1">
        <v>0</v>
      </c>
      <c r="BI197" s="1">
        <v>31345322.399999999</v>
      </c>
      <c r="BJ197" s="1">
        <v>0</v>
      </c>
      <c r="BK197" s="1">
        <v>123618989.48999999</v>
      </c>
      <c r="BL197" s="1">
        <v>132456249.91</v>
      </c>
      <c r="BM197" s="1">
        <v>596150.00000000012</v>
      </c>
      <c r="BN197" s="1">
        <v>9219855.2300000004</v>
      </c>
      <c r="BO197" s="1">
        <v>23.664660909999998</v>
      </c>
      <c r="BP197" s="1">
        <v>0.45007313999999998</v>
      </c>
      <c r="BQ197" s="1">
        <v>6.9606796500000003</v>
      </c>
      <c r="BR197" s="1">
        <v>0.29795368999999999</v>
      </c>
      <c r="BS197" s="1" t="s">
        <v>169</v>
      </c>
      <c r="BT197" s="1" t="s">
        <v>169</v>
      </c>
      <c r="BU197" s="1">
        <v>26356083.120000001</v>
      </c>
      <c r="BV197" s="1">
        <v>0</v>
      </c>
      <c r="BW197" s="1">
        <v>-474.31</v>
      </c>
      <c r="BX197" s="1">
        <v>-0.13</v>
      </c>
      <c r="BY197" s="1" t="s">
        <v>170</v>
      </c>
      <c r="BZ197" s="1">
        <v>-78038.69</v>
      </c>
      <c r="CA197" s="1" t="s">
        <v>250</v>
      </c>
      <c r="CB197" s="1" t="s">
        <v>251</v>
      </c>
      <c r="CC197" s="1">
        <v>-596900.12</v>
      </c>
      <c r="CD197" s="1">
        <v>-596900.12</v>
      </c>
      <c r="CE197" s="1">
        <v>395132.6</v>
      </c>
      <c r="CF197" s="1">
        <v>395132.6</v>
      </c>
      <c r="CG197" s="1">
        <v>0</v>
      </c>
      <c r="CH197" s="1">
        <v>1.4438757900000001</v>
      </c>
      <c r="CI197" s="1">
        <v>13.27863496</v>
      </c>
      <c r="CJ197" s="1">
        <v>17588381.91</v>
      </c>
      <c r="CK197" s="1">
        <v>1912503.72</v>
      </c>
      <c r="CL197" s="1">
        <v>6269233.6699999999</v>
      </c>
      <c r="CM197" s="1" t="s">
        <v>164</v>
      </c>
      <c r="CN197" s="1" t="s">
        <v>164</v>
      </c>
      <c r="CO197" s="1" t="s">
        <v>184</v>
      </c>
      <c r="CP197" s="1" t="s">
        <v>243</v>
      </c>
      <c r="CQ197" s="3" t="s">
        <v>252</v>
      </c>
      <c r="CR197" s="1">
        <v>0</v>
      </c>
      <c r="CS197" s="1" t="s">
        <v>243</v>
      </c>
      <c r="CT197" s="1">
        <v>0.31925376999999999</v>
      </c>
      <c r="CV197" s="1">
        <v>0</v>
      </c>
      <c r="CW197" s="1">
        <v>-219173.26</v>
      </c>
      <c r="DA197" s="1">
        <v>1355558.46</v>
      </c>
      <c r="DB197" s="1">
        <v>0</v>
      </c>
      <c r="DC197" s="1">
        <v>2520.3126550000002</v>
      </c>
      <c r="DD197" s="1">
        <v>52555.483399999997</v>
      </c>
      <c r="DE197" s="1">
        <v>-296353.43</v>
      </c>
      <c r="DF197" s="1">
        <v>92570020.519999996</v>
      </c>
      <c r="DG197" s="1">
        <v>-474.31</v>
      </c>
      <c r="DH197" s="1">
        <v>394770.09</v>
      </c>
      <c r="DI197" s="1">
        <v>0.29803809999999997</v>
      </c>
      <c r="DK197" s="1">
        <v>0</v>
      </c>
      <c r="DL197" s="1">
        <v>0</v>
      </c>
      <c r="DM197" s="1">
        <v>-296353.43</v>
      </c>
      <c r="DN197" s="1">
        <v>0</v>
      </c>
      <c r="DO197" s="1">
        <v>0</v>
      </c>
      <c r="DP197" s="1">
        <v>16777215</v>
      </c>
      <c r="DQ197" s="1">
        <v>0</v>
      </c>
      <c r="DR197" s="1">
        <v>0</v>
      </c>
      <c r="DS197" s="1">
        <v>0</v>
      </c>
      <c r="DT197" s="1">
        <v>0</v>
      </c>
      <c r="DU197" s="1">
        <v>0</v>
      </c>
      <c r="DV197" s="1">
        <v>394658.29</v>
      </c>
      <c r="DW197" s="1">
        <v>394658.29</v>
      </c>
      <c r="DX197" s="1">
        <v>31345322.399999999</v>
      </c>
      <c r="DY197" s="1">
        <v>-1110160.2399999984</v>
      </c>
      <c r="DZ197" s="1">
        <v>92570020.519999966</v>
      </c>
      <c r="EA197" s="1">
        <v>0</v>
      </c>
      <c r="EB197" s="1">
        <v>0</v>
      </c>
      <c r="EC197" s="1" t="s">
        <v>176</v>
      </c>
      <c r="EE197" s="1">
        <v>0</v>
      </c>
      <c r="EF197" s="1">
        <v>3</v>
      </c>
      <c r="EG197" s="1">
        <v>0</v>
      </c>
      <c r="EH197" s="3">
        <v>0.42633488000000003</v>
      </c>
      <c r="EI197" s="1">
        <v>0</v>
      </c>
      <c r="EL197" s="1">
        <v>0</v>
      </c>
      <c r="EM197" s="1">
        <v>0</v>
      </c>
      <c r="EN197" s="1">
        <v>1633661.45</v>
      </c>
      <c r="EO197" s="1">
        <v>1.2333592799999999</v>
      </c>
      <c r="ER197" s="1">
        <v>39.638472602739</v>
      </c>
      <c r="ES197" s="1">
        <v>1</v>
      </c>
      <c r="ET197" s="3">
        <v>53.784604825999999</v>
      </c>
      <c r="EU197" s="3">
        <v>2.3856969389999998</v>
      </c>
      <c r="EV197" s="3">
        <v>0.61492099840000003</v>
      </c>
      <c r="EW197" s="3">
        <v>3.1260273970000001</v>
      </c>
      <c r="EX197" s="3">
        <v>3.7977368999999997E-2</v>
      </c>
      <c r="EY197" s="3">
        <v>19</v>
      </c>
      <c r="EZ197" s="3">
        <v>1141</v>
      </c>
      <c r="FA197" s="1">
        <v>0</v>
      </c>
      <c r="FB197" s="1">
        <v>0</v>
      </c>
      <c r="FC197" s="3">
        <v>8.8879744110000001</v>
      </c>
      <c r="FD197" s="1">
        <v>0</v>
      </c>
      <c r="FE197" s="1">
        <v>0</v>
      </c>
    </row>
    <row r="198" spans="1:161" x14ac:dyDescent="0.3">
      <c r="A198" s="1">
        <v>16975454</v>
      </c>
      <c r="B198" s="1">
        <v>128</v>
      </c>
      <c r="C198" s="1">
        <v>9076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400</v>
      </c>
      <c r="J198" s="3">
        <v>400</v>
      </c>
      <c r="K198" s="1">
        <v>400000</v>
      </c>
      <c r="L198" s="1">
        <v>400000</v>
      </c>
      <c r="M198" s="1">
        <v>400000</v>
      </c>
      <c r="N198" s="3">
        <v>400000</v>
      </c>
      <c r="O198" s="1">
        <v>425848</v>
      </c>
      <c r="P198" s="1">
        <v>425848</v>
      </c>
      <c r="Q198" s="1">
        <v>425848</v>
      </c>
      <c r="R198" s="1">
        <v>425848</v>
      </c>
      <c r="S198" s="1">
        <v>400000</v>
      </c>
      <c r="T198" s="1">
        <v>400000</v>
      </c>
      <c r="U198" s="1">
        <v>400000</v>
      </c>
      <c r="V198" s="1">
        <v>400000</v>
      </c>
      <c r="W198" s="1">
        <v>0</v>
      </c>
      <c r="X198" s="1">
        <v>0</v>
      </c>
      <c r="Y198" s="1">
        <v>0</v>
      </c>
      <c r="Z198" s="1">
        <v>0</v>
      </c>
      <c r="AA198" s="1">
        <v>-10479.9</v>
      </c>
      <c r="AB198" s="1">
        <v>-10479.9</v>
      </c>
      <c r="AC198" s="1">
        <v>-10479.9</v>
      </c>
      <c r="AD198" s="1">
        <v>-10479.9</v>
      </c>
      <c r="AE198" s="3" t="s">
        <v>473</v>
      </c>
      <c r="AF198" s="3" t="s">
        <v>161</v>
      </c>
      <c r="AG198" s="1" t="s">
        <v>970</v>
      </c>
      <c r="AH198" s="3" t="s">
        <v>474</v>
      </c>
      <c r="AI198" s="1">
        <v>4</v>
      </c>
      <c r="AJ198" s="3" t="s">
        <v>165</v>
      </c>
      <c r="AK198" s="1" t="s">
        <v>191</v>
      </c>
      <c r="AL198" s="3">
        <v>95.237177010710994</v>
      </c>
      <c r="AM198" s="3">
        <v>93.067612021857002</v>
      </c>
      <c r="AN198" s="3">
        <v>372270.45</v>
      </c>
      <c r="AO198" s="3">
        <v>372270.45</v>
      </c>
      <c r="AP198" s="1" t="s">
        <v>164</v>
      </c>
      <c r="AQ198" s="1">
        <v>4</v>
      </c>
      <c r="AR198" s="1" t="s">
        <v>165</v>
      </c>
      <c r="AS198" s="3">
        <v>132534288.59999999</v>
      </c>
      <c r="AT198" s="1" t="s">
        <v>176</v>
      </c>
      <c r="AU198" s="1">
        <v>1</v>
      </c>
      <c r="AV198" s="1">
        <v>1</v>
      </c>
      <c r="AW198" s="3" t="s">
        <v>210</v>
      </c>
      <c r="AX198" s="3" t="s">
        <v>457</v>
      </c>
      <c r="AY198" s="1">
        <v>0</v>
      </c>
      <c r="BA198" s="3">
        <v>8205251.6799999997</v>
      </c>
      <c r="BB198" s="1">
        <v>1</v>
      </c>
      <c r="BD198" s="1" t="s">
        <v>971</v>
      </c>
      <c r="BE198" s="1">
        <v>1</v>
      </c>
      <c r="BF198" s="1">
        <v>1</v>
      </c>
      <c r="BG198" s="1" t="s">
        <v>168</v>
      </c>
      <c r="BH198" s="1">
        <v>0</v>
      </c>
      <c r="BI198" s="1">
        <v>31345322.399999999</v>
      </c>
      <c r="BJ198" s="1">
        <v>0</v>
      </c>
      <c r="BK198" s="1">
        <v>123618989.48999999</v>
      </c>
      <c r="BL198" s="1">
        <v>132456249.91</v>
      </c>
      <c r="BM198" s="1">
        <v>596150.00000000012</v>
      </c>
      <c r="BN198" s="1">
        <v>9219855.2300000004</v>
      </c>
      <c r="BO198" s="1">
        <v>23.664660909999998</v>
      </c>
      <c r="BP198" s="1">
        <v>0.45007313999999998</v>
      </c>
      <c r="BQ198" s="1">
        <v>6.9606796500000003</v>
      </c>
      <c r="BR198" s="1">
        <v>0.28105163</v>
      </c>
      <c r="BS198" s="1" t="s">
        <v>169</v>
      </c>
      <c r="BT198" s="1" t="s">
        <v>169</v>
      </c>
      <c r="BU198" s="1">
        <v>26356083.120000001</v>
      </c>
      <c r="BV198" s="1">
        <v>0</v>
      </c>
      <c r="BW198" s="1">
        <v>-8678.26</v>
      </c>
      <c r="BX198" s="1">
        <v>-2.2799999999999998</v>
      </c>
      <c r="BY198" s="1" t="s">
        <v>170</v>
      </c>
      <c r="BZ198" s="1">
        <v>-78038.69</v>
      </c>
      <c r="CA198" s="1" t="s">
        <v>250</v>
      </c>
      <c r="CB198" s="1" t="s">
        <v>251</v>
      </c>
      <c r="CC198" s="1">
        <v>-34419.39</v>
      </c>
      <c r="CD198" s="1">
        <v>-34419.39</v>
      </c>
      <c r="CE198" s="1">
        <v>380948.71</v>
      </c>
      <c r="CF198" s="1">
        <v>380948.71</v>
      </c>
      <c r="CG198" s="1">
        <v>0</v>
      </c>
      <c r="CH198" s="1">
        <v>1.4438757900000001</v>
      </c>
      <c r="CI198" s="1">
        <v>13.27863496</v>
      </c>
      <c r="CJ198" s="1">
        <v>17588381.91</v>
      </c>
      <c r="CK198" s="1">
        <v>1912503.72</v>
      </c>
      <c r="CL198" s="1">
        <v>6269233.6699999999</v>
      </c>
      <c r="CM198" s="1" t="s">
        <v>164</v>
      </c>
      <c r="CN198" s="1" t="s">
        <v>164</v>
      </c>
      <c r="CO198" s="1" t="s">
        <v>184</v>
      </c>
      <c r="CP198" s="1" t="s">
        <v>243</v>
      </c>
      <c r="CQ198" s="3" t="s">
        <v>252</v>
      </c>
      <c r="CR198" s="1">
        <v>0</v>
      </c>
      <c r="CS198" s="1" t="s">
        <v>243</v>
      </c>
      <c r="CT198" s="1">
        <v>0.30114341999999999</v>
      </c>
      <c r="CV198" s="1">
        <v>0</v>
      </c>
      <c r="CW198" s="1">
        <v>-219173.26</v>
      </c>
      <c r="DA198" s="1">
        <v>1355558.46</v>
      </c>
      <c r="DB198" s="1">
        <v>0</v>
      </c>
      <c r="DC198" s="1">
        <v>2520.3126550000002</v>
      </c>
      <c r="DD198" s="1">
        <v>52555.483399999997</v>
      </c>
      <c r="DE198" s="1">
        <v>-296353.43</v>
      </c>
      <c r="DF198" s="1">
        <v>92570020.519999996</v>
      </c>
      <c r="DG198" s="1">
        <v>-8678.26</v>
      </c>
      <c r="DH198" s="1">
        <v>394770.09</v>
      </c>
      <c r="DI198" s="1">
        <v>0.29803809999999997</v>
      </c>
      <c r="DK198" s="1">
        <v>0</v>
      </c>
      <c r="DL198" s="1">
        <v>0</v>
      </c>
      <c r="DM198" s="1">
        <v>-296353.43</v>
      </c>
      <c r="DN198" s="1">
        <v>0</v>
      </c>
      <c r="DO198" s="1">
        <v>0</v>
      </c>
      <c r="DP198" s="1">
        <v>16777215</v>
      </c>
      <c r="DQ198" s="1">
        <v>0</v>
      </c>
      <c r="DR198" s="1">
        <v>0</v>
      </c>
      <c r="DS198" s="1">
        <v>0</v>
      </c>
      <c r="DT198" s="1">
        <v>0</v>
      </c>
      <c r="DU198" s="1">
        <v>0</v>
      </c>
      <c r="DV198" s="1">
        <v>372270.45</v>
      </c>
      <c r="DW198" s="1">
        <v>372270.45</v>
      </c>
      <c r="DX198" s="1">
        <v>31345322.399999999</v>
      </c>
      <c r="DY198" s="1">
        <v>-1110160.2399999984</v>
      </c>
      <c r="DZ198" s="1">
        <v>92570020.519999966</v>
      </c>
      <c r="EA198" s="1">
        <v>0</v>
      </c>
      <c r="EB198" s="1">
        <v>0</v>
      </c>
      <c r="EC198" s="1" t="s">
        <v>176</v>
      </c>
      <c r="EE198" s="1">
        <v>0</v>
      </c>
      <c r="EF198" s="1">
        <v>3</v>
      </c>
      <c r="EG198" s="1">
        <v>0</v>
      </c>
      <c r="EH198" s="3">
        <v>0.40215012</v>
      </c>
      <c r="EI198" s="1">
        <v>0</v>
      </c>
      <c r="EL198" s="1">
        <v>0</v>
      </c>
      <c r="EM198" s="1">
        <v>0</v>
      </c>
      <c r="EN198" s="1">
        <v>1633661.45</v>
      </c>
      <c r="EO198" s="1">
        <v>1.2333592799999999</v>
      </c>
      <c r="ER198" s="1">
        <v>93.059806010928995</v>
      </c>
      <c r="ES198" s="1">
        <v>1</v>
      </c>
      <c r="ET198" s="3">
        <v>6.4654822379999999</v>
      </c>
      <c r="EU198" s="3">
        <v>1.7298421479999999</v>
      </c>
      <c r="EV198" s="3">
        <v>1.5120278542750001</v>
      </c>
      <c r="EW198" s="3">
        <v>1.7479452049999999</v>
      </c>
      <c r="EX198" s="3">
        <v>4.1764473000000003E-2</v>
      </c>
      <c r="EY198" s="3">
        <v>19</v>
      </c>
      <c r="EZ198" s="3">
        <v>638</v>
      </c>
      <c r="FA198" s="1">
        <v>0</v>
      </c>
      <c r="FB198" s="1">
        <v>0</v>
      </c>
      <c r="FC198" s="3">
        <v>-1.499483449</v>
      </c>
      <c r="FD198" s="1">
        <v>0</v>
      </c>
      <c r="FE198" s="1">
        <v>0</v>
      </c>
    </row>
    <row r="199" spans="1:161" x14ac:dyDescent="0.3">
      <c r="A199" s="1">
        <v>16975446</v>
      </c>
      <c r="B199" s="1">
        <v>128</v>
      </c>
      <c r="C199" s="1">
        <v>8766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2</v>
      </c>
      <c r="J199" s="3">
        <v>2</v>
      </c>
      <c r="K199" s="1">
        <v>200000</v>
      </c>
      <c r="L199" s="1">
        <v>200000</v>
      </c>
      <c r="M199" s="1">
        <v>200000</v>
      </c>
      <c r="N199" s="3">
        <v>200000</v>
      </c>
      <c r="O199" s="1">
        <v>183921</v>
      </c>
      <c r="P199" s="1">
        <v>183921</v>
      </c>
      <c r="Q199" s="1">
        <v>183921</v>
      </c>
      <c r="R199" s="1">
        <v>183921</v>
      </c>
      <c r="S199" s="1">
        <v>200000</v>
      </c>
      <c r="T199" s="1">
        <v>200000</v>
      </c>
      <c r="U199" s="1">
        <v>200000</v>
      </c>
      <c r="V199" s="1">
        <v>200000</v>
      </c>
      <c r="W199" s="1">
        <v>0</v>
      </c>
      <c r="X199" s="1">
        <v>0</v>
      </c>
      <c r="Y199" s="1">
        <v>0</v>
      </c>
      <c r="Z199" s="1">
        <v>0</v>
      </c>
      <c r="AA199" s="1">
        <v>5743.98</v>
      </c>
      <c r="AB199" s="1">
        <v>5743.98</v>
      </c>
      <c r="AC199" s="1">
        <v>5743.98</v>
      </c>
      <c r="AD199" s="1">
        <v>5743.98</v>
      </c>
      <c r="AE199" s="3" t="s">
        <v>475</v>
      </c>
      <c r="AF199" s="3" t="s">
        <v>161</v>
      </c>
      <c r="AG199" s="1" t="s">
        <v>970</v>
      </c>
      <c r="AH199" s="3" t="s">
        <v>476</v>
      </c>
      <c r="AI199" s="1">
        <v>4</v>
      </c>
      <c r="AJ199" s="3" t="s">
        <v>165</v>
      </c>
      <c r="AK199" s="1" t="s">
        <v>191</v>
      </c>
      <c r="AL199" s="3">
        <v>34.277871262047</v>
      </c>
      <c r="AM199" s="3">
        <v>34.136191256830998</v>
      </c>
      <c r="AN199" s="3">
        <v>68272.38</v>
      </c>
      <c r="AO199" s="3">
        <v>68272.38</v>
      </c>
      <c r="AP199" s="1" t="s">
        <v>164</v>
      </c>
      <c r="AQ199" s="1">
        <v>4</v>
      </c>
      <c r="AR199" s="1" t="s">
        <v>165</v>
      </c>
      <c r="AS199" s="3">
        <v>132534288.59999999</v>
      </c>
      <c r="AT199" s="1" t="s">
        <v>176</v>
      </c>
      <c r="AU199" s="1">
        <v>1</v>
      </c>
      <c r="AV199" s="1">
        <v>1</v>
      </c>
      <c r="AW199" s="3" t="s">
        <v>210</v>
      </c>
      <c r="AX199" s="3" t="s">
        <v>457</v>
      </c>
      <c r="AY199" s="1">
        <v>0</v>
      </c>
      <c r="BA199" s="3">
        <v>8205251.6799999997</v>
      </c>
      <c r="BB199" s="1">
        <v>1</v>
      </c>
      <c r="BD199" s="1" t="s">
        <v>971</v>
      </c>
      <c r="BE199" s="1">
        <v>1</v>
      </c>
      <c r="BF199" s="1">
        <v>1</v>
      </c>
      <c r="BG199" s="1" t="s">
        <v>168</v>
      </c>
      <c r="BH199" s="1">
        <v>0</v>
      </c>
      <c r="BI199" s="1">
        <v>31345322.399999999</v>
      </c>
      <c r="BJ199" s="1">
        <v>0</v>
      </c>
      <c r="BK199" s="1">
        <v>123618989.48999999</v>
      </c>
      <c r="BL199" s="1">
        <v>132456249.91</v>
      </c>
      <c r="BM199" s="1">
        <v>596150.00000000012</v>
      </c>
      <c r="BN199" s="1">
        <v>9219855.2300000004</v>
      </c>
      <c r="BO199" s="1">
        <v>23.664660909999998</v>
      </c>
      <c r="BP199" s="1">
        <v>0.45007313999999998</v>
      </c>
      <c r="BQ199" s="1">
        <v>6.9606796500000003</v>
      </c>
      <c r="BR199" s="1">
        <v>5.154334E-2</v>
      </c>
      <c r="BS199" s="1" t="s">
        <v>169</v>
      </c>
      <c r="BT199" s="1" t="s">
        <v>169</v>
      </c>
      <c r="BU199" s="1">
        <v>26356083.120000001</v>
      </c>
      <c r="BV199" s="1">
        <v>0</v>
      </c>
      <c r="BW199" s="1">
        <v>-283.36</v>
      </c>
      <c r="BX199" s="1">
        <v>-0.41</v>
      </c>
      <c r="BY199" s="1" t="s">
        <v>170</v>
      </c>
      <c r="BZ199" s="1">
        <v>-78038.69</v>
      </c>
      <c r="CA199" s="1" t="s">
        <v>250</v>
      </c>
      <c r="CB199" s="1" t="s">
        <v>251</v>
      </c>
      <c r="CC199" s="1">
        <v>-121109.24</v>
      </c>
      <c r="CD199" s="1">
        <v>-121109.24</v>
      </c>
      <c r="CE199" s="1">
        <v>68555.740000000005</v>
      </c>
      <c r="CF199" s="1">
        <v>68555.740000000005</v>
      </c>
      <c r="CG199" s="1">
        <v>0</v>
      </c>
      <c r="CH199" s="1">
        <v>1.4438757900000001</v>
      </c>
      <c r="CI199" s="1">
        <v>13.27863496</v>
      </c>
      <c r="CJ199" s="1">
        <v>17588381.91</v>
      </c>
      <c r="CK199" s="1">
        <v>1912503.72</v>
      </c>
      <c r="CL199" s="1">
        <v>6269233.6699999999</v>
      </c>
      <c r="CM199" s="1" t="s">
        <v>164</v>
      </c>
      <c r="CN199" s="1" t="s">
        <v>164</v>
      </c>
      <c r="CO199" s="1" t="s">
        <v>184</v>
      </c>
      <c r="CP199" s="1" t="s">
        <v>243</v>
      </c>
      <c r="CQ199" s="3" t="s">
        <v>252</v>
      </c>
      <c r="CR199" s="1">
        <v>0</v>
      </c>
      <c r="CS199" s="1" t="s">
        <v>243</v>
      </c>
      <c r="CT199" s="1">
        <v>5.5228069999999997E-2</v>
      </c>
      <c r="CV199" s="1">
        <v>0</v>
      </c>
      <c r="CW199" s="1">
        <v>-219173.26</v>
      </c>
      <c r="DA199" s="1">
        <v>1355558.46</v>
      </c>
      <c r="DB199" s="1">
        <v>0</v>
      </c>
      <c r="DC199" s="1">
        <v>2520.3126550000002</v>
      </c>
      <c r="DD199" s="1">
        <v>52555.483399999997</v>
      </c>
      <c r="DE199" s="1">
        <v>-296353.43</v>
      </c>
      <c r="DF199" s="1">
        <v>92570020.519999996</v>
      </c>
      <c r="DG199" s="1">
        <v>-283.36</v>
      </c>
      <c r="DH199" s="1">
        <v>394770.09</v>
      </c>
      <c r="DI199" s="1">
        <v>0.29803809999999997</v>
      </c>
      <c r="DK199" s="1">
        <v>0</v>
      </c>
      <c r="DL199" s="1">
        <v>0</v>
      </c>
      <c r="DM199" s="1">
        <v>-296353.43</v>
      </c>
      <c r="DN199" s="1">
        <v>0</v>
      </c>
      <c r="DO199" s="1">
        <v>0</v>
      </c>
      <c r="DP199" s="1">
        <v>16777215</v>
      </c>
      <c r="DQ199" s="1">
        <v>0</v>
      </c>
      <c r="DR199" s="1">
        <v>0</v>
      </c>
      <c r="DS199" s="1">
        <v>0</v>
      </c>
      <c r="DT199" s="1">
        <v>0</v>
      </c>
      <c r="DU199" s="1">
        <v>0</v>
      </c>
      <c r="DV199" s="1">
        <v>68272.38</v>
      </c>
      <c r="DW199" s="1">
        <v>68272.38</v>
      </c>
      <c r="DX199" s="1">
        <v>31345322.399999999</v>
      </c>
      <c r="DY199" s="1">
        <v>-1110160.2399999984</v>
      </c>
      <c r="DZ199" s="1">
        <v>92570020.519999966</v>
      </c>
      <c r="EA199" s="1">
        <v>0</v>
      </c>
      <c r="EB199" s="1">
        <v>0</v>
      </c>
      <c r="EC199" s="1" t="s">
        <v>176</v>
      </c>
      <c r="EE199" s="1">
        <v>0</v>
      </c>
      <c r="EF199" s="1">
        <v>3</v>
      </c>
      <c r="EG199" s="1">
        <v>0</v>
      </c>
      <c r="EH199" s="3">
        <v>7.3752150000000002E-2</v>
      </c>
      <c r="EI199" s="1">
        <v>0</v>
      </c>
      <c r="EL199" s="1">
        <v>0</v>
      </c>
      <c r="EM199" s="1">
        <v>0</v>
      </c>
      <c r="EN199" s="1">
        <v>1633661.45</v>
      </c>
      <c r="EO199" s="1">
        <v>1.2333592799999999</v>
      </c>
      <c r="ER199" s="1">
        <v>34.167751366121003</v>
      </c>
      <c r="ES199" s="1">
        <v>1</v>
      </c>
      <c r="ET199" s="3">
        <v>56.838764089999998</v>
      </c>
      <c r="EU199" s="3">
        <v>2.46356668</v>
      </c>
      <c r="EV199" s="3">
        <v>0.53669470219199999</v>
      </c>
      <c r="EW199" s="3">
        <v>2.7863013699999999</v>
      </c>
      <c r="EX199" s="3">
        <v>3.5132720999999999E-2</v>
      </c>
      <c r="EY199" s="3">
        <v>19</v>
      </c>
      <c r="EZ199" s="3">
        <v>1017</v>
      </c>
      <c r="FA199" s="1">
        <v>0</v>
      </c>
      <c r="FB199" s="1">
        <v>0</v>
      </c>
      <c r="FC199" s="3">
        <v>5.240493023</v>
      </c>
      <c r="FD199" s="1">
        <v>0</v>
      </c>
      <c r="FE199" s="1">
        <v>0</v>
      </c>
    </row>
    <row r="200" spans="1:161" x14ac:dyDescent="0.3">
      <c r="A200" s="1">
        <v>16975578</v>
      </c>
      <c r="B200" s="1">
        <v>128</v>
      </c>
      <c r="C200" s="1">
        <v>9070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100</v>
      </c>
      <c r="J200" s="3">
        <v>100</v>
      </c>
      <c r="K200" s="1">
        <v>100000</v>
      </c>
      <c r="L200" s="1">
        <v>100000</v>
      </c>
      <c r="M200" s="1">
        <v>100000</v>
      </c>
      <c r="N200" s="3">
        <v>100000</v>
      </c>
      <c r="O200" s="1">
        <v>104191</v>
      </c>
      <c r="P200" s="1">
        <v>104191</v>
      </c>
      <c r="Q200" s="1">
        <v>104191</v>
      </c>
      <c r="R200" s="1">
        <v>104191</v>
      </c>
      <c r="S200" s="1">
        <v>100000</v>
      </c>
      <c r="T200" s="1">
        <v>100000</v>
      </c>
      <c r="U200" s="1">
        <v>100000</v>
      </c>
      <c r="V200" s="1">
        <v>100000</v>
      </c>
      <c r="W200" s="1">
        <v>0</v>
      </c>
      <c r="X200" s="1">
        <v>0</v>
      </c>
      <c r="Y200" s="1">
        <v>0</v>
      </c>
      <c r="Z200" s="1">
        <v>0</v>
      </c>
      <c r="AA200" s="1">
        <v>397.86</v>
      </c>
      <c r="AB200" s="1">
        <v>397.86</v>
      </c>
      <c r="AC200" s="1">
        <v>397.86</v>
      </c>
      <c r="AD200" s="1">
        <v>397.86</v>
      </c>
      <c r="AE200" s="3" t="s">
        <v>659</v>
      </c>
      <c r="AF200" s="3" t="s">
        <v>161</v>
      </c>
      <c r="AG200" s="1" t="s">
        <v>970</v>
      </c>
      <c r="AH200" s="3" t="s">
        <v>477</v>
      </c>
      <c r="AI200" s="1">
        <v>4</v>
      </c>
      <c r="AJ200" s="3" t="s">
        <v>165</v>
      </c>
      <c r="AK200" s="1" t="s">
        <v>176</v>
      </c>
      <c r="AL200" s="3">
        <v>96.968416570003001</v>
      </c>
      <c r="AM200" s="3">
        <v>94.235666666667001</v>
      </c>
      <c r="AN200" s="3">
        <v>94235.67</v>
      </c>
      <c r="AO200" s="3">
        <v>94235.67</v>
      </c>
      <c r="AP200" s="1" t="s">
        <v>164</v>
      </c>
      <c r="AQ200" s="1">
        <v>4</v>
      </c>
      <c r="AR200" s="1" t="s">
        <v>165</v>
      </c>
      <c r="AS200" s="3">
        <v>132534288.59999999</v>
      </c>
      <c r="AT200" s="1" t="s">
        <v>176</v>
      </c>
      <c r="AU200" s="1">
        <v>1</v>
      </c>
      <c r="AV200" s="1">
        <v>1</v>
      </c>
      <c r="AW200" s="3" t="s">
        <v>210</v>
      </c>
      <c r="AX200" s="3" t="s">
        <v>457</v>
      </c>
      <c r="AY200" s="1">
        <v>0</v>
      </c>
      <c r="BA200" s="3">
        <v>8205251.6799999997</v>
      </c>
      <c r="BB200" s="1">
        <v>1</v>
      </c>
      <c r="BD200" s="1" t="s">
        <v>971</v>
      </c>
      <c r="BE200" s="1">
        <v>1</v>
      </c>
      <c r="BF200" s="1">
        <v>1</v>
      </c>
      <c r="BG200" s="1" t="s">
        <v>168</v>
      </c>
      <c r="BH200" s="1">
        <v>0</v>
      </c>
      <c r="BI200" s="1">
        <v>31345322.399999999</v>
      </c>
      <c r="BJ200" s="1">
        <v>0</v>
      </c>
      <c r="BK200" s="1">
        <v>123618989.48999999</v>
      </c>
      <c r="BL200" s="1">
        <v>132456249.91</v>
      </c>
      <c r="BM200" s="1">
        <v>596150.00000000012</v>
      </c>
      <c r="BN200" s="1">
        <v>9219855.2300000004</v>
      </c>
      <c r="BO200" s="1">
        <v>23.664660909999998</v>
      </c>
      <c r="BP200" s="1">
        <v>0.45007313999999998</v>
      </c>
      <c r="BQ200" s="1">
        <v>6.9606796500000003</v>
      </c>
      <c r="BR200" s="1">
        <v>7.1144750000000007E-2</v>
      </c>
      <c r="BS200" s="1" t="s">
        <v>169</v>
      </c>
      <c r="BT200" s="1" t="s">
        <v>169</v>
      </c>
      <c r="BU200" s="1">
        <v>26356083.120000001</v>
      </c>
      <c r="BV200" s="1">
        <v>0</v>
      </c>
      <c r="BW200" s="1">
        <v>-2732.75</v>
      </c>
      <c r="BX200" s="1">
        <v>-2.82</v>
      </c>
      <c r="BY200" s="1" t="s">
        <v>170</v>
      </c>
      <c r="BZ200" s="1">
        <v>-78038.69</v>
      </c>
      <c r="CA200" s="1" t="s">
        <v>250</v>
      </c>
      <c r="CB200" s="1" t="s">
        <v>251</v>
      </c>
      <c r="CC200" s="1">
        <v>-7620.44</v>
      </c>
      <c r="CD200" s="1">
        <v>-7620.44</v>
      </c>
      <c r="CE200" s="1">
        <v>96968.42</v>
      </c>
      <c r="CF200" s="1">
        <v>96968.42</v>
      </c>
      <c r="CG200" s="1">
        <v>0</v>
      </c>
      <c r="CH200" s="1">
        <v>1.4438757900000001</v>
      </c>
      <c r="CI200" s="1">
        <v>13.27863496</v>
      </c>
      <c r="CJ200" s="1">
        <v>17588381.91</v>
      </c>
      <c r="CK200" s="1">
        <v>1912503.72</v>
      </c>
      <c r="CL200" s="1">
        <v>6269233.6699999999</v>
      </c>
      <c r="CM200" s="1" t="s">
        <v>164</v>
      </c>
      <c r="CN200" s="1" t="s">
        <v>164</v>
      </c>
      <c r="CO200" s="1" t="s">
        <v>184</v>
      </c>
      <c r="CP200" s="1" t="s">
        <v>243</v>
      </c>
      <c r="CQ200" s="3" t="s">
        <v>252</v>
      </c>
      <c r="CR200" s="1">
        <v>0</v>
      </c>
      <c r="CS200" s="1" t="s">
        <v>243</v>
      </c>
      <c r="CT200" s="1">
        <v>7.6230740000000005E-2</v>
      </c>
      <c r="CU200" s="1"/>
      <c r="CV200" s="1">
        <v>0</v>
      </c>
      <c r="CW200" s="1">
        <v>-219173.26</v>
      </c>
      <c r="CY200" s="1"/>
      <c r="DA200" s="1">
        <v>1355558.46</v>
      </c>
      <c r="DB200" s="1">
        <v>0</v>
      </c>
      <c r="DC200" s="1">
        <v>2520.3126550000002</v>
      </c>
      <c r="DD200" s="1">
        <v>52555.483399999997</v>
      </c>
      <c r="DE200" s="1">
        <v>-296353.43</v>
      </c>
      <c r="DF200" s="1">
        <v>92570020.519999996</v>
      </c>
      <c r="DG200" s="1">
        <v>-2732.75</v>
      </c>
      <c r="DH200" s="1">
        <v>394770.09</v>
      </c>
      <c r="DI200" s="1">
        <v>0.29803809999999997</v>
      </c>
      <c r="DK200" s="1">
        <v>0</v>
      </c>
      <c r="DL200" s="1">
        <v>0</v>
      </c>
      <c r="DM200" s="1">
        <v>-296353.43</v>
      </c>
      <c r="DN200" s="1">
        <v>0</v>
      </c>
      <c r="DO200" s="1">
        <v>0</v>
      </c>
      <c r="DP200" s="1">
        <v>16777215</v>
      </c>
      <c r="DQ200" s="1">
        <v>0</v>
      </c>
      <c r="DR200" s="1">
        <v>0</v>
      </c>
      <c r="DS200" s="1">
        <v>0</v>
      </c>
      <c r="DT200" s="1">
        <v>0</v>
      </c>
      <c r="DU200" s="1">
        <v>0</v>
      </c>
      <c r="DV200" s="1">
        <v>94235.67</v>
      </c>
      <c r="DW200" s="1">
        <v>94235.67</v>
      </c>
      <c r="DX200" s="1">
        <v>31345322.399999999</v>
      </c>
      <c r="DY200" s="1">
        <v>-1110160.2399999984</v>
      </c>
      <c r="DZ200" s="1">
        <v>92570020.519999966</v>
      </c>
      <c r="EA200" s="1">
        <v>0</v>
      </c>
      <c r="EB200" s="1">
        <v>0</v>
      </c>
      <c r="EC200" s="1" t="s">
        <v>176</v>
      </c>
      <c r="EE200" s="1">
        <v>0</v>
      </c>
      <c r="EF200" s="1">
        <v>3</v>
      </c>
      <c r="EG200" s="1">
        <v>0</v>
      </c>
      <c r="EH200" s="3">
        <v>0.10179934</v>
      </c>
      <c r="EI200" s="1">
        <v>0</v>
      </c>
      <c r="EL200" s="1">
        <v>0</v>
      </c>
      <c r="EM200" s="1">
        <v>0</v>
      </c>
      <c r="EN200" s="1">
        <v>1633661.45</v>
      </c>
      <c r="EO200" s="1">
        <v>1.2333592799999999</v>
      </c>
      <c r="ER200" s="1">
        <v>94.231083333333004</v>
      </c>
      <c r="ES200" s="1">
        <v>1</v>
      </c>
      <c r="ET200" s="3">
        <v>21.796870771999998</v>
      </c>
      <c r="EU200" s="3">
        <v>0.49722222199999999</v>
      </c>
      <c r="EV200" s="3">
        <v>0.42249278342000002</v>
      </c>
      <c r="EW200" s="3">
        <v>0.49863013699999997</v>
      </c>
      <c r="EX200" s="3">
        <v>6.053213E-3</v>
      </c>
      <c r="EY200" s="3">
        <v>5</v>
      </c>
      <c r="EZ200" s="3">
        <v>182</v>
      </c>
      <c r="FA200" s="1">
        <v>0</v>
      </c>
      <c r="FB200" s="1">
        <v>0</v>
      </c>
      <c r="FC200" s="3">
        <v>-0.48776011699999999</v>
      </c>
      <c r="FD200" s="1">
        <v>0</v>
      </c>
      <c r="FE200" s="1">
        <v>0</v>
      </c>
    </row>
    <row r="201" spans="1:161" x14ac:dyDescent="0.3">
      <c r="A201" s="1">
        <v>16975376</v>
      </c>
      <c r="B201" s="1">
        <v>128</v>
      </c>
      <c r="C201" s="1">
        <v>9311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200</v>
      </c>
      <c r="J201" s="3">
        <v>200</v>
      </c>
      <c r="K201" s="1">
        <v>200000</v>
      </c>
      <c r="L201" s="1">
        <v>200000</v>
      </c>
      <c r="M201" s="1">
        <v>200000</v>
      </c>
      <c r="N201" s="3">
        <v>200000</v>
      </c>
      <c r="O201" s="1">
        <v>198052</v>
      </c>
      <c r="P201" s="1">
        <v>198052</v>
      </c>
      <c r="Q201" s="1">
        <v>198052</v>
      </c>
      <c r="R201" s="1">
        <v>198052</v>
      </c>
      <c r="S201" s="1">
        <v>200000</v>
      </c>
      <c r="T201" s="1">
        <v>200000</v>
      </c>
      <c r="U201" s="1">
        <v>200000</v>
      </c>
      <c r="V201" s="1">
        <v>200000</v>
      </c>
      <c r="W201" s="1">
        <v>0</v>
      </c>
      <c r="X201" s="1">
        <v>0</v>
      </c>
      <c r="Y201" s="1">
        <v>0</v>
      </c>
      <c r="Z201" s="1">
        <v>0</v>
      </c>
      <c r="AA201" s="1">
        <v>707.47</v>
      </c>
      <c r="AB201" s="1">
        <v>707.47</v>
      </c>
      <c r="AC201" s="1">
        <v>707.47</v>
      </c>
      <c r="AD201" s="1">
        <v>707.47</v>
      </c>
      <c r="AE201" s="3" t="s">
        <v>478</v>
      </c>
      <c r="AF201" s="3" t="s">
        <v>161</v>
      </c>
      <c r="AG201" s="1" t="s">
        <v>970</v>
      </c>
      <c r="AH201" s="4" t="s">
        <v>479</v>
      </c>
      <c r="AI201" s="1">
        <v>4</v>
      </c>
      <c r="AJ201" s="3" t="s">
        <v>165</v>
      </c>
      <c r="AK201" s="1" t="s">
        <v>191</v>
      </c>
      <c r="AL201" s="3">
        <v>75.75794626087</v>
      </c>
      <c r="AM201" s="3">
        <v>75.515191256829993</v>
      </c>
      <c r="AN201" s="3">
        <v>151030.38</v>
      </c>
      <c r="AO201" s="3">
        <v>151030.38</v>
      </c>
      <c r="AP201" s="1" t="s">
        <v>164</v>
      </c>
      <c r="AQ201" s="1">
        <v>4</v>
      </c>
      <c r="AR201" s="1" t="s">
        <v>165</v>
      </c>
      <c r="AS201" s="3">
        <v>132534288.59999999</v>
      </c>
      <c r="AT201" s="1" t="s">
        <v>176</v>
      </c>
      <c r="AU201" s="1">
        <v>1</v>
      </c>
      <c r="AV201" s="1">
        <v>1</v>
      </c>
      <c r="AW201" s="3" t="s">
        <v>210</v>
      </c>
      <c r="AX201" s="3" t="s">
        <v>457</v>
      </c>
      <c r="AY201" s="1">
        <v>0</v>
      </c>
      <c r="BA201" s="3">
        <v>8205251.6799999997</v>
      </c>
      <c r="BB201" s="1">
        <v>1</v>
      </c>
      <c r="BD201" s="1" t="s">
        <v>971</v>
      </c>
      <c r="BE201" s="1">
        <v>1</v>
      </c>
      <c r="BF201" s="1">
        <v>1</v>
      </c>
      <c r="BG201" s="1" t="s">
        <v>168</v>
      </c>
      <c r="BH201" s="1">
        <v>0</v>
      </c>
      <c r="BI201" s="1">
        <v>31345322.399999999</v>
      </c>
      <c r="BJ201" s="1">
        <v>0</v>
      </c>
      <c r="BK201" s="1">
        <v>123618989.48999999</v>
      </c>
      <c r="BL201" s="1">
        <v>132456249.91</v>
      </c>
      <c r="BM201" s="1">
        <v>596150.00000000012</v>
      </c>
      <c r="BN201" s="1">
        <v>9219855.2300000004</v>
      </c>
      <c r="BO201" s="1">
        <v>23.664660909999998</v>
      </c>
      <c r="BP201" s="1">
        <v>0.45007313999999998</v>
      </c>
      <c r="BQ201" s="1">
        <v>6.9606796500000003</v>
      </c>
      <c r="BR201" s="1">
        <v>0.11402284</v>
      </c>
      <c r="BS201" s="1" t="s">
        <v>169</v>
      </c>
      <c r="BT201" s="1" t="s">
        <v>169</v>
      </c>
      <c r="BU201" s="1">
        <v>26356083.120000001</v>
      </c>
      <c r="BV201" s="1">
        <v>0</v>
      </c>
      <c r="BW201" s="1">
        <v>-485.51</v>
      </c>
      <c r="BX201" s="1">
        <v>-0.32</v>
      </c>
      <c r="BY201" s="1" t="s">
        <v>170</v>
      </c>
      <c r="BZ201" s="1">
        <v>-78038.69</v>
      </c>
      <c r="CA201" s="1" t="s">
        <v>250</v>
      </c>
      <c r="CB201" s="1" t="s">
        <v>251</v>
      </c>
      <c r="CC201" s="1">
        <v>-47243.58</v>
      </c>
      <c r="CD201" s="1">
        <v>-47243.58</v>
      </c>
      <c r="CE201" s="1">
        <v>151515.89000000001</v>
      </c>
      <c r="CF201" s="1">
        <v>151515.89000000001</v>
      </c>
      <c r="CG201" s="1">
        <v>0</v>
      </c>
      <c r="CH201" s="1">
        <v>1.4438757900000001</v>
      </c>
      <c r="CI201" s="1">
        <v>13.27863496</v>
      </c>
      <c r="CJ201" s="1">
        <v>17588381.91</v>
      </c>
      <c r="CK201" s="1">
        <v>1912503.72</v>
      </c>
      <c r="CL201" s="1">
        <v>6269233.6699999999</v>
      </c>
      <c r="CM201" s="1" t="s">
        <v>164</v>
      </c>
      <c r="CN201" s="1" t="s">
        <v>164</v>
      </c>
      <c r="CO201" s="1" t="s">
        <v>184</v>
      </c>
      <c r="CP201" s="1" t="s">
        <v>243</v>
      </c>
      <c r="CQ201" s="3" t="s">
        <v>252</v>
      </c>
      <c r="CR201" s="1">
        <v>0</v>
      </c>
      <c r="CS201" s="1" t="s">
        <v>243</v>
      </c>
      <c r="CT201" s="1">
        <v>0.12217409</v>
      </c>
      <c r="CV201" s="1">
        <v>0</v>
      </c>
      <c r="CW201" s="1">
        <v>-219173.26</v>
      </c>
      <c r="DA201" s="1">
        <v>1355558.46</v>
      </c>
      <c r="DB201" s="1">
        <v>0</v>
      </c>
      <c r="DC201" s="1">
        <v>2520.3126550000002</v>
      </c>
      <c r="DD201" s="1">
        <v>52555.483399999997</v>
      </c>
      <c r="DE201" s="1">
        <v>-296353.43</v>
      </c>
      <c r="DF201" s="1">
        <v>92570020.519999996</v>
      </c>
      <c r="DG201" s="1">
        <v>-485.51</v>
      </c>
      <c r="DH201" s="1">
        <v>394770.09</v>
      </c>
      <c r="DI201" s="1">
        <v>0.29803809999999997</v>
      </c>
      <c r="DK201" s="1">
        <v>0</v>
      </c>
      <c r="DL201" s="1">
        <v>0</v>
      </c>
      <c r="DM201" s="1">
        <v>-296353.43</v>
      </c>
      <c r="DN201" s="1">
        <v>0</v>
      </c>
      <c r="DO201" s="1">
        <v>0</v>
      </c>
      <c r="DP201" s="1">
        <v>16777215</v>
      </c>
      <c r="DQ201" s="1">
        <v>0</v>
      </c>
      <c r="DR201" s="1">
        <v>0</v>
      </c>
      <c r="DS201" s="1">
        <v>0</v>
      </c>
      <c r="DT201" s="1">
        <v>0</v>
      </c>
      <c r="DU201" s="1">
        <v>0</v>
      </c>
      <c r="DV201" s="1">
        <v>151030.38</v>
      </c>
      <c r="DW201" s="1">
        <v>151030.38</v>
      </c>
      <c r="DX201" s="1">
        <v>31345322.399999999</v>
      </c>
      <c r="DY201" s="1">
        <v>-1110160.2399999984</v>
      </c>
      <c r="DZ201" s="1">
        <v>92570020.519999966</v>
      </c>
      <c r="EA201" s="1">
        <v>0</v>
      </c>
      <c r="EB201" s="1">
        <v>0</v>
      </c>
      <c r="EC201" s="1" t="s">
        <v>176</v>
      </c>
      <c r="EE201" s="1">
        <v>0</v>
      </c>
      <c r="EF201" s="1">
        <v>3</v>
      </c>
      <c r="EG201" s="1">
        <v>0</v>
      </c>
      <c r="EH201" s="3">
        <v>0.16315257999999999</v>
      </c>
      <c r="EI201" s="1">
        <v>0</v>
      </c>
      <c r="EL201" s="1">
        <v>0</v>
      </c>
      <c r="EM201" s="1">
        <v>0</v>
      </c>
      <c r="EN201" s="1">
        <v>1633661.45</v>
      </c>
      <c r="EO201" s="1">
        <v>1.2333592799999999</v>
      </c>
      <c r="ER201" s="1">
        <v>75.728775956283997</v>
      </c>
      <c r="ES201" s="1">
        <v>1</v>
      </c>
      <c r="ET201" s="3">
        <v>6.7901141770000004</v>
      </c>
      <c r="EU201" s="3">
        <v>5.2675550089999996</v>
      </c>
      <c r="EV201" s="3">
        <v>3.7354159253970001</v>
      </c>
      <c r="EW201" s="3">
        <v>5.4712328770000003</v>
      </c>
      <c r="EX201" s="3">
        <v>0.29539904</v>
      </c>
      <c r="EY201" s="3">
        <v>59</v>
      </c>
      <c r="EZ201" s="3">
        <v>1997</v>
      </c>
      <c r="FA201" s="1">
        <v>0</v>
      </c>
      <c r="FB201" s="1">
        <v>0</v>
      </c>
      <c r="FC201" s="3">
        <v>1.504218941</v>
      </c>
      <c r="FD201" s="1">
        <v>0</v>
      </c>
      <c r="FE201" s="1">
        <v>0</v>
      </c>
    </row>
    <row r="202" spans="1:161" x14ac:dyDescent="0.3">
      <c r="A202" s="1">
        <v>16975453</v>
      </c>
      <c r="B202" s="1">
        <v>128</v>
      </c>
      <c r="C202" s="1">
        <v>9331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400</v>
      </c>
      <c r="J202" s="3">
        <v>400</v>
      </c>
      <c r="K202" s="1">
        <v>400000</v>
      </c>
      <c r="L202" s="1">
        <v>400000</v>
      </c>
      <c r="M202" s="1">
        <v>400000</v>
      </c>
      <c r="N202" s="3">
        <v>400000</v>
      </c>
      <c r="O202" s="1">
        <v>400244</v>
      </c>
      <c r="P202" s="1">
        <v>400244</v>
      </c>
      <c r="Q202" s="1">
        <v>400244</v>
      </c>
      <c r="R202" s="1">
        <v>400244</v>
      </c>
      <c r="S202" s="1">
        <v>400000</v>
      </c>
      <c r="T202" s="1">
        <v>400000</v>
      </c>
      <c r="U202" s="1">
        <v>400000</v>
      </c>
      <c r="V202" s="1">
        <v>400000</v>
      </c>
      <c r="W202" s="1">
        <v>0</v>
      </c>
      <c r="X202" s="1">
        <v>0</v>
      </c>
      <c r="Y202" s="1">
        <v>0</v>
      </c>
      <c r="Z202" s="1">
        <v>0</v>
      </c>
      <c r="AA202" s="1">
        <v>4853.8900000000003</v>
      </c>
      <c r="AB202" s="1">
        <v>4853.8900000000003</v>
      </c>
      <c r="AC202" s="1">
        <v>4853.8900000000003</v>
      </c>
      <c r="AD202" s="1">
        <v>4853.8900000000003</v>
      </c>
      <c r="AE202" s="3" t="s">
        <v>480</v>
      </c>
      <c r="AF202" s="3" t="s">
        <v>161</v>
      </c>
      <c r="AG202" s="1" t="s">
        <v>970</v>
      </c>
      <c r="AH202" s="3" t="s">
        <v>481</v>
      </c>
      <c r="AI202" s="1">
        <v>4</v>
      </c>
      <c r="AJ202" s="3" t="s">
        <v>165</v>
      </c>
      <c r="AK202" s="1" t="s">
        <v>191</v>
      </c>
      <c r="AL202" s="3">
        <v>45.917479484546</v>
      </c>
      <c r="AM202" s="3">
        <v>45.761136986300997</v>
      </c>
      <c r="AN202" s="3">
        <v>183044.55</v>
      </c>
      <c r="AO202" s="3">
        <v>183044.55</v>
      </c>
      <c r="AP202" s="1" t="s">
        <v>164</v>
      </c>
      <c r="AQ202" s="1">
        <v>4</v>
      </c>
      <c r="AR202" s="1" t="s">
        <v>165</v>
      </c>
      <c r="AS202" s="3">
        <v>132534288.59999999</v>
      </c>
      <c r="AT202" s="1" t="s">
        <v>176</v>
      </c>
      <c r="AU202" s="1">
        <v>1</v>
      </c>
      <c r="AV202" s="1">
        <v>1</v>
      </c>
      <c r="AW202" s="3" t="s">
        <v>210</v>
      </c>
      <c r="AX202" s="3" t="s">
        <v>457</v>
      </c>
      <c r="AY202" s="1">
        <v>0</v>
      </c>
      <c r="BA202" s="3">
        <v>8205251.6799999997</v>
      </c>
      <c r="BB202" s="1">
        <v>1</v>
      </c>
      <c r="BD202" s="1" t="s">
        <v>971</v>
      </c>
      <c r="BE202" s="1">
        <v>1</v>
      </c>
      <c r="BF202" s="1">
        <v>1</v>
      </c>
      <c r="BG202" s="1" t="s">
        <v>168</v>
      </c>
      <c r="BH202" s="1">
        <v>0</v>
      </c>
      <c r="BI202" s="1">
        <v>31345322.399999999</v>
      </c>
      <c r="BJ202" s="1">
        <v>0</v>
      </c>
      <c r="BK202" s="1">
        <v>123618989.48999999</v>
      </c>
      <c r="BL202" s="1">
        <v>132456249.91</v>
      </c>
      <c r="BM202" s="1">
        <v>596150.00000000012</v>
      </c>
      <c r="BN202" s="1">
        <v>9219855.2300000004</v>
      </c>
      <c r="BO202" s="1">
        <v>23.664660909999998</v>
      </c>
      <c r="BP202" s="1">
        <v>0.45007313999999998</v>
      </c>
      <c r="BQ202" s="1">
        <v>6.9606796500000003</v>
      </c>
      <c r="BR202" s="1">
        <v>0.13819245999999999</v>
      </c>
      <c r="BS202" s="1" t="s">
        <v>169</v>
      </c>
      <c r="BT202" s="1" t="s">
        <v>169</v>
      </c>
      <c r="BU202" s="1">
        <v>26356083.120000001</v>
      </c>
      <c r="BV202" s="1">
        <v>0</v>
      </c>
      <c r="BW202" s="1">
        <v>-625.37</v>
      </c>
      <c r="BX202" s="1">
        <v>-0.35</v>
      </c>
      <c r="BY202" s="1" t="s">
        <v>170</v>
      </c>
      <c r="BZ202" s="1">
        <v>-78038.69</v>
      </c>
      <c r="CA202" s="1" t="s">
        <v>250</v>
      </c>
      <c r="CB202" s="1" t="s">
        <v>251</v>
      </c>
      <c r="CC202" s="1">
        <v>-221427.97</v>
      </c>
      <c r="CD202" s="1">
        <v>-221427.97</v>
      </c>
      <c r="CE202" s="1">
        <v>183669.92</v>
      </c>
      <c r="CF202" s="1">
        <v>183669.92</v>
      </c>
      <c r="CG202" s="1">
        <v>0</v>
      </c>
      <c r="CH202" s="1">
        <v>1.4438757900000001</v>
      </c>
      <c r="CI202" s="1">
        <v>13.27863496</v>
      </c>
      <c r="CJ202" s="1">
        <v>17588381.91</v>
      </c>
      <c r="CK202" s="1">
        <v>1912503.72</v>
      </c>
      <c r="CL202" s="1">
        <v>6269233.6699999999</v>
      </c>
      <c r="CM202" s="1" t="s">
        <v>164</v>
      </c>
      <c r="CN202" s="1" t="s">
        <v>164</v>
      </c>
      <c r="CO202" s="1" t="s">
        <v>184</v>
      </c>
      <c r="CP202" s="1" t="s">
        <v>243</v>
      </c>
      <c r="CQ202" s="3" t="s">
        <v>252</v>
      </c>
      <c r="CR202" s="1">
        <v>0</v>
      </c>
      <c r="CS202" s="1" t="s">
        <v>243</v>
      </c>
      <c r="CT202" s="1">
        <v>0.14807155</v>
      </c>
      <c r="CV202" s="1">
        <v>0</v>
      </c>
      <c r="CW202" s="1">
        <v>-219173.26</v>
      </c>
      <c r="DA202" s="1">
        <v>1355558.46</v>
      </c>
      <c r="DB202" s="1">
        <v>0</v>
      </c>
      <c r="DC202" s="1">
        <v>2520.3126550000002</v>
      </c>
      <c r="DD202" s="1">
        <v>52555.483399999997</v>
      </c>
      <c r="DE202" s="1">
        <v>-296353.43</v>
      </c>
      <c r="DF202" s="1">
        <v>92570020.519999996</v>
      </c>
      <c r="DG202" s="1">
        <v>-625.37</v>
      </c>
      <c r="DH202" s="1">
        <v>394770.09</v>
      </c>
      <c r="DI202" s="1">
        <v>0.29803809999999997</v>
      </c>
      <c r="DK202" s="1">
        <v>0</v>
      </c>
      <c r="DL202" s="1">
        <v>0</v>
      </c>
      <c r="DM202" s="1">
        <v>-296353.43</v>
      </c>
      <c r="DN202" s="1">
        <v>0</v>
      </c>
      <c r="DO202" s="1">
        <v>0</v>
      </c>
      <c r="DP202" s="1">
        <v>16777215</v>
      </c>
      <c r="DQ202" s="1">
        <v>0</v>
      </c>
      <c r="DR202" s="1">
        <v>0</v>
      </c>
      <c r="DS202" s="1">
        <v>0</v>
      </c>
      <c r="DT202" s="1">
        <v>0</v>
      </c>
      <c r="DU202" s="1">
        <v>0</v>
      </c>
      <c r="DV202" s="1">
        <v>183044.55</v>
      </c>
      <c r="DW202" s="1">
        <v>183044.55</v>
      </c>
      <c r="DX202" s="1">
        <v>31345322.399999999</v>
      </c>
      <c r="DY202" s="1">
        <v>-1110160.2399999984</v>
      </c>
      <c r="DZ202" s="1">
        <v>92570020.519999966</v>
      </c>
      <c r="EA202" s="1">
        <v>0</v>
      </c>
      <c r="EB202" s="1">
        <v>0</v>
      </c>
      <c r="EC202" s="1" t="s">
        <v>176</v>
      </c>
      <c r="EE202" s="1">
        <v>0</v>
      </c>
      <c r="EF202" s="1">
        <v>3</v>
      </c>
      <c r="EG202" s="1">
        <v>0</v>
      </c>
      <c r="EH202" s="3">
        <v>0.19773631999999999</v>
      </c>
      <c r="EI202" s="1">
        <v>0</v>
      </c>
      <c r="EL202" s="1">
        <v>0</v>
      </c>
      <c r="EM202" s="1">
        <v>0</v>
      </c>
      <c r="EN202" s="1">
        <v>1633661.45</v>
      </c>
      <c r="EO202" s="1">
        <v>1.2333592799999999</v>
      </c>
      <c r="ER202" s="1">
        <v>46.080417808219998</v>
      </c>
      <c r="ES202" s="1">
        <v>1</v>
      </c>
      <c r="ET202" s="3">
        <v>27.429617561000001</v>
      </c>
      <c r="EU202" s="3">
        <v>0.326027397</v>
      </c>
      <c r="EV202" s="3">
        <v>0.117896286315</v>
      </c>
      <c r="EW202" s="3">
        <v>4.0767123290000002</v>
      </c>
      <c r="EX202" s="3">
        <v>2.662354E-3</v>
      </c>
      <c r="EY202" s="3">
        <v>3</v>
      </c>
      <c r="EZ202" s="3">
        <v>1488</v>
      </c>
      <c r="FA202" s="1">
        <v>0</v>
      </c>
      <c r="FB202" s="1">
        <v>0</v>
      </c>
      <c r="FC202" s="3">
        <v>3.52434921</v>
      </c>
      <c r="FD202" s="1">
        <v>0</v>
      </c>
      <c r="FE202" s="1">
        <v>0</v>
      </c>
    </row>
    <row r="203" spans="1:161" x14ac:dyDescent="0.3">
      <c r="A203" s="1">
        <v>16975571</v>
      </c>
      <c r="B203" s="1">
        <v>128</v>
      </c>
      <c r="C203" s="1">
        <v>9603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100</v>
      </c>
      <c r="J203" s="3">
        <v>100</v>
      </c>
      <c r="K203" s="1">
        <v>100000</v>
      </c>
      <c r="L203" s="1">
        <v>100000</v>
      </c>
      <c r="M203" s="1">
        <v>100000</v>
      </c>
      <c r="N203" s="3">
        <v>100000</v>
      </c>
      <c r="O203" s="1">
        <v>100175</v>
      </c>
      <c r="P203" s="1">
        <v>100175</v>
      </c>
      <c r="Q203" s="1">
        <v>100175</v>
      </c>
      <c r="R203" s="1">
        <v>100175</v>
      </c>
      <c r="S203" s="1">
        <v>100000</v>
      </c>
      <c r="T203" s="1">
        <v>100000</v>
      </c>
      <c r="U203" s="1">
        <v>100000</v>
      </c>
      <c r="V203" s="1">
        <v>100000</v>
      </c>
      <c r="W203" s="1">
        <v>0</v>
      </c>
      <c r="X203" s="1">
        <v>0</v>
      </c>
      <c r="Y203" s="1">
        <v>0</v>
      </c>
      <c r="Z203" s="1">
        <v>0</v>
      </c>
      <c r="AA203" s="1">
        <v>1129.52</v>
      </c>
      <c r="AB203" s="1">
        <v>1129.52</v>
      </c>
      <c r="AC203" s="1">
        <v>1129.52</v>
      </c>
      <c r="AD203" s="1">
        <v>1129.52</v>
      </c>
      <c r="AE203" s="3" t="s">
        <v>482</v>
      </c>
      <c r="AF203" s="3" t="s">
        <v>161</v>
      </c>
      <c r="AG203" s="1" t="s">
        <v>970</v>
      </c>
      <c r="AH203" s="3" t="s">
        <v>483</v>
      </c>
      <c r="AI203" s="1">
        <v>4</v>
      </c>
      <c r="AJ203" s="3" t="s">
        <v>165</v>
      </c>
      <c r="AK203" s="1" t="s">
        <v>191</v>
      </c>
      <c r="AL203" s="3">
        <v>85.069445602242993</v>
      </c>
      <c r="AM203" s="3">
        <v>84.794835616439002</v>
      </c>
      <c r="AN203" s="3">
        <v>84794.84</v>
      </c>
      <c r="AO203" s="3">
        <v>84794.84</v>
      </c>
      <c r="AP203" s="1" t="s">
        <v>164</v>
      </c>
      <c r="AQ203" s="1">
        <v>4</v>
      </c>
      <c r="AR203" s="1" t="s">
        <v>165</v>
      </c>
      <c r="AS203" s="3">
        <v>132534288.59999999</v>
      </c>
      <c r="AT203" s="1" t="s">
        <v>176</v>
      </c>
      <c r="AU203" s="1">
        <v>1</v>
      </c>
      <c r="AV203" s="1">
        <v>1</v>
      </c>
      <c r="AW203" s="3" t="s">
        <v>210</v>
      </c>
      <c r="AX203" s="3" t="s">
        <v>457</v>
      </c>
      <c r="AY203" s="1">
        <v>0</v>
      </c>
      <c r="BA203" s="3">
        <v>8205251.6799999997</v>
      </c>
      <c r="BB203" s="1">
        <v>1</v>
      </c>
      <c r="BD203" s="1" t="s">
        <v>971</v>
      </c>
      <c r="BE203" s="1">
        <v>1</v>
      </c>
      <c r="BF203" s="1">
        <v>1</v>
      </c>
      <c r="BG203" s="1" t="s">
        <v>168</v>
      </c>
      <c r="BH203" s="1">
        <v>0</v>
      </c>
      <c r="BI203" s="1">
        <v>31345322.399999999</v>
      </c>
      <c r="BJ203" s="1">
        <v>0</v>
      </c>
      <c r="BK203" s="1">
        <v>123618989.48999999</v>
      </c>
      <c r="BL203" s="1">
        <v>132456249.91</v>
      </c>
      <c r="BM203" s="1">
        <v>596150.00000000012</v>
      </c>
      <c r="BN203" s="1">
        <v>9219855.2300000004</v>
      </c>
      <c r="BO203" s="1">
        <v>23.664660909999998</v>
      </c>
      <c r="BP203" s="1">
        <v>0.45007313999999998</v>
      </c>
      <c r="BQ203" s="1">
        <v>6.9606796500000003</v>
      </c>
      <c r="BR203" s="1">
        <v>6.4017240000000003E-2</v>
      </c>
      <c r="BS203" s="1" t="s">
        <v>169</v>
      </c>
      <c r="BT203" s="1" t="s">
        <v>169</v>
      </c>
      <c r="BU203" s="1">
        <v>26356083.120000001</v>
      </c>
      <c r="BV203" s="1">
        <v>0</v>
      </c>
      <c r="BW203" s="1">
        <v>-274.61</v>
      </c>
      <c r="BX203" s="1">
        <v>-0.32</v>
      </c>
      <c r="BY203" s="1" t="s">
        <v>170</v>
      </c>
      <c r="BZ203" s="1">
        <v>-78038.69</v>
      </c>
      <c r="CA203" s="1" t="s">
        <v>250</v>
      </c>
      <c r="CB203" s="1" t="s">
        <v>251</v>
      </c>
      <c r="CC203" s="1">
        <v>-16235.07</v>
      </c>
      <c r="CD203" s="1">
        <v>-16235.07</v>
      </c>
      <c r="CE203" s="1">
        <v>85069.45</v>
      </c>
      <c r="CF203" s="1">
        <v>85069.45</v>
      </c>
      <c r="CG203" s="1">
        <v>0</v>
      </c>
      <c r="CH203" s="1">
        <v>1.4438757900000001</v>
      </c>
      <c r="CI203" s="1">
        <v>13.27863496</v>
      </c>
      <c r="CJ203" s="1">
        <v>17588381.91</v>
      </c>
      <c r="CK203" s="1">
        <v>1912503.72</v>
      </c>
      <c r="CL203" s="1">
        <v>6269233.6699999999</v>
      </c>
      <c r="CM203" s="1" t="s">
        <v>164</v>
      </c>
      <c r="CN203" s="1" t="s">
        <v>164</v>
      </c>
      <c r="CO203" s="1" t="s">
        <v>184</v>
      </c>
      <c r="CP203" s="1" t="s">
        <v>243</v>
      </c>
      <c r="CQ203" s="3" t="s">
        <v>252</v>
      </c>
      <c r="CR203" s="1">
        <v>0</v>
      </c>
      <c r="CS203" s="1" t="s">
        <v>243</v>
      </c>
      <c r="CT203" s="1">
        <v>6.8593699999999994E-2</v>
      </c>
      <c r="CV203" s="1">
        <v>0</v>
      </c>
      <c r="CW203" s="1">
        <v>-219173.26</v>
      </c>
      <c r="DA203" s="1">
        <v>1355558.46</v>
      </c>
      <c r="DB203" s="1">
        <v>0</v>
      </c>
      <c r="DC203" s="1">
        <v>2520.3126550000002</v>
      </c>
      <c r="DD203" s="1">
        <v>52555.483399999997</v>
      </c>
      <c r="DE203" s="1">
        <v>-296353.43</v>
      </c>
      <c r="DF203" s="1">
        <v>92570020.519999996</v>
      </c>
      <c r="DG203" s="1">
        <v>-274.61</v>
      </c>
      <c r="DH203" s="1">
        <v>394770.09</v>
      </c>
      <c r="DI203" s="1">
        <v>0.29803809999999997</v>
      </c>
      <c r="DK203" s="1">
        <v>0</v>
      </c>
      <c r="DL203" s="1">
        <v>0</v>
      </c>
      <c r="DM203" s="1">
        <v>-296353.43</v>
      </c>
      <c r="DN203" s="1">
        <v>0</v>
      </c>
      <c r="DO203" s="1">
        <v>0</v>
      </c>
      <c r="DP203" s="1">
        <v>16777215</v>
      </c>
      <c r="DQ203" s="1">
        <v>0</v>
      </c>
      <c r="DR203" s="1">
        <v>0</v>
      </c>
      <c r="DS203" s="1">
        <v>0</v>
      </c>
      <c r="DT203" s="1">
        <v>0</v>
      </c>
      <c r="DU203" s="1">
        <v>0</v>
      </c>
      <c r="DV203" s="1">
        <v>84794.84</v>
      </c>
      <c r="DW203" s="1">
        <v>84794.84</v>
      </c>
      <c r="DX203" s="1">
        <v>31345322.399999999</v>
      </c>
      <c r="DY203" s="1">
        <v>-1110160.2399999984</v>
      </c>
      <c r="DZ203" s="1">
        <v>92570020.519999966</v>
      </c>
      <c r="EA203" s="1">
        <v>0</v>
      </c>
      <c r="EB203" s="1">
        <v>0</v>
      </c>
      <c r="EC203" s="1" t="s">
        <v>176</v>
      </c>
      <c r="EE203" s="1">
        <v>0</v>
      </c>
      <c r="EF203" s="1">
        <v>3</v>
      </c>
      <c r="EG203" s="1">
        <v>0</v>
      </c>
      <c r="EH203" s="3">
        <v>9.1600760000000003E-2</v>
      </c>
      <c r="EI203" s="1">
        <v>0</v>
      </c>
      <c r="EL203" s="1">
        <v>0</v>
      </c>
      <c r="EM203" s="1">
        <v>0</v>
      </c>
      <c r="EN203" s="1">
        <v>1633661.45</v>
      </c>
      <c r="EO203" s="1">
        <v>1.2333592799999999</v>
      </c>
      <c r="ER203" s="1">
        <v>85.024041095890993</v>
      </c>
      <c r="ES203" s="1">
        <v>1</v>
      </c>
      <c r="ET203" s="3">
        <v>5.541242027</v>
      </c>
      <c r="EU203" s="3">
        <v>4.8344572389999998</v>
      </c>
      <c r="EV203" s="3">
        <v>3.8946395088350001</v>
      </c>
      <c r="EW203" s="3">
        <v>5.1260273969999997</v>
      </c>
      <c r="EX203" s="3">
        <v>0.26211707299999998</v>
      </c>
      <c r="EY203" s="3">
        <v>55</v>
      </c>
      <c r="EZ203" s="3">
        <v>1871</v>
      </c>
      <c r="FA203" s="1">
        <v>0</v>
      </c>
      <c r="FB203" s="1">
        <v>0</v>
      </c>
      <c r="FC203" s="3">
        <v>2.0327978459999998</v>
      </c>
      <c r="FD203" s="1">
        <v>0</v>
      </c>
      <c r="FE203" s="1">
        <v>0</v>
      </c>
    </row>
    <row r="204" spans="1:161" x14ac:dyDescent="0.3">
      <c r="A204" s="1">
        <v>16975579</v>
      </c>
      <c r="B204" s="1">
        <v>128</v>
      </c>
      <c r="C204" s="1">
        <v>9706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100</v>
      </c>
      <c r="J204" s="3">
        <v>100</v>
      </c>
      <c r="K204" s="1">
        <v>100000</v>
      </c>
      <c r="L204" s="1">
        <v>100000</v>
      </c>
      <c r="M204" s="1">
        <v>100000</v>
      </c>
      <c r="N204" s="3">
        <v>100000</v>
      </c>
      <c r="O204" s="1">
        <v>98271</v>
      </c>
      <c r="P204" s="1">
        <v>98271</v>
      </c>
      <c r="Q204" s="1">
        <v>98271</v>
      </c>
      <c r="R204" s="1">
        <v>98271</v>
      </c>
      <c r="S204" s="1">
        <v>100000</v>
      </c>
      <c r="T204" s="1">
        <v>100000</v>
      </c>
      <c r="U204" s="1">
        <v>100000</v>
      </c>
      <c r="V204" s="1">
        <v>100000</v>
      </c>
      <c r="W204" s="1">
        <v>0</v>
      </c>
      <c r="X204" s="1">
        <v>0</v>
      </c>
      <c r="Y204" s="1">
        <v>0</v>
      </c>
      <c r="Z204" s="1">
        <v>0</v>
      </c>
      <c r="AA204" s="1">
        <v>1324.59</v>
      </c>
      <c r="AB204" s="1">
        <v>1324.59</v>
      </c>
      <c r="AC204" s="1">
        <v>1324.59</v>
      </c>
      <c r="AD204" s="1">
        <v>1324.59</v>
      </c>
      <c r="AE204" s="3" t="s">
        <v>484</v>
      </c>
      <c r="AF204" s="3" t="s">
        <v>161</v>
      </c>
      <c r="AG204" s="1" t="s">
        <v>970</v>
      </c>
      <c r="AH204" s="3" t="s">
        <v>485</v>
      </c>
      <c r="AI204" s="1">
        <v>4</v>
      </c>
      <c r="AJ204" s="3" t="s">
        <v>165</v>
      </c>
      <c r="AK204" s="1" t="s">
        <v>191</v>
      </c>
      <c r="AL204" s="3">
        <v>64.120784409321999</v>
      </c>
      <c r="AM204" s="3">
        <v>63.746164383561002</v>
      </c>
      <c r="AN204" s="3">
        <v>63746.16</v>
      </c>
      <c r="AO204" s="3">
        <v>63746.16</v>
      </c>
      <c r="AP204" s="1" t="s">
        <v>164</v>
      </c>
      <c r="AQ204" s="1">
        <v>4</v>
      </c>
      <c r="AR204" s="1" t="s">
        <v>165</v>
      </c>
      <c r="AS204" s="3">
        <v>132534288.59999999</v>
      </c>
      <c r="AT204" s="1" t="s">
        <v>176</v>
      </c>
      <c r="AU204" s="1">
        <v>1</v>
      </c>
      <c r="AV204" s="1">
        <v>1</v>
      </c>
      <c r="AW204" s="3" t="s">
        <v>210</v>
      </c>
      <c r="AX204" s="3" t="s">
        <v>457</v>
      </c>
      <c r="AY204" s="1">
        <v>0</v>
      </c>
      <c r="BA204" s="3">
        <v>8205251.6799999997</v>
      </c>
      <c r="BB204" s="1">
        <v>1</v>
      </c>
      <c r="BD204" s="1" t="s">
        <v>971</v>
      </c>
      <c r="BE204" s="1">
        <v>1</v>
      </c>
      <c r="BF204" s="1">
        <v>1</v>
      </c>
      <c r="BG204" s="1" t="s">
        <v>168</v>
      </c>
      <c r="BH204" s="1">
        <v>0</v>
      </c>
      <c r="BI204" s="1">
        <v>31345322.399999999</v>
      </c>
      <c r="BJ204" s="1">
        <v>0</v>
      </c>
      <c r="BK204" s="1">
        <v>123618989.48999999</v>
      </c>
      <c r="BL204" s="1">
        <v>132456249.91</v>
      </c>
      <c r="BM204" s="1">
        <v>596150.00000000012</v>
      </c>
      <c r="BN204" s="1">
        <v>9219855.2300000004</v>
      </c>
      <c r="BO204" s="1">
        <v>23.664660909999998</v>
      </c>
      <c r="BP204" s="1">
        <v>0.45007313999999998</v>
      </c>
      <c r="BQ204" s="1">
        <v>6.9606796500000003</v>
      </c>
      <c r="BR204" s="1">
        <v>4.8126200000000001E-2</v>
      </c>
      <c r="BS204" s="1" t="s">
        <v>169</v>
      </c>
      <c r="BT204" s="1" t="s">
        <v>169</v>
      </c>
      <c r="BU204" s="1">
        <v>26356083.120000001</v>
      </c>
      <c r="BV204" s="1">
        <v>0</v>
      </c>
      <c r="BW204" s="1">
        <v>-374.62</v>
      </c>
      <c r="BX204" s="1">
        <v>-0.57999999999999996</v>
      </c>
      <c r="BY204" s="1" t="s">
        <v>170</v>
      </c>
      <c r="BZ204" s="1">
        <v>-78038.69</v>
      </c>
      <c r="CA204" s="1" t="s">
        <v>250</v>
      </c>
      <c r="CB204" s="1" t="s">
        <v>251</v>
      </c>
      <c r="CC204" s="1">
        <v>-35474.81</v>
      </c>
      <c r="CD204" s="1">
        <v>-35474.81</v>
      </c>
      <c r="CE204" s="1">
        <v>64120.78</v>
      </c>
      <c r="CF204" s="1">
        <v>64120.78</v>
      </c>
      <c r="CG204" s="1">
        <v>0</v>
      </c>
      <c r="CH204" s="1">
        <v>1.4438757900000001</v>
      </c>
      <c r="CI204" s="1">
        <v>13.27863496</v>
      </c>
      <c r="CJ204" s="1">
        <v>17588381.91</v>
      </c>
      <c r="CK204" s="1">
        <v>1912503.72</v>
      </c>
      <c r="CL204" s="1">
        <v>6269233.6699999999</v>
      </c>
      <c r="CM204" s="1" t="s">
        <v>164</v>
      </c>
      <c r="CN204" s="1" t="s">
        <v>164</v>
      </c>
      <c r="CO204" s="1" t="s">
        <v>184</v>
      </c>
      <c r="CP204" s="1" t="s">
        <v>243</v>
      </c>
      <c r="CQ204" s="3" t="s">
        <v>252</v>
      </c>
      <c r="CR204" s="1">
        <v>0</v>
      </c>
      <c r="CS204" s="1" t="s">
        <v>243</v>
      </c>
      <c r="CT204" s="1">
        <v>5.1566639999999997E-2</v>
      </c>
      <c r="CV204" s="1">
        <v>0</v>
      </c>
      <c r="CW204" s="1">
        <v>-219173.26</v>
      </c>
      <c r="DA204" s="1">
        <v>1355558.46</v>
      </c>
      <c r="DB204" s="1">
        <v>0</v>
      </c>
      <c r="DC204" s="1">
        <v>2520.3126550000002</v>
      </c>
      <c r="DD204" s="1">
        <v>52555.483399999997</v>
      </c>
      <c r="DE204" s="1">
        <v>-296353.43</v>
      </c>
      <c r="DF204" s="1">
        <v>92570020.519999996</v>
      </c>
      <c r="DG204" s="1">
        <v>-374.62</v>
      </c>
      <c r="DH204" s="1">
        <v>394770.09</v>
      </c>
      <c r="DI204" s="1">
        <v>0.29803809999999997</v>
      </c>
      <c r="DK204" s="1">
        <v>0</v>
      </c>
      <c r="DL204" s="1">
        <v>0</v>
      </c>
      <c r="DM204" s="1">
        <v>-296353.43</v>
      </c>
      <c r="DN204" s="1">
        <v>0</v>
      </c>
      <c r="DO204" s="1">
        <v>0</v>
      </c>
      <c r="DP204" s="1">
        <v>16777215</v>
      </c>
      <c r="DQ204" s="1">
        <v>0</v>
      </c>
      <c r="DR204" s="1">
        <v>0</v>
      </c>
      <c r="DS204" s="1">
        <v>0</v>
      </c>
      <c r="DT204" s="1">
        <v>0</v>
      </c>
      <c r="DU204" s="1">
        <v>0</v>
      </c>
      <c r="DV204" s="1">
        <v>63746.16</v>
      </c>
      <c r="DW204" s="1">
        <v>63746.16</v>
      </c>
      <c r="DX204" s="1">
        <v>31345322.399999999</v>
      </c>
      <c r="DY204" s="1">
        <v>-1110160.2399999984</v>
      </c>
      <c r="DZ204" s="1">
        <v>92570020.519999966</v>
      </c>
      <c r="EA204" s="1">
        <v>0</v>
      </c>
      <c r="EB204" s="1">
        <v>0</v>
      </c>
      <c r="EC204" s="1" t="s">
        <v>176</v>
      </c>
      <c r="EE204" s="1">
        <v>0</v>
      </c>
      <c r="EF204" s="1">
        <v>3</v>
      </c>
      <c r="EG204" s="1">
        <v>0</v>
      </c>
      <c r="EH204" s="3">
        <v>6.8862640000000003E-2</v>
      </c>
      <c r="EI204" s="1">
        <v>0</v>
      </c>
      <c r="EL204" s="1">
        <v>0</v>
      </c>
      <c r="EM204" s="1">
        <v>0</v>
      </c>
      <c r="EN204" s="1">
        <v>1633661.45</v>
      </c>
      <c r="EO204" s="1">
        <v>1.2333592799999999</v>
      </c>
      <c r="ER204" s="1">
        <v>64.015369863014001</v>
      </c>
      <c r="ES204" s="1">
        <v>1</v>
      </c>
      <c r="ET204" s="3">
        <v>10.339859883999999</v>
      </c>
      <c r="EU204" s="3">
        <v>5.5931836390000003</v>
      </c>
      <c r="EV204" s="3">
        <v>3.2449716700170002</v>
      </c>
      <c r="EW204" s="3">
        <v>6.0465753419999997</v>
      </c>
      <c r="EX204" s="3">
        <v>0.31725060399999999</v>
      </c>
      <c r="EY204" s="3">
        <v>61</v>
      </c>
      <c r="EZ204" s="3">
        <v>2207</v>
      </c>
      <c r="FA204" s="1">
        <v>0</v>
      </c>
      <c r="FB204" s="1">
        <v>0</v>
      </c>
      <c r="FC204" s="3">
        <v>2.2836127749999999</v>
      </c>
      <c r="FD204" s="1">
        <v>0</v>
      </c>
      <c r="FE204" s="1">
        <v>0</v>
      </c>
    </row>
    <row r="205" spans="1:161" x14ac:dyDescent="0.3">
      <c r="A205" s="1">
        <v>16975375</v>
      </c>
      <c r="B205" s="1">
        <v>128</v>
      </c>
      <c r="C205" s="1">
        <v>9713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200</v>
      </c>
      <c r="J205" s="3">
        <v>200</v>
      </c>
      <c r="K205" s="1">
        <v>200000</v>
      </c>
      <c r="L205" s="1">
        <v>200000</v>
      </c>
      <c r="M205" s="1">
        <v>200000</v>
      </c>
      <c r="N205" s="3">
        <v>200000</v>
      </c>
      <c r="O205" s="1">
        <v>196856</v>
      </c>
      <c r="P205" s="1">
        <v>196856</v>
      </c>
      <c r="Q205" s="1">
        <v>196856</v>
      </c>
      <c r="R205" s="1">
        <v>196856</v>
      </c>
      <c r="S205" s="1">
        <v>200000</v>
      </c>
      <c r="T205" s="1">
        <v>200000</v>
      </c>
      <c r="U205" s="1">
        <v>200000</v>
      </c>
      <c r="V205" s="1">
        <v>200000</v>
      </c>
      <c r="W205" s="1">
        <v>0</v>
      </c>
      <c r="X205" s="1">
        <v>0</v>
      </c>
      <c r="Y205" s="1">
        <v>0</v>
      </c>
      <c r="Z205" s="1">
        <v>0</v>
      </c>
      <c r="AA205" s="1">
        <v>2791.99</v>
      </c>
      <c r="AB205" s="1">
        <v>2791.99</v>
      </c>
      <c r="AC205" s="1">
        <v>2791.99</v>
      </c>
      <c r="AD205" s="1">
        <v>2791.99</v>
      </c>
      <c r="AE205" s="3" t="s">
        <v>486</v>
      </c>
      <c r="AF205" s="3" t="s">
        <v>161</v>
      </c>
      <c r="AG205" s="1" t="s">
        <v>970</v>
      </c>
      <c r="AH205" s="3" t="s">
        <v>487</v>
      </c>
      <c r="AI205" s="1">
        <v>4</v>
      </c>
      <c r="AJ205" s="3" t="s">
        <v>165</v>
      </c>
      <c r="AK205" s="1" t="s">
        <v>191</v>
      </c>
      <c r="AL205" s="3">
        <v>78.452299725062005</v>
      </c>
      <c r="AM205" s="3">
        <v>78.176739726028003</v>
      </c>
      <c r="AN205" s="3">
        <v>156353.48000000001</v>
      </c>
      <c r="AO205" s="3">
        <v>156353.48000000001</v>
      </c>
      <c r="AP205" s="1" t="s">
        <v>164</v>
      </c>
      <c r="AQ205" s="1">
        <v>4</v>
      </c>
      <c r="AR205" s="1" t="s">
        <v>165</v>
      </c>
      <c r="AS205" s="3">
        <v>132534288.59999999</v>
      </c>
      <c r="AT205" s="1" t="s">
        <v>176</v>
      </c>
      <c r="AU205" s="1">
        <v>1</v>
      </c>
      <c r="AV205" s="1">
        <v>1</v>
      </c>
      <c r="AW205" s="3" t="s">
        <v>210</v>
      </c>
      <c r="AX205" s="3" t="s">
        <v>457</v>
      </c>
      <c r="AY205" s="1">
        <v>0</v>
      </c>
      <c r="BA205" s="3">
        <v>8205251.6799999997</v>
      </c>
      <c r="BB205" s="1">
        <v>1</v>
      </c>
      <c r="BD205" s="1" t="s">
        <v>971</v>
      </c>
      <c r="BE205" s="1">
        <v>1</v>
      </c>
      <c r="BF205" s="1">
        <v>1</v>
      </c>
      <c r="BG205" s="1" t="s">
        <v>168</v>
      </c>
      <c r="BH205" s="1">
        <v>0</v>
      </c>
      <c r="BI205" s="1">
        <v>31345322.399999999</v>
      </c>
      <c r="BJ205" s="1">
        <v>0</v>
      </c>
      <c r="BK205" s="1">
        <v>123618989.48999999</v>
      </c>
      <c r="BL205" s="1">
        <v>132456249.91</v>
      </c>
      <c r="BM205" s="1">
        <v>596150.00000000012</v>
      </c>
      <c r="BN205" s="1">
        <v>9219855.2300000004</v>
      </c>
      <c r="BO205" s="1">
        <v>23.664660909999998</v>
      </c>
      <c r="BP205" s="1">
        <v>0.45007313999999998</v>
      </c>
      <c r="BQ205" s="1">
        <v>6.9606796500000003</v>
      </c>
      <c r="BR205" s="1">
        <v>0.1180416</v>
      </c>
      <c r="BS205" s="1" t="s">
        <v>169</v>
      </c>
      <c r="BT205" s="1" t="s">
        <v>169</v>
      </c>
      <c r="BU205" s="1">
        <v>26356083.120000001</v>
      </c>
      <c r="BV205" s="1">
        <v>0</v>
      </c>
      <c r="BW205" s="1">
        <v>-551.12</v>
      </c>
      <c r="BX205" s="1">
        <v>-0.36</v>
      </c>
      <c r="BY205" s="1" t="s">
        <v>170</v>
      </c>
      <c r="BZ205" s="1">
        <v>-78038.69</v>
      </c>
      <c r="CA205" s="1" t="s">
        <v>250</v>
      </c>
      <c r="CB205" s="1" t="s">
        <v>251</v>
      </c>
      <c r="CC205" s="1">
        <v>-42743.39</v>
      </c>
      <c r="CD205" s="1">
        <v>-42743.39</v>
      </c>
      <c r="CE205" s="1">
        <v>156904.6</v>
      </c>
      <c r="CF205" s="1">
        <v>156904.6</v>
      </c>
      <c r="CG205" s="1">
        <v>0</v>
      </c>
      <c r="CH205" s="1">
        <v>1.4438757900000001</v>
      </c>
      <c r="CI205" s="1">
        <v>13.27863496</v>
      </c>
      <c r="CJ205" s="1">
        <v>17588381.91</v>
      </c>
      <c r="CK205" s="1">
        <v>1912503.72</v>
      </c>
      <c r="CL205" s="1">
        <v>6269233.6699999999</v>
      </c>
      <c r="CM205" s="1" t="s">
        <v>164</v>
      </c>
      <c r="CN205" s="1" t="s">
        <v>164</v>
      </c>
      <c r="CO205" s="1" t="s">
        <v>184</v>
      </c>
      <c r="CP205" s="1" t="s">
        <v>243</v>
      </c>
      <c r="CQ205" s="3" t="s">
        <v>252</v>
      </c>
      <c r="CR205" s="1">
        <v>0</v>
      </c>
      <c r="CS205" s="1" t="s">
        <v>243</v>
      </c>
      <c r="CT205" s="1">
        <v>0.12648015000000001</v>
      </c>
      <c r="CV205" s="1">
        <v>0</v>
      </c>
      <c r="CW205" s="1">
        <v>-219173.26</v>
      </c>
      <c r="DA205" s="1">
        <v>1355558.46</v>
      </c>
      <c r="DB205" s="1">
        <v>0</v>
      </c>
      <c r="DC205" s="1">
        <v>2520.3126550000002</v>
      </c>
      <c r="DD205" s="1">
        <v>52555.483399999997</v>
      </c>
      <c r="DE205" s="1">
        <v>-296353.43</v>
      </c>
      <c r="DF205" s="1">
        <v>92570020.519999996</v>
      </c>
      <c r="DG205" s="1">
        <v>-551.12</v>
      </c>
      <c r="DH205" s="1">
        <v>394770.09</v>
      </c>
      <c r="DI205" s="1">
        <v>0.29803809999999997</v>
      </c>
      <c r="DK205" s="1">
        <v>0</v>
      </c>
      <c r="DL205" s="1">
        <v>0</v>
      </c>
      <c r="DM205" s="1">
        <v>-296353.43</v>
      </c>
      <c r="DN205" s="1">
        <v>0</v>
      </c>
      <c r="DO205" s="1">
        <v>0</v>
      </c>
      <c r="DP205" s="1">
        <v>16777215</v>
      </c>
      <c r="DQ205" s="1">
        <v>0</v>
      </c>
      <c r="DR205" s="1">
        <v>0</v>
      </c>
      <c r="DS205" s="1">
        <v>0</v>
      </c>
      <c r="DT205" s="1">
        <v>0</v>
      </c>
      <c r="DU205" s="1">
        <v>0</v>
      </c>
      <c r="DV205" s="1">
        <v>156353.48000000001</v>
      </c>
      <c r="DW205" s="1">
        <v>156353.48000000001</v>
      </c>
      <c r="DX205" s="1">
        <v>31345322.399999999</v>
      </c>
      <c r="DY205" s="1">
        <v>-1110160.2399999984</v>
      </c>
      <c r="DZ205" s="1">
        <v>92570020.519999966</v>
      </c>
      <c r="EA205" s="1">
        <v>0</v>
      </c>
      <c r="EB205" s="1">
        <v>0</v>
      </c>
      <c r="EC205" s="1" t="s">
        <v>176</v>
      </c>
      <c r="EE205" s="1">
        <v>0</v>
      </c>
      <c r="EF205" s="1">
        <v>3</v>
      </c>
      <c r="EG205" s="1">
        <v>0</v>
      </c>
      <c r="EH205" s="3">
        <v>0.16890293000000001</v>
      </c>
      <c r="EI205" s="1">
        <v>0</v>
      </c>
      <c r="EL205" s="1">
        <v>0</v>
      </c>
      <c r="EM205" s="1">
        <v>0</v>
      </c>
      <c r="EN205" s="1">
        <v>1633661.45</v>
      </c>
      <c r="EO205" s="1">
        <v>1.2333592799999999</v>
      </c>
      <c r="ER205" s="1">
        <v>78.400760273971997</v>
      </c>
      <c r="ES205" s="1">
        <v>1</v>
      </c>
      <c r="ET205" s="3">
        <v>6.5713679819999999</v>
      </c>
      <c r="EU205" s="3">
        <v>5.8266371210000001</v>
      </c>
      <c r="EV205" s="3">
        <v>4.286449435292</v>
      </c>
      <c r="EW205" s="3">
        <v>6.306849315</v>
      </c>
      <c r="EX205" s="3">
        <v>0.36692519299999998</v>
      </c>
      <c r="EY205" s="3">
        <v>66</v>
      </c>
      <c r="EZ205" s="3">
        <v>2302</v>
      </c>
      <c r="FA205" s="1">
        <v>0</v>
      </c>
      <c r="FB205" s="1">
        <v>0</v>
      </c>
      <c r="FC205" s="3">
        <v>2.514503688</v>
      </c>
      <c r="FD205" s="1">
        <v>0</v>
      </c>
      <c r="FE205" s="1">
        <v>0</v>
      </c>
    </row>
    <row r="206" spans="1:161" x14ac:dyDescent="0.3">
      <c r="A206" s="1">
        <v>16975357</v>
      </c>
      <c r="B206" s="1">
        <v>128</v>
      </c>
      <c r="C206" s="1">
        <v>9722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200</v>
      </c>
      <c r="J206" s="3">
        <v>200</v>
      </c>
      <c r="K206" s="1">
        <v>200000</v>
      </c>
      <c r="L206" s="1">
        <v>200000</v>
      </c>
      <c r="M206" s="1">
        <v>200000</v>
      </c>
      <c r="N206" s="3">
        <v>200000</v>
      </c>
      <c r="O206" s="1">
        <v>198880</v>
      </c>
      <c r="P206" s="1">
        <v>198880</v>
      </c>
      <c r="Q206" s="1">
        <v>198880</v>
      </c>
      <c r="R206" s="1">
        <v>198880</v>
      </c>
      <c r="S206" s="1">
        <v>200000</v>
      </c>
      <c r="T206" s="1">
        <v>200000</v>
      </c>
      <c r="U206" s="1">
        <v>200000</v>
      </c>
      <c r="V206" s="1">
        <v>200000</v>
      </c>
      <c r="W206" s="1">
        <v>0</v>
      </c>
      <c r="X206" s="1">
        <v>0</v>
      </c>
      <c r="Y206" s="1">
        <v>0</v>
      </c>
      <c r="Z206" s="1">
        <v>0</v>
      </c>
      <c r="AA206" s="1">
        <v>256.55</v>
      </c>
      <c r="AB206" s="1">
        <v>256.55</v>
      </c>
      <c r="AC206" s="1">
        <v>256.55</v>
      </c>
      <c r="AD206" s="1">
        <v>256.55</v>
      </c>
      <c r="AE206" s="3" t="s">
        <v>488</v>
      </c>
      <c r="AF206" s="3" t="s">
        <v>161</v>
      </c>
      <c r="AG206" s="1" t="s">
        <v>970</v>
      </c>
      <c r="AH206" s="3" t="s">
        <v>489</v>
      </c>
      <c r="AI206" s="1">
        <v>4</v>
      </c>
      <c r="AJ206" s="3" t="s">
        <v>165</v>
      </c>
      <c r="AK206" s="1" t="s">
        <v>191</v>
      </c>
      <c r="AL206" s="3">
        <v>73.532464972621995</v>
      </c>
      <c r="AM206" s="3">
        <v>73.384734972676995</v>
      </c>
      <c r="AN206" s="3">
        <v>146769.47</v>
      </c>
      <c r="AO206" s="3">
        <v>146769.47</v>
      </c>
      <c r="AP206" s="1" t="s">
        <v>164</v>
      </c>
      <c r="AQ206" s="1">
        <v>4</v>
      </c>
      <c r="AR206" s="1" t="s">
        <v>165</v>
      </c>
      <c r="AS206" s="3">
        <v>132534288.59999999</v>
      </c>
      <c r="AT206" s="1" t="s">
        <v>176</v>
      </c>
      <c r="AU206" s="1">
        <v>1</v>
      </c>
      <c r="AV206" s="1">
        <v>1</v>
      </c>
      <c r="AW206" s="3" t="s">
        <v>210</v>
      </c>
      <c r="AX206" s="3" t="s">
        <v>457</v>
      </c>
      <c r="AY206" s="1">
        <v>0</v>
      </c>
      <c r="BA206" s="3">
        <v>8205251.6799999997</v>
      </c>
      <c r="BB206" s="1">
        <v>1</v>
      </c>
      <c r="BD206" s="1" t="s">
        <v>971</v>
      </c>
      <c r="BE206" s="1">
        <v>1</v>
      </c>
      <c r="BF206" s="1">
        <v>1</v>
      </c>
      <c r="BG206" s="1" t="s">
        <v>168</v>
      </c>
      <c r="BH206" s="1">
        <v>0</v>
      </c>
      <c r="BI206" s="1">
        <v>31345322.399999999</v>
      </c>
      <c r="BJ206" s="1">
        <v>0</v>
      </c>
      <c r="BK206" s="1">
        <v>123618989.48999999</v>
      </c>
      <c r="BL206" s="1">
        <v>132456249.91</v>
      </c>
      <c r="BM206" s="1">
        <v>596150.00000000012</v>
      </c>
      <c r="BN206" s="1">
        <v>9219855.2300000004</v>
      </c>
      <c r="BO206" s="1">
        <v>23.664660909999998</v>
      </c>
      <c r="BP206" s="1">
        <v>0.45007313999999998</v>
      </c>
      <c r="BQ206" s="1">
        <v>6.9606796500000003</v>
      </c>
      <c r="BR206" s="1">
        <v>0.110806</v>
      </c>
      <c r="BS206" s="1" t="s">
        <v>169</v>
      </c>
      <c r="BT206" s="1" t="s">
        <v>169</v>
      </c>
      <c r="BU206" s="1">
        <v>26356083.120000001</v>
      </c>
      <c r="BV206" s="1">
        <v>0</v>
      </c>
      <c r="BW206" s="1">
        <v>-295.45999999999998</v>
      </c>
      <c r="BX206" s="1">
        <v>-0.2</v>
      </c>
      <c r="BY206" s="1" t="s">
        <v>170</v>
      </c>
      <c r="BZ206" s="1">
        <v>-78038.69</v>
      </c>
      <c r="CA206" s="1" t="s">
        <v>250</v>
      </c>
      <c r="CB206" s="1" t="s">
        <v>251</v>
      </c>
      <c r="CC206" s="1">
        <v>-52071.62</v>
      </c>
      <c r="CD206" s="1">
        <v>-52071.62</v>
      </c>
      <c r="CE206" s="1">
        <v>147064.93</v>
      </c>
      <c r="CF206" s="1">
        <v>147064.93</v>
      </c>
      <c r="CG206" s="1">
        <v>0</v>
      </c>
      <c r="CH206" s="1">
        <v>1.4438757900000001</v>
      </c>
      <c r="CI206" s="1">
        <v>13.27863496</v>
      </c>
      <c r="CJ206" s="1">
        <v>17588381.91</v>
      </c>
      <c r="CK206" s="1">
        <v>1912503.72</v>
      </c>
      <c r="CL206" s="1">
        <v>6269233.6699999999</v>
      </c>
      <c r="CM206" s="1" t="s">
        <v>164</v>
      </c>
      <c r="CN206" s="1" t="s">
        <v>164</v>
      </c>
      <c r="CO206" s="1" t="s">
        <v>184</v>
      </c>
      <c r="CP206" s="1" t="s">
        <v>243</v>
      </c>
      <c r="CQ206" s="3" t="s">
        <v>252</v>
      </c>
      <c r="CR206" s="1">
        <v>0</v>
      </c>
      <c r="CS206" s="1" t="s">
        <v>243</v>
      </c>
      <c r="CT206" s="1">
        <v>0.11872729</v>
      </c>
      <c r="CV206" s="1">
        <v>0</v>
      </c>
      <c r="CW206" s="1">
        <v>-219173.26</v>
      </c>
      <c r="DA206" s="1">
        <v>1355558.46</v>
      </c>
      <c r="DB206" s="1">
        <v>0</v>
      </c>
      <c r="DC206" s="1">
        <v>2520.3126550000002</v>
      </c>
      <c r="DD206" s="1">
        <v>52555.483399999997</v>
      </c>
      <c r="DE206" s="1">
        <v>-296353.43</v>
      </c>
      <c r="DF206" s="1">
        <v>92570020.519999996</v>
      </c>
      <c r="DG206" s="1">
        <v>-295.45999999999998</v>
      </c>
      <c r="DH206" s="1">
        <v>394770.09</v>
      </c>
      <c r="DI206" s="1">
        <v>0.29803809999999997</v>
      </c>
      <c r="DK206" s="1">
        <v>0</v>
      </c>
      <c r="DL206" s="1">
        <v>0</v>
      </c>
      <c r="DM206" s="1">
        <v>-296353.43</v>
      </c>
      <c r="DN206" s="1">
        <v>0</v>
      </c>
      <c r="DO206" s="1">
        <v>0</v>
      </c>
      <c r="DP206" s="1">
        <v>16777215</v>
      </c>
      <c r="DQ206" s="1">
        <v>0</v>
      </c>
      <c r="DR206" s="1">
        <v>0</v>
      </c>
      <c r="DS206" s="1">
        <v>0</v>
      </c>
      <c r="DT206" s="1">
        <v>0</v>
      </c>
      <c r="DU206" s="1">
        <v>0</v>
      </c>
      <c r="DV206" s="1">
        <v>146769.47</v>
      </c>
      <c r="DW206" s="1">
        <v>146769.47</v>
      </c>
      <c r="DX206" s="1">
        <v>31345322.399999999</v>
      </c>
      <c r="DY206" s="1">
        <v>-1110160.2399999984</v>
      </c>
      <c r="DZ206" s="1">
        <v>92570020.519999966</v>
      </c>
      <c r="EA206" s="1">
        <v>0</v>
      </c>
      <c r="EB206" s="1">
        <v>0</v>
      </c>
      <c r="EC206" s="1" t="s">
        <v>176</v>
      </c>
      <c r="EE206" s="1">
        <v>0</v>
      </c>
      <c r="EF206" s="1">
        <v>3</v>
      </c>
      <c r="EG206" s="1">
        <v>0</v>
      </c>
      <c r="EH206" s="3">
        <v>0.15854968</v>
      </c>
      <c r="EI206" s="1">
        <v>0</v>
      </c>
      <c r="EL206" s="1">
        <v>0</v>
      </c>
      <c r="EM206" s="1">
        <v>0</v>
      </c>
      <c r="EN206" s="1">
        <v>1633661.45</v>
      </c>
      <c r="EO206" s="1">
        <v>1.2333592799999999</v>
      </c>
      <c r="ER206" s="1">
        <v>73.462478142075994</v>
      </c>
      <c r="ES206" s="1">
        <v>1</v>
      </c>
      <c r="ET206" s="3">
        <v>8.7529065530000008</v>
      </c>
      <c r="EU206" s="3">
        <v>4.4141415779999997</v>
      </c>
      <c r="EV206" s="3">
        <v>2.9817481615100001</v>
      </c>
      <c r="EW206" s="3">
        <v>4.5643835619999997</v>
      </c>
      <c r="EX206" s="3">
        <v>0.20544490500000001</v>
      </c>
      <c r="EY206" s="3">
        <v>49</v>
      </c>
      <c r="EZ206" s="3">
        <v>1666</v>
      </c>
      <c r="FA206" s="1">
        <v>0</v>
      </c>
      <c r="FB206" s="1">
        <v>0</v>
      </c>
      <c r="FC206" s="3">
        <v>1.5634381740000001</v>
      </c>
      <c r="FD206" s="1">
        <v>0</v>
      </c>
      <c r="FE206" s="1">
        <v>0</v>
      </c>
    </row>
    <row r="207" spans="1:161" x14ac:dyDescent="0.3">
      <c r="A207" s="1">
        <v>16975348</v>
      </c>
      <c r="B207" s="1">
        <v>128</v>
      </c>
      <c r="C207" s="1">
        <v>2869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1</v>
      </c>
      <c r="J207" s="3">
        <v>1</v>
      </c>
      <c r="K207" s="1">
        <v>100000</v>
      </c>
      <c r="L207" s="1">
        <v>100000</v>
      </c>
      <c r="M207" s="1">
        <v>100000</v>
      </c>
      <c r="N207" s="3">
        <v>100000</v>
      </c>
      <c r="O207" s="1">
        <v>0</v>
      </c>
      <c r="P207" s="1">
        <v>0</v>
      </c>
      <c r="Q207" s="1">
        <v>0</v>
      </c>
      <c r="R207" s="1">
        <v>0</v>
      </c>
      <c r="S207" s="1">
        <v>100000</v>
      </c>
      <c r="T207" s="1">
        <v>100000</v>
      </c>
      <c r="U207" s="1">
        <v>100000</v>
      </c>
      <c r="V207" s="1">
        <v>100000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3" t="s">
        <v>490</v>
      </c>
      <c r="AF207" s="3" t="s">
        <v>161</v>
      </c>
      <c r="AG207" s="1" t="s">
        <v>970</v>
      </c>
      <c r="AH207" s="3" t="s">
        <v>491</v>
      </c>
      <c r="AI207" s="1">
        <v>4</v>
      </c>
      <c r="AJ207" s="3" t="s">
        <v>165</v>
      </c>
      <c r="AK207" s="1" t="s">
        <v>191</v>
      </c>
      <c r="AL207" s="3">
        <v>0</v>
      </c>
      <c r="AM207" s="3">
        <v>0</v>
      </c>
      <c r="AN207" s="3">
        <v>0</v>
      </c>
      <c r="AO207" s="3">
        <v>0</v>
      </c>
      <c r="AP207" s="1" t="s">
        <v>164</v>
      </c>
      <c r="AQ207" s="1">
        <v>4</v>
      </c>
      <c r="AR207" s="1" t="s">
        <v>165</v>
      </c>
      <c r="AS207" s="3">
        <v>132534288.59999999</v>
      </c>
      <c r="AT207" s="1" t="s">
        <v>176</v>
      </c>
      <c r="AU207" s="1">
        <v>1</v>
      </c>
      <c r="AV207" s="1">
        <v>1</v>
      </c>
      <c r="AW207" s="3" t="s">
        <v>210</v>
      </c>
      <c r="AX207" s="3" t="s">
        <v>167</v>
      </c>
      <c r="AY207" s="1">
        <v>0</v>
      </c>
      <c r="AZ207">
        <v>999999999</v>
      </c>
      <c r="BA207" s="3">
        <v>8205251.6799999997</v>
      </c>
      <c r="BB207" s="1">
        <v>1</v>
      </c>
      <c r="BD207" s="1" t="s">
        <v>971</v>
      </c>
      <c r="BE207" s="1">
        <v>1</v>
      </c>
      <c r="BF207" s="1">
        <v>1</v>
      </c>
      <c r="BG207" s="1" t="s">
        <v>168</v>
      </c>
      <c r="BH207" s="1">
        <v>0</v>
      </c>
      <c r="BI207" s="1">
        <v>31345322.399999999</v>
      </c>
      <c r="BJ207" s="1">
        <v>0</v>
      </c>
      <c r="BK207" s="1">
        <v>123618989.48999999</v>
      </c>
      <c r="BL207" s="1">
        <v>132456249.91</v>
      </c>
      <c r="BM207" s="1">
        <v>596150.00000000012</v>
      </c>
      <c r="BN207" s="1">
        <v>9219855.2300000004</v>
      </c>
      <c r="BO207" s="1">
        <v>23.664660909999998</v>
      </c>
      <c r="BP207" s="1">
        <v>0.45007313999999998</v>
      </c>
      <c r="BQ207" s="1">
        <v>6.9606796500000003</v>
      </c>
      <c r="BR207" s="1">
        <v>0</v>
      </c>
      <c r="BS207" s="1" t="s">
        <v>169</v>
      </c>
      <c r="BT207" s="1" t="s">
        <v>169</v>
      </c>
      <c r="BU207" s="1">
        <v>26356083.120000001</v>
      </c>
      <c r="BV207" s="1">
        <v>0</v>
      </c>
      <c r="BW207" s="1">
        <v>0</v>
      </c>
      <c r="BX207" s="1">
        <v>0</v>
      </c>
      <c r="BY207" s="1" t="s">
        <v>170</v>
      </c>
      <c r="BZ207" s="1">
        <v>-78038.69</v>
      </c>
      <c r="CA207" s="1" t="s">
        <v>250</v>
      </c>
      <c r="CB207" s="1" t="s">
        <v>251</v>
      </c>
      <c r="CC207" s="1">
        <v>0</v>
      </c>
      <c r="CD207" s="1">
        <v>0</v>
      </c>
      <c r="CE207" s="1">
        <v>0</v>
      </c>
      <c r="CF207" s="1">
        <v>0</v>
      </c>
      <c r="CG207" s="1">
        <v>0</v>
      </c>
      <c r="CH207" s="1">
        <v>1.4438757900000001</v>
      </c>
      <c r="CI207" s="1">
        <v>13.27863496</v>
      </c>
      <c r="CJ207" s="1">
        <v>17588381.91</v>
      </c>
      <c r="CK207" s="1">
        <v>1912503.72</v>
      </c>
      <c r="CL207" s="1">
        <v>6269233.6699999999</v>
      </c>
      <c r="CM207" s="1" t="s">
        <v>164</v>
      </c>
      <c r="CN207" s="1" t="s">
        <v>164</v>
      </c>
      <c r="CO207" s="1" t="s">
        <v>184</v>
      </c>
      <c r="CP207" s="1" t="s">
        <v>243</v>
      </c>
      <c r="CQ207" s="3" t="s">
        <v>252</v>
      </c>
      <c r="CR207" s="1">
        <v>0</v>
      </c>
      <c r="CS207" s="1" t="s">
        <v>243</v>
      </c>
      <c r="CT207" s="1">
        <v>0</v>
      </c>
      <c r="CV207" s="1">
        <v>0</v>
      </c>
      <c r="CW207" s="1">
        <v>-219173.26</v>
      </c>
      <c r="DA207" s="1">
        <v>1355558.46</v>
      </c>
      <c r="DB207" s="1">
        <v>0</v>
      </c>
      <c r="DC207" s="1">
        <v>2520.3126550000002</v>
      </c>
      <c r="DD207" s="1">
        <v>52555.483399999997</v>
      </c>
      <c r="DE207" s="1">
        <v>-296353.43</v>
      </c>
      <c r="DF207" s="1">
        <v>92570020.519999996</v>
      </c>
      <c r="DG207" s="1">
        <v>0</v>
      </c>
      <c r="DH207" s="1">
        <v>394770.09</v>
      </c>
      <c r="DI207" s="1">
        <v>0.29803809999999997</v>
      </c>
      <c r="DK207" s="1">
        <v>0</v>
      </c>
      <c r="DL207" s="1">
        <v>0</v>
      </c>
      <c r="DM207" s="1">
        <v>-296353.43</v>
      </c>
      <c r="DN207" s="1">
        <v>0</v>
      </c>
      <c r="DO207" s="1">
        <v>0</v>
      </c>
      <c r="DP207" s="1">
        <v>16777215</v>
      </c>
      <c r="DQ207" s="1">
        <v>0</v>
      </c>
      <c r="DR207" s="1">
        <v>0</v>
      </c>
      <c r="DS207" s="1">
        <v>0</v>
      </c>
      <c r="DT207" s="1">
        <v>0</v>
      </c>
      <c r="DU207" s="1">
        <v>0</v>
      </c>
      <c r="DV207" s="1">
        <v>0</v>
      </c>
      <c r="DW207" s="1">
        <v>0</v>
      </c>
      <c r="DX207" s="1">
        <v>31345322.399999999</v>
      </c>
      <c r="DY207" s="1">
        <v>-1110160.2399999984</v>
      </c>
      <c r="DZ207" s="1">
        <v>92570020.519999966</v>
      </c>
      <c r="EA207" s="1">
        <v>0</v>
      </c>
      <c r="EB207" s="1">
        <v>0</v>
      </c>
      <c r="EC207" s="1" t="s">
        <v>176</v>
      </c>
      <c r="EE207" s="1">
        <v>0</v>
      </c>
      <c r="EF207" s="1">
        <v>3</v>
      </c>
      <c r="EG207" s="1">
        <v>0</v>
      </c>
      <c r="EH207" s="3">
        <v>0</v>
      </c>
      <c r="EI207" s="1">
        <v>0</v>
      </c>
      <c r="EL207" s="1">
        <v>0</v>
      </c>
      <c r="EM207" s="1">
        <v>0</v>
      </c>
      <c r="EN207" s="1">
        <v>1633661.45</v>
      </c>
      <c r="EO207" s="1">
        <v>1.2333592799999999</v>
      </c>
      <c r="ER207" s="1">
        <v>0</v>
      </c>
      <c r="ES207" s="1">
        <v>1</v>
      </c>
      <c r="ET207" s="3">
        <v>0</v>
      </c>
      <c r="EU207" s="3">
        <v>0</v>
      </c>
      <c r="EV207" s="3">
        <v>0</v>
      </c>
      <c r="EW207" s="3">
        <v>-7.219178082</v>
      </c>
      <c r="EX207" s="3">
        <v>0</v>
      </c>
      <c r="EY207" s="3">
        <v>0</v>
      </c>
      <c r="EZ207" s="3">
        <v>-2635</v>
      </c>
      <c r="FA207" s="1">
        <v>0</v>
      </c>
      <c r="FB207" s="1">
        <v>0</v>
      </c>
      <c r="FC207" s="3">
        <v>0</v>
      </c>
      <c r="FD207" s="1">
        <v>0</v>
      </c>
      <c r="FE207" s="1">
        <v>0</v>
      </c>
    </row>
    <row r="208" spans="1:161" x14ac:dyDescent="0.3">
      <c r="A208" s="1">
        <v>16975502</v>
      </c>
      <c r="B208" s="1">
        <v>128</v>
      </c>
      <c r="C208" s="1">
        <v>10473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300000000</v>
      </c>
      <c r="J208" s="3">
        <v>300000000</v>
      </c>
      <c r="K208" s="1">
        <v>3000000</v>
      </c>
      <c r="L208" s="1">
        <v>3000000</v>
      </c>
      <c r="M208" s="1">
        <v>3000000</v>
      </c>
      <c r="N208" s="3">
        <v>3000000</v>
      </c>
      <c r="O208" s="1">
        <v>2922630</v>
      </c>
      <c r="P208" s="1">
        <v>2922630</v>
      </c>
      <c r="Q208" s="1">
        <v>2922630</v>
      </c>
      <c r="R208" s="1">
        <v>2922630</v>
      </c>
      <c r="S208" s="1">
        <v>3000000</v>
      </c>
      <c r="T208" s="1">
        <v>3000000</v>
      </c>
      <c r="U208" s="1">
        <v>3000000</v>
      </c>
      <c r="V208" s="1">
        <v>3000000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3" t="s">
        <v>591</v>
      </c>
      <c r="AF208" s="3" t="s">
        <v>161</v>
      </c>
      <c r="AG208" s="1" t="s">
        <v>970</v>
      </c>
      <c r="AH208" s="4" t="s">
        <v>592</v>
      </c>
      <c r="AI208" s="1">
        <v>4</v>
      </c>
      <c r="AJ208" s="3" t="s">
        <v>165</v>
      </c>
      <c r="AK208" s="1" t="s">
        <v>191</v>
      </c>
      <c r="AL208" s="3">
        <v>98.563000000000002</v>
      </c>
      <c r="AM208" s="3">
        <v>98.564000000000007</v>
      </c>
      <c r="AN208" s="3">
        <v>2956920</v>
      </c>
      <c r="AO208" s="3">
        <v>2956920</v>
      </c>
      <c r="AP208" s="1" t="s">
        <v>164</v>
      </c>
      <c r="AQ208" s="1">
        <v>4</v>
      </c>
      <c r="AR208" s="1" t="s">
        <v>165</v>
      </c>
      <c r="AS208" s="3">
        <v>132534288.59999999</v>
      </c>
      <c r="AT208" s="1" t="s">
        <v>176</v>
      </c>
      <c r="AU208" s="1">
        <v>1</v>
      </c>
      <c r="AV208" s="1">
        <v>1</v>
      </c>
      <c r="AW208" s="3" t="s">
        <v>494</v>
      </c>
      <c r="AX208" s="3" t="s">
        <v>495</v>
      </c>
      <c r="AY208" s="1">
        <v>0</v>
      </c>
      <c r="BA208" s="3">
        <v>8205251.6799999997</v>
      </c>
      <c r="BB208" s="1">
        <v>1</v>
      </c>
      <c r="BD208" s="1" t="s">
        <v>971</v>
      </c>
      <c r="BE208" s="1">
        <v>1</v>
      </c>
      <c r="BF208" s="1">
        <v>1</v>
      </c>
      <c r="BG208" s="1" t="s">
        <v>168</v>
      </c>
      <c r="BH208" s="1">
        <v>0</v>
      </c>
      <c r="BI208" s="1">
        <v>31345322.399999999</v>
      </c>
      <c r="BJ208" s="1">
        <v>0</v>
      </c>
      <c r="BK208" s="1">
        <v>123618989.48999999</v>
      </c>
      <c r="BL208" s="1">
        <v>132456249.91</v>
      </c>
      <c r="BM208" s="1">
        <v>596150.00000000012</v>
      </c>
      <c r="BN208" s="1">
        <v>9219855.2300000004</v>
      </c>
      <c r="BO208" s="1">
        <v>23.664660909999998</v>
      </c>
      <c r="BP208" s="1">
        <v>0.45007313999999998</v>
      </c>
      <c r="BQ208" s="1">
        <v>6.9606796500000003</v>
      </c>
      <c r="BR208" s="1">
        <v>2.2323748399999999</v>
      </c>
      <c r="BS208" s="1" t="s">
        <v>169</v>
      </c>
      <c r="BT208" s="1" t="s">
        <v>169</v>
      </c>
      <c r="BU208" s="1">
        <v>26356083.120000001</v>
      </c>
      <c r="BV208" s="1">
        <v>0</v>
      </c>
      <c r="BW208" s="1">
        <v>30</v>
      </c>
      <c r="BX208" s="1">
        <v>0</v>
      </c>
      <c r="BY208" s="1" t="s">
        <v>170</v>
      </c>
      <c r="BZ208" s="1">
        <v>-78038.69</v>
      </c>
      <c r="CA208" s="1" t="s">
        <v>250</v>
      </c>
      <c r="CB208" s="1" t="s">
        <v>593</v>
      </c>
      <c r="CC208" s="1">
        <v>34260</v>
      </c>
      <c r="CD208" s="1">
        <v>34260</v>
      </c>
      <c r="CE208" s="1">
        <v>2956890</v>
      </c>
      <c r="CF208" s="1">
        <v>2956890</v>
      </c>
      <c r="CG208" s="1">
        <v>0</v>
      </c>
      <c r="CH208" s="1">
        <v>1.4438757900000001</v>
      </c>
      <c r="CI208" s="1">
        <v>13.27863496</v>
      </c>
      <c r="CJ208" s="1">
        <v>17588381.91</v>
      </c>
      <c r="CK208" s="1">
        <v>1912503.72</v>
      </c>
      <c r="CL208" s="1">
        <v>6269233.6699999999</v>
      </c>
      <c r="CM208" s="1" t="s">
        <v>164</v>
      </c>
      <c r="CN208" s="1" t="s">
        <v>164</v>
      </c>
      <c r="CO208" s="1" t="s">
        <v>184</v>
      </c>
      <c r="CP208" s="1" t="s">
        <v>243</v>
      </c>
      <c r="CQ208" s="3" t="s">
        <v>252</v>
      </c>
      <c r="CR208" s="1">
        <v>0</v>
      </c>
      <c r="CS208" s="1" t="s">
        <v>243</v>
      </c>
      <c r="CT208" s="1">
        <v>2.3919625999999998</v>
      </c>
      <c r="CV208" s="1">
        <v>0</v>
      </c>
      <c r="CW208" s="1">
        <v>-219173.26</v>
      </c>
      <c r="DA208" s="1">
        <v>1355558.46</v>
      </c>
      <c r="DB208" s="1">
        <v>0</v>
      </c>
      <c r="DC208" s="1">
        <v>2520.3126550000002</v>
      </c>
      <c r="DD208" s="1">
        <v>52555.483399999997</v>
      </c>
      <c r="DE208" s="1">
        <v>-296353.43</v>
      </c>
      <c r="DF208" s="1">
        <v>92570020.519999996</v>
      </c>
      <c r="DG208" s="1">
        <v>30</v>
      </c>
      <c r="DH208" s="1">
        <v>394770.09</v>
      </c>
      <c r="DI208" s="1">
        <v>0.29803809999999997</v>
      </c>
      <c r="DK208" s="1">
        <v>0</v>
      </c>
      <c r="DL208" s="1">
        <v>0</v>
      </c>
      <c r="DM208" s="1">
        <v>-296353.43</v>
      </c>
      <c r="DN208" s="1">
        <v>0</v>
      </c>
      <c r="DO208" s="1">
        <v>0</v>
      </c>
      <c r="DP208" s="1">
        <v>16777215</v>
      </c>
      <c r="DQ208" s="1">
        <v>0</v>
      </c>
      <c r="DR208" s="1">
        <v>0</v>
      </c>
      <c r="DS208" s="1">
        <v>0</v>
      </c>
      <c r="DT208" s="1">
        <v>0</v>
      </c>
      <c r="DU208" s="1">
        <v>0</v>
      </c>
      <c r="DV208" s="1">
        <v>2956920</v>
      </c>
      <c r="DW208" s="1">
        <v>2956920</v>
      </c>
      <c r="DX208" s="1">
        <v>31345322.399999999</v>
      </c>
      <c r="DY208" s="1">
        <v>-1110160.2399999984</v>
      </c>
      <c r="DZ208" s="1">
        <v>92570020.519999966</v>
      </c>
      <c r="EA208" s="1">
        <v>0</v>
      </c>
      <c r="EB208" s="1">
        <v>0</v>
      </c>
      <c r="EC208" s="1" t="s">
        <v>176</v>
      </c>
      <c r="EE208" s="1">
        <v>0</v>
      </c>
      <c r="EF208" s="1">
        <v>3</v>
      </c>
      <c r="EG208" s="1">
        <v>0</v>
      </c>
      <c r="EH208" s="3">
        <v>3.1942522900000001</v>
      </c>
      <c r="EI208" s="1">
        <v>0</v>
      </c>
      <c r="EL208" s="1">
        <v>0</v>
      </c>
      <c r="EM208" s="1">
        <v>0</v>
      </c>
      <c r="EN208" s="1">
        <v>1633661.45</v>
      </c>
      <c r="EO208" s="1">
        <v>1.2333592799999999</v>
      </c>
      <c r="ER208" s="1">
        <v>98.552499999999995</v>
      </c>
      <c r="ES208" s="1">
        <v>1</v>
      </c>
      <c r="ET208" s="3">
        <v>3.765708627</v>
      </c>
      <c r="EU208" s="3">
        <v>0.39444444400000001</v>
      </c>
      <c r="EV208" s="3">
        <v>0.37462748126200002</v>
      </c>
      <c r="EW208" s="3">
        <v>0.38904109599999998</v>
      </c>
      <c r="EX208" s="3">
        <v>5.1083350000000003E-3</v>
      </c>
      <c r="EY208" s="3">
        <v>5</v>
      </c>
      <c r="EZ208" s="3">
        <v>142</v>
      </c>
      <c r="FA208" s="1">
        <v>0</v>
      </c>
      <c r="FB208" s="1">
        <v>0</v>
      </c>
      <c r="FC208" s="3">
        <v>6.8484186459999998</v>
      </c>
      <c r="FD208" s="1">
        <v>0</v>
      </c>
      <c r="FE208" s="1">
        <v>0</v>
      </c>
    </row>
    <row r="209" spans="1:161" x14ac:dyDescent="0.3">
      <c r="A209" s="1">
        <v>16975501</v>
      </c>
      <c r="B209" s="1">
        <v>128</v>
      </c>
      <c r="C209" s="1">
        <v>10492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300000000</v>
      </c>
      <c r="J209" s="3">
        <v>300000000</v>
      </c>
      <c r="K209" s="1">
        <v>3000000</v>
      </c>
      <c r="L209" s="1">
        <v>3000000</v>
      </c>
      <c r="M209" s="1">
        <v>3000000</v>
      </c>
      <c r="N209" s="3">
        <v>3000000</v>
      </c>
      <c r="O209" s="1">
        <v>2917650</v>
      </c>
      <c r="P209" s="1">
        <v>2917650</v>
      </c>
      <c r="Q209" s="1">
        <v>2917650</v>
      </c>
      <c r="R209" s="1">
        <v>2917650</v>
      </c>
      <c r="S209" s="1">
        <v>3000000</v>
      </c>
      <c r="T209" s="1">
        <v>3000000</v>
      </c>
      <c r="U209" s="1">
        <v>3000000</v>
      </c>
      <c r="V209" s="1">
        <v>3000000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3" t="s">
        <v>667</v>
      </c>
      <c r="AF209" s="3" t="s">
        <v>161</v>
      </c>
      <c r="AG209" s="1" t="s">
        <v>970</v>
      </c>
      <c r="AH209" s="3" t="s">
        <v>668</v>
      </c>
      <c r="AI209" s="1">
        <v>4</v>
      </c>
      <c r="AJ209" s="3" t="s">
        <v>165</v>
      </c>
      <c r="AK209" s="1" t="s">
        <v>191</v>
      </c>
      <c r="AL209" s="3">
        <v>98.287999999999997</v>
      </c>
      <c r="AM209" s="3">
        <v>98.295500000000004</v>
      </c>
      <c r="AN209" s="3">
        <v>2948865</v>
      </c>
      <c r="AO209" s="3">
        <v>2948865</v>
      </c>
      <c r="AP209" s="1" t="s">
        <v>164</v>
      </c>
      <c r="AQ209" s="1">
        <v>4</v>
      </c>
      <c r="AR209" s="1" t="s">
        <v>165</v>
      </c>
      <c r="AS209" s="3">
        <v>132534288.59999999</v>
      </c>
      <c r="AT209" s="1" t="s">
        <v>176</v>
      </c>
      <c r="AU209" s="1">
        <v>1</v>
      </c>
      <c r="AV209" s="1">
        <v>1</v>
      </c>
      <c r="AW209" s="3" t="s">
        <v>494</v>
      </c>
      <c r="AX209" s="3" t="s">
        <v>495</v>
      </c>
      <c r="AY209" s="1">
        <v>0</v>
      </c>
      <c r="BA209" s="3">
        <v>8205251.6799999997</v>
      </c>
      <c r="BB209" s="1">
        <v>1</v>
      </c>
      <c r="BD209" s="1" t="s">
        <v>971</v>
      </c>
      <c r="BE209" s="1">
        <v>1</v>
      </c>
      <c r="BF209" s="1">
        <v>1</v>
      </c>
      <c r="BG209" s="1" t="s">
        <v>168</v>
      </c>
      <c r="BH209" s="1">
        <v>0</v>
      </c>
      <c r="BI209" s="1">
        <v>31345322.399999999</v>
      </c>
      <c r="BJ209" s="1">
        <v>0</v>
      </c>
      <c r="BK209" s="1">
        <v>123618989.48999999</v>
      </c>
      <c r="BL209" s="1">
        <v>132456249.91</v>
      </c>
      <c r="BM209" s="1">
        <v>596150.00000000012</v>
      </c>
      <c r="BN209" s="1">
        <v>9219855.2300000004</v>
      </c>
      <c r="BO209" s="1">
        <v>23.664660909999998</v>
      </c>
      <c r="BP209" s="1">
        <v>0.45007313999999998</v>
      </c>
      <c r="BQ209" s="1">
        <v>6.9606796500000003</v>
      </c>
      <c r="BR209" s="1">
        <v>2.22629359</v>
      </c>
      <c r="BS209" s="1" t="s">
        <v>169</v>
      </c>
      <c r="BT209" s="1" t="s">
        <v>169</v>
      </c>
      <c r="BU209" s="1">
        <v>26356083.120000001</v>
      </c>
      <c r="BV209" s="1">
        <v>0</v>
      </c>
      <c r="BW209" s="1">
        <v>225</v>
      </c>
      <c r="BX209" s="1">
        <v>0.01</v>
      </c>
      <c r="BY209" s="1" t="s">
        <v>170</v>
      </c>
      <c r="BZ209" s="1">
        <v>-78038.69</v>
      </c>
      <c r="CA209" s="1" t="s">
        <v>250</v>
      </c>
      <c r="CB209" s="1" t="s">
        <v>593</v>
      </c>
      <c r="CC209" s="1">
        <v>30990</v>
      </c>
      <c r="CD209" s="1">
        <v>30990</v>
      </c>
      <c r="CE209" s="1">
        <v>2948640</v>
      </c>
      <c r="CF209" s="1">
        <v>2948640</v>
      </c>
      <c r="CG209" s="1">
        <v>0</v>
      </c>
      <c r="CH209" s="1">
        <v>1.4438757900000001</v>
      </c>
      <c r="CI209" s="1">
        <v>13.27863496</v>
      </c>
      <c r="CJ209" s="1">
        <v>17588381.91</v>
      </c>
      <c r="CK209" s="1">
        <v>1912503.72</v>
      </c>
      <c r="CL209" s="1">
        <v>6269233.6699999999</v>
      </c>
      <c r="CM209" s="1" t="s">
        <v>164</v>
      </c>
      <c r="CN209" s="1" t="s">
        <v>164</v>
      </c>
      <c r="CO209" s="1" t="s">
        <v>184</v>
      </c>
      <c r="CP209" s="1" t="s">
        <v>243</v>
      </c>
      <c r="CQ209" s="3" t="s">
        <v>252</v>
      </c>
      <c r="CR209" s="1">
        <v>0</v>
      </c>
      <c r="CS209" s="1" t="s">
        <v>243</v>
      </c>
      <c r="CT209" s="1">
        <v>2.3854466099999998</v>
      </c>
      <c r="CV209" s="1">
        <v>0</v>
      </c>
      <c r="CW209" s="1">
        <v>-219173.26</v>
      </c>
      <c r="DA209" s="1">
        <v>1355558.46</v>
      </c>
      <c r="DB209" s="1">
        <v>0</v>
      </c>
      <c r="DC209" s="1">
        <v>2520.3126550000002</v>
      </c>
      <c r="DD209" s="1">
        <v>52555.483399999997</v>
      </c>
      <c r="DE209" s="1">
        <v>-296353.43</v>
      </c>
      <c r="DF209" s="1">
        <v>92570020.519999996</v>
      </c>
      <c r="DG209" s="1">
        <v>225</v>
      </c>
      <c r="DH209" s="1">
        <v>394770.09</v>
      </c>
      <c r="DI209" s="1">
        <v>0.29803809999999997</v>
      </c>
      <c r="DK209" s="1">
        <v>0</v>
      </c>
      <c r="DL209" s="1">
        <v>0</v>
      </c>
      <c r="DM209" s="1">
        <v>-296353.43</v>
      </c>
      <c r="DN209" s="1">
        <v>0</v>
      </c>
      <c r="DO209" s="1">
        <v>0</v>
      </c>
      <c r="DP209" s="1">
        <v>16777215</v>
      </c>
      <c r="DQ209" s="1">
        <v>0</v>
      </c>
      <c r="DR209" s="1">
        <v>0</v>
      </c>
      <c r="DS209" s="1">
        <v>0</v>
      </c>
      <c r="DT209" s="1">
        <v>0</v>
      </c>
      <c r="DU209" s="1">
        <v>0</v>
      </c>
      <c r="DV209" s="1">
        <v>2948865</v>
      </c>
      <c r="DW209" s="1">
        <v>2948865</v>
      </c>
      <c r="DX209" s="1">
        <v>31345322.399999999</v>
      </c>
      <c r="DY209" s="1">
        <v>-1110160.2399999984</v>
      </c>
      <c r="DZ209" s="1">
        <v>92570020.519999966</v>
      </c>
      <c r="EA209" s="1">
        <v>0</v>
      </c>
      <c r="EB209" s="1">
        <v>0</v>
      </c>
      <c r="EC209" s="1" t="s">
        <v>176</v>
      </c>
      <c r="EE209" s="1">
        <v>0</v>
      </c>
      <c r="EF209" s="1">
        <v>3</v>
      </c>
      <c r="EG209" s="1">
        <v>0</v>
      </c>
      <c r="EH209" s="3">
        <v>3.1855507699999999</v>
      </c>
      <c r="EI209" s="1">
        <v>0</v>
      </c>
      <c r="EL209" s="1">
        <v>0</v>
      </c>
      <c r="EM209" s="1">
        <v>0</v>
      </c>
      <c r="EN209" s="1">
        <v>1633661.45</v>
      </c>
      <c r="EO209" s="1">
        <v>1.2333592799999999</v>
      </c>
      <c r="ER209" s="1">
        <v>98.288499999999999</v>
      </c>
      <c r="ES209" s="1">
        <v>1</v>
      </c>
      <c r="ET209" s="3">
        <v>3.7233702960000001</v>
      </c>
      <c r="EU209" s="3">
        <v>0.47222222200000002</v>
      </c>
      <c r="EV209" s="3">
        <v>0.44747884419</v>
      </c>
      <c r="EW209" s="3">
        <v>0.465753425</v>
      </c>
      <c r="EX209" s="3">
        <v>6.4619940000000004E-3</v>
      </c>
      <c r="EY209" s="3">
        <v>5</v>
      </c>
      <c r="EZ209" s="3">
        <v>170</v>
      </c>
      <c r="FA209" s="1">
        <v>0</v>
      </c>
      <c r="FB209" s="1">
        <v>0</v>
      </c>
      <c r="FC209" s="3">
        <v>6.0713871890000002</v>
      </c>
      <c r="FD209" s="1">
        <v>0</v>
      </c>
      <c r="FE209" s="1">
        <v>0</v>
      </c>
    </row>
    <row r="210" spans="1:161" x14ac:dyDescent="0.3">
      <c r="A210" s="1">
        <v>16975500</v>
      </c>
      <c r="B210" s="1">
        <v>128</v>
      </c>
      <c r="C210" s="1">
        <v>10772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100000000</v>
      </c>
      <c r="J210" s="3">
        <v>100000000</v>
      </c>
      <c r="K210" s="1">
        <v>1000000</v>
      </c>
      <c r="L210" s="1">
        <v>1000000</v>
      </c>
      <c r="M210" s="1">
        <v>1000000</v>
      </c>
      <c r="N210" s="3">
        <v>1000000</v>
      </c>
      <c r="O210" s="1">
        <v>978390</v>
      </c>
      <c r="P210" s="1">
        <v>978390</v>
      </c>
      <c r="Q210" s="1">
        <v>978390</v>
      </c>
      <c r="R210" s="1">
        <v>978390</v>
      </c>
      <c r="S210" s="1">
        <v>1000000</v>
      </c>
      <c r="T210" s="1">
        <v>1000000</v>
      </c>
      <c r="U210" s="1">
        <v>1000000</v>
      </c>
      <c r="V210" s="1">
        <v>1000000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3" t="s">
        <v>955</v>
      </c>
      <c r="AF210" s="3" t="s">
        <v>161</v>
      </c>
      <c r="AG210" s="1" t="s">
        <v>970</v>
      </c>
      <c r="AH210" s="3" t="s">
        <v>956</v>
      </c>
      <c r="AI210" s="1">
        <v>4</v>
      </c>
      <c r="AJ210" s="3" t="s">
        <v>165</v>
      </c>
      <c r="AK210" s="1" t="s">
        <v>191</v>
      </c>
      <c r="AL210" s="3">
        <v>98.000000000000014</v>
      </c>
      <c r="AM210" s="3">
        <v>97.844999999999999</v>
      </c>
      <c r="AN210" s="3">
        <v>978450</v>
      </c>
      <c r="AO210" s="3">
        <v>978450</v>
      </c>
      <c r="AP210" s="1" t="s">
        <v>164</v>
      </c>
      <c r="AQ210" s="1">
        <v>4</v>
      </c>
      <c r="AR210" s="1" t="s">
        <v>165</v>
      </c>
      <c r="AS210" s="3">
        <v>132534288.59999999</v>
      </c>
      <c r="AT210" s="1" t="s">
        <v>176</v>
      </c>
      <c r="AU210" s="1">
        <v>1</v>
      </c>
      <c r="AV210" s="1">
        <v>1</v>
      </c>
      <c r="AW210" s="3" t="s">
        <v>494</v>
      </c>
      <c r="AX210" s="3" t="s">
        <v>495</v>
      </c>
      <c r="AY210" s="1">
        <v>0</v>
      </c>
      <c r="BA210" s="3">
        <v>8205251.6799999997</v>
      </c>
      <c r="BB210" s="1">
        <v>1</v>
      </c>
      <c r="BD210" s="1" t="s">
        <v>971</v>
      </c>
      <c r="BE210" s="1">
        <v>1</v>
      </c>
      <c r="BF210" s="1">
        <v>1</v>
      </c>
      <c r="BG210" s="1" t="s">
        <v>168</v>
      </c>
      <c r="BH210" s="1">
        <v>0</v>
      </c>
      <c r="BI210" s="1">
        <v>31345322.399999999</v>
      </c>
      <c r="BJ210" s="1">
        <v>0</v>
      </c>
      <c r="BK210" s="1">
        <v>123618989.48999999</v>
      </c>
      <c r="BL210" s="1">
        <v>132456249.91</v>
      </c>
      <c r="BM210" s="1">
        <v>596150.00000000012</v>
      </c>
      <c r="BN210" s="1">
        <v>9219855.2300000004</v>
      </c>
      <c r="BO210" s="1">
        <v>23.664660909999998</v>
      </c>
      <c r="BP210" s="1">
        <v>0.45007313999999998</v>
      </c>
      <c r="BQ210" s="1">
        <v>6.9606796500000003</v>
      </c>
      <c r="BR210" s="1">
        <v>0.73869673999999996</v>
      </c>
      <c r="BS210" s="1" t="s">
        <v>169</v>
      </c>
      <c r="BT210" s="1" t="s">
        <v>169</v>
      </c>
      <c r="BU210" s="1">
        <v>26356083.120000001</v>
      </c>
      <c r="BV210" s="1">
        <v>0</v>
      </c>
      <c r="BW210" s="1">
        <v>-1550</v>
      </c>
      <c r="BX210" s="1">
        <v>-0.16</v>
      </c>
      <c r="BY210" s="1" t="s">
        <v>170</v>
      </c>
      <c r="BZ210" s="1">
        <v>-78038.69</v>
      </c>
      <c r="CA210" s="1" t="s">
        <v>250</v>
      </c>
      <c r="CB210" s="1" t="s">
        <v>593</v>
      </c>
      <c r="CC210" s="1">
        <v>1610</v>
      </c>
      <c r="CD210" s="1">
        <v>1610</v>
      </c>
      <c r="CE210" s="1">
        <v>980000</v>
      </c>
      <c r="CF210" s="1">
        <v>980000</v>
      </c>
      <c r="CG210" s="1">
        <v>0</v>
      </c>
      <c r="CH210" s="1">
        <v>1.4438757900000001</v>
      </c>
      <c r="CI210" s="1">
        <v>13.27863496</v>
      </c>
      <c r="CJ210" s="1">
        <v>17588381.91</v>
      </c>
      <c r="CK210" s="1">
        <v>1912503.72</v>
      </c>
      <c r="CL210" s="1">
        <v>6269233.6699999999</v>
      </c>
      <c r="CM210" s="1" t="s">
        <v>164</v>
      </c>
      <c r="CN210" s="1" t="s">
        <v>164</v>
      </c>
      <c r="CO210" s="1" t="s">
        <v>184</v>
      </c>
      <c r="CP210" s="1" t="s">
        <v>243</v>
      </c>
      <c r="CQ210" s="3" t="s">
        <v>252</v>
      </c>
      <c r="CR210" s="1">
        <v>0</v>
      </c>
      <c r="CS210" s="1" t="s">
        <v>243</v>
      </c>
      <c r="CT210" s="1">
        <v>0.79150461000000005</v>
      </c>
      <c r="CV210" s="1">
        <v>0</v>
      </c>
      <c r="CW210" s="1">
        <v>-219173.26</v>
      </c>
      <c r="DA210" s="1">
        <v>1355558.46</v>
      </c>
      <c r="DB210" s="1">
        <v>0</v>
      </c>
      <c r="DC210" s="1">
        <v>2520.3126550000002</v>
      </c>
      <c r="DD210" s="1">
        <v>52555.483399999997</v>
      </c>
      <c r="DE210" s="1">
        <v>-296353.43</v>
      </c>
      <c r="DF210" s="1">
        <v>92570020.519999996</v>
      </c>
      <c r="DG210" s="1">
        <v>-1550</v>
      </c>
      <c r="DH210" s="1">
        <v>394770.09</v>
      </c>
      <c r="DI210" s="1">
        <v>0.29803809999999997</v>
      </c>
      <c r="DK210" s="1">
        <v>0</v>
      </c>
      <c r="DL210" s="1">
        <v>0</v>
      </c>
      <c r="DM210" s="1">
        <v>-296353.43</v>
      </c>
      <c r="DN210" s="1">
        <v>0</v>
      </c>
      <c r="DO210" s="1">
        <v>0</v>
      </c>
      <c r="DP210" s="1">
        <v>16777215</v>
      </c>
      <c r="DQ210" s="1">
        <v>0</v>
      </c>
      <c r="DR210" s="1">
        <v>0</v>
      </c>
      <c r="DS210" s="1">
        <v>0</v>
      </c>
      <c r="DT210" s="1">
        <v>0</v>
      </c>
      <c r="DU210" s="1">
        <v>0</v>
      </c>
      <c r="DV210" s="1">
        <v>978450</v>
      </c>
      <c r="DW210" s="1">
        <v>978450</v>
      </c>
      <c r="DX210" s="1">
        <v>31345322.399999999</v>
      </c>
      <c r="DY210" s="1">
        <v>-1110160.2399999984</v>
      </c>
      <c r="DZ210" s="1">
        <v>92570020.519999966</v>
      </c>
      <c r="EA210" s="1">
        <v>0</v>
      </c>
      <c r="EB210" s="1">
        <v>0</v>
      </c>
      <c r="EC210" s="1" t="s">
        <v>176</v>
      </c>
      <c r="EE210" s="1">
        <v>0</v>
      </c>
      <c r="EF210" s="1">
        <v>3</v>
      </c>
      <c r="EG210" s="1">
        <v>0</v>
      </c>
      <c r="EH210" s="3">
        <v>1.0569836699999999</v>
      </c>
      <c r="EI210" s="1">
        <v>0</v>
      </c>
      <c r="EL210" s="1">
        <v>0</v>
      </c>
      <c r="EM210" s="1">
        <v>0</v>
      </c>
      <c r="EN210" s="1">
        <v>1633661.45</v>
      </c>
      <c r="EO210" s="1">
        <v>1.2333592799999999</v>
      </c>
      <c r="ER210" s="1">
        <v>97.844999999999999</v>
      </c>
      <c r="ES210" s="1">
        <v>1</v>
      </c>
      <c r="ET210" s="3">
        <v>4.0405111299999996</v>
      </c>
      <c r="EU210" s="3">
        <v>0.55000000000000004</v>
      </c>
      <c r="EV210" s="3">
        <v>0.51724803597900004</v>
      </c>
      <c r="EW210" s="3">
        <v>0.54246575299999999</v>
      </c>
      <c r="EX210" s="3">
        <v>7.8757050000000002E-3</v>
      </c>
      <c r="EY210" s="3">
        <v>6</v>
      </c>
      <c r="EZ210" s="3">
        <v>198</v>
      </c>
      <c r="FA210" s="1">
        <v>0</v>
      </c>
      <c r="FB210" s="1">
        <v>0</v>
      </c>
      <c r="FC210" s="3">
        <v>4.0521119829999996</v>
      </c>
      <c r="FD210" s="1">
        <v>0</v>
      </c>
      <c r="FE210" s="1">
        <v>0</v>
      </c>
    </row>
    <row r="211" spans="1:161" x14ac:dyDescent="0.3">
      <c r="A211" s="1">
        <v>16975499</v>
      </c>
      <c r="B211" s="1">
        <v>128</v>
      </c>
      <c r="C211" s="1">
        <v>10666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100000000</v>
      </c>
      <c r="J211" s="3">
        <v>100000000</v>
      </c>
      <c r="K211" s="1">
        <v>1000000</v>
      </c>
      <c r="L211" s="1">
        <v>1000000</v>
      </c>
      <c r="M211" s="1">
        <v>1000000</v>
      </c>
      <c r="N211" s="3">
        <v>1000000</v>
      </c>
      <c r="O211" s="1">
        <v>969170</v>
      </c>
      <c r="P211" s="1">
        <v>969170</v>
      </c>
      <c r="Q211" s="1">
        <v>969170</v>
      </c>
      <c r="R211" s="1">
        <v>969170</v>
      </c>
      <c r="S211" s="1">
        <v>1000000</v>
      </c>
      <c r="T211" s="1">
        <v>1000000</v>
      </c>
      <c r="U211" s="1">
        <v>1000000</v>
      </c>
      <c r="V211" s="1">
        <v>1000000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3" t="s">
        <v>703</v>
      </c>
      <c r="AF211" s="3" t="s">
        <v>161</v>
      </c>
      <c r="AG211" s="1" t="s">
        <v>970</v>
      </c>
      <c r="AH211" s="3" t="s">
        <v>704</v>
      </c>
      <c r="AI211" s="1">
        <v>4</v>
      </c>
      <c r="AJ211" s="3" t="s">
        <v>165</v>
      </c>
      <c r="AK211" s="1" t="s">
        <v>191</v>
      </c>
      <c r="AL211" s="3">
        <v>97.725999999999999</v>
      </c>
      <c r="AM211" s="3">
        <v>97.724500000000006</v>
      </c>
      <c r="AN211" s="3">
        <v>977245</v>
      </c>
      <c r="AO211" s="3">
        <v>977245</v>
      </c>
      <c r="AP211" s="1" t="s">
        <v>164</v>
      </c>
      <c r="AQ211" s="1">
        <v>4</v>
      </c>
      <c r="AR211" s="1" t="s">
        <v>165</v>
      </c>
      <c r="AS211" s="3">
        <v>132534288.59999999</v>
      </c>
      <c r="AT211" s="1" t="s">
        <v>176</v>
      </c>
      <c r="AU211" s="1">
        <v>1</v>
      </c>
      <c r="AV211" s="1">
        <v>1</v>
      </c>
      <c r="AW211" s="3" t="s">
        <v>494</v>
      </c>
      <c r="AX211" s="3" t="s">
        <v>495</v>
      </c>
      <c r="AY211" s="1">
        <v>0</v>
      </c>
      <c r="AZ211" s="1"/>
      <c r="BA211" s="3">
        <v>8205251.6799999997</v>
      </c>
      <c r="BB211" s="1">
        <v>1</v>
      </c>
      <c r="BD211" s="1" t="s">
        <v>971</v>
      </c>
      <c r="BE211" s="1">
        <v>1</v>
      </c>
      <c r="BF211" s="1">
        <v>1</v>
      </c>
      <c r="BG211" s="1" t="s">
        <v>168</v>
      </c>
      <c r="BH211" s="1">
        <v>0</v>
      </c>
      <c r="BI211" s="1">
        <v>31345322.399999999</v>
      </c>
      <c r="BJ211" s="1">
        <v>0</v>
      </c>
      <c r="BK211" s="1">
        <v>123618989.48999999</v>
      </c>
      <c r="BL211" s="1">
        <v>132456249.91</v>
      </c>
      <c r="BM211" s="1">
        <v>596150.00000000012</v>
      </c>
      <c r="BN211" s="1">
        <v>9219855.2300000004</v>
      </c>
      <c r="BO211" s="1">
        <v>23.664660909999998</v>
      </c>
      <c r="BP211" s="1">
        <v>0.45007313999999998</v>
      </c>
      <c r="BQ211" s="1">
        <v>6.9606796500000003</v>
      </c>
      <c r="BR211" s="1">
        <v>0.73778701000000002</v>
      </c>
      <c r="BS211" s="1" t="s">
        <v>169</v>
      </c>
      <c r="BT211" s="1" t="s">
        <v>169</v>
      </c>
      <c r="BU211" s="1">
        <v>26356083.120000001</v>
      </c>
      <c r="BV211" s="1">
        <v>0</v>
      </c>
      <c r="BW211" s="1">
        <v>-15</v>
      </c>
      <c r="BX211" s="1">
        <v>0</v>
      </c>
      <c r="BY211" s="1" t="s">
        <v>170</v>
      </c>
      <c r="BZ211" s="1">
        <v>-78038.69</v>
      </c>
      <c r="CA211" s="1" t="s">
        <v>250</v>
      </c>
      <c r="CB211" s="1" t="s">
        <v>593</v>
      </c>
      <c r="CC211" s="1">
        <v>8090</v>
      </c>
      <c r="CD211" s="1">
        <v>8090</v>
      </c>
      <c r="CE211" s="1">
        <v>977260</v>
      </c>
      <c r="CF211" s="1">
        <v>977260</v>
      </c>
      <c r="CG211" s="1">
        <v>0</v>
      </c>
      <c r="CH211" s="1">
        <v>1.4438757900000001</v>
      </c>
      <c r="CI211" s="1">
        <v>13.27863496</v>
      </c>
      <c r="CJ211" s="1">
        <v>17588381.91</v>
      </c>
      <c r="CK211" s="1">
        <v>1912503.72</v>
      </c>
      <c r="CL211" s="1">
        <v>6269233.6699999999</v>
      </c>
      <c r="CM211" s="1" t="s">
        <v>164</v>
      </c>
      <c r="CN211" s="1" t="s">
        <v>164</v>
      </c>
      <c r="CO211" s="1" t="s">
        <v>184</v>
      </c>
      <c r="CP211" s="1" t="s">
        <v>243</v>
      </c>
      <c r="CQ211" s="3" t="s">
        <v>252</v>
      </c>
      <c r="CR211" s="1">
        <v>0</v>
      </c>
      <c r="CS211" s="1" t="s">
        <v>243</v>
      </c>
      <c r="CT211" s="1">
        <v>0.79052984000000004</v>
      </c>
      <c r="CV211" s="1">
        <v>0</v>
      </c>
      <c r="CW211" s="1">
        <v>-219173.26</v>
      </c>
      <c r="DA211" s="1">
        <v>1355558.46</v>
      </c>
      <c r="DB211" s="1">
        <v>0</v>
      </c>
      <c r="DC211" s="1">
        <v>2520.3126550000002</v>
      </c>
      <c r="DD211" s="1">
        <v>52555.483399999997</v>
      </c>
      <c r="DE211" s="1">
        <v>-296353.43</v>
      </c>
      <c r="DF211" s="1">
        <v>92570020.519999996</v>
      </c>
      <c r="DG211" s="1">
        <v>-15</v>
      </c>
      <c r="DH211" s="1">
        <v>394770.09</v>
      </c>
      <c r="DI211" s="1">
        <v>0.29803809999999997</v>
      </c>
      <c r="DK211" s="1">
        <v>0</v>
      </c>
      <c r="DL211" s="1">
        <v>0</v>
      </c>
      <c r="DM211" s="1">
        <v>-296353.43</v>
      </c>
      <c r="DN211" s="1">
        <v>0</v>
      </c>
      <c r="DO211" s="1">
        <v>0</v>
      </c>
      <c r="DP211" s="1">
        <v>16777215</v>
      </c>
      <c r="DQ211" s="1">
        <v>0</v>
      </c>
      <c r="DR211" s="1">
        <v>0</v>
      </c>
      <c r="DS211" s="1">
        <v>0</v>
      </c>
      <c r="DT211" s="1">
        <v>0</v>
      </c>
      <c r="DU211" s="1">
        <v>0</v>
      </c>
      <c r="DV211" s="1">
        <v>977245</v>
      </c>
      <c r="DW211" s="1">
        <v>977245</v>
      </c>
      <c r="DX211" s="1">
        <v>31345322.399999999</v>
      </c>
      <c r="DY211" s="1">
        <v>-1110160.2399999984</v>
      </c>
      <c r="DZ211" s="1">
        <v>92570020.519999966</v>
      </c>
      <c r="EA211" s="1">
        <v>0</v>
      </c>
      <c r="EB211" s="1">
        <v>0</v>
      </c>
      <c r="EC211" s="1" t="s">
        <v>176</v>
      </c>
      <c r="EE211" s="1">
        <v>0</v>
      </c>
      <c r="EF211" s="1">
        <v>3</v>
      </c>
      <c r="EG211" s="1">
        <v>0</v>
      </c>
      <c r="EH211" s="3">
        <v>1.0556819500000001</v>
      </c>
      <c r="EI211" s="1">
        <v>0</v>
      </c>
      <c r="EL211" s="1">
        <v>0</v>
      </c>
      <c r="EM211" s="1">
        <v>0</v>
      </c>
      <c r="EN211" s="1">
        <v>1633661.45</v>
      </c>
      <c r="EO211" s="1">
        <v>1.2333592799999999</v>
      </c>
      <c r="ER211" s="1">
        <v>97.706999999999994</v>
      </c>
      <c r="ES211" s="1">
        <v>1</v>
      </c>
      <c r="ET211" s="3">
        <v>3.7642117169999998</v>
      </c>
      <c r="EU211" s="3">
        <v>0.62777777800000001</v>
      </c>
      <c r="EV211" s="3">
        <v>0.59113139604700005</v>
      </c>
      <c r="EW211" s="3">
        <v>0.61917808200000002</v>
      </c>
      <c r="EX211" s="3">
        <v>9.4908670000000001E-3</v>
      </c>
      <c r="EY211" s="3">
        <v>7</v>
      </c>
      <c r="EZ211" s="3">
        <v>226</v>
      </c>
      <c r="FA211" s="1">
        <v>0</v>
      </c>
      <c r="FB211" s="1">
        <v>0</v>
      </c>
      <c r="FC211" s="3">
        <v>5.1147778339999999</v>
      </c>
      <c r="FD211" s="1">
        <v>0</v>
      </c>
      <c r="FE211" s="1">
        <v>0</v>
      </c>
    </row>
    <row r="212" spans="1:161" x14ac:dyDescent="0.3">
      <c r="A212" s="1">
        <v>16975516</v>
      </c>
      <c r="B212" s="1">
        <v>128</v>
      </c>
      <c r="C212" s="1">
        <v>9792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700</v>
      </c>
      <c r="J212" s="3">
        <v>700</v>
      </c>
      <c r="K212" s="1">
        <v>700000</v>
      </c>
      <c r="L212" s="1">
        <v>700000</v>
      </c>
      <c r="M212" s="1">
        <v>700000</v>
      </c>
      <c r="N212" s="3">
        <v>700000</v>
      </c>
      <c r="O212" s="1">
        <v>680127</v>
      </c>
      <c r="P212" s="1">
        <v>680127</v>
      </c>
      <c r="Q212" s="1">
        <v>680127</v>
      </c>
      <c r="R212" s="1">
        <v>680127</v>
      </c>
      <c r="S212" s="1">
        <v>700000</v>
      </c>
      <c r="T212" s="1">
        <v>700000</v>
      </c>
      <c r="U212" s="1">
        <v>700000</v>
      </c>
      <c r="V212" s="1">
        <v>700000</v>
      </c>
      <c r="W212" s="1">
        <v>0</v>
      </c>
      <c r="X212" s="1">
        <v>0</v>
      </c>
      <c r="Y212" s="1">
        <v>0</v>
      </c>
      <c r="Z212" s="1">
        <v>0</v>
      </c>
      <c r="AA212" s="1">
        <v>4471.3999999999996</v>
      </c>
      <c r="AB212" s="1">
        <v>4471.3999999999996</v>
      </c>
      <c r="AC212" s="1">
        <v>4471.3999999999996</v>
      </c>
      <c r="AD212" s="1">
        <v>4471.3999999999996</v>
      </c>
      <c r="AE212" s="3" t="s">
        <v>492</v>
      </c>
      <c r="AF212" s="3" t="s">
        <v>161</v>
      </c>
      <c r="AG212" s="1" t="s">
        <v>970</v>
      </c>
      <c r="AH212" s="3" t="s">
        <v>493</v>
      </c>
      <c r="AI212" s="1">
        <v>4</v>
      </c>
      <c r="AJ212" s="3" t="s">
        <v>165</v>
      </c>
      <c r="AK212" s="1" t="s">
        <v>176</v>
      </c>
      <c r="AL212" s="3">
        <v>94.116048547996996</v>
      </c>
      <c r="AM212" s="3">
        <v>94.062844262295997</v>
      </c>
      <c r="AN212" s="3">
        <v>658439.91</v>
      </c>
      <c r="AO212" s="3">
        <v>658439.91</v>
      </c>
      <c r="AP212" s="1" t="s">
        <v>164</v>
      </c>
      <c r="AQ212" s="1">
        <v>4</v>
      </c>
      <c r="AR212" s="1" t="s">
        <v>165</v>
      </c>
      <c r="AS212" s="3">
        <v>132534288.59999999</v>
      </c>
      <c r="AT212" s="1" t="s">
        <v>176</v>
      </c>
      <c r="AU212" s="1">
        <v>1</v>
      </c>
      <c r="AV212" s="1">
        <v>1</v>
      </c>
      <c r="AW212" s="3" t="s">
        <v>494</v>
      </c>
      <c r="AX212" s="3" t="s">
        <v>495</v>
      </c>
      <c r="AY212" s="1">
        <v>0</v>
      </c>
      <c r="BA212" s="3">
        <v>8205251.6799999997</v>
      </c>
      <c r="BB212" s="1">
        <v>1</v>
      </c>
      <c r="BD212" s="1" t="s">
        <v>971</v>
      </c>
      <c r="BE212" s="1">
        <v>1</v>
      </c>
      <c r="BF212" s="1">
        <v>1</v>
      </c>
      <c r="BG212" s="1" t="s">
        <v>168</v>
      </c>
      <c r="BH212" s="1">
        <v>0</v>
      </c>
      <c r="BI212" s="1">
        <v>31345322.399999999</v>
      </c>
      <c r="BJ212" s="1">
        <v>0</v>
      </c>
      <c r="BK212" s="1">
        <v>123618989.48999999</v>
      </c>
      <c r="BL212" s="1">
        <v>132456249.91</v>
      </c>
      <c r="BM212" s="1">
        <v>596150.00000000012</v>
      </c>
      <c r="BN212" s="1">
        <v>9219855.2300000004</v>
      </c>
      <c r="BO212" s="1">
        <v>23.664660909999998</v>
      </c>
      <c r="BP212" s="1">
        <v>0.45007313999999998</v>
      </c>
      <c r="BQ212" s="1">
        <v>6.9606796500000003</v>
      </c>
      <c r="BR212" s="1">
        <v>0.49709991999999997</v>
      </c>
      <c r="BS212" s="1" t="s">
        <v>169</v>
      </c>
      <c r="BT212" s="1" t="s">
        <v>169</v>
      </c>
      <c r="BU212" s="1">
        <v>26356083.120000001</v>
      </c>
      <c r="BV212" s="1">
        <v>0</v>
      </c>
      <c r="BW212" s="1">
        <v>-372.43</v>
      </c>
      <c r="BX212" s="1">
        <v>-0.05</v>
      </c>
      <c r="BY212" s="1" t="s">
        <v>170</v>
      </c>
      <c r="BZ212" s="1">
        <v>-78038.69</v>
      </c>
      <c r="CA212" s="1" t="s">
        <v>250</v>
      </c>
      <c r="CB212" s="1" t="s">
        <v>496</v>
      </c>
      <c r="CC212" s="1">
        <v>-25786.06</v>
      </c>
      <c r="CD212" s="1">
        <v>-25786.06</v>
      </c>
      <c r="CE212" s="1">
        <v>658812.34</v>
      </c>
      <c r="CF212" s="1">
        <v>658812.34</v>
      </c>
      <c r="CG212" s="1">
        <v>0</v>
      </c>
      <c r="CH212" s="1">
        <v>1.4438757900000001</v>
      </c>
      <c r="CI212" s="1">
        <v>13.27863496</v>
      </c>
      <c r="CJ212" s="1">
        <v>17588381.91</v>
      </c>
      <c r="CK212" s="1">
        <v>1912503.72</v>
      </c>
      <c r="CL212" s="1">
        <v>6269233.6699999999</v>
      </c>
      <c r="CM212" s="1" t="s">
        <v>164</v>
      </c>
      <c r="CN212" s="1" t="s">
        <v>164</v>
      </c>
      <c r="CO212" s="1" t="s">
        <v>184</v>
      </c>
      <c r="CP212" s="1" t="s">
        <v>243</v>
      </c>
      <c r="CQ212" s="3" t="s">
        <v>252</v>
      </c>
      <c r="CR212" s="1">
        <v>0</v>
      </c>
      <c r="CS212" s="1" t="s">
        <v>243</v>
      </c>
      <c r="CT212" s="1">
        <v>0.53263654000000005</v>
      </c>
      <c r="CV212" s="1">
        <v>0</v>
      </c>
      <c r="CW212" s="1">
        <v>-219173.26</v>
      </c>
      <c r="DA212" s="1">
        <v>1355558.46</v>
      </c>
      <c r="DB212" s="1">
        <v>0</v>
      </c>
      <c r="DC212" s="1">
        <v>2520.3126550000002</v>
      </c>
      <c r="DD212" s="1">
        <v>52555.483399999997</v>
      </c>
      <c r="DE212" s="1">
        <v>-296353.43</v>
      </c>
      <c r="DF212" s="1">
        <v>92570020.519999996</v>
      </c>
      <c r="DG212" s="1">
        <v>-372.43</v>
      </c>
      <c r="DH212" s="1">
        <v>394770.09</v>
      </c>
      <c r="DI212" s="1">
        <v>0.29803809999999997</v>
      </c>
      <c r="DK212" s="1">
        <v>0</v>
      </c>
      <c r="DL212" s="1">
        <v>0</v>
      </c>
      <c r="DM212" s="1">
        <v>-296353.43</v>
      </c>
      <c r="DN212" s="1">
        <v>0</v>
      </c>
      <c r="DO212" s="1">
        <v>0</v>
      </c>
      <c r="DP212" s="1">
        <v>16777215</v>
      </c>
      <c r="DQ212" s="1">
        <v>0</v>
      </c>
      <c r="DR212" s="1">
        <v>0</v>
      </c>
      <c r="DS212" s="1">
        <v>0</v>
      </c>
      <c r="DT212" s="1">
        <v>0</v>
      </c>
      <c r="DU212" s="1">
        <v>0</v>
      </c>
      <c r="DV212" s="1">
        <v>658439.91</v>
      </c>
      <c r="DW212" s="1">
        <v>658439.91</v>
      </c>
      <c r="DX212" s="1">
        <v>31345322.399999999</v>
      </c>
      <c r="DY212" s="1">
        <v>-1110160.2399999984</v>
      </c>
      <c r="DZ212" s="1">
        <v>92570020.519999966</v>
      </c>
      <c r="EA212" s="1">
        <v>0</v>
      </c>
      <c r="EB212" s="1">
        <v>0</v>
      </c>
      <c r="EC212" s="1" t="s">
        <v>176</v>
      </c>
      <c r="EE212" s="1">
        <v>0</v>
      </c>
      <c r="EF212" s="1">
        <v>3</v>
      </c>
      <c r="EG212" s="1">
        <v>0</v>
      </c>
      <c r="EH212" s="3">
        <v>0.71128849999999999</v>
      </c>
      <c r="EI212" s="1">
        <v>0</v>
      </c>
      <c r="EL212" s="1">
        <v>0</v>
      </c>
      <c r="EM212" s="1">
        <v>0</v>
      </c>
      <c r="EN212" s="1">
        <v>1633661.45</v>
      </c>
      <c r="EO212" s="1">
        <v>1.2333592799999999</v>
      </c>
      <c r="ER212" s="1">
        <v>94.141745901639993</v>
      </c>
      <c r="ES212" s="1">
        <v>1</v>
      </c>
      <c r="ET212" s="3">
        <v>3.4595482830000002</v>
      </c>
      <c r="EU212" s="3">
        <v>3.4848307269999999</v>
      </c>
      <c r="EV212" s="3">
        <v>3.17097894079</v>
      </c>
      <c r="EW212" s="3">
        <v>3.5780821920000001</v>
      </c>
      <c r="EX212" s="3">
        <v>0.14794723500000001</v>
      </c>
      <c r="EY212" s="3">
        <v>40</v>
      </c>
      <c r="EZ212" s="3">
        <v>1306</v>
      </c>
      <c r="FA212" s="1">
        <v>0</v>
      </c>
      <c r="FB212" s="1">
        <v>0</v>
      </c>
      <c r="FC212" s="3">
        <v>2.5268260759999999</v>
      </c>
      <c r="FD212" s="1">
        <v>0</v>
      </c>
      <c r="FE212" s="1">
        <v>0</v>
      </c>
    </row>
    <row r="213" spans="1:161" x14ac:dyDescent="0.3">
      <c r="A213" s="1">
        <v>16975522</v>
      </c>
      <c r="B213" s="1">
        <v>128</v>
      </c>
      <c r="C213" s="1">
        <v>7495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900</v>
      </c>
      <c r="J213" s="3">
        <v>900</v>
      </c>
      <c r="K213" s="1">
        <v>900000</v>
      </c>
      <c r="L213" s="1">
        <v>900000</v>
      </c>
      <c r="M213" s="1">
        <v>900000</v>
      </c>
      <c r="N213" s="3">
        <v>900000</v>
      </c>
      <c r="O213" s="1">
        <v>975264</v>
      </c>
      <c r="P213" s="1">
        <v>975264</v>
      </c>
      <c r="Q213" s="1">
        <v>975264</v>
      </c>
      <c r="R213" s="1">
        <v>975264</v>
      </c>
      <c r="S213" s="1">
        <v>900000</v>
      </c>
      <c r="T213" s="1">
        <v>900000</v>
      </c>
      <c r="U213" s="1">
        <v>900000</v>
      </c>
      <c r="V213" s="1">
        <v>900000</v>
      </c>
      <c r="W213" s="1">
        <v>0</v>
      </c>
      <c r="X213" s="1">
        <v>0</v>
      </c>
      <c r="Y213" s="1">
        <v>0</v>
      </c>
      <c r="Z213" s="1">
        <v>0</v>
      </c>
      <c r="AA213" s="1">
        <v>-12887.49</v>
      </c>
      <c r="AB213" s="1">
        <v>-12887.49</v>
      </c>
      <c r="AC213" s="1">
        <v>-12887.49</v>
      </c>
      <c r="AD213" s="1">
        <v>-12887.49</v>
      </c>
      <c r="AE213" s="3" t="s">
        <v>497</v>
      </c>
      <c r="AF213" s="3" t="s">
        <v>161</v>
      </c>
      <c r="AG213" s="1" t="s">
        <v>970</v>
      </c>
      <c r="AH213" s="3" t="s">
        <v>498</v>
      </c>
      <c r="AI213" s="1">
        <v>4</v>
      </c>
      <c r="AJ213" s="3" t="s">
        <v>165</v>
      </c>
      <c r="AK213" s="1" t="s">
        <v>176</v>
      </c>
      <c r="AL213" s="3">
        <v>86.397835143235</v>
      </c>
      <c r="AM213" s="3">
        <v>86.112609589041</v>
      </c>
      <c r="AN213" s="3">
        <v>775013.49</v>
      </c>
      <c r="AO213" s="3">
        <v>775013.49</v>
      </c>
      <c r="AP213" s="1" t="s">
        <v>164</v>
      </c>
      <c r="AQ213" s="1">
        <v>4</v>
      </c>
      <c r="AR213" s="1" t="s">
        <v>165</v>
      </c>
      <c r="AS213" s="3">
        <v>132534288.59999999</v>
      </c>
      <c r="AT213" s="1" t="s">
        <v>176</v>
      </c>
      <c r="AU213" s="1">
        <v>1</v>
      </c>
      <c r="AV213" s="1">
        <v>1</v>
      </c>
      <c r="AW213" s="3" t="s">
        <v>494</v>
      </c>
      <c r="AX213" s="3" t="s">
        <v>495</v>
      </c>
      <c r="AY213" s="1">
        <v>0</v>
      </c>
      <c r="BA213" s="3">
        <v>8205251.6799999997</v>
      </c>
      <c r="BB213" s="1">
        <v>1</v>
      </c>
      <c r="BD213" s="1" t="s">
        <v>971</v>
      </c>
      <c r="BE213" s="1">
        <v>1</v>
      </c>
      <c r="BF213" s="1">
        <v>1</v>
      </c>
      <c r="BG213" s="1" t="s">
        <v>168</v>
      </c>
      <c r="BH213" s="1">
        <v>0</v>
      </c>
      <c r="BI213" s="1">
        <v>31345322.399999999</v>
      </c>
      <c r="BJ213" s="1">
        <v>0</v>
      </c>
      <c r="BK213" s="1">
        <v>123618989.48999999</v>
      </c>
      <c r="BL213" s="1">
        <v>132456249.91</v>
      </c>
      <c r="BM213" s="1">
        <v>596150.00000000012</v>
      </c>
      <c r="BN213" s="1">
        <v>9219855.2300000004</v>
      </c>
      <c r="BO213" s="1">
        <v>23.664660909999998</v>
      </c>
      <c r="BP213" s="1">
        <v>0.45007313999999998</v>
      </c>
      <c r="BQ213" s="1">
        <v>6.9606796500000003</v>
      </c>
      <c r="BR213" s="1">
        <v>0.58510903999999997</v>
      </c>
      <c r="BS213" s="1" t="s">
        <v>169</v>
      </c>
      <c r="BT213" s="1" t="s">
        <v>169</v>
      </c>
      <c r="BU213" s="1">
        <v>26356083.120000001</v>
      </c>
      <c r="BV213" s="1">
        <v>0</v>
      </c>
      <c r="BW213" s="1">
        <v>-2567.0300000000002</v>
      </c>
      <c r="BX213" s="1">
        <v>-0.34</v>
      </c>
      <c r="BY213" s="1" t="s">
        <v>170</v>
      </c>
      <c r="BZ213" s="1">
        <v>-78038.69</v>
      </c>
      <c r="CA213" s="1" t="s">
        <v>250</v>
      </c>
      <c r="CB213" s="1" t="s">
        <v>496</v>
      </c>
      <c r="CC213" s="1">
        <v>-184795.99</v>
      </c>
      <c r="CD213" s="1">
        <v>-184795.99</v>
      </c>
      <c r="CE213" s="1">
        <v>777580.52</v>
      </c>
      <c r="CF213" s="1">
        <v>777580.52</v>
      </c>
      <c r="CG213" s="1">
        <v>0</v>
      </c>
      <c r="CH213" s="1">
        <v>1.4438757900000001</v>
      </c>
      <c r="CI213" s="1">
        <v>13.27863496</v>
      </c>
      <c r="CJ213" s="1">
        <v>17588381.91</v>
      </c>
      <c r="CK213" s="1">
        <v>1912503.72</v>
      </c>
      <c r="CL213" s="1">
        <v>6269233.6699999999</v>
      </c>
      <c r="CM213" s="1" t="s">
        <v>164</v>
      </c>
      <c r="CN213" s="1" t="s">
        <v>164</v>
      </c>
      <c r="CO213" s="1" t="s">
        <v>184</v>
      </c>
      <c r="CP213" s="1" t="s">
        <v>243</v>
      </c>
      <c r="CQ213" s="3" t="s">
        <v>252</v>
      </c>
      <c r="CR213" s="1">
        <v>0</v>
      </c>
      <c r="CS213" s="1" t="s">
        <v>243</v>
      </c>
      <c r="CT213" s="1">
        <v>0.62693725</v>
      </c>
      <c r="CV213" s="1">
        <v>0</v>
      </c>
      <c r="CW213" s="1">
        <v>-219173.26</v>
      </c>
      <c r="DA213" s="1">
        <v>1355558.46</v>
      </c>
      <c r="DB213" s="1">
        <v>0</v>
      </c>
      <c r="DC213" s="1">
        <v>2520.3126550000002</v>
      </c>
      <c r="DD213" s="1">
        <v>52555.483399999997</v>
      </c>
      <c r="DE213" s="1">
        <v>-296353.43</v>
      </c>
      <c r="DF213" s="1">
        <v>92570020.519999996</v>
      </c>
      <c r="DG213" s="1">
        <v>-2567.0300000000002</v>
      </c>
      <c r="DH213" s="1">
        <v>394770.09</v>
      </c>
      <c r="DI213" s="1">
        <v>0.29803809999999997</v>
      </c>
      <c r="DK213" s="1">
        <v>0</v>
      </c>
      <c r="DL213" s="1">
        <v>0</v>
      </c>
      <c r="DM213" s="1">
        <v>-296353.43</v>
      </c>
      <c r="DN213" s="1">
        <v>0</v>
      </c>
      <c r="DO213" s="1">
        <v>0</v>
      </c>
      <c r="DP213" s="1">
        <v>16777215</v>
      </c>
      <c r="DQ213" s="1">
        <v>0</v>
      </c>
      <c r="DR213" s="1">
        <v>0</v>
      </c>
      <c r="DS213" s="1">
        <v>0</v>
      </c>
      <c r="DT213" s="1">
        <v>0</v>
      </c>
      <c r="DU213" s="1">
        <v>0</v>
      </c>
      <c r="DV213" s="1">
        <v>775013.49</v>
      </c>
      <c r="DW213" s="1">
        <v>775013.49</v>
      </c>
      <c r="DX213" s="1">
        <v>31345322.399999999</v>
      </c>
      <c r="DY213" s="1">
        <v>-1110160.2399999984</v>
      </c>
      <c r="DZ213" s="1">
        <v>92570020.519999966</v>
      </c>
      <c r="EA213" s="1">
        <v>0</v>
      </c>
      <c r="EB213" s="1">
        <v>0</v>
      </c>
      <c r="EC213" s="1" t="s">
        <v>176</v>
      </c>
      <c r="EE213" s="1">
        <v>0</v>
      </c>
      <c r="EF213" s="1">
        <v>3</v>
      </c>
      <c r="EG213" s="1">
        <v>0</v>
      </c>
      <c r="EH213" s="3">
        <v>0.83721867000000005</v>
      </c>
      <c r="EI213" s="1">
        <v>0</v>
      </c>
      <c r="EL213" s="1">
        <v>0</v>
      </c>
      <c r="EM213" s="1">
        <v>0</v>
      </c>
      <c r="EN213" s="1">
        <v>1633661.45</v>
      </c>
      <c r="EO213" s="1">
        <v>1.2333592799999999</v>
      </c>
      <c r="ER213" s="1">
        <v>86.395184931505995</v>
      </c>
      <c r="ES213" s="1">
        <v>1</v>
      </c>
      <c r="ET213" s="3">
        <v>3.6527262280000001</v>
      </c>
      <c r="EU213" s="3">
        <v>6.7027418450000003</v>
      </c>
      <c r="EV213" s="3">
        <v>5.5867765592090004</v>
      </c>
      <c r="EW213" s="3">
        <v>7.0849315070000003</v>
      </c>
      <c r="EX213" s="3">
        <v>0.49712853600000001</v>
      </c>
      <c r="EY213" s="3">
        <v>78</v>
      </c>
      <c r="EZ213" s="3">
        <v>2586</v>
      </c>
      <c r="FA213" s="1">
        <v>0</v>
      </c>
      <c r="FB213" s="1">
        <v>0</v>
      </c>
      <c r="FC213" s="3">
        <v>0.22210429300000001</v>
      </c>
      <c r="FD213" s="1">
        <v>0</v>
      </c>
      <c r="FE213" s="1">
        <v>0</v>
      </c>
    </row>
    <row r="214" spans="1:161" x14ac:dyDescent="0.3">
      <c r="A214" s="1">
        <v>16975560</v>
      </c>
      <c r="B214" s="1">
        <v>128</v>
      </c>
      <c r="C214" s="1">
        <v>8786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1100</v>
      </c>
      <c r="J214" s="3">
        <v>1100</v>
      </c>
      <c r="K214" s="1">
        <v>1100000</v>
      </c>
      <c r="L214" s="1">
        <v>1100000</v>
      </c>
      <c r="M214" s="1">
        <v>1100000</v>
      </c>
      <c r="N214" s="3">
        <v>1100000</v>
      </c>
      <c r="O214" s="1">
        <v>1084441.42</v>
      </c>
      <c r="P214" s="1">
        <v>1084441.42</v>
      </c>
      <c r="Q214" s="1">
        <v>1084441.42</v>
      </c>
      <c r="R214" s="1">
        <v>1084441.42</v>
      </c>
      <c r="S214" s="1">
        <v>1100000</v>
      </c>
      <c r="T214" s="1">
        <v>1100000</v>
      </c>
      <c r="U214" s="1">
        <v>1100000</v>
      </c>
      <c r="V214" s="1">
        <v>1100000</v>
      </c>
      <c r="W214" s="1">
        <v>0</v>
      </c>
      <c r="X214" s="1">
        <v>0</v>
      </c>
      <c r="Y214" s="1">
        <v>0</v>
      </c>
      <c r="Z214" s="1">
        <v>0</v>
      </c>
      <c r="AA214" s="1">
        <v>4413.57</v>
      </c>
      <c r="AB214" s="1">
        <v>4413.57</v>
      </c>
      <c r="AC214" s="1">
        <v>4413.57</v>
      </c>
      <c r="AD214" s="1">
        <v>4413.57</v>
      </c>
      <c r="AE214" s="3" t="s">
        <v>499</v>
      </c>
      <c r="AF214" s="3" t="s">
        <v>161</v>
      </c>
      <c r="AG214" s="1" t="s">
        <v>970</v>
      </c>
      <c r="AH214" s="3" t="s">
        <v>500</v>
      </c>
      <c r="AI214" s="1">
        <v>4</v>
      </c>
      <c r="AJ214" s="3" t="s">
        <v>165</v>
      </c>
      <c r="AK214" s="1" t="s">
        <v>176</v>
      </c>
      <c r="AL214" s="3">
        <v>76.668803860797993</v>
      </c>
      <c r="AM214" s="3">
        <v>76.365622950819997</v>
      </c>
      <c r="AN214" s="3">
        <v>840021.85</v>
      </c>
      <c r="AO214" s="3">
        <v>840021.85</v>
      </c>
      <c r="AP214" s="1" t="s">
        <v>164</v>
      </c>
      <c r="AQ214" s="1">
        <v>4</v>
      </c>
      <c r="AR214" s="1" t="s">
        <v>165</v>
      </c>
      <c r="AS214" s="3">
        <v>132534288.59999999</v>
      </c>
      <c r="AT214" s="1" t="s">
        <v>176</v>
      </c>
      <c r="AU214" s="1">
        <v>1</v>
      </c>
      <c r="AV214" s="1">
        <v>1</v>
      </c>
      <c r="AW214" s="3" t="s">
        <v>494</v>
      </c>
      <c r="AX214" s="3" t="s">
        <v>495</v>
      </c>
      <c r="AY214" s="1">
        <v>0</v>
      </c>
      <c r="BA214" s="3">
        <v>8205251.6799999997</v>
      </c>
      <c r="BB214" s="1">
        <v>1</v>
      </c>
      <c r="BD214" s="1" t="s">
        <v>971</v>
      </c>
      <c r="BE214" s="1">
        <v>1</v>
      </c>
      <c r="BF214" s="1">
        <v>1</v>
      </c>
      <c r="BG214" s="1" t="s">
        <v>168</v>
      </c>
      <c r="BH214" s="1">
        <v>0</v>
      </c>
      <c r="BI214" s="1">
        <v>31345322.399999999</v>
      </c>
      <c r="BJ214" s="1">
        <v>0</v>
      </c>
      <c r="BK214" s="1">
        <v>123618989.48999999</v>
      </c>
      <c r="BL214" s="1">
        <v>132456249.91</v>
      </c>
      <c r="BM214" s="1">
        <v>596150.00000000012</v>
      </c>
      <c r="BN214" s="1">
        <v>9219855.2300000004</v>
      </c>
      <c r="BO214" s="1">
        <v>23.664660909999998</v>
      </c>
      <c r="BP214" s="1">
        <v>0.45007313999999998</v>
      </c>
      <c r="BQ214" s="1">
        <v>6.9606796500000003</v>
      </c>
      <c r="BR214" s="1">
        <v>0.63418816</v>
      </c>
      <c r="BS214" s="1" t="s">
        <v>169</v>
      </c>
      <c r="BT214" s="1" t="s">
        <v>169</v>
      </c>
      <c r="BU214" s="1">
        <v>26356083.120000001</v>
      </c>
      <c r="BV214" s="1">
        <v>0</v>
      </c>
      <c r="BW214" s="1">
        <v>-3334.99</v>
      </c>
      <c r="BX214" s="1">
        <v>-0.39</v>
      </c>
      <c r="BY214" s="1" t="s">
        <v>170</v>
      </c>
      <c r="BZ214" s="1">
        <v>-78038.69</v>
      </c>
      <c r="CA214" s="1" t="s">
        <v>250</v>
      </c>
      <c r="CB214" s="1" t="s">
        <v>496</v>
      </c>
      <c r="CC214" s="1">
        <v>-245498.15</v>
      </c>
      <c r="CD214" s="1">
        <v>-245498.15</v>
      </c>
      <c r="CE214" s="1">
        <v>843356.84</v>
      </c>
      <c r="CF214" s="1">
        <v>843356.84</v>
      </c>
      <c r="CG214" s="1">
        <v>0</v>
      </c>
      <c r="CH214" s="1">
        <v>1.4438757900000001</v>
      </c>
      <c r="CI214" s="1">
        <v>13.27863496</v>
      </c>
      <c r="CJ214" s="1">
        <v>17588381.91</v>
      </c>
      <c r="CK214" s="1">
        <v>1912503.72</v>
      </c>
      <c r="CL214" s="1">
        <v>6269233.6699999999</v>
      </c>
      <c r="CM214" s="1" t="s">
        <v>164</v>
      </c>
      <c r="CN214" s="1" t="s">
        <v>164</v>
      </c>
      <c r="CO214" s="1" t="s">
        <v>184</v>
      </c>
      <c r="CP214" s="1" t="s">
        <v>243</v>
      </c>
      <c r="CQ214" s="3" t="s">
        <v>252</v>
      </c>
      <c r="CR214" s="1">
        <v>0</v>
      </c>
      <c r="CS214" s="1" t="s">
        <v>243</v>
      </c>
      <c r="CT214" s="1">
        <v>0.67952493000000003</v>
      </c>
      <c r="CV214" s="1">
        <v>0</v>
      </c>
      <c r="CW214" s="1">
        <v>-219173.26</v>
      </c>
      <c r="DA214" s="1">
        <v>1355558.46</v>
      </c>
      <c r="DB214" s="1">
        <v>0</v>
      </c>
      <c r="DC214" s="1">
        <v>2520.3126550000002</v>
      </c>
      <c r="DD214" s="1">
        <v>52555.483399999997</v>
      </c>
      <c r="DE214" s="1">
        <v>-296353.43</v>
      </c>
      <c r="DF214" s="1">
        <v>92570020.519999996</v>
      </c>
      <c r="DG214" s="1">
        <v>-3334.99</v>
      </c>
      <c r="DH214" s="1">
        <v>394770.09</v>
      </c>
      <c r="DI214" s="1">
        <v>0.29803809999999997</v>
      </c>
      <c r="DK214" s="1">
        <v>0</v>
      </c>
      <c r="DL214" s="1">
        <v>0</v>
      </c>
      <c r="DM214" s="1">
        <v>-296353.43</v>
      </c>
      <c r="DN214" s="1">
        <v>0</v>
      </c>
      <c r="DO214" s="1">
        <v>0</v>
      </c>
      <c r="DP214" s="1">
        <v>16777215</v>
      </c>
      <c r="DQ214" s="1">
        <v>0</v>
      </c>
      <c r="DR214" s="1">
        <v>0</v>
      </c>
      <c r="DS214" s="1">
        <v>0</v>
      </c>
      <c r="DT214" s="1">
        <v>0</v>
      </c>
      <c r="DU214" s="1">
        <v>0</v>
      </c>
      <c r="DV214" s="1">
        <v>840021.85</v>
      </c>
      <c r="DW214" s="1">
        <v>840021.85</v>
      </c>
      <c r="DX214" s="1">
        <v>31345322.399999999</v>
      </c>
      <c r="DY214" s="1">
        <v>-1110160.2399999984</v>
      </c>
      <c r="DZ214" s="1">
        <v>92570020.519999966</v>
      </c>
      <c r="EA214" s="1">
        <v>0</v>
      </c>
      <c r="EB214" s="1">
        <v>0</v>
      </c>
      <c r="EC214" s="1" t="s">
        <v>176</v>
      </c>
      <c r="EE214" s="1">
        <v>0</v>
      </c>
      <c r="EF214" s="1">
        <v>3</v>
      </c>
      <c r="EG214" s="1">
        <v>0</v>
      </c>
      <c r="EH214" s="3">
        <v>0.90744480999999999</v>
      </c>
      <c r="EI214" s="1">
        <v>0</v>
      </c>
      <c r="EL214" s="1">
        <v>0</v>
      </c>
      <c r="EM214" s="1">
        <v>0</v>
      </c>
      <c r="EN214" s="1">
        <v>1633661.45</v>
      </c>
      <c r="EO214" s="1">
        <v>1.2333592799999999</v>
      </c>
      <c r="ER214" s="1">
        <v>76.668849726776003</v>
      </c>
      <c r="ES214" s="1">
        <v>1</v>
      </c>
      <c r="ET214" s="3">
        <v>3.692861706</v>
      </c>
      <c r="EU214" s="3">
        <v>7.5431748110000001</v>
      </c>
      <c r="EV214" s="3">
        <v>5.5773032642990001</v>
      </c>
      <c r="EW214" s="3">
        <v>7.5808219179999998</v>
      </c>
      <c r="EX214" s="3">
        <v>0.60091600700000003</v>
      </c>
      <c r="EY214" s="3">
        <v>87</v>
      </c>
      <c r="EZ214" s="3">
        <v>2767</v>
      </c>
      <c r="FA214" s="1">
        <v>0</v>
      </c>
      <c r="FB214" s="1">
        <v>0</v>
      </c>
      <c r="FC214" s="3">
        <v>0.29470716800000002</v>
      </c>
      <c r="FD214" s="1">
        <v>0</v>
      </c>
      <c r="FE214" s="1">
        <v>0</v>
      </c>
    </row>
    <row r="215" spans="1:161" x14ac:dyDescent="0.3">
      <c r="A215" s="1">
        <v>16975455</v>
      </c>
      <c r="B215" s="1">
        <v>128</v>
      </c>
      <c r="C215" s="1">
        <v>9676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400</v>
      </c>
      <c r="J215" s="3">
        <v>400</v>
      </c>
      <c r="K215" s="1">
        <v>400000</v>
      </c>
      <c r="L215" s="1">
        <v>400000</v>
      </c>
      <c r="M215" s="1">
        <v>400000</v>
      </c>
      <c r="N215" s="3">
        <v>400000</v>
      </c>
      <c r="O215" s="1">
        <v>406268</v>
      </c>
      <c r="P215" s="1">
        <v>406268</v>
      </c>
      <c r="Q215" s="1">
        <v>406268</v>
      </c>
      <c r="R215" s="1">
        <v>406268</v>
      </c>
      <c r="S215" s="1">
        <v>400000</v>
      </c>
      <c r="T215" s="1">
        <v>400000</v>
      </c>
      <c r="U215" s="1">
        <v>400000</v>
      </c>
      <c r="V215" s="1">
        <v>400000</v>
      </c>
      <c r="W215" s="1">
        <v>0</v>
      </c>
      <c r="X215" s="1">
        <v>0</v>
      </c>
      <c r="Y215" s="1">
        <v>0</v>
      </c>
      <c r="Z215" s="1">
        <v>0</v>
      </c>
      <c r="AA215" s="1">
        <v>707.63</v>
      </c>
      <c r="AB215" s="1">
        <v>707.63</v>
      </c>
      <c r="AC215" s="1">
        <v>707.63</v>
      </c>
      <c r="AD215" s="1">
        <v>707.63</v>
      </c>
      <c r="AE215" s="3" t="s">
        <v>501</v>
      </c>
      <c r="AF215" s="3" t="s">
        <v>161</v>
      </c>
      <c r="AG215" s="1" t="s">
        <v>970</v>
      </c>
      <c r="AH215" s="3" t="s">
        <v>502</v>
      </c>
      <c r="AI215" s="1">
        <v>4</v>
      </c>
      <c r="AJ215" s="3" t="s">
        <v>165</v>
      </c>
      <c r="AK215" s="1" t="s">
        <v>176</v>
      </c>
      <c r="AL215" s="3">
        <v>78.281533830642999</v>
      </c>
      <c r="AM215" s="3">
        <v>77.948643835615997</v>
      </c>
      <c r="AN215" s="3">
        <v>311794.58</v>
      </c>
      <c r="AO215" s="3">
        <v>311794.58</v>
      </c>
      <c r="AP215" s="1" t="s">
        <v>164</v>
      </c>
      <c r="AQ215" s="1">
        <v>4</v>
      </c>
      <c r="AR215" s="1" t="s">
        <v>165</v>
      </c>
      <c r="AS215" s="3">
        <v>132534288.59999999</v>
      </c>
      <c r="AT215" s="1" t="s">
        <v>176</v>
      </c>
      <c r="AU215" s="1">
        <v>1</v>
      </c>
      <c r="AV215" s="1">
        <v>1</v>
      </c>
      <c r="AW215" s="3" t="s">
        <v>494</v>
      </c>
      <c r="AX215" s="3" t="s">
        <v>495</v>
      </c>
      <c r="AY215" s="1">
        <v>0</v>
      </c>
      <c r="BA215" s="3">
        <v>8205251.6799999997</v>
      </c>
      <c r="BB215" s="1">
        <v>1</v>
      </c>
      <c r="BD215" s="1" t="s">
        <v>971</v>
      </c>
      <c r="BE215" s="1">
        <v>1</v>
      </c>
      <c r="BF215" s="1">
        <v>1</v>
      </c>
      <c r="BG215" s="1" t="s">
        <v>168</v>
      </c>
      <c r="BH215" s="1">
        <v>0</v>
      </c>
      <c r="BI215" s="1">
        <v>31345322.399999999</v>
      </c>
      <c r="BJ215" s="1">
        <v>0</v>
      </c>
      <c r="BK215" s="1">
        <v>123618989.48999999</v>
      </c>
      <c r="BL215" s="1">
        <v>132456249.91</v>
      </c>
      <c r="BM215" s="1">
        <v>596150.00000000012</v>
      </c>
      <c r="BN215" s="1">
        <v>9219855.2300000004</v>
      </c>
      <c r="BO215" s="1">
        <v>23.664660909999998</v>
      </c>
      <c r="BP215" s="1">
        <v>0.45007313999999998</v>
      </c>
      <c r="BQ215" s="1">
        <v>6.9606796500000003</v>
      </c>
      <c r="BR215" s="1">
        <v>0.23539439000000001</v>
      </c>
      <c r="BS215" s="1" t="s">
        <v>169</v>
      </c>
      <c r="BT215" s="1" t="s">
        <v>169</v>
      </c>
      <c r="BU215" s="1">
        <v>26356083.120000001</v>
      </c>
      <c r="BV215" s="1">
        <v>0</v>
      </c>
      <c r="BW215" s="1">
        <v>-1331.56</v>
      </c>
      <c r="BX215" s="1">
        <v>-0.42</v>
      </c>
      <c r="BY215" s="1" t="s">
        <v>170</v>
      </c>
      <c r="BZ215" s="1">
        <v>-78038.69</v>
      </c>
      <c r="CA215" s="1" t="s">
        <v>250</v>
      </c>
      <c r="CB215" s="1" t="s">
        <v>496</v>
      </c>
      <c r="CC215" s="1">
        <v>-93849.49</v>
      </c>
      <c r="CD215" s="1">
        <v>-93849.49</v>
      </c>
      <c r="CE215" s="1">
        <v>313126.14</v>
      </c>
      <c r="CF215" s="1">
        <v>313126.14</v>
      </c>
      <c r="CG215" s="1">
        <v>0</v>
      </c>
      <c r="CH215" s="1">
        <v>1.4438757900000001</v>
      </c>
      <c r="CI215" s="1">
        <v>13.27863496</v>
      </c>
      <c r="CJ215" s="1">
        <v>17588381.91</v>
      </c>
      <c r="CK215" s="1">
        <v>1912503.72</v>
      </c>
      <c r="CL215" s="1">
        <v>6269233.6699999999</v>
      </c>
      <c r="CM215" s="1" t="s">
        <v>164</v>
      </c>
      <c r="CN215" s="1" t="s">
        <v>164</v>
      </c>
      <c r="CO215" s="1" t="s">
        <v>184</v>
      </c>
      <c r="CP215" s="1" t="s">
        <v>243</v>
      </c>
      <c r="CQ215" s="3" t="s">
        <v>252</v>
      </c>
      <c r="CR215" s="1">
        <v>0</v>
      </c>
      <c r="CS215" s="1" t="s">
        <v>243</v>
      </c>
      <c r="CT215" s="1">
        <v>0.25222223999999999</v>
      </c>
      <c r="CV215" s="1">
        <v>0</v>
      </c>
      <c r="CW215" s="1">
        <v>-219173.26</v>
      </c>
      <c r="DA215" s="1">
        <v>1355558.46</v>
      </c>
      <c r="DB215" s="1">
        <v>0</v>
      </c>
      <c r="DC215" s="1">
        <v>2520.3126550000002</v>
      </c>
      <c r="DD215" s="1">
        <v>52555.483399999997</v>
      </c>
      <c r="DE215" s="1">
        <v>-296353.43</v>
      </c>
      <c r="DF215" s="1">
        <v>92570020.519999996</v>
      </c>
      <c r="DG215" s="1">
        <v>-1331.56</v>
      </c>
      <c r="DH215" s="1">
        <v>394770.09</v>
      </c>
      <c r="DI215" s="1">
        <v>0.29803809999999997</v>
      </c>
      <c r="DK215" s="1">
        <v>0</v>
      </c>
      <c r="DL215" s="1">
        <v>0</v>
      </c>
      <c r="DM215" s="1">
        <v>-296353.43</v>
      </c>
      <c r="DN215" s="1">
        <v>0</v>
      </c>
      <c r="DO215" s="1">
        <v>0</v>
      </c>
      <c r="DP215" s="1">
        <v>16777215</v>
      </c>
      <c r="DQ215" s="1">
        <v>0</v>
      </c>
      <c r="DR215" s="1">
        <v>0</v>
      </c>
      <c r="DS215" s="1">
        <v>0</v>
      </c>
      <c r="DT215" s="1">
        <v>0</v>
      </c>
      <c r="DU215" s="1">
        <v>0</v>
      </c>
      <c r="DV215" s="1">
        <v>311794.58</v>
      </c>
      <c r="DW215" s="1">
        <v>311794.58</v>
      </c>
      <c r="DX215" s="1">
        <v>31345322.399999999</v>
      </c>
      <c r="DY215" s="1">
        <v>-1110160.2399999984</v>
      </c>
      <c r="DZ215" s="1">
        <v>92570020.519999966</v>
      </c>
      <c r="EA215" s="1">
        <v>0</v>
      </c>
      <c r="EB215" s="1">
        <v>0</v>
      </c>
      <c r="EC215" s="1" t="s">
        <v>176</v>
      </c>
      <c r="EE215" s="1">
        <v>0</v>
      </c>
      <c r="EF215" s="1">
        <v>3</v>
      </c>
      <c r="EG215" s="1">
        <v>0</v>
      </c>
      <c r="EH215" s="3">
        <v>0.33682025999999998</v>
      </c>
      <c r="EI215" s="1">
        <v>0</v>
      </c>
      <c r="EL215" s="1">
        <v>0</v>
      </c>
      <c r="EM215" s="1">
        <v>0</v>
      </c>
      <c r="EN215" s="1">
        <v>1633661.45</v>
      </c>
      <c r="EO215" s="1">
        <v>1.2333592799999999</v>
      </c>
      <c r="ER215" s="1">
        <v>78.388773972603005</v>
      </c>
      <c r="ES215" s="1">
        <v>1</v>
      </c>
      <c r="ET215" s="3">
        <v>3.7117996120000001</v>
      </c>
      <c r="EU215" s="3">
        <v>7.8686209920000003</v>
      </c>
      <c r="EV215" s="3">
        <v>5.9473613867620001</v>
      </c>
      <c r="EW215" s="3">
        <v>8.0849315070000003</v>
      </c>
      <c r="EX215" s="3">
        <v>0.65974730100000001</v>
      </c>
      <c r="EY215" s="3">
        <v>91</v>
      </c>
      <c r="EZ215" s="3">
        <v>2951</v>
      </c>
      <c r="FA215" s="1">
        <v>0</v>
      </c>
      <c r="FB215" s="1">
        <v>0</v>
      </c>
      <c r="FC215" s="3">
        <v>0.36075846</v>
      </c>
      <c r="FD215" s="1">
        <v>0</v>
      </c>
      <c r="FE215" s="1">
        <v>0</v>
      </c>
    </row>
    <row r="216" spans="1:161" x14ac:dyDescent="0.3">
      <c r="A216" s="1">
        <v>16975521</v>
      </c>
      <c r="B216" s="1">
        <v>128</v>
      </c>
      <c r="C216" s="1">
        <v>9709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800</v>
      </c>
      <c r="J216" s="3">
        <v>800</v>
      </c>
      <c r="K216" s="1">
        <v>800000</v>
      </c>
      <c r="L216" s="1">
        <v>800000</v>
      </c>
      <c r="M216" s="1">
        <v>800000</v>
      </c>
      <c r="N216" s="3">
        <v>800000</v>
      </c>
      <c r="O216" s="1">
        <v>688561</v>
      </c>
      <c r="P216" s="1">
        <v>688561</v>
      </c>
      <c r="Q216" s="1">
        <v>688561</v>
      </c>
      <c r="R216" s="1">
        <v>688561</v>
      </c>
      <c r="S216" s="1">
        <v>800000</v>
      </c>
      <c r="T216" s="1">
        <v>800000</v>
      </c>
      <c r="U216" s="1">
        <v>800000</v>
      </c>
      <c r="V216" s="1">
        <v>800000</v>
      </c>
      <c r="W216" s="1">
        <v>0</v>
      </c>
      <c r="X216" s="1">
        <v>0</v>
      </c>
      <c r="Y216" s="1">
        <v>0</v>
      </c>
      <c r="Z216" s="1">
        <v>0</v>
      </c>
      <c r="AA216" s="1">
        <v>7941.64</v>
      </c>
      <c r="AB216" s="1">
        <v>7941.64</v>
      </c>
      <c r="AC216" s="1">
        <v>7941.64</v>
      </c>
      <c r="AD216" s="1">
        <v>7941.64</v>
      </c>
      <c r="AE216" s="3" t="s">
        <v>503</v>
      </c>
      <c r="AF216" s="3" t="s">
        <v>161</v>
      </c>
      <c r="AG216" s="1" t="s">
        <v>970</v>
      </c>
      <c r="AH216" s="3" t="s">
        <v>504</v>
      </c>
      <c r="AI216" s="1">
        <v>4</v>
      </c>
      <c r="AJ216" s="3" t="s">
        <v>165</v>
      </c>
      <c r="AK216" s="1" t="s">
        <v>176</v>
      </c>
      <c r="AL216" s="3">
        <v>78.167621902898006</v>
      </c>
      <c r="AM216" s="3">
        <v>77.795860655737997</v>
      </c>
      <c r="AN216" s="3">
        <v>622366.89</v>
      </c>
      <c r="AO216" s="3">
        <v>622366.89</v>
      </c>
      <c r="AP216" s="1" t="s">
        <v>164</v>
      </c>
      <c r="AQ216" s="1">
        <v>4</v>
      </c>
      <c r="AR216" s="1" t="s">
        <v>165</v>
      </c>
      <c r="AS216" s="3">
        <v>132534288.59999999</v>
      </c>
      <c r="AT216" s="1" t="s">
        <v>176</v>
      </c>
      <c r="AU216" s="1">
        <v>1</v>
      </c>
      <c r="AV216" s="1">
        <v>1</v>
      </c>
      <c r="AW216" s="3" t="s">
        <v>494</v>
      </c>
      <c r="AX216" s="3" t="s">
        <v>495</v>
      </c>
      <c r="AY216" s="1">
        <v>0</v>
      </c>
      <c r="BA216" s="3">
        <v>8205251.6799999997</v>
      </c>
      <c r="BB216" s="1">
        <v>1</v>
      </c>
      <c r="BD216" s="1" t="s">
        <v>971</v>
      </c>
      <c r="BE216" s="1">
        <v>1</v>
      </c>
      <c r="BF216" s="1">
        <v>1</v>
      </c>
      <c r="BG216" s="1" t="s">
        <v>168</v>
      </c>
      <c r="BH216" s="1">
        <v>0</v>
      </c>
      <c r="BI216" s="1">
        <v>31345322.399999999</v>
      </c>
      <c r="BJ216" s="1">
        <v>0</v>
      </c>
      <c r="BK216" s="1">
        <v>123618989.48999999</v>
      </c>
      <c r="BL216" s="1">
        <v>132456249.91</v>
      </c>
      <c r="BM216" s="1">
        <v>596150.00000000012</v>
      </c>
      <c r="BN216" s="1">
        <v>9219855.2300000004</v>
      </c>
      <c r="BO216" s="1">
        <v>23.664660909999998</v>
      </c>
      <c r="BP216" s="1">
        <v>0.45007313999999998</v>
      </c>
      <c r="BQ216" s="1">
        <v>6.9606796500000003</v>
      </c>
      <c r="BR216" s="1">
        <v>0.46986601</v>
      </c>
      <c r="BS216" s="1" t="s">
        <v>169</v>
      </c>
      <c r="BT216" s="1" t="s">
        <v>169</v>
      </c>
      <c r="BU216" s="1">
        <v>26356083.120000001</v>
      </c>
      <c r="BV216" s="1">
        <v>0</v>
      </c>
      <c r="BW216" s="1">
        <v>-2974.09</v>
      </c>
      <c r="BX216" s="1">
        <v>-0.47</v>
      </c>
      <c r="BY216" s="1" t="s">
        <v>170</v>
      </c>
      <c r="BZ216" s="1">
        <v>-78038.69</v>
      </c>
      <c r="CA216" s="1" t="s">
        <v>250</v>
      </c>
      <c r="CB216" s="1" t="s">
        <v>496</v>
      </c>
      <c r="CC216" s="1">
        <v>-71161.66</v>
      </c>
      <c r="CD216" s="1">
        <v>-71161.66</v>
      </c>
      <c r="CE216" s="1">
        <v>625340.98</v>
      </c>
      <c r="CF216" s="1">
        <v>625340.98</v>
      </c>
      <c r="CG216" s="1">
        <v>0</v>
      </c>
      <c r="CH216" s="1">
        <v>1.4438757900000001</v>
      </c>
      <c r="CI216" s="1">
        <v>13.27863496</v>
      </c>
      <c r="CJ216" s="1">
        <v>17588381.91</v>
      </c>
      <c r="CK216" s="1">
        <v>1912503.72</v>
      </c>
      <c r="CL216" s="1">
        <v>6269233.6699999999</v>
      </c>
      <c r="CM216" s="1" t="s">
        <v>164</v>
      </c>
      <c r="CN216" s="1" t="s">
        <v>164</v>
      </c>
      <c r="CO216" s="1" t="s">
        <v>184</v>
      </c>
      <c r="CP216" s="1" t="s">
        <v>243</v>
      </c>
      <c r="CQ216" s="3" t="s">
        <v>252</v>
      </c>
      <c r="CR216" s="1">
        <v>0</v>
      </c>
      <c r="CS216" s="1" t="s">
        <v>243</v>
      </c>
      <c r="CT216" s="1">
        <v>0.50345572999999999</v>
      </c>
      <c r="CV216" s="1">
        <v>0</v>
      </c>
      <c r="CW216" s="1">
        <v>-219173.26</v>
      </c>
      <c r="DA216" s="1">
        <v>1355558.46</v>
      </c>
      <c r="DB216" s="1">
        <v>0</v>
      </c>
      <c r="DC216" s="1">
        <v>2520.3126550000002</v>
      </c>
      <c r="DD216" s="1">
        <v>52555.483399999997</v>
      </c>
      <c r="DE216" s="1">
        <v>-296353.43</v>
      </c>
      <c r="DF216" s="1">
        <v>92570020.519999996</v>
      </c>
      <c r="DG216" s="1">
        <v>-2974.09</v>
      </c>
      <c r="DH216" s="1">
        <v>394770.09</v>
      </c>
      <c r="DI216" s="1">
        <v>0.29803809999999997</v>
      </c>
      <c r="DK216" s="1">
        <v>0</v>
      </c>
      <c r="DL216" s="1">
        <v>0</v>
      </c>
      <c r="DM216" s="1">
        <v>-296353.43</v>
      </c>
      <c r="DN216" s="1">
        <v>0</v>
      </c>
      <c r="DO216" s="1">
        <v>0</v>
      </c>
      <c r="DP216" s="1">
        <v>16777215</v>
      </c>
      <c r="DQ216" s="1">
        <v>0</v>
      </c>
      <c r="DR216" s="1">
        <v>0</v>
      </c>
      <c r="DS216" s="1">
        <v>0</v>
      </c>
      <c r="DT216" s="1">
        <v>0</v>
      </c>
      <c r="DU216" s="1">
        <v>0</v>
      </c>
      <c r="DV216" s="1">
        <v>622366.89</v>
      </c>
      <c r="DW216" s="1">
        <v>622366.89</v>
      </c>
      <c r="DX216" s="1">
        <v>31345322.399999999</v>
      </c>
      <c r="DY216" s="1">
        <v>-1110160.2399999984</v>
      </c>
      <c r="DZ216" s="1">
        <v>92570020.519999966</v>
      </c>
      <c r="EA216" s="1">
        <v>0</v>
      </c>
      <c r="EB216" s="1">
        <v>0</v>
      </c>
      <c r="EC216" s="1" t="s">
        <v>176</v>
      </c>
      <c r="EE216" s="1">
        <v>0</v>
      </c>
      <c r="EF216" s="1">
        <v>3</v>
      </c>
      <c r="EG216" s="1">
        <v>0</v>
      </c>
      <c r="EH216" s="3">
        <v>0.67232013999999996</v>
      </c>
      <c r="EI216" s="1">
        <v>0</v>
      </c>
      <c r="EL216" s="1">
        <v>0</v>
      </c>
      <c r="EM216" s="1">
        <v>0</v>
      </c>
      <c r="EN216" s="1">
        <v>1633661.45</v>
      </c>
      <c r="EO216" s="1">
        <v>1.2333592799999999</v>
      </c>
      <c r="ER216" s="1">
        <v>78.182948087431996</v>
      </c>
      <c r="ES216" s="1">
        <v>1</v>
      </c>
      <c r="ET216" s="3">
        <v>3.7643364159999999</v>
      </c>
      <c r="EU216" s="3">
        <v>8.2862824279999998</v>
      </c>
      <c r="EV216" s="3">
        <v>6.243435955951</v>
      </c>
      <c r="EW216" s="3">
        <v>8.5835616439999995</v>
      </c>
      <c r="EX216" s="3">
        <v>0.72954071700000001</v>
      </c>
      <c r="EY216" s="3">
        <v>96</v>
      </c>
      <c r="EZ216" s="3">
        <v>3133</v>
      </c>
      <c r="FA216" s="1">
        <v>0</v>
      </c>
      <c r="FB216" s="1">
        <v>0</v>
      </c>
      <c r="FC216" s="3">
        <v>2.5690495040000001</v>
      </c>
      <c r="FD216" s="1">
        <v>0</v>
      </c>
      <c r="FE216" s="1">
        <v>0</v>
      </c>
    </row>
    <row r="217" spans="1:161" x14ac:dyDescent="0.3">
      <c r="A217" s="1">
        <v>16975494</v>
      </c>
      <c r="B217" s="1">
        <v>128</v>
      </c>
      <c r="C217" s="1">
        <v>10174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200</v>
      </c>
      <c r="J217" s="3">
        <v>200</v>
      </c>
      <c r="K217" s="1">
        <v>200000</v>
      </c>
      <c r="L217" s="1">
        <v>200000</v>
      </c>
      <c r="M217" s="1">
        <v>200000</v>
      </c>
      <c r="N217" s="3">
        <v>200000</v>
      </c>
      <c r="O217" s="1">
        <v>188018</v>
      </c>
      <c r="P217" s="1">
        <v>188018</v>
      </c>
      <c r="Q217" s="1">
        <v>188018</v>
      </c>
      <c r="R217" s="1">
        <v>188018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3" t="s">
        <v>505</v>
      </c>
      <c r="AF217" s="3" t="s">
        <v>161</v>
      </c>
      <c r="AG217" s="1" t="s">
        <v>970</v>
      </c>
      <c r="AH217" s="3" t="s">
        <v>506</v>
      </c>
      <c r="AI217" s="1">
        <v>4</v>
      </c>
      <c r="AJ217" s="3" t="s">
        <v>165</v>
      </c>
      <c r="AK217" s="1" t="s">
        <v>176</v>
      </c>
      <c r="AL217" s="3">
        <v>94.313999999999993</v>
      </c>
      <c r="AM217" s="3">
        <v>94.3215</v>
      </c>
      <c r="AN217" s="3">
        <v>188643</v>
      </c>
      <c r="AO217" s="3">
        <v>188643</v>
      </c>
      <c r="AP217" s="1" t="s">
        <v>164</v>
      </c>
      <c r="AQ217" s="1">
        <v>4</v>
      </c>
      <c r="AR217" s="1" t="s">
        <v>165</v>
      </c>
      <c r="AS217" s="3">
        <v>132534288.59999999</v>
      </c>
      <c r="AT217" s="1" t="s">
        <v>176</v>
      </c>
      <c r="AU217" s="1">
        <v>1</v>
      </c>
      <c r="AV217" s="1">
        <v>1</v>
      </c>
      <c r="AW217" s="3" t="s">
        <v>494</v>
      </c>
      <c r="AX217" s="3" t="s">
        <v>495</v>
      </c>
      <c r="AY217" s="1">
        <v>0</v>
      </c>
      <c r="BA217" s="3">
        <v>8205251.6799999997</v>
      </c>
      <c r="BB217" s="1">
        <v>1</v>
      </c>
      <c r="BD217" s="1" t="s">
        <v>971</v>
      </c>
      <c r="BE217" s="1">
        <v>1</v>
      </c>
      <c r="BF217" s="1">
        <v>1</v>
      </c>
      <c r="BG217" s="1" t="s">
        <v>168</v>
      </c>
      <c r="BH217" s="1">
        <v>0</v>
      </c>
      <c r="BI217" s="1">
        <v>31345322.399999999</v>
      </c>
      <c r="BJ217" s="1">
        <v>0</v>
      </c>
      <c r="BK217" s="1">
        <v>123618989.48999999</v>
      </c>
      <c r="BL217" s="1">
        <v>132456249.91</v>
      </c>
      <c r="BM217" s="1">
        <v>596150.00000000012</v>
      </c>
      <c r="BN217" s="1">
        <v>9219855.2300000004</v>
      </c>
      <c r="BO217" s="1">
        <v>23.664660909999998</v>
      </c>
      <c r="BP217" s="1">
        <v>0.45007313999999998</v>
      </c>
      <c r="BQ217" s="1">
        <v>6.9606796500000003</v>
      </c>
      <c r="BR217" s="1">
        <v>0.14241909999999999</v>
      </c>
      <c r="BS217" s="1" t="s">
        <v>169</v>
      </c>
      <c r="BT217" s="1" t="s">
        <v>169</v>
      </c>
      <c r="BU217" s="1">
        <v>26356083.120000001</v>
      </c>
      <c r="BV217" s="1">
        <v>0</v>
      </c>
      <c r="BW217" s="1">
        <v>15</v>
      </c>
      <c r="BX217" s="1">
        <v>0.01</v>
      </c>
      <c r="BY217" s="1" t="s">
        <v>170</v>
      </c>
      <c r="BZ217" s="1">
        <v>-78038.69</v>
      </c>
      <c r="CA217" s="1" t="s">
        <v>250</v>
      </c>
      <c r="CB217" s="1" t="s">
        <v>496</v>
      </c>
      <c r="CC217" s="1">
        <v>610</v>
      </c>
      <c r="CD217" s="1">
        <v>610</v>
      </c>
      <c r="CE217" s="1">
        <v>188628</v>
      </c>
      <c r="CF217" s="1">
        <v>188628</v>
      </c>
      <c r="CG217" s="1">
        <v>0</v>
      </c>
      <c r="CH217" s="1">
        <v>1.4438757900000001</v>
      </c>
      <c r="CI217" s="1">
        <v>13.27863496</v>
      </c>
      <c r="CJ217" s="1">
        <v>17588381.91</v>
      </c>
      <c r="CK217" s="1">
        <v>1912503.72</v>
      </c>
      <c r="CL217" s="1">
        <v>6269233.6699999999</v>
      </c>
      <c r="CM217" s="1" t="s">
        <v>164</v>
      </c>
      <c r="CN217" s="1" t="s">
        <v>164</v>
      </c>
      <c r="CO217" s="1" t="s">
        <v>184</v>
      </c>
      <c r="CP217" s="1" t="s">
        <v>243</v>
      </c>
      <c r="CQ217" s="3" t="s">
        <v>252</v>
      </c>
      <c r="CR217" s="1">
        <v>0</v>
      </c>
      <c r="CS217" s="1" t="s">
        <v>243</v>
      </c>
      <c r="CT217" s="1">
        <v>0.15260034</v>
      </c>
      <c r="CV217" s="1">
        <v>0</v>
      </c>
      <c r="CW217" s="1">
        <v>-219173.26</v>
      </c>
      <c r="DA217" s="1">
        <v>1355558.46</v>
      </c>
      <c r="DB217" s="1">
        <v>0</v>
      </c>
      <c r="DC217" s="1">
        <v>2520.3126550000002</v>
      </c>
      <c r="DD217" s="1">
        <v>52555.483399999997</v>
      </c>
      <c r="DE217" s="1">
        <v>-296353.43</v>
      </c>
      <c r="DF217" s="1">
        <v>92570020.519999996</v>
      </c>
      <c r="DG217" s="1">
        <v>15</v>
      </c>
      <c r="DH217" s="1">
        <v>394770.09</v>
      </c>
      <c r="DI217" s="1">
        <v>0.29803809999999997</v>
      </c>
      <c r="DK217" s="1">
        <v>0</v>
      </c>
      <c r="DL217" s="1">
        <v>0</v>
      </c>
      <c r="DM217" s="1">
        <v>-296353.43</v>
      </c>
      <c r="DN217" s="1">
        <v>0</v>
      </c>
      <c r="DO217" s="1">
        <v>0</v>
      </c>
      <c r="DP217" s="1">
        <v>16777215</v>
      </c>
      <c r="DQ217" s="1">
        <v>0</v>
      </c>
      <c r="DR217" s="1">
        <v>0</v>
      </c>
      <c r="DS217" s="1">
        <v>0</v>
      </c>
      <c r="DT217" s="1">
        <v>0</v>
      </c>
      <c r="DU217" s="1">
        <v>0</v>
      </c>
      <c r="DV217" s="1">
        <v>188643</v>
      </c>
      <c r="DW217" s="1">
        <v>188643</v>
      </c>
      <c r="DX217" s="1">
        <v>31345322.399999999</v>
      </c>
      <c r="DY217" s="1">
        <v>-1110160.2399999984</v>
      </c>
      <c r="DZ217" s="1">
        <v>92570020.519999966</v>
      </c>
      <c r="EA217" s="1">
        <v>0</v>
      </c>
      <c r="EB217" s="1">
        <v>0</v>
      </c>
      <c r="EC217" s="1" t="s">
        <v>176</v>
      </c>
      <c r="EE217" s="1">
        <v>0</v>
      </c>
      <c r="EF217" s="1">
        <v>3</v>
      </c>
      <c r="EG217" s="1">
        <v>0</v>
      </c>
      <c r="EH217" s="3">
        <v>0.20378412000000001</v>
      </c>
      <c r="EI217" s="1">
        <v>0</v>
      </c>
      <c r="EL217" s="1">
        <v>0</v>
      </c>
      <c r="EM217" s="1">
        <v>0</v>
      </c>
      <c r="EN217" s="1">
        <v>1633661.45</v>
      </c>
      <c r="EO217" s="1">
        <v>1.2333592799999999</v>
      </c>
      <c r="ER217" s="1">
        <v>94.157499999999999</v>
      </c>
      <c r="ES217" s="1">
        <v>1</v>
      </c>
      <c r="ET217" s="3">
        <v>3.6904241020000002</v>
      </c>
      <c r="EU217" s="3">
        <v>1.6612021859999999</v>
      </c>
      <c r="EV217" s="3">
        <v>1.5084772406539999</v>
      </c>
      <c r="EW217" s="3">
        <v>1.663013699</v>
      </c>
      <c r="EX217" s="3">
        <v>4.1117156000000002E-2</v>
      </c>
      <c r="EY217" s="3">
        <v>19</v>
      </c>
      <c r="EZ217" s="3">
        <v>607</v>
      </c>
      <c r="FA217" s="1">
        <v>0</v>
      </c>
      <c r="FB217" s="1">
        <v>0</v>
      </c>
      <c r="FC217" s="3">
        <v>3.78899228</v>
      </c>
      <c r="FD217" s="1">
        <v>0</v>
      </c>
      <c r="FE217" s="1">
        <v>0</v>
      </c>
    </row>
    <row r="218" spans="1:161" x14ac:dyDescent="0.3">
      <c r="A218" s="1">
        <v>16975544</v>
      </c>
      <c r="B218" s="1">
        <v>128</v>
      </c>
      <c r="C218" s="1">
        <v>9971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1000</v>
      </c>
      <c r="J218" s="3">
        <v>1000</v>
      </c>
      <c r="K218" s="1">
        <v>1000000</v>
      </c>
      <c r="L218" s="1">
        <v>1000000</v>
      </c>
      <c r="M218" s="1">
        <v>1000000</v>
      </c>
      <c r="N218" s="3">
        <v>1000000</v>
      </c>
      <c r="O218" s="1">
        <v>868380</v>
      </c>
      <c r="P218" s="1">
        <v>868380</v>
      </c>
      <c r="Q218" s="1">
        <v>868380</v>
      </c>
      <c r="R218" s="1">
        <v>868380</v>
      </c>
      <c r="S218" s="1">
        <v>1000000</v>
      </c>
      <c r="T218" s="1">
        <v>1000000</v>
      </c>
      <c r="U218" s="1">
        <v>1000000</v>
      </c>
      <c r="V218" s="1">
        <v>1000000</v>
      </c>
      <c r="W218" s="1">
        <v>0</v>
      </c>
      <c r="X218" s="1">
        <v>0</v>
      </c>
      <c r="Y218" s="1">
        <v>0</v>
      </c>
      <c r="Z218" s="1">
        <v>0</v>
      </c>
      <c r="AA218" s="1">
        <v>6880.36</v>
      </c>
      <c r="AB218" s="1">
        <v>6880.36</v>
      </c>
      <c r="AC218" s="1">
        <v>6880.36</v>
      </c>
      <c r="AD218" s="1">
        <v>6880.36</v>
      </c>
      <c r="AE218" s="3" t="s">
        <v>697</v>
      </c>
      <c r="AF218" s="3" t="s">
        <v>161</v>
      </c>
      <c r="AG218" s="1" t="s">
        <v>970</v>
      </c>
      <c r="AH218" s="3" t="s">
        <v>698</v>
      </c>
      <c r="AI218" s="1">
        <v>4</v>
      </c>
      <c r="AJ218" s="3" t="s">
        <v>165</v>
      </c>
      <c r="AK218" s="1" t="s">
        <v>176</v>
      </c>
      <c r="AL218" s="3">
        <v>85.777518501762003</v>
      </c>
      <c r="AM218" s="3">
        <v>85.610576502732002</v>
      </c>
      <c r="AN218" s="3">
        <v>856105.77</v>
      </c>
      <c r="AO218" s="3">
        <v>856105.77</v>
      </c>
      <c r="AP218" s="1" t="s">
        <v>164</v>
      </c>
      <c r="AQ218" s="1">
        <v>4</v>
      </c>
      <c r="AR218" s="1" t="s">
        <v>165</v>
      </c>
      <c r="AS218" s="3">
        <v>132534288.59999999</v>
      </c>
      <c r="AT218" s="1" t="s">
        <v>176</v>
      </c>
      <c r="AU218" s="1">
        <v>1</v>
      </c>
      <c r="AV218" s="1">
        <v>1</v>
      </c>
      <c r="AW218" s="3" t="s">
        <v>494</v>
      </c>
      <c r="AX218" s="3" t="s">
        <v>495</v>
      </c>
      <c r="AY218" s="1">
        <v>0</v>
      </c>
      <c r="BA218" s="3">
        <v>8205251.6799999997</v>
      </c>
      <c r="BB218" s="1">
        <v>1</v>
      </c>
      <c r="BD218" s="1" t="s">
        <v>971</v>
      </c>
      <c r="BE218" s="1">
        <v>1</v>
      </c>
      <c r="BF218" s="1">
        <v>1</v>
      </c>
      <c r="BG218" s="1" t="s">
        <v>168</v>
      </c>
      <c r="BH218" s="1">
        <v>0</v>
      </c>
      <c r="BI218" s="1">
        <v>31345322.399999999</v>
      </c>
      <c r="BJ218" s="1">
        <v>0</v>
      </c>
      <c r="BK218" s="1">
        <v>123618989.48999999</v>
      </c>
      <c r="BL218" s="1">
        <v>132456249.91</v>
      </c>
      <c r="BM218" s="1">
        <v>596150.00000000012</v>
      </c>
      <c r="BN218" s="1">
        <v>9219855.2300000004</v>
      </c>
      <c r="BO218" s="1">
        <v>23.664660909999998</v>
      </c>
      <c r="BP218" s="1">
        <v>0.45007313999999998</v>
      </c>
      <c r="BQ218" s="1">
        <v>6.9606796500000003</v>
      </c>
      <c r="BR218" s="1">
        <v>0.64633096999999995</v>
      </c>
      <c r="BS218" s="1" t="s">
        <v>169</v>
      </c>
      <c r="BT218" s="1" t="s">
        <v>169</v>
      </c>
      <c r="BU218" s="1">
        <v>26356083.120000001</v>
      </c>
      <c r="BV218" s="1">
        <v>0</v>
      </c>
      <c r="BW218" s="1">
        <v>-1669.42</v>
      </c>
      <c r="BX218" s="1">
        <v>-0.2</v>
      </c>
      <c r="BY218" s="1" t="s">
        <v>170</v>
      </c>
      <c r="BZ218" s="1">
        <v>-78038.69</v>
      </c>
      <c r="CA218" s="1" t="s">
        <v>250</v>
      </c>
      <c r="CB218" s="1" t="s">
        <v>496</v>
      </c>
      <c r="CC218" s="1">
        <v>-17485.169999999998</v>
      </c>
      <c r="CD218" s="1">
        <v>-17485.169999999998</v>
      </c>
      <c r="CE218" s="1">
        <v>857775.19</v>
      </c>
      <c r="CF218" s="1">
        <v>857775.19</v>
      </c>
      <c r="CG218" s="1">
        <v>0</v>
      </c>
      <c r="CH218" s="1">
        <v>1.4438757900000001</v>
      </c>
      <c r="CI218" s="1">
        <v>13.27863496</v>
      </c>
      <c r="CJ218" s="1">
        <v>17588381.91</v>
      </c>
      <c r="CK218" s="1">
        <v>1912503.72</v>
      </c>
      <c r="CL218" s="1">
        <v>6269233.6699999999</v>
      </c>
      <c r="CM218" s="1" t="s">
        <v>164</v>
      </c>
      <c r="CN218" s="1" t="s">
        <v>164</v>
      </c>
      <c r="CO218" s="1" t="s">
        <v>184</v>
      </c>
      <c r="CP218" s="1" t="s">
        <v>243</v>
      </c>
      <c r="CQ218" s="3" t="s">
        <v>252</v>
      </c>
      <c r="CR218" s="1">
        <v>0</v>
      </c>
      <c r="CS218" s="1" t="s">
        <v>243</v>
      </c>
      <c r="CT218" s="1">
        <v>0.69253580999999997</v>
      </c>
      <c r="CV218" s="1">
        <v>0</v>
      </c>
      <c r="CW218" s="1">
        <v>-219173.26</v>
      </c>
      <c r="DA218" s="1">
        <v>1355558.46</v>
      </c>
      <c r="DB218" s="1">
        <v>0</v>
      </c>
      <c r="DC218" s="1">
        <v>2520.3126550000002</v>
      </c>
      <c r="DD218" s="1">
        <v>52555.483399999997</v>
      </c>
      <c r="DE218" s="1">
        <v>-296353.43</v>
      </c>
      <c r="DF218" s="1">
        <v>92570020.519999996</v>
      </c>
      <c r="DG218" s="1">
        <v>-1669.42</v>
      </c>
      <c r="DH218" s="1">
        <v>394770.09</v>
      </c>
      <c r="DI218" s="1">
        <v>0.29803809999999997</v>
      </c>
      <c r="DK218" s="1">
        <v>0</v>
      </c>
      <c r="DL218" s="1">
        <v>0</v>
      </c>
      <c r="DM218" s="1">
        <v>-296353.43</v>
      </c>
      <c r="DN218" s="1">
        <v>0</v>
      </c>
      <c r="DO218" s="1">
        <v>0</v>
      </c>
      <c r="DP218" s="1">
        <v>16777215</v>
      </c>
      <c r="DQ218" s="1">
        <v>0</v>
      </c>
      <c r="DR218" s="1">
        <v>0</v>
      </c>
      <c r="DS218" s="1">
        <v>0</v>
      </c>
      <c r="DT218" s="1">
        <v>0</v>
      </c>
      <c r="DU218" s="1">
        <v>0</v>
      </c>
      <c r="DV218" s="1">
        <v>856105.77</v>
      </c>
      <c r="DW218" s="1">
        <v>856105.77</v>
      </c>
      <c r="DX218" s="1">
        <v>31345322.399999999</v>
      </c>
      <c r="DY218" s="1">
        <v>-1110160.2399999984</v>
      </c>
      <c r="DZ218" s="1">
        <v>92570020.519999966</v>
      </c>
      <c r="EA218" s="1">
        <v>0</v>
      </c>
      <c r="EB218" s="1">
        <v>0</v>
      </c>
      <c r="EC218" s="1" t="s">
        <v>176</v>
      </c>
      <c r="EE218" s="1">
        <v>0</v>
      </c>
      <c r="EF218" s="1">
        <v>3</v>
      </c>
      <c r="EG218" s="1">
        <v>0</v>
      </c>
      <c r="EH218" s="3">
        <v>0.92481968000000003</v>
      </c>
      <c r="EI218" s="1">
        <v>0</v>
      </c>
      <c r="EL218" s="1">
        <v>0</v>
      </c>
      <c r="EM218" s="1">
        <v>0</v>
      </c>
      <c r="EN218" s="1">
        <v>1633661.45</v>
      </c>
      <c r="EO218" s="1">
        <v>1.2333592799999999</v>
      </c>
      <c r="ER218" s="1">
        <v>85.759390710381993</v>
      </c>
      <c r="ES218" s="1">
        <v>1</v>
      </c>
      <c r="ET218" s="3">
        <v>3.5782795410000001</v>
      </c>
      <c r="EU218" s="3">
        <v>5.6953121820000003</v>
      </c>
      <c r="EV218" s="3">
        <v>4.7155301748339999</v>
      </c>
      <c r="EW218" s="3">
        <v>5.8301369860000003</v>
      </c>
      <c r="EX218" s="3">
        <v>0.35977268400000001</v>
      </c>
      <c r="EY218" s="3">
        <v>66</v>
      </c>
      <c r="EZ218" s="3">
        <v>2128</v>
      </c>
      <c r="FA218" s="1">
        <v>0</v>
      </c>
      <c r="FB218" s="1">
        <v>0</v>
      </c>
      <c r="FC218" s="3">
        <v>3.3512400950000001</v>
      </c>
      <c r="FD218" s="1">
        <v>0</v>
      </c>
      <c r="FE218" s="1">
        <v>0</v>
      </c>
    </row>
    <row r="219" spans="1:161" x14ac:dyDescent="0.3">
      <c r="A219" s="1">
        <v>16975338</v>
      </c>
      <c r="B219" s="1">
        <v>128</v>
      </c>
      <c r="C219" s="1">
        <v>10634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3000</v>
      </c>
      <c r="J219" s="3">
        <v>3000</v>
      </c>
      <c r="K219" s="1">
        <v>3000000</v>
      </c>
      <c r="L219" s="1">
        <v>3000000</v>
      </c>
      <c r="M219" s="1">
        <v>3000000</v>
      </c>
      <c r="N219" s="3">
        <v>3000000</v>
      </c>
      <c r="O219" s="1">
        <v>3027870</v>
      </c>
      <c r="P219" s="1">
        <v>3027870</v>
      </c>
      <c r="Q219" s="1">
        <v>3027870</v>
      </c>
      <c r="R219" s="1">
        <v>3027870</v>
      </c>
      <c r="S219" s="1">
        <v>3000000</v>
      </c>
      <c r="T219" s="1">
        <v>3000000</v>
      </c>
      <c r="U219" s="1">
        <v>3000000</v>
      </c>
      <c r="V219" s="1">
        <v>3000000</v>
      </c>
      <c r="W219" s="1">
        <v>10504.11</v>
      </c>
      <c r="X219" s="1">
        <v>10504.11</v>
      </c>
      <c r="Y219" s="1">
        <v>10504.11</v>
      </c>
      <c r="Z219" s="1">
        <v>10504.11</v>
      </c>
      <c r="AA219" s="1">
        <v>20335.07</v>
      </c>
      <c r="AB219" s="1">
        <v>20335.07</v>
      </c>
      <c r="AC219" s="1">
        <v>20335.07</v>
      </c>
      <c r="AD219" s="1">
        <v>20335.07</v>
      </c>
      <c r="AE219" s="3" t="s">
        <v>768</v>
      </c>
      <c r="AF219" s="3" t="s">
        <v>161</v>
      </c>
      <c r="AG219" s="1" t="s">
        <v>970</v>
      </c>
      <c r="AH219" s="3" t="s">
        <v>769</v>
      </c>
      <c r="AI219" s="1">
        <v>4</v>
      </c>
      <c r="AJ219" s="3" t="s">
        <v>165</v>
      </c>
      <c r="AK219" s="1" t="s">
        <v>176</v>
      </c>
      <c r="AL219" s="3">
        <v>97.938411041294003</v>
      </c>
      <c r="AM219" s="3">
        <v>97.469589041096</v>
      </c>
      <c r="AN219" s="3">
        <v>2924087.67</v>
      </c>
      <c r="AO219" s="3">
        <v>2924087.67</v>
      </c>
      <c r="AP219" s="1" t="s">
        <v>164</v>
      </c>
      <c r="AQ219" s="1">
        <v>4</v>
      </c>
      <c r="AR219" s="1" t="s">
        <v>165</v>
      </c>
      <c r="AS219" s="3">
        <v>132534288.59999999</v>
      </c>
      <c r="AT219" s="1" t="s">
        <v>176</v>
      </c>
      <c r="AU219" s="1">
        <v>1</v>
      </c>
      <c r="AV219" s="1">
        <v>1</v>
      </c>
      <c r="AW219" s="3" t="s">
        <v>494</v>
      </c>
      <c r="AX219" s="3" t="s">
        <v>495</v>
      </c>
      <c r="AY219" s="1">
        <v>0</v>
      </c>
      <c r="BA219" s="3">
        <v>8205251.6799999997</v>
      </c>
      <c r="BB219" s="1">
        <v>1</v>
      </c>
      <c r="BD219" s="1" t="s">
        <v>971</v>
      </c>
      <c r="BE219" s="1">
        <v>1</v>
      </c>
      <c r="BF219" s="1">
        <v>1</v>
      </c>
      <c r="BG219" s="1" t="s">
        <v>168</v>
      </c>
      <c r="BH219" s="1">
        <v>0</v>
      </c>
      <c r="BI219" s="1">
        <v>31345322.399999999</v>
      </c>
      <c r="BJ219" s="1">
        <v>0</v>
      </c>
      <c r="BK219" s="1">
        <v>123618989.48999999</v>
      </c>
      <c r="BL219" s="1">
        <v>132456249.91</v>
      </c>
      <c r="BM219" s="1">
        <v>596150.00000000012</v>
      </c>
      <c r="BN219" s="1">
        <v>9219855.2300000004</v>
      </c>
      <c r="BO219" s="1">
        <v>23.664660909999998</v>
      </c>
      <c r="BP219" s="1">
        <v>0.45007313999999998</v>
      </c>
      <c r="BQ219" s="1">
        <v>6.9606796500000003</v>
      </c>
      <c r="BR219" s="1">
        <v>2.20758754</v>
      </c>
      <c r="BS219" s="1" t="s">
        <v>169</v>
      </c>
      <c r="BT219" s="1" t="s">
        <v>169</v>
      </c>
      <c r="BU219" s="1">
        <v>26356083.120000001</v>
      </c>
      <c r="BV219" s="1">
        <v>0</v>
      </c>
      <c r="BW219" s="1">
        <v>-14064.66</v>
      </c>
      <c r="BX219" s="1">
        <v>-0.48</v>
      </c>
      <c r="BY219" s="1" t="s">
        <v>170</v>
      </c>
      <c r="BZ219" s="1">
        <v>-78038.69</v>
      </c>
      <c r="CA219" s="1" t="s">
        <v>250</v>
      </c>
      <c r="CB219" s="1" t="s">
        <v>496</v>
      </c>
      <c r="CC219" s="1">
        <v>-120556.85</v>
      </c>
      <c r="CD219" s="1">
        <v>-120556.85</v>
      </c>
      <c r="CE219" s="1">
        <v>2938152.33</v>
      </c>
      <c r="CF219" s="1">
        <v>2938152.33</v>
      </c>
      <c r="CG219" s="1">
        <v>0</v>
      </c>
      <c r="CH219" s="1">
        <v>1.4438757900000001</v>
      </c>
      <c r="CI219" s="1">
        <v>13.27863496</v>
      </c>
      <c r="CJ219" s="1">
        <v>17588381.91</v>
      </c>
      <c r="CK219" s="1">
        <v>1912503.72</v>
      </c>
      <c r="CL219" s="1">
        <v>6269233.6699999999</v>
      </c>
      <c r="CM219" s="1" t="s">
        <v>164</v>
      </c>
      <c r="CN219" s="1" t="s">
        <v>164</v>
      </c>
      <c r="CO219" s="1" t="s">
        <v>184</v>
      </c>
      <c r="CP219" s="1" t="s">
        <v>243</v>
      </c>
      <c r="CQ219" s="3" t="s">
        <v>252</v>
      </c>
      <c r="CR219" s="1">
        <v>0</v>
      </c>
      <c r="CS219" s="1" t="s">
        <v>243</v>
      </c>
      <c r="CT219" s="1">
        <v>2.36540331</v>
      </c>
      <c r="CV219" s="1">
        <v>0</v>
      </c>
      <c r="CW219" s="1">
        <v>-219173.26</v>
      </c>
      <c r="DA219" s="1">
        <v>1355558.46</v>
      </c>
      <c r="DB219" s="1">
        <v>0</v>
      </c>
      <c r="DC219" s="1">
        <v>2520.3126550000002</v>
      </c>
      <c r="DD219" s="1">
        <v>52555.483399999997</v>
      </c>
      <c r="DE219" s="1">
        <v>-296353.43</v>
      </c>
      <c r="DF219" s="1">
        <v>92570020.519999996</v>
      </c>
      <c r="DG219" s="1">
        <v>-14064.66</v>
      </c>
      <c r="DH219" s="1">
        <v>394770.09</v>
      </c>
      <c r="DI219" s="1">
        <v>0.29803809999999997</v>
      </c>
      <c r="DK219" s="1">
        <v>0</v>
      </c>
      <c r="DL219" s="1">
        <v>0</v>
      </c>
      <c r="DM219" s="1">
        <v>-296353.43</v>
      </c>
      <c r="DN219" s="1">
        <v>0</v>
      </c>
      <c r="DO219" s="1">
        <v>0</v>
      </c>
      <c r="DP219" s="1">
        <v>16777215</v>
      </c>
      <c r="DQ219" s="1">
        <v>0</v>
      </c>
      <c r="DR219" s="1">
        <v>0</v>
      </c>
      <c r="DS219" s="1">
        <v>0</v>
      </c>
      <c r="DT219" s="1">
        <v>0</v>
      </c>
      <c r="DU219" s="1">
        <v>0</v>
      </c>
      <c r="DV219" s="1">
        <v>2924087.67</v>
      </c>
      <c r="DW219" s="1">
        <v>2924087.67</v>
      </c>
      <c r="DX219" s="1">
        <v>31345322.399999999</v>
      </c>
      <c r="DY219" s="1">
        <v>-1110160.2399999984</v>
      </c>
      <c r="DZ219" s="1">
        <v>92570020.519999966</v>
      </c>
      <c r="EA219" s="1">
        <v>0</v>
      </c>
      <c r="EB219" s="1">
        <v>0</v>
      </c>
      <c r="EC219" s="1" t="s">
        <v>176</v>
      </c>
      <c r="EE219" s="1">
        <v>0</v>
      </c>
      <c r="EF219" s="1">
        <v>3</v>
      </c>
      <c r="EG219" s="1">
        <v>0</v>
      </c>
      <c r="EH219" s="3">
        <v>3.1587847299999998</v>
      </c>
      <c r="EI219" s="1">
        <v>0</v>
      </c>
      <c r="EL219" s="1">
        <v>0</v>
      </c>
      <c r="EM219" s="1">
        <v>0</v>
      </c>
      <c r="EN219" s="1">
        <v>1633661.45</v>
      </c>
      <c r="EO219" s="1">
        <v>1.2333592799999999</v>
      </c>
      <c r="ER219" s="1">
        <v>97.964363013699</v>
      </c>
      <c r="ES219" s="1">
        <v>1</v>
      </c>
      <c r="ET219" s="3">
        <v>3.9292746599999999</v>
      </c>
      <c r="EU219" s="3">
        <v>8.525357777</v>
      </c>
      <c r="EV219" s="3">
        <v>8.036053814752</v>
      </c>
      <c r="EW219" s="3">
        <v>10.087671233</v>
      </c>
      <c r="EX219" s="3">
        <v>0.82767047900000001</v>
      </c>
      <c r="EY219" s="3">
        <v>98</v>
      </c>
      <c r="EZ219" s="3">
        <v>3682</v>
      </c>
      <c r="FA219" s="1">
        <v>0</v>
      </c>
      <c r="FB219" s="1">
        <v>0</v>
      </c>
      <c r="FC219" s="3">
        <v>3.5670676029999999</v>
      </c>
      <c r="FD219" s="1">
        <v>0</v>
      </c>
      <c r="FE219" s="1">
        <v>0</v>
      </c>
    </row>
    <row r="220" spans="1:161" x14ac:dyDescent="0.3">
      <c r="A220" s="1">
        <v>16975498</v>
      </c>
      <c r="B220" s="1">
        <v>128</v>
      </c>
      <c r="C220" s="1">
        <v>10519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2500000</v>
      </c>
      <c r="J220" s="3">
        <v>2500000</v>
      </c>
      <c r="K220" s="1">
        <v>2500000</v>
      </c>
      <c r="L220" s="1">
        <v>2500000</v>
      </c>
      <c r="M220" s="1">
        <v>2500000</v>
      </c>
      <c r="N220" s="3">
        <v>2500000</v>
      </c>
      <c r="O220" s="1">
        <v>2463625</v>
      </c>
      <c r="P220" s="1">
        <v>2463625</v>
      </c>
      <c r="Q220" s="1">
        <v>2463625</v>
      </c>
      <c r="R220" s="1">
        <v>2463625</v>
      </c>
      <c r="S220" s="1">
        <v>2500000</v>
      </c>
      <c r="T220" s="1">
        <v>2500000</v>
      </c>
      <c r="U220" s="1">
        <v>2500000</v>
      </c>
      <c r="V220" s="1">
        <v>2500000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3" t="s">
        <v>671</v>
      </c>
      <c r="AF220" s="3" t="s">
        <v>161</v>
      </c>
      <c r="AG220" s="1" t="s">
        <v>970</v>
      </c>
      <c r="AH220" s="3" t="s">
        <v>672</v>
      </c>
      <c r="AI220" s="1">
        <v>4</v>
      </c>
      <c r="AJ220" s="3" t="s">
        <v>165</v>
      </c>
      <c r="AK220" s="1" t="s">
        <v>191</v>
      </c>
      <c r="AL220" s="3">
        <v>99.968999999999994</v>
      </c>
      <c r="AM220" s="3">
        <v>99.968500000000006</v>
      </c>
      <c r="AN220" s="3">
        <v>2499212.5</v>
      </c>
      <c r="AO220" s="3">
        <v>2499212.5</v>
      </c>
      <c r="AP220" s="1" t="s">
        <v>164</v>
      </c>
      <c r="AQ220" s="1">
        <v>4</v>
      </c>
      <c r="AR220" s="1" t="s">
        <v>165</v>
      </c>
      <c r="AS220" s="3">
        <v>132534288.59999999</v>
      </c>
      <c r="AT220" s="1" t="s">
        <v>176</v>
      </c>
      <c r="AU220" s="1">
        <v>1</v>
      </c>
      <c r="AV220" s="1">
        <v>1</v>
      </c>
      <c r="AW220" s="3" t="s">
        <v>494</v>
      </c>
      <c r="AX220" s="3" t="s">
        <v>495</v>
      </c>
      <c r="AY220" s="1">
        <v>0</v>
      </c>
      <c r="BA220" s="3">
        <v>8205251.6799999997</v>
      </c>
      <c r="BB220" s="1">
        <v>1</v>
      </c>
      <c r="BD220" s="1" t="s">
        <v>971</v>
      </c>
      <c r="BE220" s="1">
        <v>1</v>
      </c>
      <c r="BF220" s="1">
        <v>1</v>
      </c>
      <c r="BG220" s="1" t="s">
        <v>168</v>
      </c>
      <c r="BH220" s="1">
        <v>0</v>
      </c>
      <c r="BI220" s="1">
        <v>31345322.399999999</v>
      </c>
      <c r="BJ220" s="1">
        <v>0</v>
      </c>
      <c r="BK220" s="1">
        <v>123618989.48999999</v>
      </c>
      <c r="BL220" s="1">
        <v>132456249.91</v>
      </c>
      <c r="BM220" s="1">
        <v>596150.00000000012</v>
      </c>
      <c r="BN220" s="1">
        <v>9219855.2300000004</v>
      </c>
      <c r="BO220" s="1">
        <v>23.664660909999998</v>
      </c>
      <c r="BP220" s="1">
        <v>0.45007313999999998</v>
      </c>
      <c r="BQ220" s="1">
        <v>6.9606796500000003</v>
      </c>
      <c r="BR220" s="1">
        <v>1.88682112</v>
      </c>
      <c r="BS220" s="1" t="s">
        <v>169</v>
      </c>
      <c r="BT220" s="1" t="s">
        <v>169</v>
      </c>
      <c r="BU220" s="1">
        <v>26356083.120000001</v>
      </c>
      <c r="BV220" s="1">
        <v>0</v>
      </c>
      <c r="BW220" s="1">
        <v>-12.5</v>
      </c>
      <c r="BX220" s="1">
        <v>0</v>
      </c>
      <c r="BY220" s="1" t="s">
        <v>170</v>
      </c>
      <c r="BZ220" s="1">
        <v>-78038.69</v>
      </c>
      <c r="CA220" s="1" t="s">
        <v>250</v>
      </c>
      <c r="CB220" s="1" t="s">
        <v>593</v>
      </c>
      <c r="CC220" s="1">
        <v>35600</v>
      </c>
      <c r="CD220" s="1">
        <v>35600</v>
      </c>
      <c r="CE220" s="1">
        <v>2499225</v>
      </c>
      <c r="CF220" s="1">
        <v>2499225</v>
      </c>
      <c r="CG220" s="1">
        <v>0</v>
      </c>
      <c r="CH220" s="1">
        <v>1.4438757900000001</v>
      </c>
      <c r="CI220" s="1">
        <v>13.27863496</v>
      </c>
      <c r="CJ220" s="1">
        <v>17588381.91</v>
      </c>
      <c r="CK220" s="1">
        <v>1912503.72</v>
      </c>
      <c r="CL220" s="1">
        <v>6269233.6699999999</v>
      </c>
      <c r="CM220" s="1" t="s">
        <v>164</v>
      </c>
      <c r="CN220" s="1" t="s">
        <v>164</v>
      </c>
      <c r="CO220" s="1" t="s">
        <v>184</v>
      </c>
      <c r="CP220" s="1" t="s">
        <v>243</v>
      </c>
      <c r="CQ220" s="3" t="s">
        <v>252</v>
      </c>
      <c r="CR220" s="1">
        <v>0</v>
      </c>
      <c r="CS220" s="1" t="s">
        <v>243</v>
      </c>
      <c r="CT220" s="1">
        <v>2.0217059800000001</v>
      </c>
      <c r="CV220" s="1">
        <v>0</v>
      </c>
      <c r="CW220" s="1">
        <v>-219173.26</v>
      </c>
      <c r="DA220" s="1">
        <v>1355558.46</v>
      </c>
      <c r="DB220" s="1">
        <v>0</v>
      </c>
      <c r="DC220" s="1">
        <v>2520.3126550000002</v>
      </c>
      <c r="DD220" s="1">
        <v>52555.483399999997</v>
      </c>
      <c r="DE220" s="1">
        <v>-296353.43</v>
      </c>
      <c r="DF220" s="1">
        <v>92570020.519999996</v>
      </c>
      <c r="DG220" s="1">
        <v>-12.5</v>
      </c>
      <c r="DH220" s="1">
        <v>394770.09</v>
      </c>
      <c r="DI220" s="1">
        <v>0.29803809999999997</v>
      </c>
      <c r="DK220" s="1">
        <v>0</v>
      </c>
      <c r="DL220" s="1">
        <v>0</v>
      </c>
      <c r="DM220" s="1">
        <v>-296353.43</v>
      </c>
      <c r="DN220" s="1">
        <v>0</v>
      </c>
      <c r="DO220" s="1">
        <v>0</v>
      </c>
      <c r="DP220" s="1">
        <v>16777215</v>
      </c>
      <c r="DQ220" s="1">
        <v>0</v>
      </c>
      <c r="DR220" s="1">
        <v>0</v>
      </c>
      <c r="DS220" s="1">
        <v>0</v>
      </c>
      <c r="DT220" s="1">
        <v>0</v>
      </c>
      <c r="DU220" s="1">
        <v>0</v>
      </c>
      <c r="DV220" s="1">
        <v>2499212.5</v>
      </c>
      <c r="DW220" s="1">
        <v>2499212.5</v>
      </c>
      <c r="DX220" s="1">
        <v>31345322.399999999</v>
      </c>
      <c r="DY220" s="1">
        <v>-1110160.2399999984</v>
      </c>
      <c r="DZ220" s="1">
        <v>92570020.519999966</v>
      </c>
      <c r="EA220" s="1">
        <v>0</v>
      </c>
      <c r="EB220" s="1">
        <v>0</v>
      </c>
      <c r="EC220" s="1" t="s">
        <v>176</v>
      </c>
      <c r="EE220" s="1">
        <v>0</v>
      </c>
      <c r="EF220" s="1">
        <v>3</v>
      </c>
      <c r="EG220" s="1">
        <v>0</v>
      </c>
      <c r="EH220" s="3">
        <v>2.6998076499999999</v>
      </c>
      <c r="EI220" s="1">
        <v>0</v>
      </c>
      <c r="EL220" s="1">
        <v>0</v>
      </c>
      <c r="EM220" s="1">
        <v>0</v>
      </c>
      <c r="EN220" s="1">
        <v>1633661.45</v>
      </c>
      <c r="EO220" s="1">
        <v>1.2333592799999999</v>
      </c>
      <c r="ER220" s="1">
        <v>99.957499999999996</v>
      </c>
      <c r="ES220" s="1">
        <v>1</v>
      </c>
      <c r="ET220" s="3">
        <v>3.8999395630000002</v>
      </c>
      <c r="EU220" s="3">
        <v>1.1111111E-2</v>
      </c>
      <c r="EV220" s="3">
        <v>1.0689505029000001E-2</v>
      </c>
      <c r="EW220" s="3">
        <v>1.0958904E-2</v>
      </c>
      <c r="EX220" s="3">
        <v>1.0407E-4</v>
      </c>
      <c r="EY220" s="3">
        <v>0</v>
      </c>
      <c r="EZ220" s="3">
        <v>4</v>
      </c>
      <c r="FA220" s="1">
        <v>0</v>
      </c>
      <c r="FB220" s="1">
        <v>0</v>
      </c>
      <c r="FC220" s="3">
        <v>274.01287686000001</v>
      </c>
      <c r="FD220" s="1">
        <v>0</v>
      </c>
      <c r="FE220" s="1">
        <v>0</v>
      </c>
    </row>
    <row r="221" spans="1:161" x14ac:dyDescent="0.3">
      <c r="A221" s="1">
        <v>16975468</v>
      </c>
      <c r="B221" s="1">
        <v>128</v>
      </c>
      <c r="C221" s="1">
        <v>10183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2000000</v>
      </c>
      <c r="J221" s="3">
        <v>2000000</v>
      </c>
      <c r="K221" s="1">
        <v>2000000</v>
      </c>
      <c r="L221" s="1">
        <v>2000000</v>
      </c>
      <c r="M221" s="1">
        <v>2000000</v>
      </c>
      <c r="N221" s="3">
        <v>2000000</v>
      </c>
      <c r="O221" s="1">
        <v>1904990</v>
      </c>
      <c r="P221" s="1">
        <v>1904990</v>
      </c>
      <c r="Q221" s="1">
        <v>1904990</v>
      </c>
      <c r="R221" s="1">
        <v>1904990</v>
      </c>
      <c r="S221" s="1">
        <v>2000000</v>
      </c>
      <c r="T221" s="1">
        <v>2000000</v>
      </c>
      <c r="U221" s="1">
        <v>2000000</v>
      </c>
      <c r="V221" s="1">
        <v>2000000</v>
      </c>
      <c r="W221" s="1">
        <v>0</v>
      </c>
      <c r="X221" s="1">
        <v>0</v>
      </c>
      <c r="Y221" s="1">
        <v>0</v>
      </c>
      <c r="Z221" s="1">
        <v>0</v>
      </c>
      <c r="AA221" s="1">
        <v>19785.009999999998</v>
      </c>
      <c r="AB221" s="1">
        <v>19785.009999999998</v>
      </c>
      <c r="AC221" s="1">
        <v>19785.009999999998</v>
      </c>
      <c r="AD221" s="1">
        <v>19785.009999999998</v>
      </c>
      <c r="AE221" s="3" t="s">
        <v>594</v>
      </c>
      <c r="AF221" s="3" t="s">
        <v>161</v>
      </c>
      <c r="AG221" s="1" t="s">
        <v>970</v>
      </c>
      <c r="AH221" s="3" t="s">
        <v>595</v>
      </c>
      <c r="AI221" s="1">
        <v>4</v>
      </c>
      <c r="AJ221" s="3" t="s">
        <v>165</v>
      </c>
      <c r="AK221" s="1" t="s">
        <v>191</v>
      </c>
      <c r="AL221" s="3">
        <v>95.505349603827995</v>
      </c>
      <c r="AM221" s="3">
        <v>95.502407103825007</v>
      </c>
      <c r="AN221" s="3">
        <v>1910048.14</v>
      </c>
      <c r="AO221" s="3">
        <v>1910048.14</v>
      </c>
      <c r="AP221" s="1" t="s">
        <v>164</v>
      </c>
      <c r="AQ221" s="1">
        <v>4</v>
      </c>
      <c r="AR221" s="1" t="s">
        <v>165</v>
      </c>
      <c r="AS221" s="3">
        <v>132534288.59999999</v>
      </c>
      <c r="AT221" s="1" t="s">
        <v>176</v>
      </c>
      <c r="AU221" s="1">
        <v>1</v>
      </c>
      <c r="AV221" s="1">
        <v>1</v>
      </c>
      <c r="AW221" s="3" t="s">
        <v>494</v>
      </c>
      <c r="AX221" s="3" t="s">
        <v>495</v>
      </c>
      <c r="AY221" s="1">
        <v>0</v>
      </c>
      <c r="BA221" s="3">
        <v>8205251.6799999997</v>
      </c>
      <c r="BB221" s="1">
        <v>1</v>
      </c>
      <c r="BD221" s="1" t="s">
        <v>971</v>
      </c>
      <c r="BE221" s="1">
        <v>1</v>
      </c>
      <c r="BF221" s="1">
        <v>1</v>
      </c>
      <c r="BG221" s="1" t="s">
        <v>168</v>
      </c>
      <c r="BH221" s="1">
        <v>0</v>
      </c>
      <c r="BI221" s="1">
        <v>31345322.399999999</v>
      </c>
      <c r="BJ221" s="1">
        <v>0</v>
      </c>
      <c r="BK221" s="1">
        <v>123618989.48999999</v>
      </c>
      <c r="BL221" s="1">
        <v>132456249.91</v>
      </c>
      <c r="BM221" s="1">
        <v>596150.00000000012</v>
      </c>
      <c r="BN221" s="1">
        <v>9219855.2300000004</v>
      </c>
      <c r="BO221" s="1">
        <v>23.664660909999998</v>
      </c>
      <c r="BP221" s="1">
        <v>0.45007313999999998</v>
      </c>
      <c r="BQ221" s="1">
        <v>6.9606796500000003</v>
      </c>
      <c r="BR221" s="1">
        <v>1.44202191</v>
      </c>
      <c r="BS221" s="1" t="s">
        <v>169</v>
      </c>
      <c r="BT221" s="1" t="s">
        <v>169</v>
      </c>
      <c r="BU221" s="1">
        <v>26356083.120000001</v>
      </c>
      <c r="BV221" s="1">
        <v>0</v>
      </c>
      <c r="BW221" s="1">
        <v>-58.85</v>
      </c>
      <c r="BX221" s="1">
        <v>0</v>
      </c>
      <c r="BY221" s="1" t="s">
        <v>170</v>
      </c>
      <c r="BZ221" s="1">
        <v>-78038.69</v>
      </c>
      <c r="CA221" s="1" t="s">
        <v>250</v>
      </c>
      <c r="CB221" s="1" t="s">
        <v>251</v>
      </c>
      <c r="CC221" s="1">
        <v>-14668.02</v>
      </c>
      <c r="CD221" s="1">
        <v>-14668.02</v>
      </c>
      <c r="CE221" s="1">
        <v>1910106.99</v>
      </c>
      <c r="CF221" s="1">
        <v>1910106.99</v>
      </c>
      <c r="CG221" s="1">
        <v>0</v>
      </c>
      <c r="CH221" s="1">
        <v>1.4438757900000001</v>
      </c>
      <c r="CI221" s="1">
        <v>13.27863496</v>
      </c>
      <c r="CJ221" s="1">
        <v>17588381.91</v>
      </c>
      <c r="CK221" s="1">
        <v>1912503.72</v>
      </c>
      <c r="CL221" s="1">
        <v>6269233.6699999999</v>
      </c>
      <c r="CM221" s="1" t="s">
        <v>164</v>
      </c>
      <c r="CN221" s="1" t="s">
        <v>164</v>
      </c>
      <c r="CO221" s="1" t="s">
        <v>184</v>
      </c>
      <c r="CP221" s="1" t="s">
        <v>243</v>
      </c>
      <c r="CQ221" s="3" t="s">
        <v>252</v>
      </c>
      <c r="CR221" s="1">
        <v>0</v>
      </c>
      <c r="CS221" s="1" t="s">
        <v>243</v>
      </c>
      <c r="CT221" s="1">
        <v>1.54510901</v>
      </c>
      <c r="CV221" s="1">
        <v>0</v>
      </c>
      <c r="CW221" s="1">
        <v>-219173.26</v>
      </c>
      <c r="DA221" s="1">
        <v>1355558.46</v>
      </c>
      <c r="DB221" s="1">
        <v>0</v>
      </c>
      <c r="DC221" s="1">
        <v>2520.3126550000002</v>
      </c>
      <c r="DD221" s="1">
        <v>52555.483399999997</v>
      </c>
      <c r="DE221" s="1">
        <v>-296353.43</v>
      </c>
      <c r="DF221" s="1">
        <v>92570020.519999996</v>
      </c>
      <c r="DG221" s="1">
        <v>-58.85</v>
      </c>
      <c r="DH221" s="1">
        <v>394770.09</v>
      </c>
      <c r="DI221" s="1">
        <v>0.29803809999999997</v>
      </c>
      <c r="DK221" s="1">
        <v>0</v>
      </c>
      <c r="DL221" s="1">
        <v>0</v>
      </c>
      <c r="DM221" s="1">
        <v>-296353.43</v>
      </c>
      <c r="DN221" s="1">
        <v>0</v>
      </c>
      <c r="DO221" s="1">
        <v>0</v>
      </c>
      <c r="DP221" s="1">
        <v>16777215</v>
      </c>
      <c r="DQ221" s="1">
        <v>0</v>
      </c>
      <c r="DR221" s="1">
        <v>0</v>
      </c>
      <c r="DS221" s="1">
        <v>0</v>
      </c>
      <c r="DT221" s="1">
        <v>0</v>
      </c>
      <c r="DU221" s="1">
        <v>0</v>
      </c>
      <c r="DV221" s="1">
        <v>1910048.14</v>
      </c>
      <c r="DW221" s="1">
        <v>1910048.14</v>
      </c>
      <c r="DX221" s="1">
        <v>31345322.399999999</v>
      </c>
      <c r="DY221" s="1">
        <v>-1110160.2399999984</v>
      </c>
      <c r="DZ221" s="1">
        <v>92570020.519999966</v>
      </c>
      <c r="EA221" s="1">
        <v>0</v>
      </c>
      <c r="EB221" s="1">
        <v>0</v>
      </c>
      <c r="EC221" s="1" t="s">
        <v>176</v>
      </c>
      <c r="EE221" s="1">
        <v>0</v>
      </c>
      <c r="EF221" s="1">
        <v>3</v>
      </c>
      <c r="EG221" s="1">
        <v>0</v>
      </c>
      <c r="EH221" s="3">
        <v>2.0633549900000001</v>
      </c>
      <c r="EI221" s="1">
        <v>0</v>
      </c>
      <c r="EL221" s="1">
        <v>0</v>
      </c>
      <c r="EM221" s="1">
        <v>0</v>
      </c>
      <c r="EN221" s="1">
        <v>1633661.45</v>
      </c>
      <c r="EO221" s="1">
        <v>1.2333592799999999</v>
      </c>
      <c r="ER221" s="1">
        <v>95.410221311474999</v>
      </c>
      <c r="ES221" s="1">
        <v>1</v>
      </c>
      <c r="ET221" s="3">
        <v>3.665517253</v>
      </c>
      <c r="EU221" s="3">
        <v>1.7459380769999999</v>
      </c>
      <c r="EV221" s="3">
        <v>1.606902109223</v>
      </c>
      <c r="EW221" s="3">
        <v>1.7561643840000001</v>
      </c>
      <c r="EX221" s="3">
        <v>4.4687236999999998E-2</v>
      </c>
      <c r="EY221" s="3">
        <v>20</v>
      </c>
      <c r="EZ221" s="3">
        <v>641</v>
      </c>
      <c r="FA221" s="1">
        <v>0</v>
      </c>
      <c r="FB221" s="1">
        <v>0</v>
      </c>
      <c r="FC221" s="3">
        <v>3.765669634</v>
      </c>
      <c r="FD221" s="1">
        <v>0</v>
      </c>
      <c r="FE221" s="1">
        <v>0</v>
      </c>
    </row>
    <row r="222" spans="1:161" x14ac:dyDescent="0.3">
      <c r="A222" s="1">
        <v>16975497</v>
      </c>
      <c r="B222" s="1">
        <v>128</v>
      </c>
      <c r="C222" s="1">
        <v>10483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2000000</v>
      </c>
      <c r="J222" s="3">
        <v>2000000</v>
      </c>
      <c r="K222" s="1">
        <v>2000000</v>
      </c>
      <c r="L222" s="1">
        <v>2000000</v>
      </c>
      <c r="M222" s="1">
        <v>2000000</v>
      </c>
      <c r="N222" s="3">
        <v>2000000</v>
      </c>
      <c r="O222" s="1">
        <v>1577200</v>
      </c>
      <c r="P222" s="1">
        <v>1577200</v>
      </c>
      <c r="Q222" s="1">
        <v>1577200</v>
      </c>
      <c r="R222" s="1">
        <v>1577200</v>
      </c>
      <c r="S222" s="1">
        <v>2000000</v>
      </c>
      <c r="T222" s="1">
        <v>2000000</v>
      </c>
      <c r="U222" s="1">
        <v>2000000</v>
      </c>
      <c r="V222" s="1">
        <v>2000000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3" t="s">
        <v>662</v>
      </c>
      <c r="AF222" s="3" t="s">
        <v>161</v>
      </c>
      <c r="AG222" s="1" t="s">
        <v>970</v>
      </c>
      <c r="AH222" s="3" t="s">
        <v>663</v>
      </c>
      <c r="AI222" s="1">
        <v>4</v>
      </c>
      <c r="AJ222" s="3" t="s">
        <v>165</v>
      </c>
      <c r="AK222" s="1" t="s">
        <v>191</v>
      </c>
      <c r="AL222" s="3">
        <v>77.036000000000001</v>
      </c>
      <c r="AM222" s="3">
        <v>76.629500000000007</v>
      </c>
      <c r="AN222" s="3">
        <v>1532590</v>
      </c>
      <c r="AO222" s="3">
        <v>1532590</v>
      </c>
      <c r="AP222" s="1" t="s">
        <v>164</v>
      </c>
      <c r="AQ222" s="1">
        <v>4</v>
      </c>
      <c r="AR222" s="1" t="s">
        <v>165</v>
      </c>
      <c r="AS222" s="3">
        <v>132534288.59999999</v>
      </c>
      <c r="AT222" s="1" t="s">
        <v>176</v>
      </c>
      <c r="AU222" s="1">
        <v>1</v>
      </c>
      <c r="AV222" s="1">
        <v>1</v>
      </c>
      <c r="AW222" s="3" t="s">
        <v>494</v>
      </c>
      <c r="AX222" s="3" t="s">
        <v>495</v>
      </c>
      <c r="AY222" s="1">
        <v>0</v>
      </c>
      <c r="BA222" s="3">
        <v>8205251.6799999997</v>
      </c>
      <c r="BB222" s="1">
        <v>1</v>
      </c>
      <c r="BD222" s="1" t="s">
        <v>971</v>
      </c>
      <c r="BE222" s="1">
        <v>1</v>
      </c>
      <c r="BF222" s="1">
        <v>1</v>
      </c>
      <c r="BG222" s="1" t="s">
        <v>168</v>
      </c>
      <c r="BH222" s="1">
        <v>0</v>
      </c>
      <c r="BI222" s="1">
        <v>31345322.399999999</v>
      </c>
      <c r="BJ222" s="1">
        <v>0</v>
      </c>
      <c r="BK222" s="1">
        <v>123618989.48999999</v>
      </c>
      <c r="BL222" s="1">
        <v>132456249.91</v>
      </c>
      <c r="BM222" s="1">
        <v>596150.00000000012</v>
      </c>
      <c r="BN222" s="1">
        <v>9219855.2300000004</v>
      </c>
      <c r="BO222" s="1">
        <v>23.664660909999998</v>
      </c>
      <c r="BP222" s="1">
        <v>0.45007313999999998</v>
      </c>
      <c r="BQ222" s="1">
        <v>6.9606796500000003</v>
      </c>
      <c r="BR222" s="1">
        <v>1.1570537400000001</v>
      </c>
      <c r="BS222" s="1" t="s">
        <v>169</v>
      </c>
      <c r="BT222" s="1" t="s">
        <v>169</v>
      </c>
      <c r="BU222" s="1">
        <v>26356083.120000001</v>
      </c>
      <c r="BV222" s="1">
        <v>0</v>
      </c>
      <c r="BW222" s="1">
        <v>-8130</v>
      </c>
      <c r="BX222" s="1">
        <v>-0.53</v>
      </c>
      <c r="BY222" s="1" t="s">
        <v>170</v>
      </c>
      <c r="BZ222" s="1">
        <v>-78038.69</v>
      </c>
      <c r="CA222" s="1" t="s">
        <v>250</v>
      </c>
      <c r="CB222" s="1" t="s">
        <v>251</v>
      </c>
      <c r="CC222" s="1">
        <v>-36480</v>
      </c>
      <c r="CD222" s="1">
        <v>-36480</v>
      </c>
      <c r="CE222" s="1">
        <v>1540720</v>
      </c>
      <c r="CF222" s="1">
        <v>1540720</v>
      </c>
      <c r="CG222" s="1">
        <v>0</v>
      </c>
      <c r="CH222" s="1">
        <v>1.4438757900000001</v>
      </c>
      <c r="CI222" s="1">
        <v>13.27863496</v>
      </c>
      <c r="CJ222" s="1">
        <v>17588381.91</v>
      </c>
      <c r="CK222" s="1">
        <v>1912503.72</v>
      </c>
      <c r="CL222" s="1">
        <v>6269233.6699999999</v>
      </c>
      <c r="CM222" s="1" t="s">
        <v>164</v>
      </c>
      <c r="CN222" s="1" t="s">
        <v>164</v>
      </c>
      <c r="CO222" s="1" t="s">
        <v>184</v>
      </c>
      <c r="CP222" s="1" t="s">
        <v>243</v>
      </c>
      <c r="CQ222" s="3" t="s">
        <v>252</v>
      </c>
      <c r="CR222" s="1">
        <v>0</v>
      </c>
      <c r="CS222" s="1" t="s">
        <v>243</v>
      </c>
      <c r="CT222" s="1">
        <v>1.2397690699999999</v>
      </c>
      <c r="CV222" s="1">
        <v>0</v>
      </c>
      <c r="CW222" s="1">
        <v>-219173.26</v>
      </c>
      <c r="DA222" s="1">
        <v>1355558.46</v>
      </c>
      <c r="DB222" s="1">
        <v>0</v>
      </c>
      <c r="DC222" s="1">
        <v>2520.3126550000002</v>
      </c>
      <c r="DD222" s="1">
        <v>52555.483399999997</v>
      </c>
      <c r="DE222" s="1">
        <v>-296353.43</v>
      </c>
      <c r="DF222" s="1">
        <v>92570020.519999996</v>
      </c>
      <c r="DG222" s="1">
        <v>-8130</v>
      </c>
      <c r="DH222" s="1">
        <v>394770.09</v>
      </c>
      <c r="DI222" s="1">
        <v>0.29803809999999997</v>
      </c>
      <c r="DK222" s="1">
        <v>0</v>
      </c>
      <c r="DL222" s="1">
        <v>0</v>
      </c>
      <c r="DM222" s="1">
        <v>-296353.43</v>
      </c>
      <c r="DN222" s="1">
        <v>0</v>
      </c>
      <c r="DO222" s="1">
        <v>0</v>
      </c>
      <c r="DP222" s="1">
        <v>16777215</v>
      </c>
      <c r="DQ222" s="1">
        <v>0</v>
      </c>
      <c r="DR222" s="1">
        <v>0</v>
      </c>
      <c r="DS222" s="1">
        <v>0</v>
      </c>
      <c r="DT222" s="1">
        <v>0</v>
      </c>
      <c r="DU222" s="1">
        <v>0</v>
      </c>
      <c r="DV222" s="1">
        <v>1532590</v>
      </c>
      <c r="DW222" s="1">
        <v>1532590</v>
      </c>
      <c r="DX222" s="1">
        <v>31345322.399999999</v>
      </c>
      <c r="DY222" s="1">
        <v>-1110160.2399999984</v>
      </c>
      <c r="DZ222" s="1">
        <v>92570020.519999966</v>
      </c>
      <c r="EA222" s="1">
        <v>0</v>
      </c>
      <c r="EB222" s="1">
        <v>0</v>
      </c>
      <c r="EC222" s="1" t="s">
        <v>176</v>
      </c>
      <c r="EE222" s="1">
        <v>0</v>
      </c>
      <c r="EF222" s="1">
        <v>3</v>
      </c>
      <c r="EG222" s="1">
        <v>0</v>
      </c>
      <c r="EH222" s="3">
        <v>1.6556008</v>
      </c>
      <c r="EI222" s="1">
        <v>0</v>
      </c>
      <c r="EL222" s="1">
        <v>0</v>
      </c>
      <c r="EM222" s="1">
        <v>0</v>
      </c>
      <c r="EN222" s="1">
        <v>1633661.45</v>
      </c>
      <c r="EO222" s="1">
        <v>1.2333592799999999</v>
      </c>
      <c r="ER222" s="1">
        <v>77.057000000000002</v>
      </c>
      <c r="ES222" s="1">
        <v>1</v>
      </c>
      <c r="ET222" s="3">
        <v>3.4182468749999999</v>
      </c>
      <c r="EU222" s="3">
        <v>7.7540983609999996</v>
      </c>
      <c r="EV222" s="3">
        <v>5.7775835063820002</v>
      </c>
      <c r="EW222" s="3">
        <v>7.7589041099999996</v>
      </c>
      <c r="EX222" s="3">
        <v>0.63467060600000003</v>
      </c>
      <c r="EY222" s="3">
        <v>90</v>
      </c>
      <c r="EZ222" s="3">
        <v>2832</v>
      </c>
      <c r="FA222" s="1">
        <v>0</v>
      </c>
      <c r="FB222" s="1">
        <v>0</v>
      </c>
      <c r="FC222" s="3">
        <v>3.1102332439999998</v>
      </c>
      <c r="FD222" s="1">
        <v>0</v>
      </c>
      <c r="FE222" s="1">
        <v>0</v>
      </c>
    </row>
    <row r="223" spans="1:161" x14ac:dyDescent="0.3">
      <c r="A223" s="1">
        <v>16975496</v>
      </c>
      <c r="B223" s="1">
        <v>128</v>
      </c>
      <c r="C223" s="1">
        <v>10493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200000</v>
      </c>
      <c r="J223" s="3">
        <v>200000</v>
      </c>
      <c r="K223" s="1">
        <v>200000</v>
      </c>
      <c r="L223" s="1">
        <v>200000</v>
      </c>
      <c r="M223" s="1">
        <v>200000</v>
      </c>
      <c r="N223" s="3">
        <v>200000</v>
      </c>
      <c r="O223" s="1">
        <v>194246</v>
      </c>
      <c r="P223" s="1">
        <v>194246</v>
      </c>
      <c r="Q223" s="1">
        <v>194246</v>
      </c>
      <c r="R223" s="1">
        <v>194246</v>
      </c>
      <c r="S223" s="1">
        <v>200000</v>
      </c>
      <c r="T223" s="1">
        <v>200000</v>
      </c>
      <c r="U223" s="1">
        <v>200000</v>
      </c>
      <c r="V223" s="1">
        <v>200000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3" t="s">
        <v>667</v>
      </c>
      <c r="AF223" s="3" t="s">
        <v>161</v>
      </c>
      <c r="AG223" s="1" t="s">
        <v>970</v>
      </c>
      <c r="AH223" s="3" t="s">
        <v>669</v>
      </c>
      <c r="AI223" s="1">
        <v>4</v>
      </c>
      <c r="AJ223" s="3" t="s">
        <v>165</v>
      </c>
      <c r="AK223" s="1" t="s">
        <v>191</v>
      </c>
      <c r="AL223" s="3">
        <v>0</v>
      </c>
      <c r="AM223" s="3">
        <v>0</v>
      </c>
      <c r="AN223" s="3">
        <v>196510</v>
      </c>
      <c r="AO223" s="3">
        <v>196510</v>
      </c>
      <c r="AP223" s="1" t="s">
        <v>164</v>
      </c>
      <c r="AQ223" s="1">
        <v>4</v>
      </c>
      <c r="AR223" s="1" t="s">
        <v>165</v>
      </c>
      <c r="AS223" s="3">
        <v>132534288.59999999</v>
      </c>
      <c r="AT223" s="1" t="s">
        <v>176</v>
      </c>
      <c r="AU223" s="1">
        <v>1</v>
      </c>
      <c r="AV223" s="1">
        <v>1</v>
      </c>
      <c r="AW223" s="3" t="s">
        <v>494</v>
      </c>
      <c r="AX223" s="3" t="s">
        <v>495</v>
      </c>
      <c r="AY223" s="1">
        <v>0</v>
      </c>
      <c r="BA223" s="3">
        <v>8205251.6799999997</v>
      </c>
      <c r="BB223" s="1">
        <v>1</v>
      </c>
      <c r="BD223" s="1" t="s">
        <v>971</v>
      </c>
      <c r="BE223" s="1">
        <v>1</v>
      </c>
      <c r="BF223" s="1">
        <v>1</v>
      </c>
      <c r="BG223" s="1" t="s">
        <v>168</v>
      </c>
      <c r="BH223" s="1">
        <v>0</v>
      </c>
      <c r="BI223" s="1">
        <v>31345322.399999999</v>
      </c>
      <c r="BJ223" s="1">
        <v>0</v>
      </c>
      <c r="BK223" s="1">
        <v>123618989.48999999</v>
      </c>
      <c r="BL223" s="1">
        <v>132456249.91</v>
      </c>
      <c r="BM223" s="1">
        <v>596150.00000000012</v>
      </c>
      <c r="BN223" s="1">
        <v>9219855.2300000004</v>
      </c>
      <c r="BO223" s="1">
        <v>23.664660909999998</v>
      </c>
      <c r="BP223" s="1">
        <v>0.45007313999999998</v>
      </c>
      <c r="BQ223" s="1">
        <v>6.9606796500000003</v>
      </c>
      <c r="BR223" s="1">
        <v>0.14835841999999999</v>
      </c>
      <c r="BS223" s="1" t="s">
        <v>169</v>
      </c>
      <c r="BT223" s="1" t="s">
        <v>169</v>
      </c>
      <c r="BU223" s="1">
        <v>26356083.120000001</v>
      </c>
      <c r="BV223" s="1">
        <v>0</v>
      </c>
      <c r="BW223" s="1">
        <v>0</v>
      </c>
      <c r="BX223" s="1">
        <v>0</v>
      </c>
      <c r="BY223" s="1" t="s">
        <v>170</v>
      </c>
      <c r="BZ223" s="1">
        <v>-78038.69</v>
      </c>
      <c r="CA223" s="1" t="s">
        <v>250</v>
      </c>
      <c r="CB223" s="1" t="s">
        <v>593</v>
      </c>
      <c r="CC223" s="1">
        <v>2264</v>
      </c>
      <c r="CD223" s="1">
        <v>2264</v>
      </c>
      <c r="CE223" s="1">
        <v>196510</v>
      </c>
      <c r="CF223" s="1">
        <v>196510</v>
      </c>
      <c r="CG223" s="1">
        <v>0</v>
      </c>
      <c r="CH223" s="1">
        <v>1.4438757900000001</v>
      </c>
      <c r="CI223" s="1">
        <v>13.27863496</v>
      </c>
      <c r="CJ223" s="1">
        <v>17588381.91</v>
      </c>
      <c r="CK223" s="1">
        <v>1912503.72</v>
      </c>
      <c r="CL223" s="1">
        <v>6269233.6699999999</v>
      </c>
      <c r="CM223" s="1" t="s">
        <v>164</v>
      </c>
      <c r="CN223" s="1" t="s">
        <v>164</v>
      </c>
      <c r="CO223" s="1" t="s">
        <v>184</v>
      </c>
      <c r="CP223" s="1" t="s">
        <v>243</v>
      </c>
      <c r="CQ223" s="3" t="s">
        <v>252</v>
      </c>
      <c r="CR223" s="1">
        <v>0</v>
      </c>
      <c r="CS223" s="1" t="s">
        <v>243</v>
      </c>
      <c r="CT223" s="1">
        <v>0.15896425</v>
      </c>
      <c r="CV223" s="1">
        <v>0</v>
      </c>
      <c r="CW223" s="1">
        <v>-219173.26</v>
      </c>
      <c r="DA223" s="1">
        <v>1355558.46</v>
      </c>
      <c r="DB223" s="1">
        <v>0</v>
      </c>
      <c r="DC223" s="1">
        <v>2520.3126550000002</v>
      </c>
      <c r="DD223" s="1">
        <v>52555.483399999997</v>
      </c>
      <c r="DE223" s="1">
        <v>-296353.43</v>
      </c>
      <c r="DF223" s="1">
        <v>92570020.519999996</v>
      </c>
      <c r="DG223" s="1">
        <v>0</v>
      </c>
      <c r="DH223" s="1">
        <v>394770.09</v>
      </c>
      <c r="DI223" s="1">
        <v>0.29803809999999997</v>
      </c>
      <c r="DK223" s="1">
        <v>0</v>
      </c>
      <c r="DL223" s="1">
        <v>0</v>
      </c>
      <c r="DM223" s="1">
        <v>-296353.43</v>
      </c>
      <c r="DN223" s="1">
        <v>0</v>
      </c>
      <c r="DO223" s="1">
        <v>0</v>
      </c>
      <c r="DP223" s="1">
        <v>16777215</v>
      </c>
      <c r="DQ223" s="1">
        <v>0</v>
      </c>
      <c r="DR223" s="1">
        <v>0</v>
      </c>
      <c r="DS223" s="1">
        <v>0</v>
      </c>
      <c r="DT223" s="1">
        <v>0</v>
      </c>
      <c r="DU223" s="1">
        <v>0</v>
      </c>
      <c r="DV223" s="1">
        <v>196510</v>
      </c>
      <c r="DW223" s="1">
        <v>196510</v>
      </c>
      <c r="DX223" s="1">
        <v>31345322.399999999</v>
      </c>
      <c r="DY223" s="1">
        <v>-1110160.2399999984</v>
      </c>
      <c r="DZ223" s="1">
        <v>92570020.519999966</v>
      </c>
      <c r="EA223" s="1">
        <v>0</v>
      </c>
      <c r="EB223" s="1">
        <v>0</v>
      </c>
      <c r="EC223" s="1" t="s">
        <v>176</v>
      </c>
      <c r="EE223" s="1">
        <v>0</v>
      </c>
      <c r="EF223" s="1">
        <v>3</v>
      </c>
      <c r="EG223" s="1">
        <v>0</v>
      </c>
      <c r="EH223" s="3">
        <v>0.21228254999999999</v>
      </c>
      <c r="EI223" s="1">
        <v>0</v>
      </c>
      <c r="EL223" s="1">
        <v>0</v>
      </c>
      <c r="EM223" s="1">
        <v>0</v>
      </c>
      <c r="EN223" s="1">
        <v>1633661.45</v>
      </c>
      <c r="EO223" s="1">
        <v>1.2333592799999999</v>
      </c>
      <c r="ER223" s="1">
        <v>0</v>
      </c>
      <c r="ES223" s="1">
        <v>1</v>
      </c>
      <c r="ET223" s="3">
        <v>3.7982739639999998</v>
      </c>
      <c r="EU223" s="3">
        <v>0.47222222200000002</v>
      </c>
      <c r="EV223" s="3">
        <v>0</v>
      </c>
      <c r="EW223" s="3">
        <v>0.465753425</v>
      </c>
      <c r="EX223" s="3">
        <v>6.4526710000000001E-3</v>
      </c>
      <c r="EY223" s="3">
        <v>5</v>
      </c>
      <c r="EZ223" s="3">
        <v>170</v>
      </c>
      <c r="FA223" s="1">
        <v>0</v>
      </c>
      <c r="FB223" s="1">
        <v>0</v>
      </c>
      <c r="FC223" s="3">
        <v>6.376902802</v>
      </c>
      <c r="FD223" s="1">
        <v>0</v>
      </c>
      <c r="FE223" s="1">
        <v>0</v>
      </c>
    </row>
    <row r="224" spans="1:161" x14ac:dyDescent="0.3">
      <c r="A224" s="1">
        <v>16975469</v>
      </c>
      <c r="B224" s="1">
        <v>128</v>
      </c>
      <c r="C224" s="1">
        <v>2641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10000000</v>
      </c>
      <c r="J224" s="3">
        <v>10000000</v>
      </c>
      <c r="K224" s="1">
        <v>100000</v>
      </c>
      <c r="L224" s="1">
        <v>100000</v>
      </c>
      <c r="M224" s="1">
        <v>100000</v>
      </c>
      <c r="N224" s="3">
        <v>100000</v>
      </c>
      <c r="O224" s="1">
        <v>134478</v>
      </c>
      <c r="P224" s="1">
        <v>134478</v>
      </c>
      <c r="Q224" s="1">
        <v>134478</v>
      </c>
      <c r="R224" s="1">
        <v>134478</v>
      </c>
      <c r="S224" s="1">
        <v>100000</v>
      </c>
      <c r="T224" s="1">
        <v>100000</v>
      </c>
      <c r="U224" s="1">
        <v>100000</v>
      </c>
      <c r="V224" s="1">
        <v>100000</v>
      </c>
      <c r="W224" s="1">
        <v>0</v>
      </c>
      <c r="X224" s="1">
        <v>0</v>
      </c>
      <c r="Y224" s="1">
        <v>0</v>
      </c>
      <c r="Z224" s="1">
        <v>0</v>
      </c>
      <c r="AA224" s="1">
        <v>-7558.24</v>
      </c>
      <c r="AB224" s="1">
        <v>-7558.24</v>
      </c>
      <c r="AC224" s="1">
        <v>-7558.24</v>
      </c>
      <c r="AD224" s="1">
        <v>-7558.24</v>
      </c>
      <c r="AE224" s="3" t="s">
        <v>507</v>
      </c>
      <c r="AF224" s="3" t="s">
        <v>161</v>
      </c>
      <c r="AG224" s="1" t="s">
        <v>970</v>
      </c>
      <c r="AH224" s="3" t="s">
        <v>508</v>
      </c>
      <c r="AI224" s="1">
        <v>4</v>
      </c>
      <c r="AJ224" s="3" t="s">
        <v>165</v>
      </c>
      <c r="AK224" s="1" t="s">
        <v>191</v>
      </c>
      <c r="AL224" s="3">
        <v>111.92077999999999</v>
      </c>
      <c r="AM224" s="3">
        <v>111.96677</v>
      </c>
      <c r="AN224" s="3">
        <v>111966.77</v>
      </c>
      <c r="AO224" s="3">
        <v>111966.77</v>
      </c>
      <c r="AP224" s="1" t="s">
        <v>164</v>
      </c>
      <c r="AQ224" s="1">
        <v>4</v>
      </c>
      <c r="AR224" s="1" t="s">
        <v>165</v>
      </c>
      <c r="AS224" s="3">
        <v>132534288.59999999</v>
      </c>
      <c r="AT224" s="1" t="s">
        <v>176</v>
      </c>
      <c r="AU224" s="1">
        <v>1</v>
      </c>
      <c r="AV224" s="1">
        <v>1</v>
      </c>
      <c r="AW224" s="3" t="s">
        <v>494</v>
      </c>
      <c r="AX224" s="3" t="s">
        <v>495</v>
      </c>
      <c r="AY224" s="1">
        <v>0</v>
      </c>
      <c r="BA224" s="3">
        <v>8205251.6799999997</v>
      </c>
      <c r="BB224" s="1">
        <v>1</v>
      </c>
      <c r="BD224" s="1" t="s">
        <v>971</v>
      </c>
      <c r="BE224" s="1">
        <v>1</v>
      </c>
      <c r="BF224" s="1">
        <v>1</v>
      </c>
      <c r="BG224" s="1" t="s">
        <v>168</v>
      </c>
      <c r="BH224" s="1">
        <v>0</v>
      </c>
      <c r="BI224" s="1">
        <v>31345322.399999999</v>
      </c>
      <c r="BJ224" s="1">
        <v>0</v>
      </c>
      <c r="BK224" s="1">
        <v>123618989.48999999</v>
      </c>
      <c r="BL224" s="1">
        <v>132456249.91</v>
      </c>
      <c r="BM224" s="1">
        <v>596150.00000000012</v>
      </c>
      <c r="BN224" s="1">
        <v>9219855.2300000004</v>
      </c>
      <c r="BO224" s="1">
        <v>23.664660909999998</v>
      </c>
      <c r="BP224" s="1">
        <v>0.45007313999999998</v>
      </c>
      <c r="BQ224" s="1">
        <v>6.9606796500000003</v>
      </c>
      <c r="BR224" s="1">
        <v>8.4531129999999996E-2</v>
      </c>
      <c r="BS224" s="1" t="s">
        <v>169</v>
      </c>
      <c r="BT224" s="1" t="s">
        <v>169</v>
      </c>
      <c r="BU224" s="1">
        <v>26356083.120000001</v>
      </c>
      <c r="BV224" s="1">
        <v>0</v>
      </c>
      <c r="BW224" s="1">
        <v>45.99</v>
      </c>
      <c r="BX224" s="1">
        <v>0.04</v>
      </c>
      <c r="BY224" s="1" t="s">
        <v>170</v>
      </c>
      <c r="BZ224" s="1">
        <v>-78038.69</v>
      </c>
      <c r="CA224" s="1" t="s">
        <v>250</v>
      </c>
      <c r="CB224" s="1" t="s">
        <v>251</v>
      </c>
      <c r="CC224" s="1">
        <v>-14998.98</v>
      </c>
      <c r="CD224" s="1">
        <v>-14998.98</v>
      </c>
      <c r="CE224" s="1">
        <v>111920.78</v>
      </c>
      <c r="CF224" s="1">
        <v>111920.78</v>
      </c>
      <c r="CG224" s="1">
        <v>0</v>
      </c>
      <c r="CH224" s="1">
        <v>1.4438757900000001</v>
      </c>
      <c r="CI224" s="1">
        <v>13.27863496</v>
      </c>
      <c r="CJ224" s="1">
        <v>17588381.91</v>
      </c>
      <c r="CK224" s="1">
        <v>1912503.72</v>
      </c>
      <c r="CL224" s="1">
        <v>6269233.6699999999</v>
      </c>
      <c r="CM224" s="1" t="s">
        <v>164</v>
      </c>
      <c r="CN224" s="1" t="s">
        <v>164</v>
      </c>
      <c r="CO224" s="1" t="s">
        <v>184</v>
      </c>
      <c r="CP224" s="1" t="s">
        <v>243</v>
      </c>
      <c r="CQ224" s="3" t="s">
        <v>252</v>
      </c>
      <c r="CR224" s="1">
        <v>0</v>
      </c>
      <c r="CS224" s="1" t="s">
        <v>243</v>
      </c>
      <c r="CT224" s="1">
        <v>9.0574089999999996E-2</v>
      </c>
      <c r="CV224" s="1">
        <v>0</v>
      </c>
      <c r="CW224" s="1">
        <v>-219173.26</v>
      </c>
      <c r="DA224" s="1">
        <v>1355558.46</v>
      </c>
      <c r="DB224" s="1">
        <v>0</v>
      </c>
      <c r="DC224" s="1">
        <v>2520.3126550000002</v>
      </c>
      <c r="DD224" s="1">
        <v>52555.483399999997</v>
      </c>
      <c r="DE224" s="1">
        <v>-296353.43</v>
      </c>
      <c r="DF224" s="1">
        <v>92570020.519999996</v>
      </c>
      <c r="DG224" s="1">
        <v>45.99</v>
      </c>
      <c r="DH224" s="1">
        <v>394770.09</v>
      </c>
      <c r="DI224" s="1">
        <v>0.29803809999999997</v>
      </c>
      <c r="DK224" s="1">
        <v>0</v>
      </c>
      <c r="DL224" s="1">
        <v>0</v>
      </c>
      <c r="DM224" s="1">
        <v>-296353.43</v>
      </c>
      <c r="DN224" s="1">
        <v>0</v>
      </c>
      <c r="DO224" s="1">
        <v>0</v>
      </c>
      <c r="DP224" s="1">
        <v>16777215</v>
      </c>
      <c r="DQ224" s="1">
        <v>0</v>
      </c>
      <c r="DR224" s="1">
        <v>0</v>
      </c>
      <c r="DS224" s="1">
        <v>0</v>
      </c>
      <c r="DT224" s="1">
        <v>0</v>
      </c>
      <c r="DU224" s="1">
        <v>0</v>
      </c>
      <c r="DV224" s="1">
        <v>111966.77</v>
      </c>
      <c r="DW224" s="1">
        <v>111966.77</v>
      </c>
      <c r="DX224" s="1">
        <v>31345322.399999999</v>
      </c>
      <c r="DY224" s="1">
        <v>-1110160.2399999984</v>
      </c>
      <c r="DZ224" s="1">
        <v>92570020.519999966</v>
      </c>
      <c r="EA224" s="1">
        <v>0</v>
      </c>
      <c r="EB224" s="1">
        <v>0</v>
      </c>
      <c r="EC224" s="1" t="s">
        <v>176</v>
      </c>
      <c r="EE224" s="1">
        <v>0</v>
      </c>
      <c r="EF224" s="1">
        <v>3</v>
      </c>
      <c r="EG224" s="1">
        <v>0</v>
      </c>
      <c r="EH224" s="3">
        <v>0.12095359999999999</v>
      </c>
      <c r="EI224" s="1">
        <v>0</v>
      </c>
      <c r="EL224" s="1">
        <v>0</v>
      </c>
      <c r="EM224" s="1">
        <v>0</v>
      </c>
      <c r="EN224" s="1">
        <v>1633661.45</v>
      </c>
      <c r="EO224" s="1">
        <v>1.2333592799999999</v>
      </c>
      <c r="ER224" s="1">
        <v>111.95811</v>
      </c>
      <c r="ES224" s="1">
        <v>1</v>
      </c>
      <c r="ET224" s="3">
        <v>4.0619865810000002</v>
      </c>
      <c r="EU224" s="3">
        <v>3.5842992260000002</v>
      </c>
      <c r="EV224" s="3">
        <v>3.933034012811</v>
      </c>
      <c r="EW224" s="3">
        <v>4.0849315070000003</v>
      </c>
      <c r="EX224" s="3">
        <v>0.16919489200000001</v>
      </c>
      <c r="EY224" s="3">
        <v>42</v>
      </c>
      <c r="EZ224" s="3">
        <v>1491</v>
      </c>
      <c r="FA224" s="1">
        <v>0</v>
      </c>
      <c r="FB224" s="1">
        <v>0</v>
      </c>
      <c r="FC224" s="3">
        <v>-1.084879551</v>
      </c>
      <c r="FD224" s="1">
        <v>0</v>
      </c>
      <c r="FE224" s="1">
        <v>0</v>
      </c>
    </row>
    <row r="225" spans="1:161" x14ac:dyDescent="0.3">
      <c r="A225" s="1">
        <v>16975562</v>
      </c>
      <c r="B225" s="1">
        <v>128</v>
      </c>
      <c r="C225" s="1">
        <v>8375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1200</v>
      </c>
      <c r="J225" s="3">
        <v>1200</v>
      </c>
      <c r="K225" s="1">
        <v>1200000</v>
      </c>
      <c r="L225" s="1">
        <v>1200000</v>
      </c>
      <c r="M225" s="1">
        <v>1200000</v>
      </c>
      <c r="N225" s="3">
        <v>1200000</v>
      </c>
      <c r="O225" s="1">
        <v>1305783.33</v>
      </c>
      <c r="P225" s="1">
        <v>1305783.33</v>
      </c>
      <c r="Q225" s="1">
        <v>1305783.33</v>
      </c>
      <c r="R225" s="1">
        <v>1305783.33</v>
      </c>
      <c r="S225" s="1">
        <v>1200000</v>
      </c>
      <c r="T225" s="1">
        <v>1200000</v>
      </c>
      <c r="U225" s="1">
        <v>1200000</v>
      </c>
      <c r="V225" s="1">
        <v>1200000</v>
      </c>
      <c r="W225" s="1">
        <v>0</v>
      </c>
      <c r="X225" s="1">
        <v>0</v>
      </c>
      <c r="Y225" s="1">
        <v>0</v>
      </c>
      <c r="Z225" s="1">
        <v>0</v>
      </c>
      <c r="AA225" s="1">
        <v>-23663.58</v>
      </c>
      <c r="AB225" s="1">
        <v>-23663.58</v>
      </c>
      <c r="AC225" s="1">
        <v>-23663.58</v>
      </c>
      <c r="AD225" s="1">
        <v>-23663.58</v>
      </c>
      <c r="AE225" s="3" t="s">
        <v>509</v>
      </c>
      <c r="AF225" s="3" t="s">
        <v>161</v>
      </c>
      <c r="AG225" s="1" t="s">
        <v>970</v>
      </c>
      <c r="AH225" s="3" t="s">
        <v>510</v>
      </c>
      <c r="AI225" s="1">
        <v>4</v>
      </c>
      <c r="AJ225" s="3" t="s">
        <v>165</v>
      </c>
      <c r="AK225" s="1" t="s">
        <v>191</v>
      </c>
      <c r="AL225" s="3">
        <v>83.623490000000004</v>
      </c>
      <c r="AM225" s="3">
        <v>83.558520000000001</v>
      </c>
      <c r="AN225" s="3">
        <v>1002702.24</v>
      </c>
      <c r="AO225" s="3">
        <v>1002702.24</v>
      </c>
      <c r="AP225" s="1" t="s">
        <v>164</v>
      </c>
      <c r="AQ225" s="1">
        <v>4</v>
      </c>
      <c r="AR225" s="1" t="s">
        <v>165</v>
      </c>
      <c r="AS225" s="3">
        <v>132534288.59999999</v>
      </c>
      <c r="AT225" s="1" t="s">
        <v>176</v>
      </c>
      <c r="AU225" s="1">
        <v>1</v>
      </c>
      <c r="AV225" s="1">
        <v>1</v>
      </c>
      <c r="AW225" s="3" t="s">
        <v>494</v>
      </c>
      <c r="AX225" s="3" t="s">
        <v>495</v>
      </c>
      <c r="AY225" s="1">
        <v>0</v>
      </c>
      <c r="BA225" s="3">
        <v>8205251.6799999997</v>
      </c>
      <c r="BB225" s="1">
        <v>1</v>
      </c>
      <c r="BD225" s="1" t="s">
        <v>971</v>
      </c>
      <c r="BE225" s="1">
        <v>1</v>
      </c>
      <c r="BF225" s="1">
        <v>1</v>
      </c>
      <c r="BG225" s="1" t="s">
        <v>168</v>
      </c>
      <c r="BH225" s="1">
        <v>0</v>
      </c>
      <c r="BI225" s="1">
        <v>31345322.399999999</v>
      </c>
      <c r="BJ225" s="1">
        <v>0</v>
      </c>
      <c r="BK225" s="1">
        <v>123618989.48999999</v>
      </c>
      <c r="BL225" s="1">
        <v>132456249.91</v>
      </c>
      <c r="BM225" s="1">
        <v>596150.00000000012</v>
      </c>
      <c r="BN225" s="1">
        <v>9219855.2300000004</v>
      </c>
      <c r="BO225" s="1">
        <v>23.664660909999998</v>
      </c>
      <c r="BP225" s="1">
        <v>0.45007313999999998</v>
      </c>
      <c r="BQ225" s="1">
        <v>6.9606796500000003</v>
      </c>
      <c r="BR225" s="1">
        <v>0.75700635999999999</v>
      </c>
      <c r="BS225" s="1" t="s">
        <v>169</v>
      </c>
      <c r="BT225" s="1" t="s">
        <v>169</v>
      </c>
      <c r="BU225" s="1">
        <v>26356083.120000001</v>
      </c>
      <c r="BV225" s="1">
        <v>0</v>
      </c>
      <c r="BW225" s="1">
        <v>-779.64</v>
      </c>
      <c r="BX225" s="1">
        <v>-7.0000000000000007E-2</v>
      </c>
      <c r="BY225" s="1" t="s">
        <v>170</v>
      </c>
      <c r="BZ225" s="1">
        <v>-78038.69</v>
      </c>
      <c r="CA225" s="1" t="s">
        <v>250</v>
      </c>
      <c r="CB225" s="1" t="s">
        <v>251</v>
      </c>
      <c r="CC225" s="1">
        <v>-278637.87</v>
      </c>
      <c r="CD225" s="1">
        <v>-278637.87</v>
      </c>
      <c r="CE225" s="1">
        <v>1003481.88</v>
      </c>
      <c r="CF225" s="1">
        <v>1003481.88</v>
      </c>
      <c r="CG225" s="1">
        <v>0</v>
      </c>
      <c r="CH225" s="1">
        <v>1.4438757900000001</v>
      </c>
      <c r="CI225" s="1">
        <v>13.27863496</v>
      </c>
      <c r="CJ225" s="1">
        <v>17588381.91</v>
      </c>
      <c r="CK225" s="1">
        <v>1912503.72</v>
      </c>
      <c r="CL225" s="1">
        <v>6269233.6699999999</v>
      </c>
      <c r="CM225" s="1" t="s">
        <v>164</v>
      </c>
      <c r="CN225" s="1" t="s">
        <v>164</v>
      </c>
      <c r="CO225" s="1" t="s">
        <v>184</v>
      </c>
      <c r="CP225" s="1" t="s">
        <v>243</v>
      </c>
      <c r="CQ225" s="3" t="s">
        <v>252</v>
      </c>
      <c r="CR225" s="1">
        <v>0</v>
      </c>
      <c r="CS225" s="1" t="s">
        <v>243</v>
      </c>
      <c r="CT225" s="1">
        <v>0.81112315000000001</v>
      </c>
      <c r="CV225" s="1">
        <v>0</v>
      </c>
      <c r="CW225" s="1">
        <v>-219173.26</v>
      </c>
      <c r="DA225" s="1">
        <v>1355558.46</v>
      </c>
      <c r="DB225" s="1">
        <v>0</v>
      </c>
      <c r="DC225" s="1">
        <v>2520.3126550000002</v>
      </c>
      <c r="DD225" s="1">
        <v>52555.483399999997</v>
      </c>
      <c r="DE225" s="1">
        <v>-296353.43</v>
      </c>
      <c r="DF225" s="1">
        <v>92570020.519999996</v>
      </c>
      <c r="DG225" s="1">
        <v>-779.64</v>
      </c>
      <c r="DH225" s="1">
        <v>394770.09</v>
      </c>
      <c r="DI225" s="1">
        <v>0.29803809999999997</v>
      </c>
      <c r="DK225" s="1">
        <v>0</v>
      </c>
      <c r="DL225" s="1">
        <v>0</v>
      </c>
      <c r="DM225" s="1">
        <v>-296353.43</v>
      </c>
      <c r="DN225" s="1">
        <v>0</v>
      </c>
      <c r="DO225" s="1">
        <v>0</v>
      </c>
      <c r="DP225" s="1">
        <v>16777215</v>
      </c>
      <c r="DQ225" s="1">
        <v>0</v>
      </c>
      <c r="DR225" s="1">
        <v>0</v>
      </c>
      <c r="DS225" s="1">
        <v>0</v>
      </c>
      <c r="DT225" s="1">
        <v>0</v>
      </c>
      <c r="DU225" s="1">
        <v>0</v>
      </c>
      <c r="DV225" s="1">
        <v>1002702.24</v>
      </c>
      <c r="DW225" s="1">
        <v>1002702.24</v>
      </c>
      <c r="DX225" s="1">
        <v>31345322.399999999</v>
      </c>
      <c r="DY225" s="1">
        <v>-1110160.2399999984</v>
      </c>
      <c r="DZ225" s="1">
        <v>92570020.519999966</v>
      </c>
      <c r="EA225" s="1">
        <v>0</v>
      </c>
      <c r="EB225" s="1">
        <v>0</v>
      </c>
      <c r="EC225" s="1" t="s">
        <v>176</v>
      </c>
      <c r="EE225" s="1">
        <v>0</v>
      </c>
      <c r="EF225" s="1">
        <v>3</v>
      </c>
      <c r="EG225" s="1">
        <v>0</v>
      </c>
      <c r="EH225" s="3">
        <v>1.0831824800000001</v>
      </c>
      <c r="EI225" s="1">
        <v>0</v>
      </c>
      <c r="EL225" s="1">
        <v>0</v>
      </c>
      <c r="EM225" s="1">
        <v>0</v>
      </c>
      <c r="EN225" s="1">
        <v>1633661.45</v>
      </c>
      <c r="EO225" s="1">
        <v>1.2333592799999999</v>
      </c>
      <c r="ER225" s="1">
        <v>83.642009999999999</v>
      </c>
      <c r="ES225" s="1">
        <v>1</v>
      </c>
      <c r="ET225" s="3">
        <v>4.479549198</v>
      </c>
      <c r="EU225" s="3">
        <v>6.6955251560000004</v>
      </c>
      <c r="EV225" s="3">
        <v>5.4775862355009997</v>
      </c>
      <c r="EW225" s="3">
        <v>7.1698630139999997</v>
      </c>
      <c r="EX225" s="3">
        <v>0.51306015699999996</v>
      </c>
      <c r="EY225" s="3">
        <v>79</v>
      </c>
      <c r="EZ225" s="3">
        <v>2617</v>
      </c>
      <c r="FA225" s="1">
        <v>0</v>
      </c>
      <c r="FB225" s="1">
        <v>0</v>
      </c>
      <c r="FC225" s="3">
        <v>0.476268052</v>
      </c>
      <c r="FD225" s="1">
        <v>0</v>
      </c>
      <c r="FE225" s="1">
        <v>0</v>
      </c>
    </row>
    <row r="226" spans="1:161" x14ac:dyDescent="0.3">
      <c r="A226" s="1">
        <v>16975572</v>
      </c>
      <c r="B226" s="1">
        <v>128</v>
      </c>
      <c r="C226" s="1">
        <v>8823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100</v>
      </c>
      <c r="J226" s="3">
        <v>100</v>
      </c>
      <c r="K226" s="1">
        <v>100000</v>
      </c>
      <c r="L226" s="1">
        <v>100000</v>
      </c>
      <c r="M226" s="1">
        <v>100000</v>
      </c>
      <c r="N226" s="3">
        <v>100000</v>
      </c>
      <c r="O226" s="1">
        <v>101441</v>
      </c>
      <c r="P226" s="1">
        <v>101441</v>
      </c>
      <c r="Q226" s="1">
        <v>101441</v>
      </c>
      <c r="R226" s="1">
        <v>101441</v>
      </c>
      <c r="S226" s="1">
        <v>100000</v>
      </c>
      <c r="T226" s="1">
        <v>100000</v>
      </c>
      <c r="U226" s="1">
        <v>100000</v>
      </c>
      <c r="V226" s="1">
        <v>100000</v>
      </c>
      <c r="W226" s="1">
        <v>0</v>
      </c>
      <c r="X226" s="1">
        <v>0</v>
      </c>
      <c r="Y226" s="1">
        <v>0</v>
      </c>
      <c r="Z226" s="1">
        <v>0</v>
      </c>
      <c r="AA226" s="1">
        <v>91.4</v>
      </c>
      <c r="AB226" s="1">
        <v>91.4</v>
      </c>
      <c r="AC226" s="1">
        <v>91.4</v>
      </c>
      <c r="AD226" s="1">
        <v>91.4</v>
      </c>
      <c r="AE226" s="3" t="s">
        <v>511</v>
      </c>
      <c r="AF226" s="3" t="s">
        <v>161</v>
      </c>
      <c r="AG226" s="1" t="s">
        <v>970</v>
      </c>
      <c r="AH226" s="3" t="s">
        <v>512</v>
      </c>
      <c r="AI226" s="1">
        <v>4</v>
      </c>
      <c r="AJ226" s="3" t="s">
        <v>165</v>
      </c>
      <c r="AK226" s="1" t="s">
        <v>191</v>
      </c>
      <c r="AL226" s="3">
        <v>78.084540000000004</v>
      </c>
      <c r="AM226" s="3">
        <v>77.55292</v>
      </c>
      <c r="AN226" s="3">
        <v>77552.92</v>
      </c>
      <c r="AO226" s="3">
        <v>77552.92</v>
      </c>
      <c r="AP226" s="1" t="s">
        <v>164</v>
      </c>
      <c r="AQ226" s="1">
        <v>4</v>
      </c>
      <c r="AR226" s="1" t="s">
        <v>165</v>
      </c>
      <c r="AS226" s="3">
        <v>132534288.59999999</v>
      </c>
      <c r="AT226" s="1" t="s">
        <v>176</v>
      </c>
      <c r="AU226" s="1">
        <v>1</v>
      </c>
      <c r="AV226" s="1">
        <v>1</v>
      </c>
      <c r="AW226" s="3" t="s">
        <v>494</v>
      </c>
      <c r="AX226" s="3" t="s">
        <v>495</v>
      </c>
      <c r="AY226" s="1">
        <v>0</v>
      </c>
      <c r="BA226" s="3">
        <v>8205251.6799999997</v>
      </c>
      <c r="BB226" s="1">
        <v>1</v>
      </c>
      <c r="BD226" s="1" t="s">
        <v>971</v>
      </c>
      <c r="BE226" s="1">
        <v>1</v>
      </c>
      <c r="BF226" s="1">
        <v>1</v>
      </c>
      <c r="BG226" s="1" t="s">
        <v>168</v>
      </c>
      <c r="BH226" s="1">
        <v>0</v>
      </c>
      <c r="BI226" s="1">
        <v>31345322.399999999</v>
      </c>
      <c r="BJ226" s="1">
        <v>0</v>
      </c>
      <c r="BK226" s="1">
        <v>123618989.48999999</v>
      </c>
      <c r="BL226" s="1">
        <v>132456249.91</v>
      </c>
      <c r="BM226" s="1">
        <v>596150.00000000012</v>
      </c>
      <c r="BN226" s="1">
        <v>9219855.2300000004</v>
      </c>
      <c r="BO226" s="1">
        <v>23.664660909999998</v>
      </c>
      <c r="BP226" s="1">
        <v>0.45007313999999998</v>
      </c>
      <c r="BQ226" s="1">
        <v>6.9606796500000003</v>
      </c>
      <c r="BR226" s="1">
        <v>5.8549839999999999E-2</v>
      </c>
      <c r="BS226" s="1" t="s">
        <v>169</v>
      </c>
      <c r="BT226" s="1" t="s">
        <v>169</v>
      </c>
      <c r="BU226" s="1">
        <v>26356083.120000001</v>
      </c>
      <c r="BV226" s="1">
        <v>0</v>
      </c>
      <c r="BW226" s="1">
        <v>-531.62</v>
      </c>
      <c r="BX226" s="1">
        <v>-0.68</v>
      </c>
      <c r="BY226" s="1" t="s">
        <v>170</v>
      </c>
      <c r="BZ226" s="1">
        <v>-78038.69</v>
      </c>
      <c r="CA226" s="1" t="s">
        <v>250</v>
      </c>
      <c r="CB226" s="1" t="s">
        <v>251</v>
      </c>
      <c r="CC226" s="1">
        <v>-23447.86</v>
      </c>
      <c r="CD226" s="1">
        <v>-23447.86</v>
      </c>
      <c r="CE226" s="1">
        <v>78084.539999999994</v>
      </c>
      <c r="CF226" s="1">
        <v>78084.539999999994</v>
      </c>
      <c r="CG226" s="1">
        <v>0</v>
      </c>
      <c r="CH226" s="1">
        <v>1.4438757900000001</v>
      </c>
      <c r="CI226" s="1">
        <v>13.27863496</v>
      </c>
      <c r="CJ226" s="1">
        <v>17588381.91</v>
      </c>
      <c r="CK226" s="1">
        <v>1912503.72</v>
      </c>
      <c r="CL226" s="1">
        <v>6269233.6699999999</v>
      </c>
      <c r="CM226" s="1" t="s">
        <v>164</v>
      </c>
      <c r="CN226" s="1" t="s">
        <v>164</v>
      </c>
      <c r="CO226" s="1" t="s">
        <v>184</v>
      </c>
      <c r="CP226" s="1" t="s">
        <v>243</v>
      </c>
      <c r="CQ226" s="3" t="s">
        <v>252</v>
      </c>
      <c r="CR226" s="1">
        <v>0</v>
      </c>
      <c r="CS226" s="1" t="s">
        <v>243</v>
      </c>
      <c r="CT226" s="1">
        <v>6.2735440000000003E-2</v>
      </c>
      <c r="CV226" s="1">
        <v>0</v>
      </c>
      <c r="CW226" s="1">
        <v>-219173.26</v>
      </c>
      <c r="DA226" s="1">
        <v>1355558.46</v>
      </c>
      <c r="DB226" s="1">
        <v>0</v>
      </c>
      <c r="DC226" s="1">
        <v>2520.3126550000002</v>
      </c>
      <c r="DD226" s="1">
        <v>52555.483399999997</v>
      </c>
      <c r="DE226" s="1">
        <v>-296353.43</v>
      </c>
      <c r="DF226" s="1">
        <v>92570020.519999996</v>
      </c>
      <c r="DG226" s="1">
        <v>-531.62</v>
      </c>
      <c r="DH226" s="1">
        <v>394770.09</v>
      </c>
      <c r="DI226" s="1">
        <v>0.29803809999999997</v>
      </c>
      <c r="DK226" s="1">
        <v>0</v>
      </c>
      <c r="DL226" s="1">
        <v>0</v>
      </c>
      <c r="DM226" s="1">
        <v>-296353.43</v>
      </c>
      <c r="DN226" s="1">
        <v>0</v>
      </c>
      <c r="DO226" s="1">
        <v>0</v>
      </c>
      <c r="DP226" s="1">
        <v>16777215</v>
      </c>
      <c r="DQ226" s="1">
        <v>0</v>
      </c>
      <c r="DR226" s="1">
        <v>0</v>
      </c>
      <c r="DS226" s="1">
        <v>0</v>
      </c>
      <c r="DT226" s="1">
        <v>0</v>
      </c>
      <c r="DU226" s="1">
        <v>0</v>
      </c>
      <c r="DV226" s="1">
        <v>77552.92</v>
      </c>
      <c r="DW226" s="1">
        <v>77552.92</v>
      </c>
      <c r="DX226" s="1">
        <v>31345322.399999999</v>
      </c>
      <c r="DY226" s="1">
        <v>-1110160.2399999984</v>
      </c>
      <c r="DZ226" s="1">
        <v>92570020.519999966</v>
      </c>
      <c r="EA226" s="1">
        <v>0</v>
      </c>
      <c r="EB226" s="1">
        <v>0</v>
      </c>
      <c r="EC226" s="1" t="s">
        <v>176</v>
      </c>
      <c r="EE226" s="1">
        <v>0</v>
      </c>
      <c r="EF226" s="1">
        <v>3</v>
      </c>
      <c r="EG226" s="1">
        <v>0</v>
      </c>
      <c r="EH226" s="3">
        <v>8.3777580000000004E-2</v>
      </c>
      <c r="EI226" s="1">
        <v>0</v>
      </c>
      <c r="EL226" s="1">
        <v>0</v>
      </c>
      <c r="EM226" s="1">
        <v>0</v>
      </c>
      <c r="EN226" s="1">
        <v>1633661.45</v>
      </c>
      <c r="EO226" s="1">
        <v>1.2333592799999999</v>
      </c>
      <c r="ER226" s="1">
        <v>77.638459999999995</v>
      </c>
      <c r="ES226" s="1">
        <v>1</v>
      </c>
      <c r="ET226" s="3">
        <v>4.488829323</v>
      </c>
      <c r="EU226" s="3">
        <v>7.2258200910000001</v>
      </c>
      <c r="EV226" s="3">
        <v>5.4868673848359997</v>
      </c>
      <c r="EW226" s="3">
        <v>7.5013698629999999</v>
      </c>
      <c r="EX226" s="3">
        <v>0.58074188199999999</v>
      </c>
      <c r="EY226" s="3">
        <v>85</v>
      </c>
      <c r="EZ226" s="3">
        <v>2738</v>
      </c>
      <c r="FA226" s="1">
        <v>0</v>
      </c>
      <c r="FB226" s="1">
        <v>0</v>
      </c>
      <c r="FC226" s="3">
        <v>0.70392307099999996</v>
      </c>
      <c r="FD226" s="1">
        <v>0</v>
      </c>
      <c r="FE226" s="1">
        <v>0</v>
      </c>
    </row>
    <row r="227" spans="1:161" x14ac:dyDescent="0.3">
      <c r="A227" s="1">
        <v>16975395</v>
      </c>
      <c r="B227" s="1">
        <v>128</v>
      </c>
      <c r="C227" s="1">
        <v>9968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11000</v>
      </c>
      <c r="J227" s="3">
        <v>11000</v>
      </c>
      <c r="K227" s="1">
        <v>1100000</v>
      </c>
      <c r="L227" s="1">
        <v>1100000</v>
      </c>
      <c r="M227" s="1">
        <v>1100000</v>
      </c>
      <c r="N227" s="3">
        <v>1005663</v>
      </c>
      <c r="O227" s="1">
        <v>802359.38</v>
      </c>
      <c r="P227" s="1">
        <v>733385.86</v>
      </c>
      <c r="Q227" s="1">
        <v>802359.38</v>
      </c>
      <c r="R227" s="1">
        <v>733385.86</v>
      </c>
      <c r="S227" s="1">
        <v>1100000</v>
      </c>
      <c r="T227" s="1">
        <v>1005663</v>
      </c>
      <c r="U227" s="1">
        <v>1100000</v>
      </c>
      <c r="V227" s="1">
        <v>1005663</v>
      </c>
      <c r="W227" s="1">
        <v>0</v>
      </c>
      <c r="X227" s="1">
        <v>0</v>
      </c>
      <c r="Y227" s="1">
        <v>0</v>
      </c>
      <c r="Z227" s="1">
        <v>0</v>
      </c>
      <c r="AA227" s="1">
        <v>7651.99</v>
      </c>
      <c r="AB227" s="1">
        <v>7237.29</v>
      </c>
      <c r="AC227" s="1">
        <v>7651.99</v>
      </c>
      <c r="AD227" s="1">
        <v>7237.29</v>
      </c>
      <c r="AE227" s="3" t="s">
        <v>513</v>
      </c>
      <c r="AF227" s="3" t="s">
        <v>161</v>
      </c>
      <c r="AG227" s="1" t="s">
        <v>970</v>
      </c>
      <c r="AH227" s="3" t="s">
        <v>514</v>
      </c>
      <c r="AI227" s="1">
        <v>5</v>
      </c>
      <c r="AJ227" s="3" t="s">
        <v>162</v>
      </c>
      <c r="AK227" s="1" t="s">
        <v>163</v>
      </c>
      <c r="AL227" s="3">
        <v>62.593749708891004</v>
      </c>
      <c r="AM227" s="3">
        <v>61.615828804347998</v>
      </c>
      <c r="AN227" s="3">
        <v>677774.12</v>
      </c>
      <c r="AO227" s="3">
        <v>646484.28</v>
      </c>
      <c r="AP227" s="1" t="s">
        <v>164</v>
      </c>
      <c r="AQ227" s="1">
        <v>4</v>
      </c>
      <c r="AR227" s="1" t="s">
        <v>165</v>
      </c>
      <c r="AS227" s="3">
        <v>132534288.59999999</v>
      </c>
      <c r="AT227" s="1" t="s">
        <v>176</v>
      </c>
      <c r="AU227" s="1">
        <v>1</v>
      </c>
      <c r="AV227" s="1">
        <v>1</v>
      </c>
      <c r="AW227" s="3" t="s">
        <v>494</v>
      </c>
      <c r="AX227" s="3" t="s">
        <v>495</v>
      </c>
      <c r="AY227" s="1">
        <v>0</v>
      </c>
      <c r="BA227" s="3">
        <v>8205251.6799999997</v>
      </c>
      <c r="BB227" s="1">
        <v>1.0484</v>
      </c>
      <c r="BD227" s="1" t="s">
        <v>971</v>
      </c>
      <c r="BE227" s="1">
        <v>1</v>
      </c>
      <c r="BF227" s="1">
        <v>1</v>
      </c>
      <c r="BG227" s="1" t="s">
        <v>168</v>
      </c>
      <c r="BH227" s="1">
        <v>0</v>
      </c>
      <c r="BI227" s="1">
        <v>31345322.399999999</v>
      </c>
      <c r="BJ227" s="1">
        <v>0</v>
      </c>
      <c r="BK227" s="1">
        <v>123618989.48999999</v>
      </c>
      <c r="BL227" s="1">
        <v>132456249.91</v>
      </c>
      <c r="BM227" s="1">
        <v>596150.00000000012</v>
      </c>
      <c r="BN227" s="1">
        <v>9219855.2300000004</v>
      </c>
      <c r="BO227" s="1">
        <v>23.664660909999998</v>
      </c>
      <c r="BP227" s="1">
        <v>0.45007313999999998</v>
      </c>
      <c r="BQ227" s="1">
        <v>6.9606796500000003</v>
      </c>
      <c r="BR227" s="1">
        <v>0.48807381999999999</v>
      </c>
      <c r="BS227" s="1" t="s">
        <v>169</v>
      </c>
      <c r="BT227" s="1" t="s">
        <v>169</v>
      </c>
      <c r="BU227" s="1">
        <v>26356083.120000001</v>
      </c>
      <c r="BV227" s="1">
        <v>0</v>
      </c>
      <c r="BW227" s="1">
        <v>-4732.26</v>
      </c>
      <c r="BX227" s="1">
        <v>-1.57</v>
      </c>
      <c r="BY227" s="1" t="s">
        <v>170</v>
      </c>
      <c r="BZ227" s="1">
        <v>-78038.69</v>
      </c>
      <c r="CA227" s="1" t="s">
        <v>250</v>
      </c>
      <c r="CB227" s="1" t="s">
        <v>251</v>
      </c>
      <c r="CC227" s="1">
        <v>-121480.12</v>
      </c>
      <c r="CD227" s="1">
        <v>-89406.61</v>
      </c>
      <c r="CE227" s="1">
        <v>688531.25</v>
      </c>
      <c r="CF227" s="1">
        <v>651216.54</v>
      </c>
      <c r="CG227" s="1">
        <v>0</v>
      </c>
      <c r="CH227" s="1">
        <v>1.4438757900000001</v>
      </c>
      <c r="CI227" s="1">
        <v>13.27863496</v>
      </c>
      <c r="CJ227" s="1">
        <v>17588381.91</v>
      </c>
      <c r="CK227" s="1">
        <v>1912503.72</v>
      </c>
      <c r="CL227" s="1">
        <v>6269233.6699999999</v>
      </c>
      <c r="CM227" s="1" t="s">
        <v>164</v>
      </c>
      <c r="CN227" s="1" t="s">
        <v>164</v>
      </c>
      <c r="CO227" s="1" t="s">
        <v>184</v>
      </c>
      <c r="CP227" s="1" t="s">
        <v>243</v>
      </c>
      <c r="CQ227" s="3" t="s">
        <v>252</v>
      </c>
      <c r="CR227" s="1">
        <v>0</v>
      </c>
      <c r="CS227" s="1" t="s">
        <v>243</v>
      </c>
      <c r="CT227" s="1">
        <v>0.52296518999999997</v>
      </c>
      <c r="CV227" s="1">
        <v>0</v>
      </c>
      <c r="CW227" s="1">
        <v>-219173.26</v>
      </c>
      <c r="DA227" s="1">
        <v>1355558.46</v>
      </c>
      <c r="DB227" s="1">
        <v>0</v>
      </c>
      <c r="DC227" s="1">
        <v>2520.3126550000002</v>
      </c>
      <c r="DD227" s="1">
        <v>52555.483399999997</v>
      </c>
      <c r="DE227" s="1">
        <v>-296353.43</v>
      </c>
      <c r="DF227" s="1">
        <v>92570020.519999996</v>
      </c>
      <c r="DG227" s="1">
        <v>-10757.13</v>
      </c>
      <c r="DH227" s="1">
        <v>394770.09</v>
      </c>
      <c r="DI227" s="1">
        <v>0.29803809999999997</v>
      </c>
      <c r="DK227" s="1">
        <v>0</v>
      </c>
      <c r="DL227" s="1">
        <v>0</v>
      </c>
      <c r="DM227" s="1">
        <v>-296353.43</v>
      </c>
      <c r="DN227" s="1">
        <v>0</v>
      </c>
      <c r="DO227" s="1">
        <v>0</v>
      </c>
      <c r="DP227" s="1">
        <v>16777215</v>
      </c>
      <c r="DQ227" s="1">
        <v>0</v>
      </c>
      <c r="DR227" s="1">
        <v>0</v>
      </c>
      <c r="DS227" s="1">
        <v>0</v>
      </c>
      <c r="DT227" s="1">
        <v>0</v>
      </c>
      <c r="DU227" s="1">
        <v>0</v>
      </c>
      <c r="DV227" s="1">
        <v>677774.12</v>
      </c>
      <c r="DW227" s="1">
        <v>646484.28</v>
      </c>
      <c r="DX227" s="1">
        <v>31345322.399999999</v>
      </c>
      <c r="DY227" s="1">
        <v>-1110160.2399999984</v>
      </c>
      <c r="DZ227" s="1">
        <v>92570020.519999966</v>
      </c>
      <c r="EA227" s="1">
        <v>0</v>
      </c>
      <c r="EB227" s="1">
        <v>0</v>
      </c>
      <c r="EC227" s="1" t="s">
        <v>176</v>
      </c>
      <c r="EE227" s="1">
        <v>0</v>
      </c>
      <c r="EF227" s="1">
        <v>3</v>
      </c>
      <c r="EG227" s="1">
        <v>0</v>
      </c>
      <c r="EH227" s="3">
        <v>0.69837327000000005</v>
      </c>
      <c r="EI227" s="1">
        <v>0</v>
      </c>
      <c r="EL227" s="1">
        <v>0</v>
      </c>
      <c r="EM227" s="1">
        <v>0</v>
      </c>
      <c r="EN227" s="1">
        <v>1633661.45</v>
      </c>
      <c r="EO227" s="1">
        <v>1.2333592799999999</v>
      </c>
      <c r="ER227" s="1">
        <v>62.548573369564998</v>
      </c>
      <c r="ES227" s="1">
        <v>1.0572999999999999</v>
      </c>
      <c r="ET227" s="3">
        <v>5.0127717729999999</v>
      </c>
      <c r="EU227" s="3">
        <v>14.523197097000001</v>
      </c>
      <c r="EV227" s="3">
        <v>8.8619382231330004</v>
      </c>
      <c r="EW227" s="3">
        <v>17.882191781</v>
      </c>
      <c r="EX227" s="3">
        <v>2.44131236</v>
      </c>
      <c r="EY227" s="3">
        <v>170</v>
      </c>
      <c r="EZ227" s="3">
        <v>6527</v>
      </c>
      <c r="FA227" s="1">
        <v>0</v>
      </c>
      <c r="FB227" s="1">
        <v>0</v>
      </c>
      <c r="FC227" s="3">
        <v>3.9190119810000001</v>
      </c>
      <c r="FD227" s="1">
        <v>0</v>
      </c>
      <c r="FE227" s="1">
        <v>0</v>
      </c>
    </row>
    <row r="228" spans="1:161" x14ac:dyDescent="0.3">
      <c r="A228" s="1">
        <v>16975423</v>
      </c>
      <c r="B228" s="1">
        <v>128</v>
      </c>
      <c r="C228" s="1">
        <v>10393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20000</v>
      </c>
      <c r="J228" s="3">
        <v>20000</v>
      </c>
      <c r="K228" s="1">
        <v>2000000</v>
      </c>
      <c r="L228" s="1">
        <v>2000000</v>
      </c>
      <c r="M228" s="1">
        <v>2000000</v>
      </c>
      <c r="N228" s="3">
        <v>1846947.1</v>
      </c>
      <c r="O228" s="1">
        <v>1983750</v>
      </c>
      <c r="P228" s="1">
        <v>1831021.54</v>
      </c>
      <c r="Q228" s="1">
        <v>1983750</v>
      </c>
      <c r="R228" s="1">
        <v>1831021.54</v>
      </c>
      <c r="S228" s="1">
        <v>2000000</v>
      </c>
      <c r="T228" s="1">
        <v>1846947.1</v>
      </c>
      <c r="U228" s="1">
        <v>2000000</v>
      </c>
      <c r="V228" s="1">
        <v>1846947.1</v>
      </c>
      <c r="W228" s="1">
        <v>0</v>
      </c>
      <c r="X228" s="1">
        <v>0</v>
      </c>
      <c r="Y228" s="1">
        <v>0</v>
      </c>
      <c r="Z228" s="1">
        <v>0</v>
      </c>
      <c r="AA228" s="1">
        <v>9889.16</v>
      </c>
      <c r="AB228" s="1">
        <v>9353.2199999999993</v>
      </c>
      <c r="AC228" s="1">
        <v>9889.16</v>
      </c>
      <c r="AD228" s="1">
        <v>9353.2199999999993</v>
      </c>
      <c r="AE228" s="3" t="s">
        <v>515</v>
      </c>
      <c r="AF228" s="3" t="s">
        <v>161</v>
      </c>
      <c r="AG228" s="1" t="s">
        <v>970</v>
      </c>
      <c r="AH228" s="3" t="s">
        <v>516</v>
      </c>
      <c r="AI228" s="1">
        <v>5</v>
      </c>
      <c r="AJ228" s="3" t="s">
        <v>162</v>
      </c>
      <c r="AK228" s="1" t="s">
        <v>163</v>
      </c>
      <c r="AL228" s="3">
        <v>0</v>
      </c>
      <c r="AM228" s="3">
        <v>0</v>
      </c>
      <c r="AN228" s="3">
        <v>1752187.5</v>
      </c>
      <c r="AO228" s="3">
        <v>1671296.74</v>
      </c>
      <c r="AP228" s="1" t="s">
        <v>164</v>
      </c>
      <c r="AQ228" s="1">
        <v>4</v>
      </c>
      <c r="AR228" s="1" t="s">
        <v>165</v>
      </c>
      <c r="AS228" s="3">
        <v>132534288.59999999</v>
      </c>
      <c r="AT228" s="1" t="s">
        <v>176</v>
      </c>
      <c r="AU228" s="1">
        <v>1</v>
      </c>
      <c r="AV228" s="1">
        <v>1</v>
      </c>
      <c r="AW228" s="3" t="s">
        <v>494</v>
      </c>
      <c r="AX228" s="3" t="s">
        <v>495</v>
      </c>
      <c r="AY228" s="1">
        <v>0</v>
      </c>
      <c r="BA228" s="3">
        <v>8205251.6799999997</v>
      </c>
      <c r="BB228" s="1">
        <v>1.0484</v>
      </c>
      <c r="BD228" s="1" t="s">
        <v>971</v>
      </c>
      <c r="BE228" s="1">
        <v>1</v>
      </c>
      <c r="BF228" s="1">
        <v>1</v>
      </c>
      <c r="BG228" s="1" t="s">
        <v>168</v>
      </c>
      <c r="BH228" s="1">
        <v>0</v>
      </c>
      <c r="BI228" s="1">
        <v>31345322.399999999</v>
      </c>
      <c r="BJ228" s="1">
        <v>0</v>
      </c>
      <c r="BK228" s="1">
        <v>123618989.48999999</v>
      </c>
      <c r="BL228" s="1">
        <v>132456249.91</v>
      </c>
      <c r="BM228" s="1">
        <v>596150.00000000012</v>
      </c>
      <c r="BN228" s="1">
        <v>9219855.2300000004</v>
      </c>
      <c r="BO228" s="1">
        <v>23.664660909999998</v>
      </c>
      <c r="BP228" s="1">
        <v>0.45007313999999998</v>
      </c>
      <c r="BQ228" s="1">
        <v>6.9606796500000003</v>
      </c>
      <c r="BR228" s="1">
        <v>1.2617726499999999</v>
      </c>
      <c r="BS228" s="1" t="s">
        <v>169</v>
      </c>
      <c r="BT228" s="1" t="s">
        <v>169</v>
      </c>
      <c r="BU228" s="1">
        <v>26356083.120000001</v>
      </c>
      <c r="BV228" s="1">
        <v>0</v>
      </c>
      <c r="BW228" s="1">
        <v>14068.42</v>
      </c>
      <c r="BX228" s="1">
        <v>0</v>
      </c>
      <c r="BY228" s="1" t="s">
        <v>170</v>
      </c>
      <c r="BZ228" s="1">
        <v>-78038.69</v>
      </c>
      <c r="CA228" s="1" t="s">
        <v>250</v>
      </c>
      <c r="CB228" s="1" t="s">
        <v>251</v>
      </c>
      <c r="CC228" s="1">
        <v>-241451.66</v>
      </c>
      <c r="CD228" s="1">
        <v>-183146.44</v>
      </c>
      <c r="CE228" s="1">
        <v>1752187.5</v>
      </c>
      <c r="CF228" s="1">
        <v>1657228.32</v>
      </c>
      <c r="CG228" s="1">
        <v>0</v>
      </c>
      <c r="CH228" s="1">
        <v>1.4438757900000001</v>
      </c>
      <c r="CI228" s="1">
        <v>13.27863496</v>
      </c>
      <c r="CJ228" s="1">
        <v>17588381.91</v>
      </c>
      <c r="CK228" s="1">
        <v>1912503.72</v>
      </c>
      <c r="CL228" s="1">
        <v>6269233.6699999999</v>
      </c>
      <c r="CM228" s="1" t="s">
        <v>164</v>
      </c>
      <c r="CN228" s="1" t="s">
        <v>164</v>
      </c>
      <c r="CO228" s="1" t="s">
        <v>184</v>
      </c>
      <c r="CP228" s="1" t="s">
        <v>243</v>
      </c>
      <c r="CQ228" s="3" t="s">
        <v>252</v>
      </c>
      <c r="CR228" s="1">
        <v>0</v>
      </c>
      <c r="CS228" s="1" t="s">
        <v>243</v>
      </c>
      <c r="CT228" s="1">
        <v>1.3519741199999999</v>
      </c>
      <c r="CV228" s="1">
        <v>0</v>
      </c>
      <c r="CW228" s="1">
        <v>-219173.26</v>
      </c>
      <c r="DA228" s="1">
        <v>1355558.46</v>
      </c>
      <c r="DB228" s="1">
        <v>0</v>
      </c>
      <c r="DC228" s="1">
        <v>2520.3126550000002</v>
      </c>
      <c r="DD228" s="1">
        <v>52555.483399999997</v>
      </c>
      <c r="DE228" s="1">
        <v>-296353.43</v>
      </c>
      <c r="DF228" s="1">
        <v>92570020.519999996</v>
      </c>
      <c r="DG228" s="1">
        <v>0</v>
      </c>
      <c r="DH228" s="1">
        <v>394770.09</v>
      </c>
      <c r="DI228" s="1">
        <v>0.29803809999999997</v>
      </c>
      <c r="DK228" s="1">
        <v>0</v>
      </c>
      <c r="DL228" s="1">
        <v>0</v>
      </c>
      <c r="DM228" s="1">
        <v>-296353.43</v>
      </c>
      <c r="DN228" s="1">
        <v>0</v>
      </c>
      <c r="DO228" s="1">
        <v>0</v>
      </c>
      <c r="DP228" s="1">
        <v>16777215</v>
      </c>
      <c r="DQ228" s="1">
        <v>0</v>
      </c>
      <c r="DR228" s="1">
        <v>0</v>
      </c>
      <c r="DS228" s="1">
        <v>0</v>
      </c>
      <c r="DT228" s="1">
        <v>0</v>
      </c>
      <c r="DU228" s="1">
        <v>0</v>
      </c>
      <c r="DV228" s="1">
        <v>1752187.5</v>
      </c>
      <c r="DW228" s="1">
        <v>1671296.74</v>
      </c>
      <c r="DX228" s="1">
        <v>31345322.399999999</v>
      </c>
      <c r="DY228" s="1">
        <v>-1110160.2399999984</v>
      </c>
      <c r="DZ228" s="1">
        <v>92570020.519999966</v>
      </c>
      <c r="EA228" s="1">
        <v>0</v>
      </c>
      <c r="EB228" s="1">
        <v>0</v>
      </c>
      <c r="EC228" s="1" t="s">
        <v>176</v>
      </c>
      <c r="EE228" s="1">
        <v>0</v>
      </c>
      <c r="EF228" s="1">
        <v>3</v>
      </c>
      <c r="EG228" s="1">
        <v>0</v>
      </c>
      <c r="EH228" s="3">
        <v>1.80544061</v>
      </c>
      <c r="EI228" s="1">
        <v>0</v>
      </c>
      <c r="EL228" s="1">
        <v>0</v>
      </c>
      <c r="EM228" s="1">
        <v>0</v>
      </c>
      <c r="EN228" s="1">
        <v>1633661.45</v>
      </c>
      <c r="EO228" s="1">
        <v>1.2333592799999999</v>
      </c>
      <c r="ER228" s="1">
        <v>0</v>
      </c>
      <c r="ES228" s="1">
        <v>1.0572999999999999</v>
      </c>
      <c r="ET228" s="3">
        <v>4.9740022929999999</v>
      </c>
      <c r="EU228" s="3">
        <v>13.266134474999999</v>
      </c>
      <c r="EV228" s="3">
        <v>0</v>
      </c>
      <c r="EW228" s="3">
        <v>19.386301370000002</v>
      </c>
      <c r="EX228" s="3">
        <v>2.247159635</v>
      </c>
      <c r="EY228" s="3">
        <v>155</v>
      </c>
      <c r="EZ228" s="3">
        <v>7076</v>
      </c>
      <c r="FA228" s="1">
        <v>0</v>
      </c>
      <c r="FB228" s="1">
        <v>0</v>
      </c>
      <c r="FC228" s="3">
        <v>4.011756117</v>
      </c>
      <c r="FD228" s="1">
        <v>0</v>
      </c>
      <c r="FE228" s="1">
        <v>0</v>
      </c>
    </row>
    <row r="229" spans="1:161" x14ac:dyDescent="0.3">
      <c r="A229" s="1">
        <v>16975417</v>
      </c>
      <c r="B229" s="1">
        <v>128</v>
      </c>
      <c r="C229" s="1">
        <v>7017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13500</v>
      </c>
      <c r="J229" s="3">
        <v>13500</v>
      </c>
      <c r="K229" s="1">
        <v>1350000</v>
      </c>
      <c r="L229" s="1">
        <v>1350000</v>
      </c>
      <c r="M229" s="1">
        <v>1350000</v>
      </c>
      <c r="N229" s="3">
        <v>1215875</v>
      </c>
      <c r="O229" s="1">
        <v>1403184.7</v>
      </c>
      <c r="P229" s="1">
        <v>1263887.6599999999</v>
      </c>
      <c r="Q229" s="1">
        <v>1403184.7</v>
      </c>
      <c r="R229" s="1">
        <v>1263887.6599999999</v>
      </c>
      <c r="S229" s="1">
        <v>1350000</v>
      </c>
      <c r="T229" s="1">
        <v>1215875</v>
      </c>
      <c r="U229" s="1">
        <v>1350000</v>
      </c>
      <c r="V229" s="1">
        <v>1215875</v>
      </c>
      <c r="W229" s="1">
        <v>0</v>
      </c>
      <c r="X229" s="1">
        <v>0</v>
      </c>
      <c r="Y229" s="1">
        <v>0</v>
      </c>
      <c r="Z229" s="1">
        <v>0</v>
      </c>
      <c r="AA229" s="1">
        <v>-8973.6299999999992</v>
      </c>
      <c r="AB229" s="1">
        <v>-8487.31</v>
      </c>
      <c r="AC229" s="1">
        <v>-8973.6299999999992</v>
      </c>
      <c r="AD229" s="1">
        <v>-8487.31</v>
      </c>
      <c r="AE229" s="3" t="s">
        <v>517</v>
      </c>
      <c r="AF229" s="3" t="s">
        <v>161</v>
      </c>
      <c r="AG229" s="1" t="s">
        <v>970</v>
      </c>
      <c r="AH229" s="3" t="s">
        <v>518</v>
      </c>
      <c r="AI229" s="1">
        <v>5</v>
      </c>
      <c r="AJ229" s="3" t="s">
        <v>162</v>
      </c>
      <c r="AK229" s="1" t="s">
        <v>163</v>
      </c>
      <c r="AL229" s="3">
        <v>89.773437913753</v>
      </c>
      <c r="AM229" s="3">
        <v>89.304517913043</v>
      </c>
      <c r="AN229" s="3">
        <v>1205610.99</v>
      </c>
      <c r="AO229" s="3">
        <v>1149953.25</v>
      </c>
      <c r="AP229" s="1" t="s">
        <v>164</v>
      </c>
      <c r="AQ229" s="1">
        <v>4</v>
      </c>
      <c r="AR229" s="1" t="s">
        <v>165</v>
      </c>
      <c r="AS229" s="3">
        <v>132534288.59999999</v>
      </c>
      <c r="AT229" s="1" t="s">
        <v>176</v>
      </c>
      <c r="AU229" s="1">
        <v>1</v>
      </c>
      <c r="AV229" s="1">
        <v>1</v>
      </c>
      <c r="AW229" s="3" t="s">
        <v>494</v>
      </c>
      <c r="AX229" s="3" t="s">
        <v>495</v>
      </c>
      <c r="AY229" s="1">
        <v>0</v>
      </c>
      <c r="BA229" s="3">
        <v>8205251.6799999997</v>
      </c>
      <c r="BB229" s="1">
        <v>1.0484</v>
      </c>
      <c r="BD229" s="1" t="s">
        <v>971</v>
      </c>
      <c r="BE229" s="1">
        <v>1</v>
      </c>
      <c r="BF229" s="1">
        <v>1</v>
      </c>
      <c r="BG229" s="1" t="s">
        <v>168</v>
      </c>
      <c r="BH229" s="1">
        <v>0</v>
      </c>
      <c r="BI229" s="1">
        <v>31345322.399999999</v>
      </c>
      <c r="BJ229" s="1">
        <v>0</v>
      </c>
      <c r="BK229" s="1">
        <v>123618989.48999999</v>
      </c>
      <c r="BL229" s="1">
        <v>132456249.91</v>
      </c>
      <c r="BM229" s="1">
        <v>596150.00000000012</v>
      </c>
      <c r="BN229" s="1">
        <v>9219855.2300000004</v>
      </c>
      <c r="BO229" s="1">
        <v>23.664660909999998</v>
      </c>
      <c r="BP229" s="1">
        <v>0.45007313999999998</v>
      </c>
      <c r="BQ229" s="1">
        <v>6.9606796500000003</v>
      </c>
      <c r="BR229" s="1">
        <v>0.86817591000000005</v>
      </c>
      <c r="BS229" s="1" t="s">
        <v>169</v>
      </c>
      <c r="BT229" s="1" t="s">
        <v>169</v>
      </c>
      <c r="BU229" s="1">
        <v>26356083.120000001</v>
      </c>
      <c r="BV229" s="1">
        <v>0</v>
      </c>
      <c r="BW229" s="1">
        <v>3692.58</v>
      </c>
      <c r="BX229" s="1">
        <v>-0.52</v>
      </c>
      <c r="BY229" s="1" t="s">
        <v>170</v>
      </c>
      <c r="BZ229" s="1">
        <v>-78038.69</v>
      </c>
      <c r="CA229" s="1" t="s">
        <v>250</v>
      </c>
      <c r="CB229" s="1" t="s">
        <v>251</v>
      </c>
      <c r="CC229" s="1">
        <v>-182269.66</v>
      </c>
      <c r="CD229" s="1">
        <v>-109139.68</v>
      </c>
      <c r="CE229" s="1">
        <v>1211941.4099999999</v>
      </c>
      <c r="CF229" s="1">
        <v>1146260.67</v>
      </c>
      <c r="CG229" s="1">
        <v>0</v>
      </c>
      <c r="CH229" s="1">
        <v>1.4438757900000001</v>
      </c>
      <c r="CI229" s="1">
        <v>13.27863496</v>
      </c>
      <c r="CJ229" s="1">
        <v>17588381.91</v>
      </c>
      <c r="CK229" s="1">
        <v>1912503.72</v>
      </c>
      <c r="CL229" s="1">
        <v>6269233.6699999999</v>
      </c>
      <c r="CM229" s="1" t="s">
        <v>164</v>
      </c>
      <c r="CN229" s="1" t="s">
        <v>164</v>
      </c>
      <c r="CO229" s="1" t="s">
        <v>184</v>
      </c>
      <c r="CP229" s="1" t="s">
        <v>243</v>
      </c>
      <c r="CQ229" s="3" t="s">
        <v>252</v>
      </c>
      <c r="CR229" s="1">
        <v>0</v>
      </c>
      <c r="CS229" s="1" t="s">
        <v>243</v>
      </c>
      <c r="CT229" s="1">
        <v>0.93023997000000003</v>
      </c>
      <c r="CV229" s="1">
        <v>0</v>
      </c>
      <c r="CW229" s="1">
        <v>-219173.26</v>
      </c>
      <c r="DA229" s="1">
        <v>1355558.46</v>
      </c>
      <c r="DB229" s="1">
        <v>0</v>
      </c>
      <c r="DC229" s="1">
        <v>2520.3126550000002</v>
      </c>
      <c r="DD229" s="1">
        <v>52555.483399999997</v>
      </c>
      <c r="DE229" s="1">
        <v>-296353.43</v>
      </c>
      <c r="DF229" s="1">
        <v>92570020.519999996</v>
      </c>
      <c r="DG229" s="1">
        <v>-6330.42</v>
      </c>
      <c r="DH229" s="1">
        <v>394770.09</v>
      </c>
      <c r="DI229" s="1">
        <v>0.29803809999999997</v>
      </c>
      <c r="DK229" s="1">
        <v>0</v>
      </c>
      <c r="DL229" s="1">
        <v>0</v>
      </c>
      <c r="DM229" s="1">
        <v>-296353.43</v>
      </c>
      <c r="DN229" s="1">
        <v>0</v>
      </c>
      <c r="DO229" s="1">
        <v>0</v>
      </c>
      <c r="DP229" s="1">
        <v>16777215</v>
      </c>
      <c r="DQ229" s="1">
        <v>0</v>
      </c>
      <c r="DR229" s="1">
        <v>0</v>
      </c>
      <c r="DS229" s="1">
        <v>0</v>
      </c>
      <c r="DT229" s="1">
        <v>0</v>
      </c>
      <c r="DU229" s="1">
        <v>0</v>
      </c>
      <c r="DV229" s="1">
        <v>1205610.99</v>
      </c>
      <c r="DW229" s="1">
        <v>1149953.25</v>
      </c>
      <c r="DX229" s="1">
        <v>31345322.399999999</v>
      </c>
      <c r="DY229" s="1">
        <v>-1110160.2399999984</v>
      </c>
      <c r="DZ229" s="1">
        <v>92570020.519999966</v>
      </c>
      <c r="EA229" s="1">
        <v>0</v>
      </c>
      <c r="EB229" s="1">
        <v>0</v>
      </c>
      <c r="EC229" s="1" t="s">
        <v>176</v>
      </c>
      <c r="EE229" s="1">
        <v>0</v>
      </c>
      <c r="EF229" s="1">
        <v>3</v>
      </c>
      <c r="EG229" s="1">
        <v>0</v>
      </c>
      <c r="EH229" s="3">
        <v>1.2422523400000001</v>
      </c>
      <c r="EI229" s="1">
        <v>0</v>
      </c>
      <c r="EL229" s="1">
        <v>0</v>
      </c>
      <c r="EM229" s="1">
        <v>0</v>
      </c>
      <c r="EN229" s="1">
        <v>1633661.45</v>
      </c>
      <c r="EO229" s="1">
        <v>1.2333592799999999</v>
      </c>
      <c r="ER229" s="1">
        <v>89.778533108695996</v>
      </c>
      <c r="ES229" s="1">
        <v>1.0572999999999999</v>
      </c>
      <c r="ET229" s="3">
        <v>4.7023676930000002</v>
      </c>
      <c r="EU229" s="3">
        <v>5.2148425029999999</v>
      </c>
      <c r="EV229" s="3">
        <v>4.574259844877</v>
      </c>
      <c r="EW229" s="3">
        <v>5.6219178080000001</v>
      </c>
      <c r="EX229" s="3">
        <v>0.32286964000000001</v>
      </c>
      <c r="EY229" s="3">
        <v>61</v>
      </c>
      <c r="EZ229" s="3">
        <v>2052</v>
      </c>
      <c r="FA229" s="1">
        <v>0</v>
      </c>
      <c r="FB229" s="1">
        <v>0</v>
      </c>
      <c r="FC229" s="3">
        <v>1.8130579520000001</v>
      </c>
      <c r="FD229" s="1">
        <v>0</v>
      </c>
      <c r="FE229" s="1">
        <v>0</v>
      </c>
    </row>
    <row r="230" spans="1:161" x14ac:dyDescent="0.3">
      <c r="A230" s="1">
        <v>16975390</v>
      </c>
      <c r="B230" s="1">
        <v>128</v>
      </c>
      <c r="C230" s="1">
        <v>10327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9000</v>
      </c>
      <c r="J230" s="3">
        <v>9000</v>
      </c>
      <c r="K230" s="1">
        <v>900000</v>
      </c>
      <c r="L230" s="1">
        <v>900000</v>
      </c>
      <c r="M230" s="1">
        <v>900000</v>
      </c>
      <c r="N230" s="3">
        <v>832594.8</v>
      </c>
      <c r="O230" s="1">
        <v>879427.73</v>
      </c>
      <c r="P230" s="1">
        <v>813563.68</v>
      </c>
      <c r="Q230" s="1">
        <v>879427.73</v>
      </c>
      <c r="R230" s="1">
        <v>813563.68</v>
      </c>
      <c r="S230" s="1">
        <v>900000</v>
      </c>
      <c r="T230" s="1">
        <v>832594.8</v>
      </c>
      <c r="U230" s="1">
        <v>900000</v>
      </c>
      <c r="V230" s="1">
        <v>832594.8</v>
      </c>
      <c r="W230" s="1">
        <v>0</v>
      </c>
      <c r="X230" s="1">
        <v>0</v>
      </c>
      <c r="Y230" s="1">
        <v>0</v>
      </c>
      <c r="Z230" s="1">
        <v>0</v>
      </c>
      <c r="AA230" s="1">
        <v>26776.73</v>
      </c>
      <c r="AB230" s="1">
        <v>25325.57</v>
      </c>
      <c r="AC230" s="1">
        <v>26776.73</v>
      </c>
      <c r="AD230" s="1">
        <v>25325.57</v>
      </c>
      <c r="AE230" s="3" t="s">
        <v>519</v>
      </c>
      <c r="AF230" s="3" t="s">
        <v>161</v>
      </c>
      <c r="AG230" s="1" t="s">
        <v>970</v>
      </c>
      <c r="AH230" s="3" t="s">
        <v>520</v>
      </c>
      <c r="AI230" s="1">
        <v>5</v>
      </c>
      <c r="AJ230" s="3" t="s">
        <v>162</v>
      </c>
      <c r="AK230" s="1" t="s">
        <v>163</v>
      </c>
      <c r="AL230" s="3">
        <v>100.656179771756</v>
      </c>
      <c r="AM230" s="3">
        <v>100.68561643835601</v>
      </c>
      <c r="AN230" s="3">
        <v>906170.55</v>
      </c>
      <c r="AO230" s="3">
        <v>864336.66</v>
      </c>
      <c r="AP230" s="1" t="s">
        <v>164</v>
      </c>
      <c r="AQ230" s="1">
        <v>4</v>
      </c>
      <c r="AR230" s="1" t="s">
        <v>165</v>
      </c>
      <c r="AS230" s="3">
        <v>132534288.59999999</v>
      </c>
      <c r="AT230" s="1" t="s">
        <v>176</v>
      </c>
      <c r="AU230" s="1">
        <v>1</v>
      </c>
      <c r="AV230" s="1">
        <v>1</v>
      </c>
      <c r="AW230" s="3" t="s">
        <v>494</v>
      </c>
      <c r="AX230" s="3" t="s">
        <v>495</v>
      </c>
      <c r="AY230" s="1">
        <v>0</v>
      </c>
      <c r="BA230" s="3">
        <v>8205251.6799999997</v>
      </c>
      <c r="BB230" s="1">
        <v>1.0484</v>
      </c>
      <c r="BD230" s="1" t="s">
        <v>971</v>
      </c>
      <c r="BE230" s="1">
        <v>1</v>
      </c>
      <c r="BF230" s="1">
        <v>1</v>
      </c>
      <c r="BG230" s="1" t="s">
        <v>168</v>
      </c>
      <c r="BH230" s="1">
        <v>0</v>
      </c>
      <c r="BI230" s="1">
        <v>31345322.399999999</v>
      </c>
      <c r="BJ230" s="1">
        <v>0</v>
      </c>
      <c r="BK230" s="1">
        <v>123618989.48999999</v>
      </c>
      <c r="BL230" s="1">
        <v>132456249.91</v>
      </c>
      <c r="BM230" s="1">
        <v>596150.00000000012</v>
      </c>
      <c r="BN230" s="1">
        <v>9219855.2300000004</v>
      </c>
      <c r="BO230" s="1">
        <v>23.664660909999998</v>
      </c>
      <c r="BP230" s="1">
        <v>0.45007313999999998</v>
      </c>
      <c r="BQ230" s="1">
        <v>6.9606796500000003</v>
      </c>
      <c r="BR230" s="1">
        <v>0.65254502000000003</v>
      </c>
      <c r="BS230" s="1" t="s">
        <v>169</v>
      </c>
      <c r="BT230" s="1" t="s">
        <v>169</v>
      </c>
      <c r="BU230" s="1">
        <v>26356083.120000001</v>
      </c>
      <c r="BV230" s="1">
        <v>0</v>
      </c>
      <c r="BW230" s="1">
        <v>7526.28</v>
      </c>
      <c r="BX230" s="1">
        <v>0.03</v>
      </c>
      <c r="BY230" s="1" t="s">
        <v>170</v>
      </c>
      <c r="BZ230" s="1">
        <v>-78038.69</v>
      </c>
      <c r="CA230" s="1" t="s">
        <v>250</v>
      </c>
      <c r="CB230" s="1" t="s">
        <v>251</v>
      </c>
      <c r="CC230" s="1">
        <v>-298.83999999999997</v>
      </c>
      <c r="CD230" s="1">
        <v>17921.13</v>
      </c>
      <c r="CE230" s="1">
        <v>905905.62</v>
      </c>
      <c r="CF230" s="1">
        <v>856810.38</v>
      </c>
      <c r="CG230" s="1">
        <v>0</v>
      </c>
      <c r="CH230" s="1">
        <v>1.4438757900000001</v>
      </c>
      <c r="CI230" s="1">
        <v>13.27863496</v>
      </c>
      <c r="CJ230" s="1">
        <v>17588381.91</v>
      </c>
      <c r="CK230" s="1">
        <v>1912503.72</v>
      </c>
      <c r="CL230" s="1">
        <v>6269233.6699999999</v>
      </c>
      <c r="CM230" s="1" t="s">
        <v>164</v>
      </c>
      <c r="CN230" s="1" t="s">
        <v>164</v>
      </c>
      <c r="CO230" s="1" t="s">
        <v>184</v>
      </c>
      <c r="CP230" s="1" t="s">
        <v>243</v>
      </c>
      <c r="CQ230" s="3" t="s">
        <v>252</v>
      </c>
      <c r="CR230" s="1">
        <v>0</v>
      </c>
      <c r="CS230" s="1" t="s">
        <v>243</v>
      </c>
      <c r="CT230" s="1">
        <v>0.69919408000000005</v>
      </c>
      <c r="CV230" s="1">
        <v>0</v>
      </c>
      <c r="CW230" s="1">
        <v>-219173.26</v>
      </c>
      <c r="DA230" s="1">
        <v>1355558.46</v>
      </c>
      <c r="DB230" s="1">
        <v>0</v>
      </c>
      <c r="DC230" s="1">
        <v>2520.3126550000002</v>
      </c>
      <c r="DD230" s="1">
        <v>52555.483399999997</v>
      </c>
      <c r="DE230" s="1">
        <v>-296353.43</v>
      </c>
      <c r="DF230" s="1">
        <v>92570020.519999996</v>
      </c>
      <c r="DG230" s="1">
        <v>264.93</v>
      </c>
      <c r="DH230" s="1">
        <v>394770.09</v>
      </c>
      <c r="DI230" s="1">
        <v>0.29803809999999997</v>
      </c>
      <c r="DK230" s="1">
        <v>0</v>
      </c>
      <c r="DL230" s="1">
        <v>0</v>
      </c>
      <c r="DM230" s="1">
        <v>-296353.43</v>
      </c>
      <c r="DN230" s="1">
        <v>0</v>
      </c>
      <c r="DO230" s="1">
        <v>0</v>
      </c>
      <c r="DP230" s="1">
        <v>16777215</v>
      </c>
      <c r="DQ230" s="1">
        <v>0</v>
      </c>
      <c r="DR230" s="1">
        <v>0</v>
      </c>
      <c r="DS230" s="1">
        <v>0</v>
      </c>
      <c r="DT230" s="1">
        <v>0</v>
      </c>
      <c r="DU230" s="1">
        <v>0</v>
      </c>
      <c r="DV230" s="1">
        <v>906170.55</v>
      </c>
      <c r="DW230" s="1">
        <v>864336.66</v>
      </c>
      <c r="DX230" s="1">
        <v>31345322.399999999</v>
      </c>
      <c r="DY230" s="1">
        <v>-1110160.2399999984</v>
      </c>
      <c r="DZ230" s="1">
        <v>92570020.519999966</v>
      </c>
      <c r="EA230" s="1">
        <v>0</v>
      </c>
      <c r="EB230" s="1">
        <v>0</v>
      </c>
      <c r="EC230" s="1" t="s">
        <v>176</v>
      </c>
      <c r="EE230" s="1">
        <v>0</v>
      </c>
      <c r="EF230" s="1">
        <v>3</v>
      </c>
      <c r="EG230" s="1">
        <v>0</v>
      </c>
      <c r="EH230" s="3">
        <v>0.93371121000000001</v>
      </c>
      <c r="EI230" s="1">
        <v>0</v>
      </c>
      <c r="EL230" s="1">
        <v>0</v>
      </c>
      <c r="EM230" s="1">
        <v>0</v>
      </c>
      <c r="EN230" s="1">
        <v>1633661.45</v>
      </c>
      <c r="EO230" s="1">
        <v>1.2333592799999999</v>
      </c>
      <c r="ER230" s="1">
        <v>100.68561643835601</v>
      </c>
      <c r="ES230" s="1">
        <v>1.0572999999999999</v>
      </c>
      <c r="ET230" s="3">
        <v>0</v>
      </c>
      <c r="EU230" s="3">
        <v>0</v>
      </c>
      <c r="EV230" s="3">
        <v>0</v>
      </c>
      <c r="EW230" s="3">
        <v>-5.4794520000000001E-3</v>
      </c>
      <c r="EX230" s="3">
        <v>0</v>
      </c>
      <c r="EY230" s="3">
        <v>0</v>
      </c>
      <c r="EZ230" s="3">
        <v>-2</v>
      </c>
      <c r="FA230" s="1">
        <v>0</v>
      </c>
      <c r="FB230" s="1">
        <v>0</v>
      </c>
      <c r="FC230" s="3">
        <v>0</v>
      </c>
      <c r="FD230" s="1">
        <v>0</v>
      </c>
      <c r="FE230" s="1">
        <v>0</v>
      </c>
    </row>
    <row r="231" spans="1:161" x14ac:dyDescent="0.3">
      <c r="A231" s="1">
        <v>16975424</v>
      </c>
      <c r="B231" s="1">
        <v>128</v>
      </c>
      <c r="C231" s="1">
        <v>3626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20000</v>
      </c>
      <c r="J231" s="3">
        <v>20000</v>
      </c>
      <c r="K231" s="1">
        <v>2000000</v>
      </c>
      <c r="L231" s="1">
        <v>2000000</v>
      </c>
      <c r="M231" s="1">
        <v>2000000</v>
      </c>
      <c r="N231" s="3">
        <v>1781261.13</v>
      </c>
      <c r="O231" s="1">
        <v>1983476.56</v>
      </c>
      <c r="P231" s="1">
        <v>1766544.85</v>
      </c>
      <c r="Q231" s="1">
        <v>1983476.56</v>
      </c>
      <c r="R231" s="1">
        <v>1766544.85</v>
      </c>
      <c r="S231" s="1">
        <v>2000000</v>
      </c>
      <c r="T231" s="1">
        <v>1781261.13</v>
      </c>
      <c r="U231" s="1">
        <v>2000000</v>
      </c>
      <c r="V231" s="1">
        <v>1781261.13</v>
      </c>
      <c r="W231" s="1">
        <v>9415.76</v>
      </c>
      <c r="X231" s="1">
        <v>8905.48</v>
      </c>
      <c r="Y231" s="1">
        <v>9415.76</v>
      </c>
      <c r="Z231" s="1">
        <v>8905.48</v>
      </c>
      <c r="AA231" s="1">
        <v>21380.78</v>
      </c>
      <c r="AB231" s="1">
        <v>20222.060000000001</v>
      </c>
      <c r="AC231" s="1">
        <v>21380.78</v>
      </c>
      <c r="AD231" s="1">
        <v>20222.060000000001</v>
      </c>
      <c r="AE231" s="3" t="s">
        <v>770</v>
      </c>
      <c r="AF231" s="3" t="s">
        <v>161</v>
      </c>
      <c r="AG231" s="1" t="s">
        <v>970</v>
      </c>
      <c r="AH231" s="3" t="s">
        <v>771</v>
      </c>
      <c r="AI231" s="1">
        <v>5</v>
      </c>
      <c r="AJ231" s="3" t="s">
        <v>162</v>
      </c>
      <c r="AK231" s="1" t="s">
        <v>163</v>
      </c>
      <c r="AL231" s="3">
        <v>100.718749978265</v>
      </c>
      <c r="AM231" s="3">
        <v>100.739215478261</v>
      </c>
      <c r="AN231" s="3">
        <v>2014784.31</v>
      </c>
      <c r="AO231" s="3">
        <v>1921770.61</v>
      </c>
      <c r="AP231" s="1" t="s">
        <v>164</v>
      </c>
      <c r="AQ231" s="1">
        <v>4</v>
      </c>
      <c r="AR231" s="1" t="s">
        <v>165</v>
      </c>
      <c r="AS231" s="3">
        <v>132534288.59999999</v>
      </c>
      <c r="AT231" s="1" t="s">
        <v>176</v>
      </c>
      <c r="AU231" s="1">
        <v>1</v>
      </c>
      <c r="AV231" s="1">
        <v>1</v>
      </c>
      <c r="AW231" s="3" t="s">
        <v>494</v>
      </c>
      <c r="AX231" s="3" t="s">
        <v>495</v>
      </c>
      <c r="AY231" s="1">
        <v>0</v>
      </c>
      <c r="BA231" s="3">
        <v>8205251.6799999997</v>
      </c>
      <c r="BB231" s="1">
        <v>1.0484</v>
      </c>
      <c r="BD231" s="1" t="s">
        <v>971</v>
      </c>
      <c r="BE231" s="1">
        <v>1</v>
      </c>
      <c r="BF231" s="1">
        <v>1</v>
      </c>
      <c r="BG231" s="1" t="s">
        <v>168</v>
      </c>
      <c r="BH231" s="1">
        <v>0</v>
      </c>
      <c r="BI231" s="1">
        <v>31345322.399999999</v>
      </c>
      <c r="BJ231" s="1">
        <v>0</v>
      </c>
      <c r="BK231" s="1">
        <v>123618989.48999999</v>
      </c>
      <c r="BL231" s="1">
        <v>132456249.91</v>
      </c>
      <c r="BM231" s="1">
        <v>596150.00000000012</v>
      </c>
      <c r="BN231" s="1">
        <v>9219855.2300000004</v>
      </c>
      <c r="BO231" s="1">
        <v>23.664660909999998</v>
      </c>
      <c r="BP231" s="1">
        <v>0.45007313999999998</v>
      </c>
      <c r="BQ231" s="1">
        <v>6.9606796500000003</v>
      </c>
      <c r="BR231" s="1">
        <v>1.4508719800000001</v>
      </c>
      <c r="BS231" s="1" t="s">
        <v>169</v>
      </c>
      <c r="BT231" s="1" t="s">
        <v>169</v>
      </c>
      <c r="BU231" s="1">
        <v>26356083.120000001</v>
      </c>
      <c r="BV231" s="1">
        <v>0</v>
      </c>
      <c r="BW231" s="1">
        <v>16563.95</v>
      </c>
      <c r="BX231" s="1">
        <v>0.02</v>
      </c>
      <c r="BY231" s="1" t="s">
        <v>170</v>
      </c>
      <c r="BZ231" s="1">
        <v>-78038.69</v>
      </c>
      <c r="CA231" s="1" t="s">
        <v>250</v>
      </c>
      <c r="CB231" s="1" t="s">
        <v>251</v>
      </c>
      <c r="CC231" s="1">
        <v>101.9</v>
      </c>
      <c r="CD231" s="1">
        <v>109534.27</v>
      </c>
      <c r="CE231" s="1">
        <v>2014375</v>
      </c>
      <c r="CF231" s="1">
        <v>1905206.66</v>
      </c>
      <c r="CG231" s="1">
        <v>0</v>
      </c>
      <c r="CH231" s="1">
        <v>1.4438757900000001</v>
      </c>
      <c r="CI231" s="1">
        <v>13.27863496</v>
      </c>
      <c r="CJ231" s="1">
        <v>17588381.91</v>
      </c>
      <c r="CK231" s="1">
        <v>1912503.72</v>
      </c>
      <c r="CL231" s="1">
        <v>6269233.6699999999</v>
      </c>
      <c r="CM231" s="1" t="s">
        <v>164</v>
      </c>
      <c r="CN231" s="1" t="s">
        <v>164</v>
      </c>
      <c r="CO231" s="1" t="s">
        <v>184</v>
      </c>
      <c r="CP231" s="1" t="s">
        <v>243</v>
      </c>
      <c r="CQ231" s="3" t="s">
        <v>252</v>
      </c>
      <c r="CR231" s="1">
        <v>0</v>
      </c>
      <c r="CS231" s="1" t="s">
        <v>243</v>
      </c>
      <c r="CT231" s="1">
        <v>1.5545917499999999</v>
      </c>
      <c r="CV231" s="1">
        <v>0</v>
      </c>
      <c r="CW231" s="1">
        <v>-219173.26</v>
      </c>
      <c r="DA231" s="1">
        <v>1355558.46</v>
      </c>
      <c r="DB231" s="1">
        <v>0</v>
      </c>
      <c r="DC231" s="1">
        <v>2520.3126550000002</v>
      </c>
      <c r="DD231" s="1">
        <v>52555.483399999997</v>
      </c>
      <c r="DE231" s="1">
        <v>-296353.43</v>
      </c>
      <c r="DF231" s="1">
        <v>92570020.519999996</v>
      </c>
      <c r="DG231" s="1">
        <v>409.31</v>
      </c>
      <c r="DH231" s="1">
        <v>394770.09</v>
      </c>
      <c r="DI231" s="1">
        <v>0.29803809999999997</v>
      </c>
      <c r="DK231" s="1">
        <v>0</v>
      </c>
      <c r="DL231" s="1">
        <v>0</v>
      </c>
      <c r="DM231" s="1">
        <v>-296353.43</v>
      </c>
      <c r="DN231" s="1">
        <v>0</v>
      </c>
      <c r="DO231" s="1">
        <v>0</v>
      </c>
      <c r="DP231" s="1">
        <v>16777215</v>
      </c>
      <c r="DQ231" s="1">
        <v>0</v>
      </c>
      <c r="DR231" s="1">
        <v>0</v>
      </c>
      <c r="DS231" s="1">
        <v>0</v>
      </c>
      <c r="DT231" s="1">
        <v>0</v>
      </c>
      <c r="DU231" s="1">
        <v>0</v>
      </c>
      <c r="DV231" s="1">
        <v>2014784.31</v>
      </c>
      <c r="DW231" s="1">
        <v>1921770.61</v>
      </c>
      <c r="DX231" s="1">
        <v>31345322.399999999</v>
      </c>
      <c r="DY231" s="1">
        <v>-1110160.2399999984</v>
      </c>
      <c r="DZ231" s="1">
        <v>92570020.519999966</v>
      </c>
      <c r="EA231" s="1">
        <v>0</v>
      </c>
      <c r="EB231" s="1">
        <v>0</v>
      </c>
      <c r="EC231" s="1" t="s">
        <v>176</v>
      </c>
      <c r="EE231" s="1">
        <v>0</v>
      </c>
      <c r="EF231" s="1">
        <v>3</v>
      </c>
      <c r="EG231" s="1">
        <v>0</v>
      </c>
      <c r="EH231" s="3">
        <v>2.07601835</v>
      </c>
      <c r="EI231" s="1">
        <v>0</v>
      </c>
      <c r="EL231" s="1">
        <v>0</v>
      </c>
      <c r="EM231" s="1">
        <v>0</v>
      </c>
      <c r="EN231" s="1">
        <v>1633661.45</v>
      </c>
      <c r="EO231" s="1">
        <v>1.2333592799999999</v>
      </c>
      <c r="ER231" s="1">
        <v>100.70049265217401</v>
      </c>
      <c r="ES231" s="1">
        <v>1.0572999999999999</v>
      </c>
      <c r="ET231" s="3">
        <v>5.694109579</v>
      </c>
      <c r="EU231" s="3">
        <v>0.120547945</v>
      </c>
      <c r="EV231" s="3">
        <v>0.11803194065100001</v>
      </c>
      <c r="EW231" s="3">
        <v>0.120547945</v>
      </c>
      <c r="EX231" s="3">
        <v>1.277046E-3</v>
      </c>
      <c r="EY231" s="3">
        <v>1</v>
      </c>
      <c r="EZ231" s="3">
        <v>44</v>
      </c>
      <c r="FA231" s="1">
        <v>0</v>
      </c>
      <c r="FB231" s="1">
        <v>0</v>
      </c>
      <c r="FC231" s="3">
        <v>19.973996131</v>
      </c>
      <c r="FD231" s="1">
        <v>0</v>
      </c>
      <c r="FE231" s="1">
        <v>0</v>
      </c>
    </row>
    <row r="232" spans="1:161" x14ac:dyDescent="0.3">
      <c r="A232" s="1">
        <v>16975570</v>
      </c>
      <c r="B232" s="1">
        <v>128</v>
      </c>
      <c r="C232" s="1">
        <v>8076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2000</v>
      </c>
      <c r="J232" s="3">
        <v>2000</v>
      </c>
      <c r="K232" s="1">
        <v>200000</v>
      </c>
      <c r="L232" s="1">
        <v>200000</v>
      </c>
      <c r="M232" s="1">
        <v>200000</v>
      </c>
      <c r="N232" s="3">
        <v>180554.3</v>
      </c>
      <c r="O232" s="1">
        <v>199671.87</v>
      </c>
      <c r="P232" s="1">
        <v>180258.08</v>
      </c>
      <c r="Q232" s="1">
        <v>199671.87</v>
      </c>
      <c r="R232" s="1">
        <v>180258.08</v>
      </c>
      <c r="S232" s="1">
        <v>200000</v>
      </c>
      <c r="T232" s="1">
        <v>180554.3</v>
      </c>
      <c r="U232" s="1">
        <v>200000</v>
      </c>
      <c r="V232" s="1">
        <v>180554.3</v>
      </c>
      <c r="W232" s="1">
        <v>0</v>
      </c>
      <c r="X232" s="1">
        <v>0</v>
      </c>
      <c r="Y232" s="1">
        <v>0</v>
      </c>
      <c r="Z232" s="1">
        <v>0</v>
      </c>
      <c r="AA232" s="1">
        <v>574.97</v>
      </c>
      <c r="AB232" s="1">
        <v>543.80999999999995</v>
      </c>
      <c r="AC232" s="1">
        <v>574.97</v>
      </c>
      <c r="AD232" s="1">
        <v>543.80999999999995</v>
      </c>
      <c r="AE232" s="3" t="s">
        <v>492</v>
      </c>
      <c r="AF232" s="3" t="s">
        <v>161</v>
      </c>
      <c r="AG232" s="1" t="s">
        <v>970</v>
      </c>
      <c r="AH232" s="3" t="s">
        <v>521</v>
      </c>
      <c r="AI232" s="1">
        <v>5</v>
      </c>
      <c r="AJ232" s="3" t="s">
        <v>162</v>
      </c>
      <c r="AK232" s="1" t="s">
        <v>163</v>
      </c>
      <c r="AL232" s="3">
        <v>86.447871257911999</v>
      </c>
      <c r="AM232" s="3">
        <v>86.185771254098</v>
      </c>
      <c r="AN232" s="3">
        <v>172371.54</v>
      </c>
      <c r="AO232" s="3">
        <v>164413.91</v>
      </c>
      <c r="AP232" s="1" t="s">
        <v>164</v>
      </c>
      <c r="AQ232" s="1">
        <v>4</v>
      </c>
      <c r="AR232" s="1" t="s">
        <v>165</v>
      </c>
      <c r="AS232" s="3">
        <v>132534288.59999999</v>
      </c>
      <c r="AT232" s="1" t="s">
        <v>176</v>
      </c>
      <c r="AU232" s="1">
        <v>1</v>
      </c>
      <c r="AV232" s="1">
        <v>1</v>
      </c>
      <c r="AW232" s="3" t="s">
        <v>494</v>
      </c>
      <c r="AX232" s="3" t="s">
        <v>495</v>
      </c>
      <c r="AY232" s="1">
        <v>0</v>
      </c>
      <c r="BA232" s="3">
        <v>8205251.6799999997</v>
      </c>
      <c r="BB232" s="1">
        <v>1.0484</v>
      </c>
      <c r="BD232" s="1" t="s">
        <v>971</v>
      </c>
      <c r="BE232" s="1">
        <v>1</v>
      </c>
      <c r="BF232" s="1">
        <v>1</v>
      </c>
      <c r="BG232" s="1" t="s">
        <v>168</v>
      </c>
      <c r="BH232" s="1">
        <v>0</v>
      </c>
      <c r="BI232" s="1">
        <v>31345322.399999999</v>
      </c>
      <c r="BJ232" s="1">
        <v>0</v>
      </c>
      <c r="BK232" s="1">
        <v>123618989.48999999</v>
      </c>
      <c r="BL232" s="1">
        <v>132456249.91</v>
      </c>
      <c r="BM232" s="1">
        <v>596150.00000000012</v>
      </c>
      <c r="BN232" s="1">
        <v>9219855.2300000004</v>
      </c>
      <c r="BO232" s="1">
        <v>23.664660909999998</v>
      </c>
      <c r="BP232" s="1">
        <v>0.45007313999999998</v>
      </c>
      <c r="BQ232" s="1">
        <v>6.9606796500000003</v>
      </c>
      <c r="BR232" s="1">
        <v>0.12412695999999999</v>
      </c>
      <c r="BS232" s="1" t="s">
        <v>169</v>
      </c>
      <c r="BT232" s="1" t="s">
        <v>169</v>
      </c>
      <c r="BU232" s="1">
        <v>26356083.120000001</v>
      </c>
      <c r="BV232" s="1">
        <v>0</v>
      </c>
      <c r="BW232" s="1">
        <v>888.19</v>
      </c>
      <c r="BX232" s="1">
        <v>-0.3</v>
      </c>
      <c r="BY232" s="1" t="s">
        <v>170</v>
      </c>
      <c r="BZ232" s="1">
        <v>-78038.69</v>
      </c>
      <c r="CA232" s="1" t="s">
        <v>250</v>
      </c>
      <c r="CB232" s="1" t="s">
        <v>251</v>
      </c>
      <c r="CC232" s="1">
        <v>-27351.1</v>
      </c>
      <c r="CD232" s="1">
        <v>-17276.169999999998</v>
      </c>
      <c r="CE232" s="1">
        <v>172895.74</v>
      </c>
      <c r="CF232" s="1">
        <v>163525.72</v>
      </c>
      <c r="CG232" s="1">
        <v>0</v>
      </c>
      <c r="CH232" s="1">
        <v>1.4438757900000001</v>
      </c>
      <c r="CI232" s="1">
        <v>13.27863496</v>
      </c>
      <c r="CJ232" s="1">
        <v>17588381.91</v>
      </c>
      <c r="CK232" s="1">
        <v>1912503.72</v>
      </c>
      <c r="CL232" s="1">
        <v>6269233.6699999999</v>
      </c>
      <c r="CM232" s="1" t="s">
        <v>164</v>
      </c>
      <c r="CN232" s="1" t="s">
        <v>164</v>
      </c>
      <c r="CO232" s="1" t="s">
        <v>184</v>
      </c>
      <c r="CP232" s="1" t="s">
        <v>243</v>
      </c>
      <c r="CQ232" s="3" t="s">
        <v>252</v>
      </c>
      <c r="CR232" s="1">
        <v>0</v>
      </c>
      <c r="CS232" s="1" t="s">
        <v>243</v>
      </c>
      <c r="CT232" s="1">
        <v>0.13300053000000001</v>
      </c>
      <c r="CV232" s="1">
        <v>0</v>
      </c>
      <c r="CW232" s="1">
        <v>-219173.26</v>
      </c>
      <c r="DA232" s="1">
        <v>1355558.46</v>
      </c>
      <c r="DB232" s="1">
        <v>0</v>
      </c>
      <c r="DC232" s="1">
        <v>2520.3126550000002</v>
      </c>
      <c r="DD232" s="1">
        <v>52555.483399999997</v>
      </c>
      <c r="DE232" s="1">
        <v>-296353.43</v>
      </c>
      <c r="DF232" s="1">
        <v>92570020.519999996</v>
      </c>
      <c r="DG232" s="1">
        <v>-524.20000000000005</v>
      </c>
      <c r="DH232" s="1">
        <v>394770.09</v>
      </c>
      <c r="DI232" s="1">
        <v>0.29803809999999997</v>
      </c>
      <c r="DK232" s="1">
        <v>0</v>
      </c>
      <c r="DL232" s="1">
        <v>0</v>
      </c>
      <c r="DM232" s="1">
        <v>-296353.43</v>
      </c>
      <c r="DN232" s="1">
        <v>0</v>
      </c>
      <c r="DO232" s="1">
        <v>0</v>
      </c>
      <c r="DP232" s="1">
        <v>16777215</v>
      </c>
      <c r="DQ232" s="1">
        <v>0</v>
      </c>
      <c r="DR232" s="1">
        <v>0</v>
      </c>
      <c r="DS232" s="1">
        <v>0</v>
      </c>
      <c r="DT232" s="1">
        <v>0</v>
      </c>
      <c r="DU232" s="1">
        <v>0</v>
      </c>
      <c r="DV232" s="1">
        <v>172371.54</v>
      </c>
      <c r="DW232" s="1">
        <v>164413.91</v>
      </c>
      <c r="DX232" s="1">
        <v>31345322.399999999</v>
      </c>
      <c r="DY232" s="1">
        <v>-1110160.2399999984</v>
      </c>
      <c r="DZ232" s="1">
        <v>92570020.519999966</v>
      </c>
      <c r="EA232" s="1">
        <v>0</v>
      </c>
      <c r="EB232" s="1">
        <v>0</v>
      </c>
      <c r="EC232" s="1" t="s">
        <v>176</v>
      </c>
      <c r="EE232" s="1">
        <v>0</v>
      </c>
      <c r="EF232" s="1">
        <v>3</v>
      </c>
      <c r="EG232" s="1">
        <v>0</v>
      </c>
      <c r="EH232" s="3">
        <v>0.17761031999999999</v>
      </c>
      <c r="EI232" s="1">
        <v>0</v>
      </c>
      <c r="EL232" s="1">
        <v>0</v>
      </c>
      <c r="EM232" s="1">
        <v>0</v>
      </c>
      <c r="EN232" s="1">
        <v>1633661.45</v>
      </c>
      <c r="EO232" s="1">
        <v>1.2333592799999999</v>
      </c>
      <c r="ER232" s="1">
        <v>86.450030133880006</v>
      </c>
      <c r="ES232" s="1">
        <v>1.0572999999999999</v>
      </c>
      <c r="ET232" s="3">
        <v>4.7831977600000002</v>
      </c>
      <c r="EU232" s="3">
        <v>3.5379740860000002</v>
      </c>
      <c r="EV232" s="3">
        <v>2.9871392743060001</v>
      </c>
      <c r="EW232" s="3">
        <v>3.5780821920000001</v>
      </c>
      <c r="EX232" s="3">
        <v>0.154057054</v>
      </c>
      <c r="EY232" s="3">
        <v>41</v>
      </c>
      <c r="EZ232" s="3">
        <v>1306</v>
      </c>
      <c r="FA232" s="1">
        <v>0</v>
      </c>
      <c r="FB232" s="1">
        <v>0</v>
      </c>
      <c r="FC232" s="3">
        <v>0.60728621299999996</v>
      </c>
      <c r="FD232" s="1">
        <v>0</v>
      </c>
      <c r="FE232" s="1">
        <v>0</v>
      </c>
    </row>
    <row r="233" spans="1:161" x14ac:dyDescent="0.3">
      <c r="A233" s="1">
        <v>16975583</v>
      </c>
      <c r="B233" s="1">
        <v>128</v>
      </c>
      <c r="C233" s="1">
        <v>7720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2000</v>
      </c>
      <c r="J233" s="3">
        <v>2000</v>
      </c>
      <c r="K233" s="1">
        <v>200000</v>
      </c>
      <c r="L233" s="1">
        <v>200000</v>
      </c>
      <c r="M233" s="1">
        <v>200000</v>
      </c>
      <c r="N233" s="3">
        <v>182149.36</v>
      </c>
      <c r="O233" s="1">
        <v>198500</v>
      </c>
      <c r="P233" s="1">
        <v>180783.24</v>
      </c>
      <c r="Q233" s="1">
        <v>198500</v>
      </c>
      <c r="R233" s="1">
        <v>180783.24</v>
      </c>
      <c r="S233" s="1">
        <v>200000</v>
      </c>
      <c r="T233" s="1">
        <v>182149.36</v>
      </c>
      <c r="U233" s="1">
        <v>200000</v>
      </c>
      <c r="V233" s="1">
        <v>182149.36</v>
      </c>
      <c r="W233" s="1">
        <v>0</v>
      </c>
      <c r="X233" s="1">
        <v>0</v>
      </c>
      <c r="Y233" s="1">
        <v>0</v>
      </c>
      <c r="Z233" s="1">
        <v>0</v>
      </c>
      <c r="AA233" s="1">
        <v>963.22</v>
      </c>
      <c r="AB233" s="1">
        <v>911.02</v>
      </c>
      <c r="AC233" s="1">
        <v>963.22</v>
      </c>
      <c r="AD233" s="1">
        <v>911.02</v>
      </c>
      <c r="AE233" s="3" t="s">
        <v>522</v>
      </c>
      <c r="AF233" s="3" t="s">
        <v>161</v>
      </c>
      <c r="AG233" s="1" t="s">
        <v>970</v>
      </c>
      <c r="AH233" s="3" t="s">
        <v>523</v>
      </c>
      <c r="AI233" s="1">
        <v>5</v>
      </c>
      <c r="AJ233" s="3" t="s">
        <v>162</v>
      </c>
      <c r="AK233" s="1" t="s">
        <v>163</v>
      </c>
      <c r="AL233" s="3">
        <v>77.648440109448998</v>
      </c>
      <c r="AM233" s="3">
        <v>77.114470108695997</v>
      </c>
      <c r="AN233" s="3">
        <v>154228.94</v>
      </c>
      <c r="AO233" s="3">
        <v>147108.87</v>
      </c>
      <c r="AP233" s="1" t="s">
        <v>164</v>
      </c>
      <c r="AQ233" s="1">
        <v>4</v>
      </c>
      <c r="AR233" s="1" t="s">
        <v>165</v>
      </c>
      <c r="AS233" s="3">
        <v>132534288.59999999</v>
      </c>
      <c r="AT233" s="1" t="s">
        <v>176</v>
      </c>
      <c r="AU233" s="1">
        <v>1</v>
      </c>
      <c r="AV233" s="1">
        <v>1</v>
      </c>
      <c r="AW233" s="3" t="s">
        <v>494</v>
      </c>
      <c r="AX233" s="3" t="s">
        <v>495</v>
      </c>
      <c r="AY233" s="1">
        <v>0</v>
      </c>
      <c r="BA233" s="3">
        <v>8205251.6799999997</v>
      </c>
      <c r="BB233" s="1">
        <v>1.0484</v>
      </c>
      <c r="BD233" s="1" t="s">
        <v>971</v>
      </c>
      <c r="BE233" s="1">
        <v>1</v>
      </c>
      <c r="BF233" s="1">
        <v>1</v>
      </c>
      <c r="BG233" s="1" t="s">
        <v>168</v>
      </c>
      <c r="BH233" s="1">
        <v>0</v>
      </c>
      <c r="BI233" s="1">
        <v>31345322.399999999</v>
      </c>
      <c r="BJ233" s="1">
        <v>0</v>
      </c>
      <c r="BK233" s="1">
        <v>123618989.48999999</v>
      </c>
      <c r="BL233" s="1">
        <v>132456249.91</v>
      </c>
      <c r="BM233" s="1">
        <v>596150.00000000012</v>
      </c>
      <c r="BN233" s="1">
        <v>9219855.2300000004</v>
      </c>
      <c r="BO233" s="1">
        <v>23.664660909999998</v>
      </c>
      <c r="BP233" s="1">
        <v>0.45007313999999998</v>
      </c>
      <c r="BQ233" s="1">
        <v>6.9606796500000003</v>
      </c>
      <c r="BR233" s="1">
        <v>0.11106223</v>
      </c>
      <c r="BS233" s="1" t="s">
        <v>169</v>
      </c>
      <c r="BT233" s="1" t="s">
        <v>169</v>
      </c>
      <c r="BU233" s="1">
        <v>26356083.120000001</v>
      </c>
      <c r="BV233" s="1">
        <v>0</v>
      </c>
      <c r="BW233" s="1">
        <v>228.25</v>
      </c>
      <c r="BX233" s="1">
        <v>-0.68</v>
      </c>
      <c r="BY233" s="1" t="s">
        <v>170</v>
      </c>
      <c r="BZ233" s="1">
        <v>-78038.69</v>
      </c>
      <c r="CA233" s="1" t="s">
        <v>250</v>
      </c>
      <c r="CB233" s="1" t="s">
        <v>251</v>
      </c>
      <c r="CC233" s="1">
        <v>-44166.34</v>
      </c>
      <c r="CD233" s="1">
        <v>-34813.64</v>
      </c>
      <c r="CE233" s="1">
        <v>155296.88</v>
      </c>
      <c r="CF233" s="1">
        <v>146880.62</v>
      </c>
      <c r="CG233" s="1">
        <v>0</v>
      </c>
      <c r="CH233" s="1">
        <v>1.4438757900000001</v>
      </c>
      <c r="CI233" s="1">
        <v>13.27863496</v>
      </c>
      <c r="CJ233" s="1">
        <v>17588381.91</v>
      </c>
      <c r="CK233" s="1">
        <v>1912503.72</v>
      </c>
      <c r="CL233" s="1">
        <v>6269233.6699999999</v>
      </c>
      <c r="CM233" s="1" t="s">
        <v>164</v>
      </c>
      <c r="CN233" s="1" t="s">
        <v>164</v>
      </c>
      <c r="CO233" s="1" t="s">
        <v>184</v>
      </c>
      <c r="CP233" s="1" t="s">
        <v>243</v>
      </c>
      <c r="CQ233" s="3" t="s">
        <v>252</v>
      </c>
      <c r="CR233" s="1">
        <v>0</v>
      </c>
      <c r="CS233" s="1" t="s">
        <v>243</v>
      </c>
      <c r="CT233" s="1">
        <v>0.11900184</v>
      </c>
      <c r="CV233" s="1">
        <v>0</v>
      </c>
      <c r="CW233" s="1">
        <v>-219173.26</v>
      </c>
      <c r="DA233" s="1">
        <v>1355558.46</v>
      </c>
      <c r="DB233" s="1">
        <v>0</v>
      </c>
      <c r="DC233" s="1">
        <v>2520.3126550000002</v>
      </c>
      <c r="DD233" s="1">
        <v>52555.483399999997</v>
      </c>
      <c r="DE233" s="1">
        <v>-296353.43</v>
      </c>
      <c r="DF233" s="1">
        <v>92570020.519999996</v>
      </c>
      <c r="DG233" s="1">
        <v>-1067.94</v>
      </c>
      <c r="DH233" s="1">
        <v>394770.09</v>
      </c>
      <c r="DI233" s="1">
        <v>0.29803809999999997</v>
      </c>
      <c r="DK233" s="1">
        <v>0</v>
      </c>
      <c r="DL233" s="1">
        <v>0</v>
      </c>
      <c r="DM233" s="1">
        <v>-296353.43</v>
      </c>
      <c r="DN233" s="1">
        <v>0</v>
      </c>
      <c r="DO233" s="1">
        <v>0</v>
      </c>
      <c r="DP233" s="1">
        <v>16777215</v>
      </c>
      <c r="DQ233" s="1">
        <v>0</v>
      </c>
      <c r="DR233" s="1">
        <v>0</v>
      </c>
      <c r="DS233" s="1">
        <v>0</v>
      </c>
      <c r="DT233" s="1">
        <v>0</v>
      </c>
      <c r="DU233" s="1">
        <v>0</v>
      </c>
      <c r="DV233" s="1">
        <v>154228.94</v>
      </c>
      <c r="DW233" s="1">
        <v>147108.87</v>
      </c>
      <c r="DX233" s="1">
        <v>31345322.399999999</v>
      </c>
      <c r="DY233" s="1">
        <v>-1110160.2399999984</v>
      </c>
      <c r="DZ233" s="1">
        <v>92570020.519999966</v>
      </c>
      <c r="EA233" s="1">
        <v>0</v>
      </c>
      <c r="EB233" s="1">
        <v>0</v>
      </c>
      <c r="EC233" s="1" t="s">
        <v>176</v>
      </c>
      <c r="EE233" s="1">
        <v>0</v>
      </c>
      <c r="EF233" s="1">
        <v>3</v>
      </c>
      <c r="EG233" s="1">
        <v>0</v>
      </c>
      <c r="EH233" s="3">
        <v>0.15891632</v>
      </c>
      <c r="EI233" s="1">
        <v>0</v>
      </c>
      <c r="EL233" s="1">
        <v>0</v>
      </c>
      <c r="EM233" s="1">
        <v>0</v>
      </c>
      <c r="EN233" s="1">
        <v>1633661.45</v>
      </c>
      <c r="EO233" s="1">
        <v>1.2333592799999999</v>
      </c>
      <c r="ER233" s="1">
        <v>77.651834239129997</v>
      </c>
      <c r="ES233" s="1">
        <v>1.0572999999999999</v>
      </c>
      <c r="ET233" s="3">
        <v>4.6797149070000001</v>
      </c>
      <c r="EU233" s="3">
        <v>6.4509373559999998</v>
      </c>
      <c r="EV233" s="3">
        <v>4.8947412156360004</v>
      </c>
      <c r="EW233" s="3">
        <v>6.6219178080000001</v>
      </c>
      <c r="EX233" s="3">
        <v>0.46599460199999998</v>
      </c>
      <c r="EY233" s="3">
        <v>76</v>
      </c>
      <c r="EZ233" s="3">
        <v>2417</v>
      </c>
      <c r="FA233" s="1">
        <v>0</v>
      </c>
      <c r="FB233" s="1">
        <v>0</v>
      </c>
      <c r="FC233" s="3">
        <v>0.78012826099999999</v>
      </c>
      <c r="FD233" s="1">
        <v>0</v>
      </c>
      <c r="FE233" s="1">
        <v>0</v>
      </c>
    </row>
    <row r="234" spans="1:161" x14ac:dyDescent="0.3">
      <c r="A234" s="1">
        <v>16975582</v>
      </c>
      <c r="B234" s="1">
        <v>128</v>
      </c>
      <c r="C234" s="1">
        <v>8075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2000</v>
      </c>
      <c r="J234" s="3">
        <v>2000</v>
      </c>
      <c r="K234" s="1">
        <v>200000</v>
      </c>
      <c r="L234" s="1">
        <v>200000</v>
      </c>
      <c r="M234" s="1">
        <v>200000</v>
      </c>
      <c r="N234" s="3">
        <v>176865.94</v>
      </c>
      <c r="O234" s="1">
        <v>199046.88</v>
      </c>
      <c r="P234" s="1">
        <v>176023.06</v>
      </c>
      <c r="Q234" s="1">
        <v>199046.88</v>
      </c>
      <c r="R234" s="1">
        <v>176023.06</v>
      </c>
      <c r="S234" s="1">
        <v>200000</v>
      </c>
      <c r="T234" s="1">
        <v>176865.94</v>
      </c>
      <c r="U234" s="1">
        <v>200000</v>
      </c>
      <c r="V234" s="1">
        <v>176865.94</v>
      </c>
      <c r="W234" s="1">
        <v>0</v>
      </c>
      <c r="X234" s="1">
        <v>0</v>
      </c>
      <c r="Y234" s="1">
        <v>0</v>
      </c>
      <c r="Z234" s="1">
        <v>0</v>
      </c>
      <c r="AA234" s="1">
        <v>796.61</v>
      </c>
      <c r="AB234" s="1">
        <v>753.44</v>
      </c>
      <c r="AC234" s="1">
        <v>796.61</v>
      </c>
      <c r="AD234" s="1">
        <v>753.44</v>
      </c>
      <c r="AE234" s="3" t="s">
        <v>505</v>
      </c>
      <c r="AF234" s="3" t="s">
        <v>161</v>
      </c>
      <c r="AG234" s="1" t="s">
        <v>970</v>
      </c>
      <c r="AH234" s="3" t="s">
        <v>524</v>
      </c>
      <c r="AI234" s="1">
        <v>5</v>
      </c>
      <c r="AJ234" s="3" t="s">
        <v>162</v>
      </c>
      <c r="AK234" s="1" t="s">
        <v>163</v>
      </c>
      <c r="AL234" s="3">
        <v>92.305989012846993</v>
      </c>
      <c r="AM234" s="3">
        <v>92.229914013661002</v>
      </c>
      <c r="AN234" s="3">
        <v>184459.83</v>
      </c>
      <c r="AO234" s="3">
        <v>175944.13</v>
      </c>
      <c r="AP234" s="1" t="s">
        <v>164</v>
      </c>
      <c r="AQ234" s="1">
        <v>4</v>
      </c>
      <c r="AR234" s="1" t="s">
        <v>165</v>
      </c>
      <c r="AS234" s="3">
        <v>132534288.59999999</v>
      </c>
      <c r="AT234" s="1" t="s">
        <v>176</v>
      </c>
      <c r="AU234" s="1">
        <v>1</v>
      </c>
      <c r="AV234" s="1">
        <v>1</v>
      </c>
      <c r="AW234" s="3" t="s">
        <v>494</v>
      </c>
      <c r="AX234" s="3" t="s">
        <v>495</v>
      </c>
      <c r="AY234" s="1">
        <v>0</v>
      </c>
      <c r="BA234" s="3">
        <v>8205251.6799999997</v>
      </c>
      <c r="BB234" s="1">
        <v>1.0484</v>
      </c>
      <c r="BD234" s="1" t="s">
        <v>971</v>
      </c>
      <c r="BE234" s="1">
        <v>1</v>
      </c>
      <c r="BF234" s="1">
        <v>1</v>
      </c>
      <c r="BG234" s="1" t="s">
        <v>168</v>
      </c>
      <c r="BH234" s="1">
        <v>0</v>
      </c>
      <c r="BI234" s="1">
        <v>31345322.399999999</v>
      </c>
      <c r="BJ234" s="1">
        <v>0</v>
      </c>
      <c r="BK234" s="1">
        <v>123618989.48999999</v>
      </c>
      <c r="BL234" s="1">
        <v>132456249.91</v>
      </c>
      <c r="BM234" s="1">
        <v>596150.00000000012</v>
      </c>
      <c r="BN234" s="1">
        <v>9219855.2300000004</v>
      </c>
      <c r="BO234" s="1">
        <v>23.664660909999998</v>
      </c>
      <c r="BP234" s="1">
        <v>0.45007313999999998</v>
      </c>
      <c r="BQ234" s="1">
        <v>6.9606796500000003</v>
      </c>
      <c r="BR234" s="1">
        <v>0.13283188000000001</v>
      </c>
      <c r="BS234" s="1" t="s">
        <v>169</v>
      </c>
      <c r="BT234" s="1" t="s">
        <v>169</v>
      </c>
      <c r="BU234" s="1">
        <v>26356083.120000001</v>
      </c>
      <c r="BV234" s="1">
        <v>0</v>
      </c>
      <c r="BW234" s="1">
        <v>1337.13</v>
      </c>
      <c r="BX234" s="1">
        <v>-0.09</v>
      </c>
      <c r="BY234" s="1" t="s">
        <v>170</v>
      </c>
      <c r="BZ234" s="1">
        <v>-78038.69</v>
      </c>
      <c r="CA234" s="1" t="s">
        <v>250</v>
      </c>
      <c r="CB234" s="1" t="s">
        <v>251</v>
      </c>
      <c r="CC234" s="1">
        <v>-15231.51</v>
      </c>
      <c r="CD234" s="1">
        <v>-2169.5</v>
      </c>
      <c r="CE234" s="1">
        <v>184611.98</v>
      </c>
      <c r="CF234" s="1">
        <v>174607</v>
      </c>
      <c r="CG234" s="1">
        <v>0</v>
      </c>
      <c r="CH234" s="1">
        <v>1.4438757900000001</v>
      </c>
      <c r="CI234" s="1">
        <v>13.27863496</v>
      </c>
      <c r="CJ234" s="1">
        <v>17588381.91</v>
      </c>
      <c r="CK234" s="1">
        <v>1912503.72</v>
      </c>
      <c r="CL234" s="1">
        <v>6269233.6699999999</v>
      </c>
      <c r="CM234" s="1" t="s">
        <v>164</v>
      </c>
      <c r="CN234" s="1" t="s">
        <v>164</v>
      </c>
      <c r="CO234" s="1" t="s">
        <v>184</v>
      </c>
      <c r="CP234" s="1" t="s">
        <v>243</v>
      </c>
      <c r="CQ234" s="3" t="s">
        <v>252</v>
      </c>
      <c r="CR234" s="1">
        <v>0</v>
      </c>
      <c r="CS234" s="1" t="s">
        <v>243</v>
      </c>
      <c r="CT234" s="1">
        <v>0.14232775</v>
      </c>
      <c r="CV234" s="1">
        <v>0</v>
      </c>
      <c r="CW234" s="1">
        <v>-219173.26</v>
      </c>
      <c r="DA234" s="1">
        <v>1355558.46</v>
      </c>
      <c r="DB234" s="1">
        <v>0</v>
      </c>
      <c r="DC234" s="1">
        <v>2520.3126550000002</v>
      </c>
      <c r="DD234" s="1">
        <v>52555.483399999997</v>
      </c>
      <c r="DE234" s="1">
        <v>-296353.43</v>
      </c>
      <c r="DF234" s="1">
        <v>92570020.519999996</v>
      </c>
      <c r="DG234" s="1">
        <v>-152.15</v>
      </c>
      <c r="DH234" s="1">
        <v>394770.09</v>
      </c>
      <c r="DI234" s="1">
        <v>0.29803809999999997</v>
      </c>
      <c r="DK234" s="1">
        <v>0</v>
      </c>
      <c r="DL234" s="1">
        <v>0</v>
      </c>
      <c r="DM234" s="1">
        <v>-296353.43</v>
      </c>
      <c r="DN234" s="1">
        <v>0</v>
      </c>
      <c r="DO234" s="1">
        <v>0</v>
      </c>
      <c r="DP234" s="1">
        <v>16777215</v>
      </c>
      <c r="DQ234" s="1">
        <v>0</v>
      </c>
      <c r="DR234" s="1">
        <v>0</v>
      </c>
      <c r="DS234" s="1">
        <v>0</v>
      </c>
      <c r="DT234" s="1">
        <v>0</v>
      </c>
      <c r="DU234" s="1">
        <v>0</v>
      </c>
      <c r="DV234" s="1">
        <v>184459.83</v>
      </c>
      <c r="DW234" s="1">
        <v>175944.13</v>
      </c>
      <c r="DX234" s="1">
        <v>31345322.399999999</v>
      </c>
      <c r="DY234" s="1">
        <v>-1110160.2399999984</v>
      </c>
      <c r="DZ234" s="1">
        <v>92570020.519999966</v>
      </c>
      <c r="EA234" s="1">
        <v>0</v>
      </c>
      <c r="EB234" s="1">
        <v>0</v>
      </c>
      <c r="EC234" s="1" t="s">
        <v>176</v>
      </c>
      <c r="EE234" s="1">
        <v>0</v>
      </c>
      <c r="EF234" s="1">
        <v>3</v>
      </c>
      <c r="EG234" s="1">
        <v>0</v>
      </c>
      <c r="EH234" s="3">
        <v>0.19006598999999999</v>
      </c>
      <c r="EI234" s="1">
        <v>0</v>
      </c>
      <c r="EL234" s="1">
        <v>0</v>
      </c>
      <c r="EM234" s="1">
        <v>0</v>
      </c>
      <c r="EN234" s="1">
        <v>1633661.45</v>
      </c>
      <c r="EO234" s="1">
        <v>1.2333592799999999</v>
      </c>
      <c r="ER234" s="1">
        <v>92.303449953552004</v>
      </c>
      <c r="ES234" s="1">
        <v>1.0572999999999999</v>
      </c>
      <c r="ET234" s="3">
        <v>5.2672767230000002</v>
      </c>
      <c r="EU234" s="3">
        <v>1.65724183</v>
      </c>
      <c r="EV234" s="3">
        <v>1.490438620181</v>
      </c>
      <c r="EW234" s="3">
        <v>1.663013699</v>
      </c>
      <c r="EX234" s="3">
        <v>4.1849865999999999E-2</v>
      </c>
      <c r="EY234" s="3">
        <v>19</v>
      </c>
      <c r="EZ234" s="3">
        <v>607</v>
      </c>
      <c r="FA234" s="1">
        <v>0</v>
      </c>
      <c r="FB234" s="1">
        <v>0</v>
      </c>
      <c r="FC234" s="3">
        <v>0.59086539699999996</v>
      </c>
      <c r="FD234" s="1">
        <v>0</v>
      </c>
      <c r="FE234" s="1">
        <v>0</v>
      </c>
    </row>
    <row r="235" spans="1:161" x14ac:dyDescent="0.3">
      <c r="A235" s="1">
        <v>16975344</v>
      </c>
      <c r="B235" s="1">
        <v>128</v>
      </c>
      <c r="C235" s="1">
        <v>9771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4000</v>
      </c>
      <c r="J235" s="3">
        <v>4000</v>
      </c>
      <c r="K235" s="1">
        <v>400000</v>
      </c>
      <c r="L235" s="1">
        <v>400000</v>
      </c>
      <c r="M235" s="1">
        <v>400000</v>
      </c>
      <c r="N235" s="3">
        <v>355534.45</v>
      </c>
      <c r="O235" s="1">
        <v>380671.87</v>
      </c>
      <c r="P235" s="1">
        <v>338315.13</v>
      </c>
      <c r="Q235" s="1">
        <v>380671.87</v>
      </c>
      <c r="R235" s="1">
        <v>338315.13</v>
      </c>
      <c r="S235" s="1">
        <v>400000</v>
      </c>
      <c r="T235" s="1">
        <v>355534.45</v>
      </c>
      <c r="U235" s="1">
        <v>400000</v>
      </c>
      <c r="V235" s="1">
        <v>355534.45</v>
      </c>
      <c r="W235" s="1">
        <v>0</v>
      </c>
      <c r="X235" s="1">
        <v>0</v>
      </c>
      <c r="Y235" s="1">
        <v>0</v>
      </c>
      <c r="Z235" s="1">
        <v>0</v>
      </c>
      <c r="AA235" s="1">
        <v>5810.96</v>
      </c>
      <c r="AB235" s="1">
        <v>5496.04</v>
      </c>
      <c r="AC235" s="1">
        <v>5810.96</v>
      </c>
      <c r="AD235" s="1">
        <v>5496.04</v>
      </c>
      <c r="AE235" s="3" t="s">
        <v>525</v>
      </c>
      <c r="AF235" s="3" t="s">
        <v>161</v>
      </c>
      <c r="AG235" s="1" t="s">
        <v>970</v>
      </c>
      <c r="AH235" s="3" t="s">
        <v>526</v>
      </c>
      <c r="AI235" s="1">
        <v>5</v>
      </c>
      <c r="AJ235" s="3" t="s">
        <v>162</v>
      </c>
      <c r="AK235" s="1" t="s">
        <v>163</v>
      </c>
      <c r="AL235" s="3">
        <v>85.963506713924005</v>
      </c>
      <c r="AM235" s="3">
        <v>85.584409217390998</v>
      </c>
      <c r="AN235" s="3">
        <v>342337.64</v>
      </c>
      <c r="AO235" s="3">
        <v>326533.42</v>
      </c>
      <c r="AP235" s="1" t="s">
        <v>164</v>
      </c>
      <c r="AQ235" s="1">
        <v>4</v>
      </c>
      <c r="AR235" s="1" t="s">
        <v>165</v>
      </c>
      <c r="AS235" s="3">
        <v>132534288.59999999</v>
      </c>
      <c r="AT235" s="1" t="s">
        <v>176</v>
      </c>
      <c r="AU235" s="1">
        <v>1</v>
      </c>
      <c r="AV235" s="1">
        <v>1</v>
      </c>
      <c r="AW235" s="3" t="s">
        <v>494</v>
      </c>
      <c r="AX235" s="3" t="s">
        <v>495</v>
      </c>
      <c r="AY235" s="1">
        <v>0</v>
      </c>
      <c r="BA235" s="3">
        <v>8205251.6799999997</v>
      </c>
      <c r="BB235" s="1">
        <v>1.0484</v>
      </c>
      <c r="BD235" s="1" t="s">
        <v>971</v>
      </c>
      <c r="BE235" s="1">
        <v>1</v>
      </c>
      <c r="BF235" s="1">
        <v>1</v>
      </c>
      <c r="BG235" s="1" t="s">
        <v>168</v>
      </c>
      <c r="BH235" s="1">
        <v>0</v>
      </c>
      <c r="BI235" s="1">
        <v>31345322.399999999</v>
      </c>
      <c r="BJ235" s="1">
        <v>0</v>
      </c>
      <c r="BK235" s="1">
        <v>123618989.48999999</v>
      </c>
      <c r="BL235" s="1">
        <v>132456249.91</v>
      </c>
      <c r="BM235" s="1">
        <v>596150.00000000012</v>
      </c>
      <c r="BN235" s="1">
        <v>9219855.2300000004</v>
      </c>
      <c r="BO235" s="1">
        <v>23.664660909999998</v>
      </c>
      <c r="BP235" s="1">
        <v>0.45007313999999998</v>
      </c>
      <c r="BQ235" s="1">
        <v>6.9606796500000003</v>
      </c>
      <c r="BR235" s="1">
        <v>0.24652172</v>
      </c>
      <c r="BS235" s="1" t="s">
        <v>169</v>
      </c>
      <c r="BT235" s="1" t="s">
        <v>169</v>
      </c>
      <c r="BU235" s="1">
        <v>26356083.120000001</v>
      </c>
      <c r="BV235" s="1">
        <v>0</v>
      </c>
      <c r="BW235" s="1">
        <v>1314.44</v>
      </c>
      <c r="BX235" s="1">
        <v>-0.44</v>
      </c>
      <c r="BY235" s="1" t="s">
        <v>170</v>
      </c>
      <c r="BZ235" s="1">
        <v>-78038.69</v>
      </c>
      <c r="CA235" s="1" t="s">
        <v>250</v>
      </c>
      <c r="CB235" s="1" t="s">
        <v>251</v>
      </c>
      <c r="CC235" s="1">
        <v>-42628.800000000003</v>
      </c>
      <c r="CD235" s="1">
        <v>-18592.189999999999</v>
      </c>
      <c r="CE235" s="1">
        <v>343854.03</v>
      </c>
      <c r="CF235" s="1">
        <v>325218.98</v>
      </c>
      <c r="CG235" s="1">
        <v>0</v>
      </c>
      <c r="CH235" s="1">
        <v>1.4438757900000001</v>
      </c>
      <c r="CI235" s="1">
        <v>13.27863496</v>
      </c>
      <c r="CJ235" s="1">
        <v>17588381.91</v>
      </c>
      <c r="CK235" s="1">
        <v>1912503.72</v>
      </c>
      <c r="CL235" s="1">
        <v>6269233.6699999999</v>
      </c>
      <c r="CM235" s="1" t="s">
        <v>164</v>
      </c>
      <c r="CN235" s="1" t="s">
        <v>164</v>
      </c>
      <c r="CO235" s="1" t="s">
        <v>184</v>
      </c>
      <c r="CP235" s="1" t="s">
        <v>243</v>
      </c>
      <c r="CQ235" s="3" t="s">
        <v>252</v>
      </c>
      <c r="CR235" s="1">
        <v>0</v>
      </c>
      <c r="CS235" s="1" t="s">
        <v>243</v>
      </c>
      <c r="CT235" s="1">
        <v>0.26414503</v>
      </c>
      <c r="CV235" s="1">
        <v>0</v>
      </c>
      <c r="CW235" s="1">
        <v>-219173.26</v>
      </c>
      <c r="DA235" s="1">
        <v>1355558.46</v>
      </c>
      <c r="DB235" s="1">
        <v>0</v>
      </c>
      <c r="DC235" s="1">
        <v>2520.3126550000002</v>
      </c>
      <c r="DD235" s="1">
        <v>52555.483399999997</v>
      </c>
      <c r="DE235" s="1">
        <v>-296353.43</v>
      </c>
      <c r="DF235" s="1">
        <v>92570020.519999996</v>
      </c>
      <c r="DG235" s="1">
        <v>-1516.39</v>
      </c>
      <c r="DH235" s="1">
        <v>394770.09</v>
      </c>
      <c r="DI235" s="1">
        <v>0.29803809999999997</v>
      </c>
      <c r="DK235" s="1">
        <v>0</v>
      </c>
      <c r="DL235" s="1">
        <v>0</v>
      </c>
      <c r="DM235" s="1">
        <v>-296353.43</v>
      </c>
      <c r="DN235" s="1">
        <v>0</v>
      </c>
      <c r="DO235" s="1">
        <v>0</v>
      </c>
      <c r="DP235" s="1">
        <v>16777215</v>
      </c>
      <c r="DQ235" s="1">
        <v>0</v>
      </c>
      <c r="DR235" s="1">
        <v>0</v>
      </c>
      <c r="DS235" s="1">
        <v>0</v>
      </c>
      <c r="DT235" s="1">
        <v>0</v>
      </c>
      <c r="DU235" s="1">
        <v>0</v>
      </c>
      <c r="DV235" s="1">
        <v>342337.64</v>
      </c>
      <c r="DW235" s="1">
        <v>326533.42</v>
      </c>
      <c r="DX235" s="1">
        <v>31345322.399999999</v>
      </c>
      <c r="DY235" s="1">
        <v>-1110160.2399999984</v>
      </c>
      <c r="DZ235" s="1">
        <v>92570020.519999966</v>
      </c>
      <c r="EA235" s="1">
        <v>0</v>
      </c>
      <c r="EB235" s="1">
        <v>0</v>
      </c>
      <c r="EC235" s="1" t="s">
        <v>176</v>
      </c>
      <c r="EE235" s="1">
        <v>0</v>
      </c>
      <c r="EF235" s="1">
        <v>3</v>
      </c>
      <c r="EG235" s="1">
        <v>0</v>
      </c>
      <c r="EH235" s="3">
        <v>0.35274208000000001</v>
      </c>
      <c r="EI235" s="1">
        <v>0</v>
      </c>
      <c r="EL235" s="1">
        <v>0</v>
      </c>
      <c r="EM235" s="1">
        <v>0</v>
      </c>
      <c r="EN235" s="1">
        <v>1633661.45</v>
      </c>
      <c r="EO235" s="1">
        <v>1.2333592799999999</v>
      </c>
      <c r="ER235" s="1">
        <v>85.971637478261002</v>
      </c>
      <c r="ES235" s="1">
        <v>1.0572999999999999</v>
      </c>
      <c r="ET235" s="3">
        <v>4.70949361</v>
      </c>
      <c r="EU235" s="3">
        <v>4.5909750239999996</v>
      </c>
      <c r="EV235" s="3">
        <v>3.8561342071209999</v>
      </c>
      <c r="EW235" s="3">
        <v>4.7479452049999997</v>
      </c>
      <c r="EX235" s="3">
        <v>0.249463459</v>
      </c>
      <c r="EY235" s="3">
        <v>54</v>
      </c>
      <c r="EZ235" s="3">
        <v>1733</v>
      </c>
      <c r="FA235" s="1">
        <v>0</v>
      </c>
      <c r="FB235" s="1">
        <v>0</v>
      </c>
      <c r="FC235" s="3">
        <v>2.4195927990000001</v>
      </c>
      <c r="FD235" s="1">
        <v>0</v>
      </c>
      <c r="FE235" s="1">
        <v>0</v>
      </c>
    </row>
    <row r="236" spans="1:161" x14ac:dyDescent="0.3">
      <c r="A236" s="1">
        <v>16975339</v>
      </c>
      <c r="B236" s="1">
        <v>128</v>
      </c>
      <c r="C236" s="1">
        <v>9730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3000</v>
      </c>
      <c r="J236" s="3">
        <v>3000</v>
      </c>
      <c r="K236" s="1">
        <v>300000</v>
      </c>
      <c r="L236" s="1">
        <v>300000</v>
      </c>
      <c r="M236" s="1">
        <v>300000</v>
      </c>
      <c r="N236" s="3">
        <v>266849.98</v>
      </c>
      <c r="O236" s="1">
        <v>291671.88</v>
      </c>
      <c r="P236" s="1">
        <v>259453.16</v>
      </c>
      <c r="Q236" s="1">
        <v>291671.88</v>
      </c>
      <c r="R236" s="1">
        <v>259453.16</v>
      </c>
      <c r="S236" s="1">
        <v>300000</v>
      </c>
      <c r="T236" s="1">
        <v>266849.98</v>
      </c>
      <c r="U236" s="1">
        <v>300000</v>
      </c>
      <c r="V236" s="1">
        <v>266849.98</v>
      </c>
      <c r="W236" s="1">
        <v>0</v>
      </c>
      <c r="X236" s="1">
        <v>0</v>
      </c>
      <c r="Y236" s="1">
        <v>0</v>
      </c>
      <c r="Z236" s="1">
        <v>0</v>
      </c>
      <c r="AA236" s="1">
        <v>3668.08</v>
      </c>
      <c r="AB236" s="1">
        <v>3469.29</v>
      </c>
      <c r="AC236" s="1">
        <v>3668.08</v>
      </c>
      <c r="AD236" s="1">
        <v>3469.29</v>
      </c>
      <c r="AE236" s="3" t="s">
        <v>527</v>
      </c>
      <c r="AF236" s="3" t="s">
        <v>161</v>
      </c>
      <c r="AG236" s="1" t="s">
        <v>970</v>
      </c>
      <c r="AH236" s="3" t="s">
        <v>528</v>
      </c>
      <c r="AI236" s="1">
        <v>5</v>
      </c>
      <c r="AJ236" s="3" t="s">
        <v>162</v>
      </c>
      <c r="AK236" s="1" t="s">
        <v>163</v>
      </c>
      <c r="AL236" s="3">
        <v>85.907608762311995</v>
      </c>
      <c r="AM236" s="3">
        <v>85.504755434782993</v>
      </c>
      <c r="AN236" s="3">
        <v>256514.27</v>
      </c>
      <c r="AO236" s="3">
        <v>244672.14</v>
      </c>
      <c r="AP236" s="1" t="s">
        <v>164</v>
      </c>
      <c r="AQ236" s="1">
        <v>4</v>
      </c>
      <c r="AR236" s="1" t="s">
        <v>165</v>
      </c>
      <c r="AS236" s="3">
        <v>132534288.59999999</v>
      </c>
      <c r="AT236" s="1" t="s">
        <v>176</v>
      </c>
      <c r="AU236" s="1">
        <v>1</v>
      </c>
      <c r="AV236" s="1">
        <v>1</v>
      </c>
      <c r="AW236" s="3" t="s">
        <v>494</v>
      </c>
      <c r="AX236" s="3" t="s">
        <v>495</v>
      </c>
      <c r="AY236" s="1">
        <v>0</v>
      </c>
      <c r="BA236" s="3">
        <v>8205251.6799999997</v>
      </c>
      <c r="BB236" s="1">
        <v>1.0484</v>
      </c>
      <c r="BD236" s="1" t="s">
        <v>971</v>
      </c>
      <c r="BE236" s="1">
        <v>1</v>
      </c>
      <c r="BF236" s="1">
        <v>1</v>
      </c>
      <c r="BG236" s="1" t="s">
        <v>168</v>
      </c>
      <c r="BH236" s="1">
        <v>0</v>
      </c>
      <c r="BI236" s="1">
        <v>31345322.399999999</v>
      </c>
      <c r="BJ236" s="1">
        <v>0</v>
      </c>
      <c r="BK236" s="1">
        <v>123618989.48999999</v>
      </c>
      <c r="BL236" s="1">
        <v>132456249.91</v>
      </c>
      <c r="BM236" s="1">
        <v>596150.00000000012</v>
      </c>
      <c r="BN236" s="1">
        <v>9219855.2300000004</v>
      </c>
      <c r="BO236" s="1">
        <v>23.664660909999998</v>
      </c>
      <c r="BP236" s="1">
        <v>0.45007313999999998</v>
      </c>
      <c r="BQ236" s="1">
        <v>6.9606796500000003</v>
      </c>
      <c r="BR236" s="1">
        <v>0.18471920999999999</v>
      </c>
      <c r="BS236" s="1" t="s">
        <v>169</v>
      </c>
      <c r="BT236" s="1" t="s">
        <v>169</v>
      </c>
      <c r="BU236" s="1">
        <v>26356083.120000001</v>
      </c>
      <c r="BV236" s="1">
        <v>0</v>
      </c>
      <c r="BW236" s="1">
        <v>916.51</v>
      </c>
      <c r="BX236" s="1">
        <v>-0.47</v>
      </c>
      <c r="BY236" s="1" t="s">
        <v>170</v>
      </c>
      <c r="BZ236" s="1">
        <v>-78038.69</v>
      </c>
      <c r="CA236" s="1" t="s">
        <v>250</v>
      </c>
      <c r="CB236" s="1" t="s">
        <v>251</v>
      </c>
      <c r="CC236" s="1">
        <v>-37617.129999999997</v>
      </c>
      <c r="CD236" s="1">
        <v>-19166.82</v>
      </c>
      <c r="CE236" s="1">
        <v>257722.83</v>
      </c>
      <c r="CF236" s="1">
        <v>243755.63</v>
      </c>
      <c r="CG236" s="1">
        <v>0</v>
      </c>
      <c r="CH236" s="1">
        <v>1.4438757900000001</v>
      </c>
      <c r="CI236" s="1">
        <v>13.27863496</v>
      </c>
      <c r="CJ236" s="1">
        <v>17588381.91</v>
      </c>
      <c r="CK236" s="1">
        <v>1912503.72</v>
      </c>
      <c r="CL236" s="1">
        <v>6269233.6699999999</v>
      </c>
      <c r="CM236" s="1" t="s">
        <v>164</v>
      </c>
      <c r="CN236" s="1" t="s">
        <v>164</v>
      </c>
      <c r="CO236" s="1" t="s">
        <v>184</v>
      </c>
      <c r="CP236" s="1" t="s">
        <v>243</v>
      </c>
      <c r="CQ236" s="3" t="s">
        <v>252</v>
      </c>
      <c r="CR236" s="1">
        <v>0</v>
      </c>
      <c r="CS236" s="1" t="s">
        <v>243</v>
      </c>
      <c r="CT236" s="1">
        <v>0.1979244</v>
      </c>
      <c r="CV236" s="1">
        <v>0</v>
      </c>
      <c r="CW236" s="1">
        <v>-219173.26</v>
      </c>
      <c r="DA236" s="1">
        <v>1355558.46</v>
      </c>
      <c r="DB236" s="1">
        <v>0</v>
      </c>
      <c r="DC236" s="1">
        <v>2520.3126550000002</v>
      </c>
      <c r="DD236" s="1">
        <v>52555.483399999997</v>
      </c>
      <c r="DE236" s="1">
        <v>-296353.43</v>
      </c>
      <c r="DF236" s="1">
        <v>92570020.519999996</v>
      </c>
      <c r="DG236" s="1">
        <v>-1208.56</v>
      </c>
      <c r="DH236" s="1">
        <v>394770.09</v>
      </c>
      <c r="DI236" s="1">
        <v>0.29803809999999997</v>
      </c>
      <c r="DK236" s="1">
        <v>0</v>
      </c>
      <c r="DL236" s="1">
        <v>0</v>
      </c>
      <c r="DM236" s="1">
        <v>-296353.43</v>
      </c>
      <c r="DN236" s="1">
        <v>0</v>
      </c>
      <c r="DO236" s="1">
        <v>0</v>
      </c>
      <c r="DP236" s="1">
        <v>16777215</v>
      </c>
      <c r="DQ236" s="1">
        <v>0</v>
      </c>
      <c r="DR236" s="1">
        <v>0</v>
      </c>
      <c r="DS236" s="1">
        <v>0</v>
      </c>
      <c r="DT236" s="1">
        <v>0</v>
      </c>
      <c r="DU236" s="1">
        <v>0</v>
      </c>
      <c r="DV236" s="1">
        <v>256514.27</v>
      </c>
      <c r="DW236" s="1">
        <v>244672.14</v>
      </c>
      <c r="DX236" s="1">
        <v>31345322.399999999</v>
      </c>
      <c r="DY236" s="1">
        <v>-1110160.2399999984</v>
      </c>
      <c r="DZ236" s="1">
        <v>92570020.519999966</v>
      </c>
      <c r="EA236" s="1">
        <v>0</v>
      </c>
      <c r="EB236" s="1">
        <v>0</v>
      </c>
      <c r="EC236" s="1" t="s">
        <v>176</v>
      </c>
      <c r="EE236" s="1">
        <v>0</v>
      </c>
      <c r="EF236" s="1">
        <v>3</v>
      </c>
      <c r="EG236" s="1">
        <v>0</v>
      </c>
      <c r="EH236" s="3">
        <v>0.26431033999999998</v>
      </c>
      <c r="EI236" s="1">
        <v>0</v>
      </c>
      <c r="EL236" s="1">
        <v>0</v>
      </c>
      <c r="EM236" s="1">
        <v>0</v>
      </c>
      <c r="EN236" s="1">
        <v>1633661.45</v>
      </c>
      <c r="EO236" s="1">
        <v>1.2333592799999999</v>
      </c>
      <c r="ER236" s="1">
        <v>85.911175521738997</v>
      </c>
      <c r="ES236" s="1">
        <v>1.0572999999999999</v>
      </c>
      <c r="ET236" s="3">
        <v>4.7041619370000003</v>
      </c>
      <c r="EU236" s="3">
        <v>4.8743578210000003</v>
      </c>
      <c r="EV236" s="3">
        <v>4.0913854060860002</v>
      </c>
      <c r="EW236" s="3">
        <v>5.0849315070000003</v>
      </c>
      <c r="EX236" s="3">
        <v>0.27991322800000001</v>
      </c>
      <c r="EY236" s="3">
        <v>57</v>
      </c>
      <c r="EZ236" s="3">
        <v>1856</v>
      </c>
      <c r="FA236" s="1">
        <v>0</v>
      </c>
      <c r="FB236" s="1">
        <v>0</v>
      </c>
      <c r="FC236" s="3">
        <v>2.084874466</v>
      </c>
      <c r="FD236" s="1">
        <v>0</v>
      </c>
      <c r="FE236" s="1">
        <v>0</v>
      </c>
    </row>
    <row r="237" spans="1:161" x14ac:dyDescent="0.3">
      <c r="A237" s="1">
        <v>16975366</v>
      </c>
      <c r="B237" s="1">
        <v>128</v>
      </c>
      <c r="C237" s="1">
        <v>9924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5000</v>
      </c>
      <c r="J237" s="3">
        <v>5000</v>
      </c>
      <c r="K237" s="1">
        <v>500000</v>
      </c>
      <c r="L237" s="1">
        <v>500000</v>
      </c>
      <c r="M237" s="1">
        <v>500000</v>
      </c>
      <c r="N237" s="3">
        <v>460702.11</v>
      </c>
      <c r="O237" s="1">
        <v>462851.55</v>
      </c>
      <c r="P237" s="1">
        <v>426473.37</v>
      </c>
      <c r="Q237" s="1">
        <v>462851.55</v>
      </c>
      <c r="R237" s="1">
        <v>426473.37</v>
      </c>
      <c r="S237" s="1">
        <v>500000</v>
      </c>
      <c r="T237" s="1">
        <v>460702.11</v>
      </c>
      <c r="U237" s="1">
        <v>500000</v>
      </c>
      <c r="V237" s="1">
        <v>460702.11</v>
      </c>
      <c r="W237" s="1">
        <v>0</v>
      </c>
      <c r="X237" s="1">
        <v>0</v>
      </c>
      <c r="Y237" s="1">
        <v>0</v>
      </c>
      <c r="Z237" s="1">
        <v>0</v>
      </c>
      <c r="AA237" s="1">
        <v>13660.04</v>
      </c>
      <c r="AB237" s="1">
        <v>12919.73</v>
      </c>
      <c r="AC237" s="1">
        <v>13660.04</v>
      </c>
      <c r="AD237" s="1">
        <v>12919.73</v>
      </c>
      <c r="AE237" s="3" t="s">
        <v>529</v>
      </c>
      <c r="AF237" s="3" t="s">
        <v>161</v>
      </c>
      <c r="AG237" s="1" t="s">
        <v>970</v>
      </c>
      <c r="AH237" s="3" t="s">
        <v>530</v>
      </c>
      <c r="AI237" s="1">
        <v>5</v>
      </c>
      <c r="AJ237" s="3" t="s">
        <v>162</v>
      </c>
      <c r="AK237" s="1" t="s">
        <v>163</v>
      </c>
      <c r="AL237" s="3">
        <v>0</v>
      </c>
      <c r="AM237" s="3">
        <v>0</v>
      </c>
      <c r="AN237" s="3">
        <v>450405.06</v>
      </c>
      <c r="AO237" s="3">
        <v>429611.85</v>
      </c>
      <c r="AP237" s="1" t="s">
        <v>164</v>
      </c>
      <c r="AQ237" s="1">
        <v>4</v>
      </c>
      <c r="AR237" s="1" t="s">
        <v>165</v>
      </c>
      <c r="AS237" s="3">
        <v>132534288.59999999</v>
      </c>
      <c r="AT237" s="1" t="s">
        <v>176</v>
      </c>
      <c r="AU237" s="1">
        <v>1</v>
      </c>
      <c r="AV237" s="1">
        <v>1</v>
      </c>
      <c r="AW237" s="3" t="s">
        <v>494</v>
      </c>
      <c r="AX237" s="3" t="s">
        <v>495</v>
      </c>
      <c r="AY237" s="1">
        <v>0</v>
      </c>
      <c r="BA237" s="3">
        <v>8205251.6799999997</v>
      </c>
      <c r="BB237" s="1">
        <v>1.0484</v>
      </c>
      <c r="BD237" s="1" t="s">
        <v>971</v>
      </c>
      <c r="BE237" s="1">
        <v>1</v>
      </c>
      <c r="BF237" s="1">
        <v>1</v>
      </c>
      <c r="BG237" s="1" t="s">
        <v>168</v>
      </c>
      <c r="BH237" s="1">
        <v>0</v>
      </c>
      <c r="BI237" s="1">
        <v>31345322.399999999</v>
      </c>
      <c r="BJ237" s="1">
        <v>0</v>
      </c>
      <c r="BK237" s="1">
        <v>123618989.48999999</v>
      </c>
      <c r="BL237" s="1">
        <v>132456249.91</v>
      </c>
      <c r="BM237" s="1">
        <v>596150.00000000012</v>
      </c>
      <c r="BN237" s="1">
        <v>9219855.2300000004</v>
      </c>
      <c r="BO237" s="1">
        <v>23.664660909999998</v>
      </c>
      <c r="BP237" s="1">
        <v>0.45007313999999998</v>
      </c>
      <c r="BQ237" s="1">
        <v>6.9606796500000003</v>
      </c>
      <c r="BR237" s="1">
        <v>0.32434245</v>
      </c>
      <c r="BS237" s="1" t="s">
        <v>169</v>
      </c>
      <c r="BT237" s="1" t="s">
        <v>169</v>
      </c>
      <c r="BU237" s="1">
        <v>26356083.120000001</v>
      </c>
      <c r="BV237" s="1">
        <v>0</v>
      </c>
      <c r="BW237" s="1">
        <v>3616.33</v>
      </c>
      <c r="BX237" s="1">
        <v>0</v>
      </c>
      <c r="BY237" s="1" t="s">
        <v>170</v>
      </c>
      <c r="BZ237" s="1">
        <v>-78038.69</v>
      </c>
      <c r="CA237" s="1" t="s">
        <v>250</v>
      </c>
      <c r="CB237" s="1" t="s">
        <v>251</v>
      </c>
      <c r="CC237" s="1">
        <v>-26106.53</v>
      </c>
      <c r="CD237" s="1">
        <v>-13397.58</v>
      </c>
      <c r="CE237" s="1">
        <v>450405.06</v>
      </c>
      <c r="CF237" s="1">
        <v>425995.52000000002</v>
      </c>
      <c r="CG237" s="1">
        <v>0</v>
      </c>
      <c r="CH237" s="1">
        <v>1.4438757900000001</v>
      </c>
      <c r="CI237" s="1">
        <v>13.27863496</v>
      </c>
      <c r="CJ237" s="1">
        <v>17588381.91</v>
      </c>
      <c r="CK237" s="1">
        <v>1912503.72</v>
      </c>
      <c r="CL237" s="1">
        <v>6269233.6699999999</v>
      </c>
      <c r="CM237" s="1" t="s">
        <v>164</v>
      </c>
      <c r="CN237" s="1" t="s">
        <v>164</v>
      </c>
      <c r="CO237" s="1" t="s">
        <v>184</v>
      </c>
      <c r="CP237" s="1" t="s">
        <v>243</v>
      </c>
      <c r="CQ237" s="3" t="s">
        <v>252</v>
      </c>
      <c r="CR237" s="1">
        <v>0</v>
      </c>
      <c r="CS237" s="1" t="s">
        <v>243</v>
      </c>
      <c r="CT237" s="1">
        <v>0.34752901000000003</v>
      </c>
      <c r="CV237" s="1">
        <v>0</v>
      </c>
      <c r="CW237" s="1">
        <v>-219173.26</v>
      </c>
      <c r="DA237" s="1">
        <v>1355558.46</v>
      </c>
      <c r="DB237" s="1">
        <v>0</v>
      </c>
      <c r="DC237" s="1">
        <v>2520.3126550000002</v>
      </c>
      <c r="DD237" s="1">
        <v>52555.483399999997</v>
      </c>
      <c r="DE237" s="1">
        <v>-296353.43</v>
      </c>
      <c r="DF237" s="1">
        <v>92570020.519999996</v>
      </c>
      <c r="DG237" s="1">
        <v>0</v>
      </c>
      <c r="DH237" s="1">
        <v>394770.09</v>
      </c>
      <c r="DI237" s="1">
        <v>0.29803809999999997</v>
      </c>
      <c r="DK237" s="1">
        <v>0</v>
      </c>
      <c r="DL237" s="1">
        <v>0</v>
      </c>
      <c r="DM237" s="1">
        <v>-296353.43</v>
      </c>
      <c r="DN237" s="1">
        <v>0</v>
      </c>
      <c r="DO237" s="1">
        <v>0</v>
      </c>
      <c r="DP237" s="1">
        <v>16777215</v>
      </c>
      <c r="DQ237" s="1">
        <v>0</v>
      </c>
      <c r="DR237" s="1">
        <v>0</v>
      </c>
      <c r="DS237" s="1">
        <v>0</v>
      </c>
      <c r="DT237" s="1">
        <v>0</v>
      </c>
      <c r="DU237" s="1">
        <v>0</v>
      </c>
      <c r="DV237" s="1">
        <v>450405.06</v>
      </c>
      <c r="DW237" s="1">
        <v>429611.85</v>
      </c>
      <c r="DX237" s="1">
        <v>31345322.399999999</v>
      </c>
      <c r="DY237" s="1">
        <v>-1110160.2399999984</v>
      </c>
      <c r="DZ237" s="1">
        <v>92570020.519999966</v>
      </c>
      <c r="EA237" s="1">
        <v>0</v>
      </c>
      <c r="EB237" s="1">
        <v>0</v>
      </c>
      <c r="EC237" s="1" t="s">
        <v>176</v>
      </c>
      <c r="EE237" s="1">
        <v>0</v>
      </c>
      <c r="EF237" s="1">
        <v>3</v>
      </c>
      <c r="EG237" s="1">
        <v>0</v>
      </c>
      <c r="EH237" s="3">
        <v>0.46409392999999999</v>
      </c>
      <c r="EI237" s="1">
        <v>0</v>
      </c>
      <c r="EL237" s="1">
        <v>0</v>
      </c>
      <c r="EM237" s="1">
        <v>0</v>
      </c>
      <c r="EN237" s="1">
        <v>1633661.45</v>
      </c>
      <c r="EO237" s="1">
        <v>1.2333592799999999</v>
      </c>
      <c r="ER237" s="1">
        <v>0</v>
      </c>
      <c r="ES237" s="1">
        <v>1.0572999999999999</v>
      </c>
      <c r="ET237" s="3">
        <v>4.8523970460000001</v>
      </c>
      <c r="EU237" s="3">
        <v>3.0165674739999999</v>
      </c>
      <c r="EV237" s="3">
        <v>0</v>
      </c>
      <c r="EW237" s="3">
        <v>3.0821917810000001</v>
      </c>
      <c r="EX237" s="3">
        <v>0.116767487</v>
      </c>
      <c r="EY237" s="3">
        <v>35</v>
      </c>
      <c r="EZ237" s="3">
        <v>1125</v>
      </c>
      <c r="FA237" s="1">
        <v>0</v>
      </c>
      <c r="FB237" s="1">
        <v>0</v>
      </c>
      <c r="FC237" s="3">
        <v>3.9093586290000002</v>
      </c>
      <c r="FD237" s="1">
        <v>0</v>
      </c>
      <c r="FE237" s="1">
        <v>0</v>
      </c>
    </row>
    <row r="238" spans="1:161" x14ac:dyDescent="0.3">
      <c r="A238" s="1">
        <v>16975385</v>
      </c>
      <c r="B238" s="1">
        <v>128</v>
      </c>
      <c r="C238" s="1">
        <v>9653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7000</v>
      </c>
      <c r="J238" s="3">
        <v>7000</v>
      </c>
      <c r="K238" s="1">
        <v>700000</v>
      </c>
      <c r="L238" s="1">
        <v>700000</v>
      </c>
      <c r="M238" s="1">
        <v>700000</v>
      </c>
      <c r="N238" s="3">
        <v>618664.11</v>
      </c>
      <c r="O238" s="1">
        <v>693015.64</v>
      </c>
      <c r="P238" s="1">
        <v>612498.05000000005</v>
      </c>
      <c r="Q238" s="1">
        <v>693015.64</v>
      </c>
      <c r="R238" s="1">
        <v>612498.05000000005</v>
      </c>
      <c r="S238" s="1">
        <v>700000</v>
      </c>
      <c r="T238" s="1">
        <v>618664.11</v>
      </c>
      <c r="U238" s="1">
        <v>700000</v>
      </c>
      <c r="V238" s="1">
        <v>618664.11</v>
      </c>
      <c r="W238" s="1">
        <v>0</v>
      </c>
      <c r="X238" s="1">
        <v>0</v>
      </c>
      <c r="Y238" s="1">
        <v>0</v>
      </c>
      <c r="Z238" s="1">
        <v>0</v>
      </c>
      <c r="AA238" s="1">
        <v>5283.46</v>
      </c>
      <c r="AB238" s="1">
        <v>4997.13</v>
      </c>
      <c r="AC238" s="1">
        <v>5283.46</v>
      </c>
      <c r="AD238" s="1">
        <v>4997.13</v>
      </c>
      <c r="AE238" s="3" t="s">
        <v>531</v>
      </c>
      <c r="AF238" s="3" t="s">
        <v>161</v>
      </c>
      <c r="AG238" s="1" t="s">
        <v>970</v>
      </c>
      <c r="AH238" s="3" t="s">
        <v>532</v>
      </c>
      <c r="AI238" s="1">
        <v>5</v>
      </c>
      <c r="AJ238" s="3" t="s">
        <v>162</v>
      </c>
      <c r="AK238" s="1" t="s">
        <v>163</v>
      </c>
      <c r="AL238" s="3">
        <v>90.162759987548995</v>
      </c>
      <c r="AM238" s="3">
        <v>89.951427130434993</v>
      </c>
      <c r="AN238" s="3">
        <v>629659.99</v>
      </c>
      <c r="AO238" s="3">
        <v>600591.37</v>
      </c>
      <c r="AP238" s="1" t="s">
        <v>164</v>
      </c>
      <c r="AQ238" s="1">
        <v>4</v>
      </c>
      <c r="AR238" s="1" t="s">
        <v>165</v>
      </c>
      <c r="AS238" s="3">
        <v>132534288.59999999</v>
      </c>
      <c r="AT238" s="1" t="s">
        <v>176</v>
      </c>
      <c r="AU238" s="1">
        <v>1</v>
      </c>
      <c r="AV238" s="1">
        <v>1</v>
      </c>
      <c r="AW238" s="3" t="s">
        <v>494</v>
      </c>
      <c r="AX238" s="3" t="s">
        <v>495</v>
      </c>
      <c r="AY238" s="1">
        <v>0</v>
      </c>
      <c r="BA238" s="3">
        <v>8205251.6799999997</v>
      </c>
      <c r="BB238" s="1">
        <v>1.0484</v>
      </c>
      <c r="BD238" s="1" t="s">
        <v>971</v>
      </c>
      <c r="BE238" s="1">
        <v>1</v>
      </c>
      <c r="BF238" s="1">
        <v>1</v>
      </c>
      <c r="BG238" s="1" t="s">
        <v>168</v>
      </c>
      <c r="BH238" s="1">
        <v>0</v>
      </c>
      <c r="BI238" s="1">
        <v>31345322.399999999</v>
      </c>
      <c r="BJ238" s="1">
        <v>0</v>
      </c>
      <c r="BK238" s="1">
        <v>123618989.48999999</v>
      </c>
      <c r="BL238" s="1">
        <v>132456249.91</v>
      </c>
      <c r="BM238" s="1">
        <v>596150.00000000012</v>
      </c>
      <c r="BN238" s="1">
        <v>9219855.2300000004</v>
      </c>
      <c r="BO238" s="1">
        <v>23.664660909999998</v>
      </c>
      <c r="BP238" s="1">
        <v>0.45007313999999998</v>
      </c>
      <c r="BQ238" s="1">
        <v>6.9606796500000003</v>
      </c>
      <c r="BR238" s="1">
        <v>0.45342621999999999</v>
      </c>
      <c r="BS238" s="1" t="s">
        <v>169</v>
      </c>
      <c r="BT238" s="1" t="s">
        <v>169</v>
      </c>
      <c r="BU238" s="1">
        <v>26356083.120000001</v>
      </c>
      <c r="BV238" s="1">
        <v>0</v>
      </c>
      <c r="BW238" s="1">
        <v>3656.42</v>
      </c>
      <c r="BX238" s="1">
        <v>-0.23</v>
      </c>
      <c r="BY238" s="1" t="s">
        <v>170</v>
      </c>
      <c r="BZ238" s="1">
        <v>-78038.69</v>
      </c>
      <c r="CA238" s="1" t="s">
        <v>250</v>
      </c>
      <c r="CB238" s="1" t="s">
        <v>251</v>
      </c>
      <c r="CC238" s="1">
        <v>-67159.78</v>
      </c>
      <c r="CD238" s="1">
        <v>-20560.23</v>
      </c>
      <c r="CE238" s="1">
        <v>631139.31999999995</v>
      </c>
      <c r="CF238" s="1">
        <v>596934.94999999995</v>
      </c>
      <c r="CG238" s="1">
        <v>0</v>
      </c>
      <c r="CH238" s="1">
        <v>1.4438757900000001</v>
      </c>
      <c r="CI238" s="1">
        <v>13.27863496</v>
      </c>
      <c r="CJ238" s="1">
        <v>17588381.91</v>
      </c>
      <c r="CK238" s="1">
        <v>1912503.72</v>
      </c>
      <c r="CL238" s="1">
        <v>6269233.6699999999</v>
      </c>
      <c r="CM238" s="1" t="s">
        <v>164</v>
      </c>
      <c r="CN238" s="1" t="s">
        <v>164</v>
      </c>
      <c r="CO238" s="1" t="s">
        <v>184</v>
      </c>
      <c r="CP238" s="1" t="s">
        <v>243</v>
      </c>
      <c r="CQ238" s="3" t="s">
        <v>252</v>
      </c>
      <c r="CR238" s="1">
        <v>0</v>
      </c>
      <c r="CS238" s="1" t="s">
        <v>243</v>
      </c>
      <c r="CT238" s="1">
        <v>0.48584070000000001</v>
      </c>
      <c r="CV238" s="1">
        <v>0</v>
      </c>
      <c r="CW238" s="1">
        <v>-219173.26</v>
      </c>
      <c r="DA238" s="1">
        <v>1355558.46</v>
      </c>
      <c r="DB238" s="1">
        <v>0</v>
      </c>
      <c r="DC238" s="1">
        <v>2520.3126550000002</v>
      </c>
      <c r="DD238" s="1">
        <v>52555.483399999997</v>
      </c>
      <c r="DE238" s="1">
        <v>-296353.43</v>
      </c>
      <c r="DF238" s="1">
        <v>92570020.519999996</v>
      </c>
      <c r="DG238" s="1">
        <v>-1479.33</v>
      </c>
      <c r="DH238" s="1">
        <v>394770.09</v>
      </c>
      <c r="DI238" s="1">
        <v>0.29803809999999997</v>
      </c>
      <c r="DK238" s="1">
        <v>0</v>
      </c>
      <c r="DL238" s="1">
        <v>0</v>
      </c>
      <c r="DM238" s="1">
        <v>-296353.43</v>
      </c>
      <c r="DN238" s="1">
        <v>0</v>
      </c>
      <c r="DO238" s="1">
        <v>0</v>
      </c>
      <c r="DP238" s="1">
        <v>16777215</v>
      </c>
      <c r="DQ238" s="1">
        <v>0</v>
      </c>
      <c r="DR238" s="1">
        <v>0</v>
      </c>
      <c r="DS238" s="1">
        <v>0</v>
      </c>
      <c r="DT238" s="1">
        <v>0</v>
      </c>
      <c r="DU238" s="1">
        <v>0</v>
      </c>
      <c r="DV238" s="1">
        <v>629659.99</v>
      </c>
      <c r="DW238" s="1">
        <v>600591.37</v>
      </c>
      <c r="DX238" s="1">
        <v>31345322.399999999</v>
      </c>
      <c r="DY238" s="1">
        <v>-1110160.2399999984</v>
      </c>
      <c r="DZ238" s="1">
        <v>92570020.519999966</v>
      </c>
      <c r="EA238" s="1">
        <v>0</v>
      </c>
      <c r="EB238" s="1">
        <v>0</v>
      </c>
      <c r="EC238" s="1" t="s">
        <v>176</v>
      </c>
      <c r="EE238" s="1">
        <v>0</v>
      </c>
      <c r="EF238" s="1">
        <v>3</v>
      </c>
      <c r="EG238" s="1">
        <v>0</v>
      </c>
      <c r="EH238" s="3">
        <v>0.64879684000000004</v>
      </c>
      <c r="EI238" s="1">
        <v>0</v>
      </c>
      <c r="EL238" s="1">
        <v>0</v>
      </c>
      <c r="EM238" s="1">
        <v>0</v>
      </c>
      <c r="EN238" s="1">
        <v>1633661.45</v>
      </c>
      <c r="EO238" s="1">
        <v>1.2333592799999999</v>
      </c>
      <c r="ER238" s="1">
        <v>90.166780391304002</v>
      </c>
      <c r="ES238" s="1">
        <v>1.0572999999999999</v>
      </c>
      <c r="ET238" s="3">
        <v>4.8407232389999999</v>
      </c>
      <c r="EU238" s="3">
        <v>3.0920977409999999</v>
      </c>
      <c r="EV238" s="3">
        <v>2.7221588905180001</v>
      </c>
      <c r="EW238" s="3">
        <v>3.1643835619999998</v>
      </c>
      <c r="EX238" s="3">
        <v>0.122030099</v>
      </c>
      <c r="EY238" s="3">
        <v>36</v>
      </c>
      <c r="EZ238" s="3">
        <v>1155</v>
      </c>
      <c r="FA238" s="1">
        <v>0</v>
      </c>
      <c r="FB238" s="1">
        <v>0</v>
      </c>
      <c r="FC238" s="3">
        <v>1.7207422590000001</v>
      </c>
      <c r="FD238" s="1">
        <v>0</v>
      </c>
      <c r="FE238" s="1">
        <v>0</v>
      </c>
    </row>
    <row r="239" spans="1:161" x14ac:dyDescent="0.3">
      <c r="A239" s="1">
        <v>16975365</v>
      </c>
      <c r="B239" s="1">
        <v>128</v>
      </c>
      <c r="C239" s="1">
        <v>9880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5000</v>
      </c>
      <c r="J239" s="3">
        <v>5000</v>
      </c>
      <c r="K239" s="1">
        <v>500000</v>
      </c>
      <c r="L239" s="1">
        <v>500000</v>
      </c>
      <c r="M239" s="1">
        <v>500000</v>
      </c>
      <c r="N239" s="3">
        <v>499670.45</v>
      </c>
      <c r="O239" s="1">
        <v>476648.43</v>
      </c>
      <c r="P239" s="1">
        <v>476332.72</v>
      </c>
      <c r="Q239" s="1">
        <v>476648.43</v>
      </c>
      <c r="R239" s="1">
        <v>476332.72</v>
      </c>
      <c r="S239" s="1">
        <v>500000</v>
      </c>
      <c r="T239" s="1">
        <v>499670.45</v>
      </c>
      <c r="U239" s="1">
        <v>500000</v>
      </c>
      <c r="V239" s="1">
        <v>499670.45</v>
      </c>
      <c r="W239" s="1">
        <v>0</v>
      </c>
      <c r="X239" s="1">
        <v>0</v>
      </c>
      <c r="Y239" s="1">
        <v>0</v>
      </c>
      <c r="Z239" s="1">
        <v>0</v>
      </c>
      <c r="AA239" s="1">
        <v>9898.49</v>
      </c>
      <c r="AB239" s="1">
        <v>9362.0400000000009</v>
      </c>
      <c r="AC239" s="1">
        <v>9898.49</v>
      </c>
      <c r="AD239" s="1">
        <v>9362.0400000000009</v>
      </c>
      <c r="AE239" s="3" t="s">
        <v>533</v>
      </c>
      <c r="AF239" s="3" t="s">
        <v>161</v>
      </c>
      <c r="AG239" s="1" t="s">
        <v>970</v>
      </c>
      <c r="AH239" s="3" t="s">
        <v>534</v>
      </c>
      <c r="AI239" s="1">
        <v>5</v>
      </c>
      <c r="AJ239" s="3" t="s">
        <v>162</v>
      </c>
      <c r="AK239" s="1" t="s">
        <v>163</v>
      </c>
      <c r="AL239" s="3">
        <v>95.175631961522996</v>
      </c>
      <c r="AM239" s="3">
        <v>95.137319961537997</v>
      </c>
      <c r="AN239" s="3">
        <v>475686.6</v>
      </c>
      <c r="AO239" s="3">
        <v>453726.25</v>
      </c>
      <c r="AP239" s="1" t="s">
        <v>164</v>
      </c>
      <c r="AQ239" s="1">
        <v>4</v>
      </c>
      <c r="AR239" s="1" t="s">
        <v>165</v>
      </c>
      <c r="AS239" s="3">
        <v>132534288.59999999</v>
      </c>
      <c r="AT239" s="1" t="s">
        <v>176</v>
      </c>
      <c r="AU239" s="1">
        <v>1</v>
      </c>
      <c r="AV239" s="1">
        <v>1</v>
      </c>
      <c r="AW239" s="3" t="s">
        <v>494</v>
      </c>
      <c r="AX239" s="3" t="s">
        <v>495</v>
      </c>
      <c r="AY239" s="1">
        <v>0</v>
      </c>
      <c r="BA239" s="3">
        <v>8205251.6799999997</v>
      </c>
      <c r="BB239" s="1">
        <v>1.0484</v>
      </c>
      <c r="BD239" s="1" t="s">
        <v>971</v>
      </c>
      <c r="BE239" s="1">
        <v>1</v>
      </c>
      <c r="BF239" s="1">
        <v>1</v>
      </c>
      <c r="BG239" s="1" t="s">
        <v>168</v>
      </c>
      <c r="BH239" s="1">
        <v>0</v>
      </c>
      <c r="BI239" s="1">
        <v>31345322.399999999</v>
      </c>
      <c r="BJ239" s="1">
        <v>0</v>
      </c>
      <c r="BK239" s="1">
        <v>123618989.48999999</v>
      </c>
      <c r="BL239" s="1">
        <v>132456249.91</v>
      </c>
      <c r="BM239" s="1">
        <v>596150.00000000012</v>
      </c>
      <c r="BN239" s="1">
        <v>9219855.2300000004</v>
      </c>
      <c r="BO239" s="1">
        <v>23.664660909999998</v>
      </c>
      <c r="BP239" s="1">
        <v>0.45007313999999998</v>
      </c>
      <c r="BQ239" s="1">
        <v>6.9606796500000003</v>
      </c>
      <c r="BR239" s="1">
        <v>0.34254801000000001</v>
      </c>
      <c r="BS239" s="1" t="s">
        <v>169</v>
      </c>
      <c r="BT239" s="1" t="s">
        <v>169</v>
      </c>
      <c r="BU239" s="1">
        <v>26356083.120000001</v>
      </c>
      <c r="BV239" s="1">
        <v>0</v>
      </c>
      <c r="BW239" s="1">
        <v>3638.14</v>
      </c>
      <c r="BX239" s="1">
        <v>-0.04</v>
      </c>
      <c r="BY239" s="1" t="s">
        <v>170</v>
      </c>
      <c r="BZ239" s="1">
        <v>-78038.69</v>
      </c>
      <c r="CA239" s="1" t="s">
        <v>250</v>
      </c>
      <c r="CB239" s="1" t="s">
        <v>251</v>
      </c>
      <c r="CC239" s="1">
        <v>-10668.76</v>
      </c>
      <c r="CD239" s="1">
        <v>-35606.65</v>
      </c>
      <c r="CE239" s="1">
        <v>475878.16</v>
      </c>
      <c r="CF239" s="1">
        <v>450088.11</v>
      </c>
      <c r="CG239" s="1">
        <v>0</v>
      </c>
      <c r="CH239" s="1">
        <v>1.4438757900000001</v>
      </c>
      <c r="CI239" s="1">
        <v>13.27863496</v>
      </c>
      <c r="CJ239" s="1">
        <v>17588381.91</v>
      </c>
      <c r="CK239" s="1">
        <v>1912503.72</v>
      </c>
      <c r="CL239" s="1">
        <v>6269233.6699999999</v>
      </c>
      <c r="CM239" s="1" t="s">
        <v>164</v>
      </c>
      <c r="CN239" s="1" t="s">
        <v>164</v>
      </c>
      <c r="CO239" s="1" t="s">
        <v>184</v>
      </c>
      <c r="CP239" s="1" t="s">
        <v>243</v>
      </c>
      <c r="CQ239" s="3" t="s">
        <v>252</v>
      </c>
      <c r="CR239" s="1">
        <v>0</v>
      </c>
      <c r="CS239" s="1" t="s">
        <v>243</v>
      </c>
      <c r="CT239" s="1">
        <v>0.36703605</v>
      </c>
      <c r="CV239" s="1">
        <v>0</v>
      </c>
      <c r="CW239" s="1">
        <v>-219173.26</v>
      </c>
      <c r="DA239" s="1">
        <v>1355558.46</v>
      </c>
      <c r="DB239" s="1">
        <v>0</v>
      </c>
      <c r="DC239" s="1">
        <v>2520.3126550000002</v>
      </c>
      <c r="DD239" s="1">
        <v>52555.483399999997</v>
      </c>
      <c r="DE239" s="1">
        <v>-296353.43</v>
      </c>
      <c r="DF239" s="1">
        <v>92570020.519999996</v>
      </c>
      <c r="DG239" s="1">
        <v>-191.56</v>
      </c>
      <c r="DH239" s="1">
        <v>394770.09</v>
      </c>
      <c r="DI239" s="1">
        <v>0.29803809999999997</v>
      </c>
      <c r="DK239" s="1">
        <v>0</v>
      </c>
      <c r="DL239" s="1">
        <v>0</v>
      </c>
      <c r="DM239" s="1">
        <v>-296353.43</v>
      </c>
      <c r="DN239" s="1">
        <v>0</v>
      </c>
      <c r="DO239" s="1">
        <v>0</v>
      </c>
      <c r="DP239" s="1">
        <v>16777215</v>
      </c>
      <c r="DQ239" s="1">
        <v>0</v>
      </c>
      <c r="DR239" s="1">
        <v>0</v>
      </c>
      <c r="DS239" s="1">
        <v>0</v>
      </c>
      <c r="DT239" s="1">
        <v>0</v>
      </c>
      <c r="DU239" s="1">
        <v>0</v>
      </c>
      <c r="DV239" s="1">
        <v>475686.6</v>
      </c>
      <c r="DW239" s="1">
        <v>453726.25</v>
      </c>
      <c r="DX239" s="1">
        <v>31345322.399999999</v>
      </c>
      <c r="DY239" s="1">
        <v>-1110160.2399999984</v>
      </c>
      <c r="DZ239" s="1">
        <v>92570020.519999966</v>
      </c>
      <c r="EA239" s="1">
        <v>0</v>
      </c>
      <c r="EB239" s="1">
        <v>0</v>
      </c>
      <c r="EC239" s="1" t="s">
        <v>176</v>
      </c>
      <c r="EE239" s="1">
        <v>0</v>
      </c>
      <c r="EF239" s="1">
        <v>3</v>
      </c>
      <c r="EG239" s="1">
        <v>0</v>
      </c>
      <c r="EH239" s="3">
        <v>0.49014384</v>
      </c>
      <c r="EI239" s="1">
        <v>0</v>
      </c>
      <c r="EL239" s="1">
        <v>0</v>
      </c>
      <c r="EM239" s="1">
        <v>0</v>
      </c>
      <c r="EN239" s="1">
        <v>1633661.45</v>
      </c>
      <c r="EO239" s="1">
        <v>1.2333592799999999</v>
      </c>
      <c r="ER239" s="1">
        <v>95.181340269231001</v>
      </c>
      <c r="ES239" s="1">
        <v>1.0572999999999999</v>
      </c>
      <c r="ET239" s="3">
        <v>5.3766563459999999</v>
      </c>
      <c r="EU239" s="3">
        <v>1.437492505</v>
      </c>
      <c r="EV239" s="3">
        <v>1.332405208168</v>
      </c>
      <c r="EW239" s="3">
        <v>1.452054795</v>
      </c>
      <c r="EX239" s="3">
        <v>3.333216E-2</v>
      </c>
      <c r="EY239" s="3">
        <v>17</v>
      </c>
      <c r="EZ239" s="3">
        <v>530</v>
      </c>
      <c r="FA239" s="1">
        <v>0</v>
      </c>
      <c r="FB239" s="1">
        <v>0</v>
      </c>
      <c r="FC239" s="3">
        <v>5.2625558300000002</v>
      </c>
      <c r="FD239" s="1">
        <v>0</v>
      </c>
      <c r="FE239" s="1">
        <v>0</v>
      </c>
    </row>
    <row r="240" spans="1:161" x14ac:dyDescent="0.3">
      <c r="A240" s="1">
        <v>16975392</v>
      </c>
      <c r="B240" s="1">
        <v>128</v>
      </c>
      <c r="C240" s="1">
        <v>10724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10000</v>
      </c>
      <c r="J240" s="3">
        <v>10000</v>
      </c>
      <c r="K240" s="1">
        <v>1000000</v>
      </c>
      <c r="L240" s="1">
        <v>1000000</v>
      </c>
      <c r="M240" s="1">
        <v>1000000</v>
      </c>
      <c r="N240" s="3">
        <v>934579.44</v>
      </c>
      <c r="O240" s="1">
        <v>984062.5</v>
      </c>
      <c r="P240" s="1">
        <v>919684.58</v>
      </c>
      <c r="Q240" s="1">
        <v>984062.5</v>
      </c>
      <c r="R240" s="1">
        <v>919684.58</v>
      </c>
      <c r="S240" s="1">
        <v>1000000</v>
      </c>
      <c r="T240" s="1">
        <v>934579.44</v>
      </c>
      <c r="U240" s="1">
        <v>1000000</v>
      </c>
      <c r="V240" s="1">
        <v>934579.44</v>
      </c>
      <c r="W240" s="1">
        <v>9178.08</v>
      </c>
      <c r="X240" s="1">
        <v>8680.68</v>
      </c>
      <c r="Y240" s="1">
        <v>9178.08</v>
      </c>
      <c r="Z240" s="1">
        <v>8680.68</v>
      </c>
      <c r="AA240" s="1">
        <v>2591.64</v>
      </c>
      <c r="AB240" s="1">
        <v>2451.19</v>
      </c>
      <c r="AC240" s="1">
        <v>2591.64</v>
      </c>
      <c r="AD240" s="1">
        <v>2451.19</v>
      </c>
      <c r="AE240" s="3" t="s">
        <v>957</v>
      </c>
      <c r="AF240" s="3" t="s">
        <v>161</v>
      </c>
      <c r="AG240" s="1" t="s">
        <v>970</v>
      </c>
      <c r="AH240" s="3" t="s">
        <v>958</v>
      </c>
      <c r="AI240" s="1">
        <v>5</v>
      </c>
      <c r="AJ240" s="3" t="s">
        <v>162</v>
      </c>
      <c r="AK240" s="1" t="s">
        <v>163</v>
      </c>
      <c r="AL240" s="3">
        <v>99.356539270843001</v>
      </c>
      <c r="AM240" s="3">
        <v>99.227683270491994</v>
      </c>
      <c r="AN240" s="3">
        <v>992276.83</v>
      </c>
      <c r="AO240" s="3">
        <v>946467.79</v>
      </c>
      <c r="AP240" s="1" t="s">
        <v>164</v>
      </c>
      <c r="AQ240" s="1">
        <v>4</v>
      </c>
      <c r="AR240" s="1" t="s">
        <v>165</v>
      </c>
      <c r="AS240" s="3">
        <v>132534288.59999999</v>
      </c>
      <c r="AT240" s="1" t="s">
        <v>176</v>
      </c>
      <c r="AU240" s="1">
        <v>1</v>
      </c>
      <c r="AV240" s="1">
        <v>1</v>
      </c>
      <c r="AW240" s="3" t="s">
        <v>494</v>
      </c>
      <c r="AX240" s="3" t="s">
        <v>495</v>
      </c>
      <c r="AY240" s="1">
        <v>0</v>
      </c>
      <c r="BA240" s="3">
        <v>8205251.6799999997</v>
      </c>
      <c r="BB240" s="1">
        <v>1.0484</v>
      </c>
      <c r="BD240" s="1" t="s">
        <v>971</v>
      </c>
      <c r="BE240" s="1">
        <v>1</v>
      </c>
      <c r="BF240" s="1">
        <v>1</v>
      </c>
      <c r="BG240" s="1" t="s">
        <v>168</v>
      </c>
      <c r="BH240" s="1">
        <v>0</v>
      </c>
      <c r="BI240" s="1">
        <v>31345322.399999999</v>
      </c>
      <c r="BJ240" s="1">
        <v>0</v>
      </c>
      <c r="BK240" s="1">
        <v>123618989.48999999</v>
      </c>
      <c r="BL240" s="1">
        <v>132456249.91</v>
      </c>
      <c r="BM240" s="1">
        <v>596150.00000000012</v>
      </c>
      <c r="BN240" s="1">
        <v>9219855.2300000004</v>
      </c>
      <c r="BO240" s="1">
        <v>23.664660909999998</v>
      </c>
      <c r="BP240" s="1">
        <v>0.45007313999999998</v>
      </c>
      <c r="BQ240" s="1">
        <v>6.9606796500000003</v>
      </c>
      <c r="BR240" s="1">
        <v>0.71455124999999997</v>
      </c>
      <c r="BS240" s="1" t="s">
        <v>169</v>
      </c>
      <c r="BT240" s="1" t="s">
        <v>169</v>
      </c>
      <c r="BU240" s="1">
        <v>26356083.120000001</v>
      </c>
      <c r="BV240" s="1">
        <v>0</v>
      </c>
      <c r="BW240" s="1">
        <v>6748.33</v>
      </c>
      <c r="BX240" s="1">
        <v>-0.13</v>
      </c>
      <c r="BY240" s="1" t="s">
        <v>170</v>
      </c>
      <c r="BZ240" s="1">
        <v>-78038.69</v>
      </c>
      <c r="CA240" s="1" t="s">
        <v>250</v>
      </c>
      <c r="CB240" s="1" t="s">
        <v>251</v>
      </c>
      <c r="CC240" s="1">
        <v>-2266.83</v>
      </c>
      <c r="CD240" s="1">
        <v>8903.01</v>
      </c>
      <c r="CE240" s="1">
        <v>993565.39</v>
      </c>
      <c r="CF240" s="1">
        <v>939719.46</v>
      </c>
      <c r="CG240" s="1">
        <v>0</v>
      </c>
      <c r="CH240" s="1">
        <v>1.4438757900000001</v>
      </c>
      <c r="CI240" s="1">
        <v>13.27863496</v>
      </c>
      <c r="CJ240" s="1">
        <v>17588381.91</v>
      </c>
      <c r="CK240" s="1">
        <v>1912503.72</v>
      </c>
      <c r="CL240" s="1">
        <v>6269233.6699999999</v>
      </c>
      <c r="CM240" s="1" t="s">
        <v>164</v>
      </c>
      <c r="CN240" s="1" t="s">
        <v>164</v>
      </c>
      <c r="CO240" s="1" t="s">
        <v>184</v>
      </c>
      <c r="CP240" s="1" t="s">
        <v>243</v>
      </c>
      <c r="CQ240" s="3" t="s">
        <v>252</v>
      </c>
      <c r="CR240" s="1">
        <v>0</v>
      </c>
      <c r="CS240" s="1" t="s">
        <v>243</v>
      </c>
      <c r="CT240" s="1">
        <v>0.76563300999999995</v>
      </c>
      <c r="CV240" s="1">
        <v>0</v>
      </c>
      <c r="CW240" s="1">
        <v>-219173.26</v>
      </c>
      <c r="DA240" s="1">
        <v>1355558.46</v>
      </c>
      <c r="DB240" s="1">
        <v>0</v>
      </c>
      <c r="DC240" s="1">
        <v>2520.3126550000002</v>
      </c>
      <c r="DD240" s="1">
        <v>52555.483399999997</v>
      </c>
      <c r="DE240" s="1">
        <v>-296353.43</v>
      </c>
      <c r="DF240" s="1">
        <v>92570020.519999996</v>
      </c>
      <c r="DG240" s="1">
        <v>-1288.56</v>
      </c>
      <c r="DH240" s="1">
        <v>394770.09</v>
      </c>
      <c r="DI240" s="1">
        <v>0.29803809999999997</v>
      </c>
      <c r="DK240" s="1">
        <v>0</v>
      </c>
      <c r="DL240" s="1">
        <v>0</v>
      </c>
      <c r="DM240" s="1">
        <v>-296353.43</v>
      </c>
      <c r="DN240" s="1">
        <v>0</v>
      </c>
      <c r="DO240" s="1">
        <v>0</v>
      </c>
      <c r="DP240" s="1">
        <v>16777215</v>
      </c>
      <c r="DQ240" s="1">
        <v>0</v>
      </c>
      <c r="DR240" s="1">
        <v>0</v>
      </c>
      <c r="DS240" s="1">
        <v>0</v>
      </c>
      <c r="DT240" s="1">
        <v>0</v>
      </c>
      <c r="DU240" s="1">
        <v>0</v>
      </c>
      <c r="DV240" s="1">
        <v>992276.83</v>
      </c>
      <c r="DW240" s="1">
        <v>946467.79</v>
      </c>
      <c r="DX240" s="1">
        <v>31345322.399999999</v>
      </c>
      <c r="DY240" s="1">
        <v>-1110160.2399999984</v>
      </c>
      <c r="DZ240" s="1">
        <v>92570020.519999966</v>
      </c>
      <c r="EA240" s="1">
        <v>0</v>
      </c>
      <c r="EB240" s="1">
        <v>0</v>
      </c>
      <c r="EC240" s="1" t="s">
        <v>176</v>
      </c>
      <c r="EE240" s="1">
        <v>0</v>
      </c>
      <c r="EF240" s="1">
        <v>3</v>
      </c>
      <c r="EG240" s="1">
        <v>0</v>
      </c>
      <c r="EH240" s="3">
        <v>1.0224344599999999</v>
      </c>
      <c r="EI240" s="1">
        <v>0</v>
      </c>
      <c r="EL240" s="1">
        <v>0</v>
      </c>
      <c r="EM240" s="1">
        <v>0</v>
      </c>
      <c r="EN240" s="1">
        <v>1633661.45</v>
      </c>
      <c r="EO240" s="1">
        <v>1.2333592799999999</v>
      </c>
      <c r="ER240" s="1">
        <v>99.220852669398994</v>
      </c>
      <c r="ES240" s="1">
        <v>1.0572999999999999</v>
      </c>
      <c r="ET240" s="3">
        <v>5.8667484439999997</v>
      </c>
      <c r="EU240" s="3">
        <v>0.57023377099999994</v>
      </c>
      <c r="EV240" s="3">
        <v>0.54966701839999998</v>
      </c>
      <c r="EW240" s="3">
        <v>0.57808219199999999</v>
      </c>
      <c r="EX240" s="3">
        <v>8.4801370000000004E-3</v>
      </c>
      <c r="EY240" s="3">
        <v>7</v>
      </c>
      <c r="EZ240" s="3">
        <v>211</v>
      </c>
      <c r="FA240" s="1">
        <v>0</v>
      </c>
      <c r="FB240" s="1">
        <v>0</v>
      </c>
      <c r="FC240" s="3">
        <v>7.4084449210000001</v>
      </c>
      <c r="FD240" s="1">
        <v>0</v>
      </c>
      <c r="FE240" s="1">
        <v>0</v>
      </c>
    </row>
    <row r="241" spans="1:161" x14ac:dyDescent="0.3">
      <c r="A241" s="1">
        <v>16975458</v>
      </c>
      <c r="B241" s="1">
        <v>128</v>
      </c>
      <c r="C241" s="1">
        <v>10477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20000</v>
      </c>
      <c r="J241" s="3">
        <v>20000</v>
      </c>
      <c r="K241" s="1">
        <v>2000000</v>
      </c>
      <c r="L241" s="1">
        <v>2000000</v>
      </c>
      <c r="M241" s="1">
        <v>2000000</v>
      </c>
      <c r="N241" s="3">
        <v>1844167.82</v>
      </c>
      <c r="O241" s="1">
        <v>1988125</v>
      </c>
      <c r="P241" s="1">
        <v>1833218.07</v>
      </c>
      <c r="Q241" s="1">
        <v>1988125</v>
      </c>
      <c r="R241" s="1">
        <v>1833218.07</v>
      </c>
      <c r="S241" s="1">
        <v>2000000</v>
      </c>
      <c r="T241" s="1">
        <v>1844167.82</v>
      </c>
      <c r="U241" s="1">
        <v>2000000</v>
      </c>
      <c r="V241" s="1">
        <v>1844167.82</v>
      </c>
      <c r="W241" s="1">
        <v>0</v>
      </c>
      <c r="X241" s="1">
        <v>0</v>
      </c>
      <c r="Y241" s="1">
        <v>0</v>
      </c>
      <c r="Z241" s="1">
        <v>0</v>
      </c>
      <c r="AA241" s="1">
        <v>9074.2000000000007</v>
      </c>
      <c r="AB241" s="1">
        <v>8582.42</v>
      </c>
      <c r="AC241" s="1">
        <v>9074.2000000000007</v>
      </c>
      <c r="AD241" s="1">
        <v>8582.42</v>
      </c>
      <c r="AE241" s="3" t="s">
        <v>660</v>
      </c>
      <c r="AF241" s="3" t="s">
        <v>161</v>
      </c>
      <c r="AG241" s="1" t="s">
        <v>970</v>
      </c>
      <c r="AH241" s="3" t="s">
        <v>661</v>
      </c>
      <c r="AI241" s="1">
        <v>5</v>
      </c>
      <c r="AJ241" s="3" t="s">
        <v>162</v>
      </c>
      <c r="AK241" s="1" t="s">
        <v>163</v>
      </c>
      <c r="AL241" s="3">
        <v>0</v>
      </c>
      <c r="AM241" s="3">
        <v>0</v>
      </c>
      <c r="AN241" s="3">
        <v>1844687.5</v>
      </c>
      <c r="AO241" s="3">
        <v>1759526.42</v>
      </c>
      <c r="AP241" s="1" t="s">
        <v>164</v>
      </c>
      <c r="AQ241" s="1">
        <v>4</v>
      </c>
      <c r="AR241" s="1" t="s">
        <v>165</v>
      </c>
      <c r="AS241" s="3">
        <v>132534288.59999999</v>
      </c>
      <c r="AT241" s="1" t="s">
        <v>176</v>
      </c>
      <c r="AU241" s="1">
        <v>1</v>
      </c>
      <c r="AV241" s="1">
        <v>1</v>
      </c>
      <c r="AW241" s="3" t="s">
        <v>494</v>
      </c>
      <c r="AX241" s="3" t="s">
        <v>495</v>
      </c>
      <c r="AY241" s="1">
        <v>0</v>
      </c>
      <c r="BA241" s="3">
        <v>8205251.6799999997</v>
      </c>
      <c r="BB241" s="1">
        <v>1.0484</v>
      </c>
      <c r="BD241" s="1" t="s">
        <v>971</v>
      </c>
      <c r="BE241" s="1">
        <v>1</v>
      </c>
      <c r="BF241" s="1">
        <v>1</v>
      </c>
      <c r="BG241" s="1" t="s">
        <v>168</v>
      </c>
      <c r="BH241" s="1">
        <v>0</v>
      </c>
      <c r="BI241" s="1">
        <v>31345322.399999999</v>
      </c>
      <c r="BJ241" s="1">
        <v>0</v>
      </c>
      <c r="BK241" s="1">
        <v>123618989.48999999</v>
      </c>
      <c r="BL241" s="1">
        <v>132456249.91</v>
      </c>
      <c r="BM241" s="1">
        <v>596150.00000000012</v>
      </c>
      <c r="BN241" s="1">
        <v>9219855.2300000004</v>
      </c>
      <c r="BO241" s="1">
        <v>23.664660909999998</v>
      </c>
      <c r="BP241" s="1">
        <v>0.45007313999999998</v>
      </c>
      <c r="BQ241" s="1">
        <v>6.9606796500000003</v>
      </c>
      <c r="BR241" s="1">
        <v>1.32838309</v>
      </c>
      <c r="BS241" s="1" t="s">
        <v>169</v>
      </c>
      <c r="BT241" s="1" t="s">
        <v>169</v>
      </c>
      <c r="BU241" s="1">
        <v>26356083.120000001</v>
      </c>
      <c r="BV241" s="1">
        <v>0</v>
      </c>
      <c r="BW241" s="1">
        <v>14811.11</v>
      </c>
      <c r="BX241" s="1">
        <v>0</v>
      </c>
      <c r="BY241" s="1" t="s">
        <v>170</v>
      </c>
      <c r="BZ241" s="1">
        <v>-78038.69</v>
      </c>
      <c r="CA241" s="1" t="s">
        <v>250</v>
      </c>
      <c r="CB241" s="1" t="s">
        <v>251</v>
      </c>
      <c r="CC241" s="1">
        <v>-152511.70000000001</v>
      </c>
      <c r="CD241" s="1">
        <v>-97085.18</v>
      </c>
      <c r="CE241" s="1">
        <v>1844687.5</v>
      </c>
      <c r="CF241" s="1">
        <v>1744715.31</v>
      </c>
      <c r="CG241" s="1">
        <v>0</v>
      </c>
      <c r="CH241" s="1">
        <v>1.4438757900000001</v>
      </c>
      <c r="CI241" s="1">
        <v>13.27863496</v>
      </c>
      <c r="CJ241" s="1">
        <v>17588381.91</v>
      </c>
      <c r="CK241" s="1">
        <v>1912503.72</v>
      </c>
      <c r="CL241" s="1">
        <v>6269233.6699999999</v>
      </c>
      <c r="CM241" s="1" t="s">
        <v>164</v>
      </c>
      <c r="CN241" s="1" t="s">
        <v>164</v>
      </c>
      <c r="CO241" s="1" t="s">
        <v>184</v>
      </c>
      <c r="CP241" s="1" t="s">
        <v>243</v>
      </c>
      <c r="CQ241" s="3" t="s">
        <v>252</v>
      </c>
      <c r="CR241" s="1">
        <v>0</v>
      </c>
      <c r="CS241" s="1" t="s">
        <v>243</v>
      </c>
      <c r="CT241" s="1">
        <v>1.4233463900000001</v>
      </c>
      <c r="CV241" s="1">
        <v>0</v>
      </c>
      <c r="CW241" s="1">
        <v>-219173.26</v>
      </c>
      <c r="DA241" s="1">
        <v>1355558.46</v>
      </c>
      <c r="DB241" s="1">
        <v>0</v>
      </c>
      <c r="DC241" s="1">
        <v>2520.3126550000002</v>
      </c>
      <c r="DD241" s="1">
        <v>52555.483399999997</v>
      </c>
      <c r="DE241" s="1">
        <v>-296353.43</v>
      </c>
      <c r="DF241" s="1">
        <v>92570020.519999996</v>
      </c>
      <c r="DG241" s="1">
        <v>0</v>
      </c>
      <c r="DH241" s="1">
        <v>394770.09</v>
      </c>
      <c r="DI241" s="1">
        <v>0.29803809999999997</v>
      </c>
      <c r="DK241" s="1">
        <v>0</v>
      </c>
      <c r="DL241" s="1">
        <v>0</v>
      </c>
      <c r="DM241" s="1">
        <v>-296353.43</v>
      </c>
      <c r="DN241" s="1">
        <v>0</v>
      </c>
      <c r="DO241" s="1">
        <v>0</v>
      </c>
      <c r="DP241" s="1">
        <v>16777215</v>
      </c>
      <c r="DQ241" s="1">
        <v>0</v>
      </c>
      <c r="DR241" s="1">
        <v>0</v>
      </c>
      <c r="DS241" s="1">
        <v>0</v>
      </c>
      <c r="DT241" s="1">
        <v>0</v>
      </c>
      <c r="DU241" s="1">
        <v>0</v>
      </c>
      <c r="DV241" s="1">
        <v>1844687.5</v>
      </c>
      <c r="DW241" s="1">
        <v>1759526.42</v>
      </c>
      <c r="DX241" s="1">
        <v>31345322.399999999</v>
      </c>
      <c r="DY241" s="1">
        <v>-1110160.2399999984</v>
      </c>
      <c r="DZ241" s="1">
        <v>92570020.519999966</v>
      </c>
      <c r="EA241" s="1">
        <v>0</v>
      </c>
      <c r="EB241" s="1">
        <v>0</v>
      </c>
      <c r="EC241" s="1" t="s">
        <v>176</v>
      </c>
      <c r="EE241" s="1">
        <v>0</v>
      </c>
      <c r="EF241" s="1">
        <v>3</v>
      </c>
      <c r="EG241" s="1">
        <v>0</v>
      </c>
      <c r="EH241" s="3">
        <v>1.9007518999999999</v>
      </c>
      <c r="EI241" s="1">
        <v>0</v>
      </c>
      <c r="EL241" s="1">
        <v>0</v>
      </c>
      <c r="EM241" s="1">
        <v>0</v>
      </c>
      <c r="EN241" s="1">
        <v>1633661.45</v>
      </c>
      <c r="EO241" s="1">
        <v>1.2333592799999999</v>
      </c>
      <c r="ER241" s="1">
        <v>0</v>
      </c>
      <c r="ES241" s="1">
        <v>1.0572999999999999</v>
      </c>
      <c r="ET241" s="3">
        <v>4.6401924890000004</v>
      </c>
      <c r="EU241" s="3">
        <v>7.9625920700000004</v>
      </c>
      <c r="EV241" s="3">
        <v>0</v>
      </c>
      <c r="EW241" s="3">
        <v>9.3808219180000005</v>
      </c>
      <c r="EX241" s="3">
        <v>0.74853692699999996</v>
      </c>
      <c r="EY241" s="3">
        <v>93</v>
      </c>
      <c r="EZ241" s="3">
        <v>3424</v>
      </c>
      <c r="FA241" s="1">
        <v>0</v>
      </c>
      <c r="FB241" s="1">
        <v>0</v>
      </c>
      <c r="FC241" s="3">
        <v>3.6646871490000001</v>
      </c>
      <c r="FD241" s="1">
        <v>0</v>
      </c>
      <c r="FE241" s="1">
        <v>0</v>
      </c>
    </row>
    <row r="242" spans="1:161" x14ac:dyDescent="0.3">
      <c r="A242" s="1">
        <v>16975418</v>
      </c>
      <c r="B242" s="1">
        <v>128</v>
      </c>
      <c r="C242" s="1">
        <v>10735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14000</v>
      </c>
      <c r="J242" s="3">
        <v>14000</v>
      </c>
      <c r="K242" s="1">
        <v>1400000</v>
      </c>
      <c r="L242" s="1">
        <v>1400000</v>
      </c>
      <c r="M242" s="1">
        <v>1400000</v>
      </c>
      <c r="N242" s="3">
        <v>1287593.1200000001</v>
      </c>
      <c r="O242" s="1">
        <v>1371125</v>
      </c>
      <c r="P242" s="1">
        <v>1261036.51</v>
      </c>
      <c r="Q242" s="1">
        <v>1371125</v>
      </c>
      <c r="R242" s="1">
        <v>1261036.51</v>
      </c>
      <c r="S242" s="1">
        <v>1400000</v>
      </c>
      <c r="T242" s="1">
        <v>1287593.1200000001</v>
      </c>
      <c r="U242" s="1">
        <v>1400000</v>
      </c>
      <c r="V242" s="1">
        <v>1287593.1200000001</v>
      </c>
      <c r="W242" s="1">
        <v>3195.65</v>
      </c>
      <c r="X242" s="1">
        <v>3022.46</v>
      </c>
      <c r="Y242" s="1">
        <v>3195.65</v>
      </c>
      <c r="Z242" s="1">
        <v>3022.46</v>
      </c>
      <c r="AA242" s="1">
        <v>6486.82</v>
      </c>
      <c r="AB242" s="1">
        <v>6135.27</v>
      </c>
      <c r="AC242" s="1">
        <v>6486.82</v>
      </c>
      <c r="AD242" s="1">
        <v>6135.27</v>
      </c>
      <c r="AE242" s="3" t="s">
        <v>772</v>
      </c>
      <c r="AF242" s="3" t="s">
        <v>161</v>
      </c>
      <c r="AG242" s="1" t="s">
        <v>970</v>
      </c>
      <c r="AH242" s="3" t="s">
        <v>773</v>
      </c>
      <c r="AI242" s="1">
        <v>5</v>
      </c>
      <c r="AJ242" s="3" t="s">
        <v>162</v>
      </c>
      <c r="AK242" s="1" t="s">
        <v>163</v>
      </c>
      <c r="AL242" s="3">
        <v>97.022418243312003</v>
      </c>
      <c r="AM242" s="3">
        <v>96.422214673913004</v>
      </c>
      <c r="AN242" s="3">
        <v>1349911.01</v>
      </c>
      <c r="AO242" s="3">
        <v>1287591.58</v>
      </c>
      <c r="AP242" s="1" t="s">
        <v>164</v>
      </c>
      <c r="AQ242" s="1">
        <v>4</v>
      </c>
      <c r="AR242" s="1" t="s">
        <v>165</v>
      </c>
      <c r="AS242" s="3">
        <v>132534288.59999999</v>
      </c>
      <c r="AT242" s="1" t="s">
        <v>176</v>
      </c>
      <c r="AU242" s="1">
        <v>1</v>
      </c>
      <c r="AV242" s="1">
        <v>1</v>
      </c>
      <c r="AW242" s="3" t="s">
        <v>494</v>
      </c>
      <c r="AX242" s="3" t="s">
        <v>495</v>
      </c>
      <c r="AY242" s="1">
        <v>0</v>
      </c>
      <c r="BA242" s="3">
        <v>8205251.6799999997</v>
      </c>
      <c r="BB242" s="1">
        <v>1.0484</v>
      </c>
      <c r="BD242" s="1" t="s">
        <v>971</v>
      </c>
      <c r="BE242" s="1">
        <v>1</v>
      </c>
      <c r="BF242" s="1">
        <v>1</v>
      </c>
      <c r="BG242" s="1" t="s">
        <v>168</v>
      </c>
      <c r="BH242" s="1">
        <v>0</v>
      </c>
      <c r="BI242" s="1">
        <v>31345322.399999999</v>
      </c>
      <c r="BJ242" s="1">
        <v>0</v>
      </c>
      <c r="BK242" s="1">
        <v>123618989.48999999</v>
      </c>
      <c r="BL242" s="1">
        <v>132456249.91</v>
      </c>
      <c r="BM242" s="1">
        <v>596150.00000000012</v>
      </c>
      <c r="BN242" s="1">
        <v>9219855.2300000004</v>
      </c>
      <c r="BO242" s="1">
        <v>23.664660909999998</v>
      </c>
      <c r="BP242" s="1">
        <v>0.45007313999999998</v>
      </c>
      <c r="BQ242" s="1">
        <v>6.9606796500000003</v>
      </c>
      <c r="BR242" s="1">
        <v>0.97208819999999996</v>
      </c>
      <c r="BS242" s="1" t="s">
        <v>169</v>
      </c>
      <c r="BT242" s="1" t="s">
        <v>169</v>
      </c>
      <c r="BU242" s="1">
        <v>26356083.120000001</v>
      </c>
      <c r="BV242" s="1">
        <v>0</v>
      </c>
      <c r="BW242" s="1">
        <v>2891.06</v>
      </c>
      <c r="BX242" s="1">
        <v>-0.62</v>
      </c>
      <c r="BY242" s="1" t="s">
        <v>170</v>
      </c>
      <c r="BZ242" s="1">
        <v>-78038.69</v>
      </c>
      <c r="CA242" s="1" t="s">
        <v>250</v>
      </c>
      <c r="CB242" s="1" t="s">
        <v>251</v>
      </c>
      <c r="CC242" s="1">
        <v>-22493.61</v>
      </c>
      <c r="CD242" s="1">
        <v>14506.28</v>
      </c>
      <c r="CE242" s="1">
        <v>1358313.86</v>
      </c>
      <c r="CF242" s="1">
        <v>1284700.52</v>
      </c>
      <c r="CG242" s="1">
        <v>0</v>
      </c>
      <c r="CH242" s="1">
        <v>1.4438757900000001</v>
      </c>
      <c r="CI242" s="1">
        <v>13.27863496</v>
      </c>
      <c r="CJ242" s="1">
        <v>17588381.91</v>
      </c>
      <c r="CK242" s="1">
        <v>1912503.72</v>
      </c>
      <c r="CL242" s="1">
        <v>6269233.6699999999</v>
      </c>
      <c r="CM242" s="1" t="s">
        <v>164</v>
      </c>
      <c r="CN242" s="1" t="s">
        <v>164</v>
      </c>
      <c r="CO242" s="1" t="s">
        <v>184</v>
      </c>
      <c r="CP242" s="1" t="s">
        <v>243</v>
      </c>
      <c r="CQ242" s="3" t="s">
        <v>252</v>
      </c>
      <c r="CR242" s="1">
        <v>0</v>
      </c>
      <c r="CS242" s="1" t="s">
        <v>243</v>
      </c>
      <c r="CT242" s="1">
        <v>1.0415807399999999</v>
      </c>
      <c r="CV242" s="1">
        <v>0</v>
      </c>
      <c r="CW242" s="1">
        <v>-219173.26</v>
      </c>
      <c r="DA242" s="1">
        <v>1355558.46</v>
      </c>
      <c r="DB242" s="1">
        <v>0</v>
      </c>
      <c r="DC242" s="1">
        <v>2520.3126550000002</v>
      </c>
      <c r="DD242" s="1">
        <v>52555.483399999997</v>
      </c>
      <c r="DE242" s="1">
        <v>-296353.43</v>
      </c>
      <c r="DF242" s="1">
        <v>92570020.519999996</v>
      </c>
      <c r="DG242" s="1">
        <v>-8402.85</v>
      </c>
      <c r="DH242" s="1">
        <v>394770.09</v>
      </c>
      <c r="DI242" s="1">
        <v>0.29803809999999997</v>
      </c>
      <c r="DK242" s="1">
        <v>0</v>
      </c>
      <c r="DL242" s="1">
        <v>0</v>
      </c>
      <c r="DM242" s="1">
        <v>-296353.43</v>
      </c>
      <c r="DN242" s="1">
        <v>0</v>
      </c>
      <c r="DO242" s="1">
        <v>0</v>
      </c>
      <c r="DP242" s="1">
        <v>16777215</v>
      </c>
      <c r="DQ242" s="1">
        <v>0</v>
      </c>
      <c r="DR242" s="1">
        <v>0</v>
      </c>
      <c r="DS242" s="1">
        <v>0</v>
      </c>
      <c r="DT242" s="1">
        <v>0</v>
      </c>
      <c r="DU242" s="1">
        <v>0</v>
      </c>
      <c r="DV242" s="1">
        <v>1349911.01</v>
      </c>
      <c r="DW242" s="1">
        <v>1287591.58</v>
      </c>
      <c r="DX242" s="1">
        <v>31345322.399999999</v>
      </c>
      <c r="DY242" s="1">
        <v>-1110160.2399999984</v>
      </c>
      <c r="DZ242" s="1">
        <v>92570020.519999966</v>
      </c>
      <c r="EA242" s="1">
        <v>0</v>
      </c>
      <c r="EB242" s="1">
        <v>0</v>
      </c>
      <c r="EC242" s="1" t="s">
        <v>176</v>
      </c>
      <c r="EE242" s="1">
        <v>0</v>
      </c>
      <c r="EF242" s="1">
        <v>3</v>
      </c>
      <c r="EG242" s="1">
        <v>0</v>
      </c>
      <c r="EH242" s="3">
        <v>1.3909379900000001</v>
      </c>
      <c r="EI242" s="1">
        <v>0</v>
      </c>
      <c r="EL242" s="1">
        <v>0</v>
      </c>
      <c r="EM242" s="1">
        <v>0</v>
      </c>
      <c r="EN242" s="1">
        <v>1633661.45</v>
      </c>
      <c r="EO242" s="1">
        <v>1.2333592799999999</v>
      </c>
      <c r="ER242" s="1">
        <v>97.020720108695997</v>
      </c>
      <c r="ES242" s="1">
        <v>1.0572999999999999</v>
      </c>
      <c r="ET242" s="3">
        <v>4.6851226739999996</v>
      </c>
      <c r="EU242" s="3">
        <v>5.9831004830000003</v>
      </c>
      <c r="EV242" s="3">
        <v>5.671977619353</v>
      </c>
      <c r="EW242" s="3">
        <v>6.832876712</v>
      </c>
      <c r="EX242" s="3">
        <v>0.42927074300000001</v>
      </c>
      <c r="EY242" s="3">
        <v>70</v>
      </c>
      <c r="EZ242" s="3">
        <v>2494</v>
      </c>
      <c r="FA242" s="1">
        <v>0</v>
      </c>
      <c r="FB242" s="1">
        <v>0</v>
      </c>
      <c r="FC242" s="3">
        <v>4.5207637629999997</v>
      </c>
      <c r="FD242" s="1">
        <v>0</v>
      </c>
      <c r="FE242" s="1">
        <v>0</v>
      </c>
    </row>
    <row r="243" spans="1:161" x14ac:dyDescent="0.3">
      <c r="A243" s="1">
        <v>16975405</v>
      </c>
      <c r="B243" s="1">
        <v>128</v>
      </c>
      <c r="C243" s="1">
        <v>7068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300</v>
      </c>
      <c r="J243" s="3">
        <v>300</v>
      </c>
      <c r="K243" s="1">
        <v>300000</v>
      </c>
      <c r="L243" s="1">
        <v>300000</v>
      </c>
      <c r="M243" s="1">
        <v>300000</v>
      </c>
      <c r="N243" s="3">
        <v>300000</v>
      </c>
      <c r="O243" s="1">
        <v>335055</v>
      </c>
      <c r="P243" s="1">
        <v>335055</v>
      </c>
      <c r="Q243" s="1">
        <v>335055</v>
      </c>
      <c r="R243" s="1">
        <v>335055</v>
      </c>
      <c r="S243" s="1">
        <v>300000</v>
      </c>
      <c r="T243" s="1">
        <v>300000</v>
      </c>
      <c r="U243" s="1">
        <v>300000</v>
      </c>
      <c r="V243" s="1">
        <v>300000</v>
      </c>
      <c r="W243" s="1">
        <v>0</v>
      </c>
      <c r="X243" s="1">
        <v>0</v>
      </c>
      <c r="Y243" s="1">
        <v>0</v>
      </c>
      <c r="Z243" s="1">
        <v>0</v>
      </c>
      <c r="AA243" s="1">
        <v>-13175.13</v>
      </c>
      <c r="AB243" s="1">
        <v>-13175.13</v>
      </c>
      <c r="AC243" s="1">
        <v>-13175.13</v>
      </c>
      <c r="AD243" s="1">
        <v>-13175.13</v>
      </c>
      <c r="AE243" s="3" t="s">
        <v>535</v>
      </c>
      <c r="AF243" s="3" t="s">
        <v>161</v>
      </c>
      <c r="AG243" s="1" t="s">
        <v>970</v>
      </c>
      <c r="AH243" s="3" t="s">
        <v>536</v>
      </c>
      <c r="AI243" s="1">
        <v>4</v>
      </c>
      <c r="AJ243" s="3" t="s">
        <v>165</v>
      </c>
      <c r="AK243" s="1" t="s">
        <v>217</v>
      </c>
      <c r="AL243" s="3">
        <v>0</v>
      </c>
      <c r="AM243" s="3">
        <v>0</v>
      </c>
      <c r="AN243" s="3">
        <v>271738.83</v>
      </c>
      <c r="AO243" s="3">
        <v>271738.83</v>
      </c>
      <c r="AP243" s="1" t="s">
        <v>164</v>
      </c>
      <c r="AQ243" s="1">
        <v>4</v>
      </c>
      <c r="AR243" s="1" t="s">
        <v>165</v>
      </c>
      <c r="AS243" s="3">
        <v>132534288.59999999</v>
      </c>
      <c r="AT243" s="1" t="s">
        <v>176</v>
      </c>
      <c r="AU243" s="1">
        <v>1</v>
      </c>
      <c r="AV243" s="1">
        <v>1</v>
      </c>
      <c r="AW243" s="3" t="s">
        <v>494</v>
      </c>
      <c r="AX243" s="3" t="s">
        <v>495</v>
      </c>
      <c r="AY243" s="1">
        <v>0</v>
      </c>
      <c r="BA243" s="3">
        <v>8205251.6799999997</v>
      </c>
      <c r="BB243" s="1">
        <v>1</v>
      </c>
      <c r="BD243" s="1" t="s">
        <v>971</v>
      </c>
      <c r="BE243" s="1">
        <v>1</v>
      </c>
      <c r="BF243" s="1">
        <v>1</v>
      </c>
      <c r="BG243" s="1" t="s">
        <v>168</v>
      </c>
      <c r="BH243" s="1">
        <v>0</v>
      </c>
      <c r="BI243" s="1">
        <v>31345322.399999999</v>
      </c>
      <c r="BJ243" s="1">
        <v>0</v>
      </c>
      <c r="BK243" s="1">
        <v>123618989.48999999</v>
      </c>
      <c r="BL243" s="1">
        <v>132456249.91</v>
      </c>
      <c r="BM243" s="1">
        <v>596150.00000000012</v>
      </c>
      <c r="BN243" s="1">
        <v>9219855.2300000004</v>
      </c>
      <c r="BO243" s="1">
        <v>23.664660909999998</v>
      </c>
      <c r="BP243" s="1">
        <v>0.45007313999999998</v>
      </c>
      <c r="BQ243" s="1">
        <v>6.9606796500000003</v>
      </c>
      <c r="BR243" s="1">
        <v>0.20515364999999999</v>
      </c>
      <c r="BS243" s="1" t="s">
        <v>169</v>
      </c>
      <c r="BT243" s="1" t="s">
        <v>169</v>
      </c>
      <c r="BU243" s="1">
        <v>26356083.120000001</v>
      </c>
      <c r="BV243" s="1">
        <v>0</v>
      </c>
      <c r="BW243" s="1">
        <v>0</v>
      </c>
      <c r="BX243" s="1">
        <v>0</v>
      </c>
      <c r="BY243" s="1" t="s">
        <v>170</v>
      </c>
      <c r="BZ243" s="1">
        <v>-78038.69</v>
      </c>
      <c r="CA243" s="1" t="s">
        <v>250</v>
      </c>
      <c r="CB243" s="1" t="s">
        <v>251</v>
      </c>
      <c r="CC243" s="1">
        <v>-50141.04</v>
      </c>
      <c r="CD243" s="1">
        <v>-50141.04</v>
      </c>
      <c r="CE243" s="1">
        <v>271738.83</v>
      </c>
      <c r="CF243" s="1">
        <v>271738.83</v>
      </c>
      <c r="CG243" s="1">
        <v>0</v>
      </c>
      <c r="CH243" s="1">
        <v>1.4438757900000001</v>
      </c>
      <c r="CI243" s="1">
        <v>13.27863496</v>
      </c>
      <c r="CJ243" s="1">
        <v>17588381.91</v>
      </c>
      <c r="CK243" s="1">
        <v>1912503.72</v>
      </c>
      <c r="CL243" s="1">
        <v>6269233.6699999999</v>
      </c>
      <c r="CM243" s="1" t="s">
        <v>164</v>
      </c>
      <c r="CN243" s="1" t="s">
        <v>164</v>
      </c>
      <c r="CO243" s="1" t="s">
        <v>184</v>
      </c>
      <c r="CP243" s="1" t="s">
        <v>243</v>
      </c>
      <c r="CQ243" s="3" t="s">
        <v>252</v>
      </c>
      <c r="CR243" s="1">
        <v>0</v>
      </c>
      <c r="CS243" s="1" t="s">
        <v>243</v>
      </c>
      <c r="CT243" s="1">
        <v>0.21981965000000001</v>
      </c>
      <c r="CV243" s="1">
        <v>0</v>
      </c>
      <c r="CW243" s="1">
        <v>-219173.26</v>
      </c>
      <c r="DA243" s="1">
        <v>1355558.46</v>
      </c>
      <c r="DB243" s="1">
        <v>0</v>
      </c>
      <c r="DC243" s="1">
        <v>2520.3126550000002</v>
      </c>
      <c r="DD243" s="1">
        <v>52555.483399999997</v>
      </c>
      <c r="DE243" s="1">
        <v>-296353.43</v>
      </c>
      <c r="DF243" s="1">
        <v>92570020.519999996</v>
      </c>
      <c r="DG243" s="1">
        <v>0</v>
      </c>
      <c r="DH243" s="1">
        <v>394770.09</v>
      </c>
      <c r="DI243" s="1">
        <v>0.29803809999999997</v>
      </c>
      <c r="DK243" s="1">
        <v>0</v>
      </c>
      <c r="DL243" s="1">
        <v>0</v>
      </c>
      <c r="DM243" s="1">
        <v>-296353.43</v>
      </c>
      <c r="DN243" s="1">
        <v>0</v>
      </c>
      <c r="DO243" s="1">
        <v>0</v>
      </c>
      <c r="DP243" s="1">
        <v>16777215</v>
      </c>
      <c r="DQ243" s="1">
        <v>0</v>
      </c>
      <c r="DR243" s="1">
        <v>0</v>
      </c>
      <c r="DS243" s="1">
        <v>0</v>
      </c>
      <c r="DT243" s="1">
        <v>0</v>
      </c>
      <c r="DU243" s="1">
        <v>0</v>
      </c>
      <c r="DV243" s="1">
        <v>271738.83</v>
      </c>
      <c r="DW243" s="1">
        <v>271738.83</v>
      </c>
      <c r="DX243" s="1">
        <v>31345322.399999999</v>
      </c>
      <c r="DY243" s="1">
        <v>-1110160.2399999984</v>
      </c>
      <c r="DZ243" s="1">
        <v>92570020.519999966</v>
      </c>
      <c r="EA243" s="1">
        <v>0</v>
      </c>
      <c r="EB243" s="1">
        <v>0</v>
      </c>
      <c r="EC243" s="1" t="s">
        <v>176</v>
      </c>
      <c r="EE243" s="1">
        <v>0</v>
      </c>
      <c r="EF243" s="1">
        <v>3</v>
      </c>
      <c r="EG243" s="1">
        <v>0</v>
      </c>
      <c r="EH243" s="3">
        <v>0.29354950000000002</v>
      </c>
      <c r="EI243" s="1">
        <v>0</v>
      </c>
      <c r="EL243" s="1">
        <v>0</v>
      </c>
      <c r="EM243" s="1">
        <v>0</v>
      </c>
      <c r="EN243" s="1">
        <v>1633661.45</v>
      </c>
      <c r="EO243" s="1">
        <v>1.2333592799999999</v>
      </c>
      <c r="ER243" s="1">
        <v>0</v>
      </c>
      <c r="ES243" s="1">
        <v>1</v>
      </c>
      <c r="ET243" s="3">
        <v>5.4738842280000002</v>
      </c>
      <c r="EU243" s="3">
        <v>4.356412154</v>
      </c>
      <c r="EV243" s="3">
        <v>0</v>
      </c>
      <c r="EW243" s="3">
        <v>4.6520547949999997</v>
      </c>
      <c r="EX243" s="3">
        <v>0.21698152500000001</v>
      </c>
      <c r="EY243" s="3">
        <v>50</v>
      </c>
      <c r="EZ243" s="3">
        <v>1698</v>
      </c>
      <c r="FA243" s="1">
        <v>0</v>
      </c>
      <c r="FB243" s="1">
        <v>0</v>
      </c>
      <c r="FC243" s="3">
        <v>0.54308344099999994</v>
      </c>
      <c r="FD243" s="1">
        <v>0</v>
      </c>
      <c r="FE243" s="1">
        <v>0</v>
      </c>
    </row>
    <row r="244" spans="1:161" x14ac:dyDescent="0.3">
      <c r="A244" s="1">
        <v>16975604</v>
      </c>
      <c r="B244" s="1">
        <v>128</v>
      </c>
      <c r="C244" s="1">
        <v>6232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200</v>
      </c>
      <c r="J244" s="3">
        <v>200</v>
      </c>
      <c r="K244" s="1">
        <v>200000</v>
      </c>
      <c r="L244" s="1">
        <v>200000</v>
      </c>
      <c r="M244" s="1">
        <v>200000</v>
      </c>
      <c r="N244" s="3">
        <v>200000</v>
      </c>
      <c r="O244" s="1">
        <v>209252</v>
      </c>
      <c r="P244" s="1">
        <v>209252</v>
      </c>
      <c r="Q244" s="1">
        <v>209252</v>
      </c>
      <c r="R244" s="1">
        <v>209252</v>
      </c>
      <c r="S244" s="1">
        <v>200000</v>
      </c>
      <c r="T244" s="1">
        <v>200000</v>
      </c>
      <c r="U244" s="1">
        <v>200000</v>
      </c>
      <c r="V244" s="1">
        <v>200000</v>
      </c>
      <c r="W244" s="1">
        <v>0</v>
      </c>
      <c r="X244" s="1">
        <v>0</v>
      </c>
      <c r="Y244" s="1">
        <v>0</v>
      </c>
      <c r="Z244" s="1">
        <v>0</v>
      </c>
      <c r="AA244" s="1">
        <v>-1669.99</v>
      </c>
      <c r="AB244" s="1">
        <v>-1669.99</v>
      </c>
      <c r="AC244" s="1">
        <v>-1669.99</v>
      </c>
      <c r="AD244" s="1">
        <v>-1669.99</v>
      </c>
      <c r="AE244" s="3" t="s">
        <v>278</v>
      </c>
      <c r="AF244" s="3" t="s">
        <v>161</v>
      </c>
      <c r="AG244" s="1" t="s">
        <v>970</v>
      </c>
      <c r="AH244" s="3" t="s">
        <v>537</v>
      </c>
      <c r="AI244" s="1">
        <v>4</v>
      </c>
      <c r="AJ244" s="3" t="s">
        <v>165</v>
      </c>
      <c r="AK244" s="1" t="s">
        <v>191</v>
      </c>
      <c r="AL244" s="3">
        <v>98.039235615928007</v>
      </c>
      <c r="AM244" s="3">
        <v>98.120335616437004</v>
      </c>
      <c r="AN244" s="3">
        <v>196240.67</v>
      </c>
      <c r="AO244" s="3">
        <v>196240.67</v>
      </c>
      <c r="AP244" s="1" t="s">
        <v>164</v>
      </c>
      <c r="AQ244" s="1">
        <v>4</v>
      </c>
      <c r="AR244" s="1" t="s">
        <v>165</v>
      </c>
      <c r="AS244" s="3">
        <v>132534288.59999999</v>
      </c>
      <c r="AT244" s="1" t="s">
        <v>176</v>
      </c>
      <c r="AU244" s="1">
        <v>1</v>
      </c>
      <c r="AV244" s="1">
        <v>1</v>
      </c>
      <c r="AW244" s="3" t="s">
        <v>494</v>
      </c>
      <c r="AX244" s="3" t="s">
        <v>495</v>
      </c>
      <c r="AY244" s="1">
        <v>0</v>
      </c>
      <c r="BA244" s="3">
        <v>8205251.6799999997</v>
      </c>
      <c r="BB244" s="1">
        <v>1</v>
      </c>
      <c r="BD244" s="1" t="s">
        <v>971</v>
      </c>
      <c r="BE244" s="1">
        <v>1</v>
      </c>
      <c r="BF244" s="1">
        <v>1</v>
      </c>
      <c r="BG244" s="1" t="s">
        <v>168</v>
      </c>
      <c r="BH244" s="1">
        <v>0</v>
      </c>
      <c r="BI244" s="1">
        <v>31345322.399999999</v>
      </c>
      <c r="BJ244" s="1">
        <v>0</v>
      </c>
      <c r="BK244" s="1">
        <v>123618989.48999999</v>
      </c>
      <c r="BL244" s="1">
        <v>132456249.91</v>
      </c>
      <c r="BM244" s="1">
        <v>596150.00000000012</v>
      </c>
      <c r="BN244" s="1">
        <v>9219855.2300000004</v>
      </c>
      <c r="BO244" s="1">
        <v>23.664660909999998</v>
      </c>
      <c r="BP244" s="1">
        <v>0.45007313999999998</v>
      </c>
      <c r="BQ244" s="1">
        <v>6.9606796500000003</v>
      </c>
      <c r="BR244" s="1">
        <v>0.14815508999999999</v>
      </c>
      <c r="BS244" s="1" t="s">
        <v>169</v>
      </c>
      <c r="BT244" s="1" t="s">
        <v>169</v>
      </c>
      <c r="BU244" s="1">
        <v>26356083.120000001</v>
      </c>
      <c r="BV244" s="1">
        <v>0</v>
      </c>
      <c r="BW244" s="1">
        <v>162.19999999999999</v>
      </c>
      <c r="BX244" s="1">
        <v>0.08</v>
      </c>
      <c r="BY244" s="1" t="s">
        <v>170</v>
      </c>
      <c r="BZ244" s="1">
        <v>-78038.69</v>
      </c>
      <c r="CA244" s="1" t="s">
        <v>250</v>
      </c>
      <c r="CB244" s="1" t="s">
        <v>251</v>
      </c>
      <c r="CC244" s="1">
        <v>-11503.54</v>
      </c>
      <c r="CD244" s="1">
        <v>-11503.54</v>
      </c>
      <c r="CE244" s="1">
        <v>196078.47</v>
      </c>
      <c r="CF244" s="1">
        <v>196078.47</v>
      </c>
      <c r="CG244" s="1">
        <v>0</v>
      </c>
      <c r="CH244" s="1">
        <v>1.4438757900000001</v>
      </c>
      <c r="CI244" s="1">
        <v>13.27863496</v>
      </c>
      <c r="CJ244" s="1">
        <v>17588381.91</v>
      </c>
      <c r="CK244" s="1">
        <v>1912503.72</v>
      </c>
      <c r="CL244" s="1">
        <v>6269233.6699999999</v>
      </c>
      <c r="CM244" s="1" t="s">
        <v>164</v>
      </c>
      <c r="CN244" s="1" t="s">
        <v>164</v>
      </c>
      <c r="CO244" s="1" t="s">
        <v>184</v>
      </c>
      <c r="CP244" s="1" t="s">
        <v>243</v>
      </c>
      <c r="CQ244" s="3" t="s">
        <v>252</v>
      </c>
      <c r="CR244" s="1">
        <v>0</v>
      </c>
      <c r="CS244" s="1" t="s">
        <v>243</v>
      </c>
      <c r="CT244" s="1">
        <v>0.15874637999999999</v>
      </c>
      <c r="CV244" s="1">
        <v>0</v>
      </c>
      <c r="CW244" s="1">
        <v>-219173.26</v>
      </c>
      <c r="DA244" s="1">
        <v>1355558.46</v>
      </c>
      <c r="DB244" s="1">
        <v>0</v>
      </c>
      <c r="DC244" s="1">
        <v>2520.3126550000002</v>
      </c>
      <c r="DD244" s="1">
        <v>52555.483399999997</v>
      </c>
      <c r="DE244" s="1">
        <v>-296353.43</v>
      </c>
      <c r="DF244" s="1">
        <v>92570020.519999996</v>
      </c>
      <c r="DG244" s="1">
        <v>162.19999999999999</v>
      </c>
      <c r="DH244" s="1">
        <v>394770.09</v>
      </c>
      <c r="DI244" s="1">
        <v>0.29803809999999997</v>
      </c>
      <c r="DK244" s="1">
        <v>0</v>
      </c>
      <c r="DL244" s="1">
        <v>0</v>
      </c>
      <c r="DM244" s="1">
        <v>-296353.43</v>
      </c>
      <c r="DN244" s="1">
        <v>0</v>
      </c>
      <c r="DO244" s="1">
        <v>0</v>
      </c>
      <c r="DP244" s="1">
        <v>16777215</v>
      </c>
      <c r="DQ244" s="1">
        <v>0</v>
      </c>
      <c r="DR244" s="1">
        <v>0</v>
      </c>
      <c r="DS244" s="1">
        <v>0</v>
      </c>
      <c r="DT244" s="1">
        <v>0</v>
      </c>
      <c r="DU244" s="1">
        <v>0</v>
      </c>
      <c r="DV244" s="1">
        <v>196240.67</v>
      </c>
      <c r="DW244" s="1">
        <v>196240.67</v>
      </c>
      <c r="DX244" s="1">
        <v>31345322.399999999</v>
      </c>
      <c r="DY244" s="1">
        <v>-1110160.2399999984</v>
      </c>
      <c r="DZ244" s="1">
        <v>92570020.519999966</v>
      </c>
      <c r="EA244" s="1">
        <v>0</v>
      </c>
      <c r="EB244" s="1">
        <v>0</v>
      </c>
      <c r="EC244" s="1" t="s">
        <v>176</v>
      </c>
      <c r="EE244" s="1">
        <v>0</v>
      </c>
      <c r="EF244" s="1">
        <v>3</v>
      </c>
      <c r="EG244" s="1">
        <v>0</v>
      </c>
      <c r="EH244" s="3">
        <v>0.2119916</v>
      </c>
      <c r="EI244" s="1">
        <v>0</v>
      </c>
      <c r="EL244" s="1">
        <v>0</v>
      </c>
      <c r="EM244" s="1">
        <v>0</v>
      </c>
      <c r="EN244" s="1">
        <v>1633661.45</v>
      </c>
      <c r="EO244" s="1">
        <v>1.2333592799999999</v>
      </c>
      <c r="ER244" s="1">
        <v>98.046801369863005</v>
      </c>
      <c r="ES244" s="1">
        <v>1</v>
      </c>
      <c r="ET244" s="3">
        <v>5.9430732270000002</v>
      </c>
      <c r="EU244" s="3">
        <v>1.268317632</v>
      </c>
      <c r="EV244" s="3">
        <v>1.173785913453</v>
      </c>
      <c r="EW244" s="3">
        <v>1.298630137</v>
      </c>
      <c r="EX244" s="3">
        <v>2.5871139000000001E-2</v>
      </c>
      <c r="EY244" s="3">
        <v>14</v>
      </c>
      <c r="EZ244" s="3">
        <v>474</v>
      </c>
      <c r="FA244" s="1">
        <v>0</v>
      </c>
      <c r="FB244" s="1">
        <v>0</v>
      </c>
      <c r="FC244" s="3">
        <v>0.65731347399999995</v>
      </c>
      <c r="FD244" s="1">
        <v>0</v>
      </c>
      <c r="FE244" s="1">
        <v>0</v>
      </c>
    </row>
    <row r="245" spans="1:161" x14ac:dyDescent="0.3">
      <c r="A245" s="1">
        <v>16975404</v>
      </c>
      <c r="B245" s="1">
        <v>128</v>
      </c>
      <c r="C245" s="1">
        <v>7048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300</v>
      </c>
      <c r="J245" s="3">
        <v>300</v>
      </c>
      <c r="K245" s="1">
        <v>300000</v>
      </c>
      <c r="L245" s="1">
        <v>300000</v>
      </c>
      <c r="M245" s="1">
        <v>300000</v>
      </c>
      <c r="N245" s="3">
        <v>300000</v>
      </c>
      <c r="O245" s="1">
        <v>333246</v>
      </c>
      <c r="P245" s="1">
        <v>333246</v>
      </c>
      <c r="Q245" s="1">
        <v>333246</v>
      </c>
      <c r="R245" s="1">
        <v>333246</v>
      </c>
      <c r="S245" s="1">
        <v>300000</v>
      </c>
      <c r="T245" s="1">
        <v>300000</v>
      </c>
      <c r="U245" s="1">
        <v>300000</v>
      </c>
      <c r="V245" s="1">
        <v>300000</v>
      </c>
      <c r="W245" s="1">
        <v>0</v>
      </c>
      <c r="X245" s="1">
        <v>0</v>
      </c>
      <c r="Y245" s="1">
        <v>0</v>
      </c>
      <c r="Z245" s="1">
        <v>0</v>
      </c>
      <c r="AA245" s="1">
        <v>-4069.31</v>
      </c>
      <c r="AB245" s="1">
        <v>-4069.31</v>
      </c>
      <c r="AC245" s="1">
        <v>-4069.31</v>
      </c>
      <c r="AD245" s="1">
        <v>-4069.31</v>
      </c>
      <c r="AE245" s="3" t="s">
        <v>538</v>
      </c>
      <c r="AF245" s="3" t="s">
        <v>161</v>
      </c>
      <c r="AG245" s="1" t="s">
        <v>970</v>
      </c>
      <c r="AH245" s="3" t="s">
        <v>539</v>
      </c>
      <c r="AI245" s="1">
        <v>4</v>
      </c>
      <c r="AJ245" s="3" t="s">
        <v>165</v>
      </c>
      <c r="AK245" s="1" t="s">
        <v>217</v>
      </c>
      <c r="AL245" s="3">
        <v>89.320602731177004</v>
      </c>
      <c r="AM245" s="3">
        <v>89.162669398907994</v>
      </c>
      <c r="AN245" s="3">
        <v>267488.01</v>
      </c>
      <c r="AO245" s="3">
        <v>267488.01</v>
      </c>
      <c r="AP245" s="1" t="s">
        <v>164</v>
      </c>
      <c r="AQ245" s="1">
        <v>4</v>
      </c>
      <c r="AR245" s="1" t="s">
        <v>165</v>
      </c>
      <c r="AS245" s="3">
        <v>132534288.59999999</v>
      </c>
      <c r="AT245" s="1" t="s">
        <v>176</v>
      </c>
      <c r="AU245" s="1">
        <v>1</v>
      </c>
      <c r="AV245" s="1">
        <v>1</v>
      </c>
      <c r="AW245" s="3" t="s">
        <v>494</v>
      </c>
      <c r="AX245" s="3" t="s">
        <v>495</v>
      </c>
      <c r="AY245" s="1">
        <v>0</v>
      </c>
      <c r="BA245" s="3">
        <v>8205251.6799999997</v>
      </c>
      <c r="BB245" s="1">
        <v>1</v>
      </c>
      <c r="BD245" s="1" t="s">
        <v>971</v>
      </c>
      <c r="BE245" s="1">
        <v>1</v>
      </c>
      <c r="BF245" s="1">
        <v>1</v>
      </c>
      <c r="BG245" s="1" t="s">
        <v>168</v>
      </c>
      <c r="BH245" s="1">
        <v>0</v>
      </c>
      <c r="BI245" s="1">
        <v>31345322.399999999</v>
      </c>
      <c r="BJ245" s="1">
        <v>0</v>
      </c>
      <c r="BK245" s="1">
        <v>123618989.48999999</v>
      </c>
      <c r="BL245" s="1">
        <v>132456249.91</v>
      </c>
      <c r="BM245" s="1">
        <v>596150.00000000012</v>
      </c>
      <c r="BN245" s="1">
        <v>9219855.2300000004</v>
      </c>
      <c r="BO245" s="1">
        <v>23.664660909999998</v>
      </c>
      <c r="BP245" s="1">
        <v>0.45007313999999998</v>
      </c>
      <c r="BQ245" s="1">
        <v>6.9606796500000003</v>
      </c>
      <c r="BR245" s="1">
        <v>0.20194442000000001</v>
      </c>
      <c r="BS245" s="1" t="s">
        <v>169</v>
      </c>
      <c r="BT245" s="1" t="s">
        <v>169</v>
      </c>
      <c r="BU245" s="1">
        <v>26356083.120000001</v>
      </c>
      <c r="BV245" s="1">
        <v>0</v>
      </c>
      <c r="BW245" s="1">
        <v>-473.8</v>
      </c>
      <c r="BX245" s="1">
        <v>-0.18</v>
      </c>
      <c r="BY245" s="1" t="s">
        <v>170</v>
      </c>
      <c r="BZ245" s="1">
        <v>-78038.69</v>
      </c>
      <c r="CA245" s="1" t="s">
        <v>250</v>
      </c>
      <c r="CB245" s="1" t="s">
        <v>251</v>
      </c>
      <c r="CC245" s="1">
        <v>-61214.879999999997</v>
      </c>
      <c r="CD245" s="1">
        <v>-61214.879999999997</v>
      </c>
      <c r="CE245" s="1">
        <v>267961.81</v>
      </c>
      <c r="CF245" s="1">
        <v>267961.81</v>
      </c>
      <c r="CG245" s="1">
        <v>0</v>
      </c>
      <c r="CH245" s="1">
        <v>1.4438757900000001</v>
      </c>
      <c r="CI245" s="1">
        <v>13.27863496</v>
      </c>
      <c r="CJ245" s="1">
        <v>17588381.91</v>
      </c>
      <c r="CK245" s="1">
        <v>1912503.72</v>
      </c>
      <c r="CL245" s="1">
        <v>6269233.6699999999</v>
      </c>
      <c r="CM245" s="1" t="s">
        <v>164</v>
      </c>
      <c r="CN245" s="1" t="s">
        <v>164</v>
      </c>
      <c r="CO245" s="1" t="s">
        <v>184</v>
      </c>
      <c r="CP245" s="1" t="s">
        <v>243</v>
      </c>
      <c r="CQ245" s="3" t="s">
        <v>252</v>
      </c>
      <c r="CR245" s="1">
        <v>0</v>
      </c>
      <c r="CS245" s="1" t="s">
        <v>243</v>
      </c>
      <c r="CT245" s="1">
        <v>0.21638099999999999</v>
      </c>
      <c r="CV245" s="1">
        <v>0</v>
      </c>
      <c r="CW245" s="1">
        <v>-219173.26</v>
      </c>
      <c r="DA245" s="1">
        <v>1355558.46</v>
      </c>
      <c r="DB245" s="1">
        <v>0</v>
      </c>
      <c r="DC245" s="1">
        <v>2520.3126550000002</v>
      </c>
      <c r="DD245" s="1">
        <v>52555.483399999997</v>
      </c>
      <c r="DE245" s="1">
        <v>-296353.43</v>
      </c>
      <c r="DF245" s="1">
        <v>92570020.519999996</v>
      </c>
      <c r="DG245" s="1">
        <v>-473.8</v>
      </c>
      <c r="DH245" s="1">
        <v>394770.09</v>
      </c>
      <c r="DI245" s="1">
        <v>0.29803809999999997</v>
      </c>
      <c r="DK245" s="1">
        <v>0</v>
      </c>
      <c r="DL245" s="1">
        <v>0</v>
      </c>
      <c r="DM245" s="1">
        <v>-296353.43</v>
      </c>
      <c r="DN245" s="1">
        <v>0</v>
      </c>
      <c r="DO245" s="1">
        <v>0</v>
      </c>
      <c r="DP245" s="1">
        <v>16777215</v>
      </c>
      <c r="DQ245" s="1">
        <v>0</v>
      </c>
      <c r="DR245" s="1">
        <v>0</v>
      </c>
      <c r="DS245" s="1">
        <v>0</v>
      </c>
      <c r="DT245" s="1">
        <v>0</v>
      </c>
      <c r="DU245" s="1">
        <v>0</v>
      </c>
      <c r="DV245" s="1">
        <v>267488.01</v>
      </c>
      <c r="DW245" s="1">
        <v>267488.01</v>
      </c>
      <c r="DX245" s="1">
        <v>31345322.399999999</v>
      </c>
      <c r="DY245" s="1">
        <v>-1110160.2399999984</v>
      </c>
      <c r="DZ245" s="1">
        <v>92570020.519999966</v>
      </c>
      <c r="EA245" s="1">
        <v>0</v>
      </c>
      <c r="EB245" s="1">
        <v>0</v>
      </c>
      <c r="EC245" s="1" t="s">
        <v>176</v>
      </c>
      <c r="EE245" s="1">
        <v>0</v>
      </c>
      <c r="EF245" s="1">
        <v>3</v>
      </c>
      <c r="EG245" s="1">
        <v>0</v>
      </c>
      <c r="EH245" s="3">
        <v>0.28895748999999998</v>
      </c>
      <c r="EI245" s="1">
        <v>0</v>
      </c>
      <c r="EL245" s="1">
        <v>0</v>
      </c>
      <c r="EM245" s="1">
        <v>0</v>
      </c>
      <c r="EN245" s="1">
        <v>1633661.45</v>
      </c>
      <c r="EO245" s="1">
        <v>1.2333592799999999</v>
      </c>
      <c r="ER245" s="1">
        <v>89.312814207648998</v>
      </c>
      <c r="ES245" s="1">
        <v>1</v>
      </c>
      <c r="ET245" s="3">
        <v>5.5516825580000004</v>
      </c>
      <c r="EU245" s="3">
        <v>5.0001677290000002</v>
      </c>
      <c r="EV245" s="3">
        <v>4.2309041465709996</v>
      </c>
      <c r="EW245" s="3">
        <v>5.4438356160000003</v>
      </c>
      <c r="EX245" s="3">
        <v>0.28234958700000001</v>
      </c>
      <c r="EY245" s="3">
        <v>57</v>
      </c>
      <c r="EZ245" s="3">
        <v>1987</v>
      </c>
      <c r="FA245" s="1">
        <v>0</v>
      </c>
      <c r="FB245" s="1">
        <v>0</v>
      </c>
      <c r="FC245" s="3">
        <v>1.072522626</v>
      </c>
      <c r="FD245" s="1">
        <v>0</v>
      </c>
      <c r="FE245" s="1">
        <v>0</v>
      </c>
    </row>
    <row r="246" spans="1:161" x14ac:dyDescent="0.3">
      <c r="A246" s="1">
        <v>16975452</v>
      </c>
      <c r="B246" s="1">
        <v>128</v>
      </c>
      <c r="C246" s="1">
        <v>9594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400</v>
      </c>
      <c r="J246" s="3">
        <v>400</v>
      </c>
      <c r="K246" s="1">
        <v>400000</v>
      </c>
      <c r="L246" s="1">
        <v>400000</v>
      </c>
      <c r="M246" s="1">
        <v>400000</v>
      </c>
      <c r="N246" s="3">
        <v>400000</v>
      </c>
      <c r="O246" s="1">
        <v>429602</v>
      </c>
      <c r="P246" s="1">
        <v>429602</v>
      </c>
      <c r="Q246" s="1">
        <v>429602</v>
      </c>
      <c r="R246" s="1">
        <v>429602</v>
      </c>
      <c r="S246" s="1">
        <v>400000</v>
      </c>
      <c r="T246" s="1">
        <v>400000</v>
      </c>
      <c r="U246" s="1">
        <v>400000</v>
      </c>
      <c r="V246" s="1">
        <v>400000</v>
      </c>
      <c r="W246" s="1">
        <v>0</v>
      </c>
      <c r="X246" s="1">
        <v>0</v>
      </c>
      <c r="Y246" s="1">
        <v>0</v>
      </c>
      <c r="Z246" s="1">
        <v>0</v>
      </c>
      <c r="AA246" s="1">
        <v>-6187.59</v>
      </c>
      <c r="AB246" s="1">
        <v>-6187.59</v>
      </c>
      <c r="AC246" s="1">
        <v>-6187.59</v>
      </c>
      <c r="AD246" s="1">
        <v>-6187.59</v>
      </c>
      <c r="AE246" s="3" t="s">
        <v>540</v>
      </c>
      <c r="AF246" s="3" t="s">
        <v>161</v>
      </c>
      <c r="AG246" s="1" t="s">
        <v>970</v>
      </c>
      <c r="AH246" s="3" t="s">
        <v>541</v>
      </c>
      <c r="AI246" s="1">
        <v>4</v>
      </c>
      <c r="AJ246" s="3" t="s">
        <v>165</v>
      </c>
      <c r="AK246" s="1" t="s">
        <v>217</v>
      </c>
      <c r="AL246" s="3">
        <v>96.824397500000003</v>
      </c>
      <c r="AM246" s="3">
        <v>96.721999999999994</v>
      </c>
      <c r="AN246" s="3">
        <v>386888</v>
      </c>
      <c r="AO246" s="3">
        <v>386888</v>
      </c>
      <c r="AP246" s="1" t="s">
        <v>164</v>
      </c>
      <c r="AQ246" s="1">
        <v>4</v>
      </c>
      <c r="AR246" s="1" t="s">
        <v>165</v>
      </c>
      <c r="AS246" s="3">
        <v>132534288.59999999</v>
      </c>
      <c r="AT246" s="1" t="s">
        <v>176</v>
      </c>
      <c r="AU246" s="1">
        <v>1</v>
      </c>
      <c r="AV246" s="1">
        <v>1</v>
      </c>
      <c r="AW246" s="3" t="s">
        <v>494</v>
      </c>
      <c r="AX246" s="3" t="s">
        <v>495</v>
      </c>
      <c r="AY246" s="1">
        <v>0</v>
      </c>
      <c r="BA246" s="3">
        <v>8205251.6799999997</v>
      </c>
      <c r="BB246" s="1">
        <v>1</v>
      </c>
      <c r="BD246" s="1" t="s">
        <v>971</v>
      </c>
      <c r="BE246" s="1">
        <v>1</v>
      </c>
      <c r="BF246" s="1">
        <v>1</v>
      </c>
      <c r="BG246" s="1" t="s">
        <v>168</v>
      </c>
      <c r="BH246" s="1">
        <v>0</v>
      </c>
      <c r="BI246" s="1">
        <v>31345322.399999999</v>
      </c>
      <c r="BJ246" s="1">
        <v>0</v>
      </c>
      <c r="BK246" s="1">
        <v>123618989.48999999</v>
      </c>
      <c r="BL246" s="1">
        <v>132456249.91</v>
      </c>
      <c r="BM246" s="1">
        <v>596150.00000000012</v>
      </c>
      <c r="BN246" s="1">
        <v>9219855.2300000004</v>
      </c>
      <c r="BO246" s="1">
        <v>23.664660909999998</v>
      </c>
      <c r="BP246" s="1">
        <v>0.45007313999999998</v>
      </c>
      <c r="BQ246" s="1">
        <v>6.9606796500000003</v>
      </c>
      <c r="BR246" s="1">
        <v>0.29208739</v>
      </c>
      <c r="BS246" s="1" t="s">
        <v>169</v>
      </c>
      <c r="BT246" s="1" t="s">
        <v>169</v>
      </c>
      <c r="BU246" s="1">
        <v>26356083.120000001</v>
      </c>
      <c r="BV246" s="1">
        <v>0</v>
      </c>
      <c r="BW246" s="1">
        <v>-409.59</v>
      </c>
      <c r="BX246" s="1">
        <v>-0.1</v>
      </c>
      <c r="BY246" s="1" t="s">
        <v>170</v>
      </c>
      <c r="BZ246" s="1">
        <v>-78038.69</v>
      </c>
      <c r="CA246" s="1" t="s">
        <v>250</v>
      </c>
      <c r="CB246" s="1" t="s">
        <v>251</v>
      </c>
      <c r="CC246" s="1">
        <v>-36116.82</v>
      </c>
      <c r="CD246" s="1">
        <v>-36116.82</v>
      </c>
      <c r="CE246" s="1">
        <v>387297.59</v>
      </c>
      <c r="CF246" s="1">
        <v>387297.59</v>
      </c>
      <c r="CG246" s="1">
        <v>0</v>
      </c>
      <c r="CH246" s="1">
        <v>1.4438757900000001</v>
      </c>
      <c r="CI246" s="1">
        <v>13.27863496</v>
      </c>
      <c r="CJ246" s="1">
        <v>17588381.91</v>
      </c>
      <c r="CK246" s="1">
        <v>1912503.72</v>
      </c>
      <c r="CL246" s="1">
        <v>6269233.6699999999</v>
      </c>
      <c r="CM246" s="1" t="s">
        <v>164</v>
      </c>
      <c r="CN246" s="1" t="s">
        <v>164</v>
      </c>
      <c r="CO246" s="1" t="s">
        <v>184</v>
      </c>
      <c r="CP246" s="1" t="s">
        <v>243</v>
      </c>
      <c r="CQ246" s="3" t="s">
        <v>252</v>
      </c>
      <c r="CR246" s="1">
        <v>0</v>
      </c>
      <c r="CS246" s="1" t="s">
        <v>243</v>
      </c>
      <c r="CT246" s="1">
        <v>0.31296810000000003</v>
      </c>
      <c r="CV246" s="1">
        <v>0</v>
      </c>
      <c r="CW246" s="1">
        <v>-219173.26</v>
      </c>
      <c r="DA246" s="1">
        <v>1355558.46</v>
      </c>
      <c r="DB246" s="1">
        <v>0</v>
      </c>
      <c r="DC246" s="1">
        <v>2520.3126550000002</v>
      </c>
      <c r="DD246" s="1">
        <v>52555.483399999997</v>
      </c>
      <c r="DE246" s="1">
        <v>-296353.43</v>
      </c>
      <c r="DF246" s="1">
        <v>92570020.519999996</v>
      </c>
      <c r="DG246" s="1">
        <v>-409.59</v>
      </c>
      <c r="DH246" s="1">
        <v>394770.09</v>
      </c>
      <c r="DI246" s="1">
        <v>0.29803809999999997</v>
      </c>
      <c r="DK246" s="1">
        <v>0</v>
      </c>
      <c r="DL246" s="1">
        <v>0</v>
      </c>
      <c r="DM246" s="1">
        <v>-296353.43</v>
      </c>
      <c r="DN246" s="1">
        <v>0</v>
      </c>
      <c r="DO246" s="1">
        <v>0</v>
      </c>
      <c r="DP246" s="1">
        <v>16777215</v>
      </c>
      <c r="DQ246" s="1">
        <v>0</v>
      </c>
      <c r="DR246" s="1">
        <v>0</v>
      </c>
      <c r="DS246" s="1">
        <v>0</v>
      </c>
      <c r="DT246" s="1">
        <v>0</v>
      </c>
      <c r="DU246" s="1">
        <v>0</v>
      </c>
      <c r="DV246" s="1">
        <v>386888</v>
      </c>
      <c r="DW246" s="1">
        <v>386888</v>
      </c>
      <c r="DX246" s="1">
        <v>31345322.399999999</v>
      </c>
      <c r="DY246" s="1">
        <v>-1110160.2399999984</v>
      </c>
      <c r="DZ246" s="1">
        <v>92570020.519999966</v>
      </c>
      <c r="EA246" s="1">
        <v>0</v>
      </c>
      <c r="EB246" s="1">
        <v>0</v>
      </c>
      <c r="EC246" s="1" t="s">
        <v>176</v>
      </c>
      <c r="EE246" s="1">
        <v>0</v>
      </c>
      <c r="EF246" s="1">
        <v>3</v>
      </c>
      <c r="EG246" s="1">
        <v>0</v>
      </c>
      <c r="EH246" s="3">
        <v>0.41794091999999999</v>
      </c>
      <c r="EI246" s="1">
        <v>0</v>
      </c>
      <c r="EL246" s="1">
        <v>0</v>
      </c>
      <c r="EM246" s="1">
        <v>0</v>
      </c>
      <c r="EN246" s="1">
        <v>1633661.45</v>
      </c>
      <c r="EO246" s="1">
        <v>1.2333592799999999</v>
      </c>
      <c r="ER246" s="1">
        <v>96.829965753425995</v>
      </c>
      <c r="ES246" s="1">
        <v>1</v>
      </c>
      <c r="ET246" s="3">
        <v>4.9151195889999997</v>
      </c>
      <c r="EU246" s="3">
        <v>2.3204744960000001</v>
      </c>
      <c r="EV246" s="3">
        <v>2.1416500003349999</v>
      </c>
      <c r="EW246" s="3">
        <v>2.4054794519999998</v>
      </c>
      <c r="EX246" s="3">
        <v>7.1192493999999995E-2</v>
      </c>
      <c r="EY246" s="3">
        <v>27</v>
      </c>
      <c r="EZ246" s="3">
        <v>878</v>
      </c>
      <c r="FA246" s="1">
        <v>0</v>
      </c>
      <c r="FB246" s="1">
        <v>0</v>
      </c>
      <c r="FC246" s="3">
        <v>0.33924309600000002</v>
      </c>
      <c r="FD246" s="1">
        <v>0</v>
      </c>
      <c r="FE246" s="1">
        <v>0</v>
      </c>
    </row>
    <row r="247" spans="1:161" x14ac:dyDescent="0.3">
      <c r="A247" s="1">
        <v>16975573</v>
      </c>
      <c r="B247" s="1">
        <v>128</v>
      </c>
      <c r="C247" s="1">
        <v>9001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100</v>
      </c>
      <c r="J247" s="3">
        <v>100</v>
      </c>
      <c r="K247" s="1">
        <v>100000</v>
      </c>
      <c r="L247" s="1">
        <v>100000</v>
      </c>
      <c r="M247" s="1">
        <v>100000</v>
      </c>
      <c r="N247" s="3">
        <v>100000</v>
      </c>
      <c r="O247" s="1">
        <v>97446</v>
      </c>
      <c r="P247" s="1">
        <v>97446</v>
      </c>
      <c r="Q247" s="1">
        <v>97446</v>
      </c>
      <c r="R247" s="1">
        <v>97446</v>
      </c>
      <c r="S247" s="1">
        <v>100000</v>
      </c>
      <c r="T247" s="1">
        <v>100000</v>
      </c>
      <c r="U247" s="1">
        <v>100000</v>
      </c>
      <c r="V247" s="1">
        <v>100000</v>
      </c>
      <c r="W247" s="1">
        <v>0</v>
      </c>
      <c r="X247" s="1">
        <v>0</v>
      </c>
      <c r="Y247" s="1">
        <v>0</v>
      </c>
      <c r="Z247" s="1">
        <v>0</v>
      </c>
      <c r="AA247" s="1">
        <v>1359.72</v>
      </c>
      <c r="AB247" s="1">
        <v>1359.72</v>
      </c>
      <c r="AC247" s="1">
        <v>1359.72</v>
      </c>
      <c r="AD247" s="1">
        <v>1359.72</v>
      </c>
      <c r="AE247" s="3" t="s">
        <v>542</v>
      </c>
      <c r="AF247" s="3" t="s">
        <v>161</v>
      </c>
      <c r="AG247" s="1" t="s">
        <v>970</v>
      </c>
      <c r="AH247" s="3" t="s">
        <v>543</v>
      </c>
      <c r="AI247" s="1">
        <v>4</v>
      </c>
      <c r="AJ247" s="3" t="s">
        <v>165</v>
      </c>
      <c r="AK247" s="1" t="s">
        <v>191</v>
      </c>
      <c r="AL247" s="3">
        <v>0</v>
      </c>
      <c r="AM247" s="3">
        <v>0</v>
      </c>
      <c r="AN247" s="3">
        <v>82428.740000000005</v>
      </c>
      <c r="AO247" s="3">
        <v>82428.740000000005</v>
      </c>
      <c r="AP247" s="1" t="s">
        <v>164</v>
      </c>
      <c r="AQ247" s="1">
        <v>4</v>
      </c>
      <c r="AR247" s="1" t="s">
        <v>165</v>
      </c>
      <c r="AS247" s="3">
        <v>132534288.59999999</v>
      </c>
      <c r="AT247" s="1" t="s">
        <v>176</v>
      </c>
      <c r="AU247" s="1">
        <v>1</v>
      </c>
      <c r="AV247" s="1">
        <v>1</v>
      </c>
      <c r="AW247" s="3" t="s">
        <v>494</v>
      </c>
      <c r="AX247" s="3" t="s">
        <v>495</v>
      </c>
      <c r="AY247" s="1">
        <v>0</v>
      </c>
      <c r="BA247" s="3">
        <v>8205251.6799999997</v>
      </c>
      <c r="BB247" s="1">
        <v>1</v>
      </c>
      <c r="BD247" s="1" t="s">
        <v>971</v>
      </c>
      <c r="BE247" s="1">
        <v>1</v>
      </c>
      <c r="BF247" s="1">
        <v>1</v>
      </c>
      <c r="BG247" s="1" t="s">
        <v>168</v>
      </c>
      <c r="BH247" s="1">
        <v>0</v>
      </c>
      <c r="BI247" s="1">
        <v>31345322.399999999</v>
      </c>
      <c r="BJ247" s="1">
        <v>0</v>
      </c>
      <c r="BK247" s="1">
        <v>123618989.48999999</v>
      </c>
      <c r="BL247" s="1">
        <v>132456249.91</v>
      </c>
      <c r="BM247" s="1">
        <v>596150.00000000012</v>
      </c>
      <c r="BN247" s="1">
        <v>9219855.2300000004</v>
      </c>
      <c r="BO247" s="1">
        <v>23.664660909999998</v>
      </c>
      <c r="BP247" s="1">
        <v>0.45007313999999998</v>
      </c>
      <c r="BQ247" s="1">
        <v>6.9606796500000003</v>
      </c>
      <c r="BR247" s="1">
        <v>6.2230920000000002E-2</v>
      </c>
      <c r="BS247" s="1" t="s">
        <v>169</v>
      </c>
      <c r="BT247" s="1" t="s">
        <v>169</v>
      </c>
      <c r="BU247" s="1">
        <v>26356083.120000001</v>
      </c>
      <c r="BV247" s="1">
        <v>0</v>
      </c>
      <c r="BW247" s="1">
        <v>0</v>
      </c>
      <c r="BX247" s="1">
        <v>0</v>
      </c>
      <c r="BY247" s="1" t="s">
        <v>170</v>
      </c>
      <c r="BZ247" s="1">
        <v>-78038.69</v>
      </c>
      <c r="CA247" s="1" t="s">
        <v>250</v>
      </c>
      <c r="CB247" s="1" t="s">
        <v>251</v>
      </c>
      <c r="CC247" s="1">
        <v>-16376.98</v>
      </c>
      <c r="CD247" s="1">
        <v>-16376.98</v>
      </c>
      <c r="CE247" s="1">
        <v>82428.740000000005</v>
      </c>
      <c r="CF247" s="1">
        <v>82428.740000000005</v>
      </c>
      <c r="CG247" s="1">
        <v>0</v>
      </c>
      <c r="CH247" s="1">
        <v>1.4438757900000001</v>
      </c>
      <c r="CI247" s="1">
        <v>13.27863496</v>
      </c>
      <c r="CJ247" s="1">
        <v>17588381.91</v>
      </c>
      <c r="CK247" s="1">
        <v>1912503.72</v>
      </c>
      <c r="CL247" s="1">
        <v>6269233.6699999999</v>
      </c>
      <c r="CM247" s="1" t="s">
        <v>164</v>
      </c>
      <c r="CN247" s="1" t="s">
        <v>164</v>
      </c>
      <c r="CO247" s="1" t="s">
        <v>184</v>
      </c>
      <c r="CP247" s="1" t="s">
        <v>243</v>
      </c>
      <c r="CQ247" s="3" t="s">
        <v>252</v>
      </c>
      <c r="CR247" s="1">
        <v>0</v>
      </c>
      <c r="CS247" s="1" t="s">
        <v>243</v>
      </c>
      <c r="CT247" s="1">
        <v>6.6679669999999996E-2</v>
      </c>
      <c r="CV247" s="1">
        <v>0</v>
      </c>
      <c r="CW247" s="1">
        <v>-219173.26</v>
      </c>
      <c r="DA247" s="1">
        <v>1355558.46</v>
      </c>
      <c r="DB247" s="1">
        <v>0</v>
      </c>
      <c r="DC247" s="1">
        <v>2520.3126550000002</v>
      </c>
      <c r="DD247" s="1">
        <v>52555.483399999997</v>
      </c>
      <c r="DE247" s="1">
        <v>-296353.43</v>
      </c>
      <c r="DF247" s="1">
        <v>92570020.519999996</v>
      </c>
      <c r="DG247" s="1">
        <v>0</v>
      </c>
      <c r="DH247" s="1">
        <v>394770.09</v>
      </c>
      <c r="DI247" s="1">
        <v>0.29803809999999997</v>
      </c>
      <c r="DK247" s="1">
        <v>0</v>
      </c>
      <c r="DL247" s="1">
        <v>0</v>
      </c>
      <c r="DM247" s="1">
        <v>-296353.43</v>
      </c>
      <c r="DN247" s="1">
        <v>0</v>
      </c>
      <c r="DO247" s="1">
        <v>0</v>
      </c>
      <c r="DP247" s="1">
        <v>16777215</v>
      </c>
      <c r="DQ247" s="1">
        <v>0</v>
      </c>
      <c r="DR247" s="1">
        <v>0</v>
      </c>
      <c r="DS247" s="1">
        <v>0</v>
      </c>
      <c r="DT247" s="1">
        <v>0</v>
      </c>
      <c r="DU247" s="1">
        <v>0</v>
      </c>
      <c r="DV247" s="1">
        <v>82428.740000000005</v>
      </c>
      <c r="DW247" s="1">
        <v>82428.740000000005</v>
      </c>
      <c r="DX247" s="1">
        <v>31345322.399999999</v>
      </c>
      <c r="DY247" s="1">
        <v>-1110160.2399999984</v>
      </c>
      <c r="DZ247" s="1">
        <v>92570020.519999966</v>
      </c>
      <c r="EA247" s="1">
        <v>0</v>
      </c>
      <c r="EB247" s="1">
        <v>0</v>
      </c>
      <c r="EC247" s="1" t="s">
        <v>176</v>
      </c>
      <c r="EE247" s="1">
        <v>0</v>
      </c>
      <c r="EF247" s="1">
        <v>3</v>
      </c>
      <c r="EG247" s="1">
        <v>0</v>
      </c>
      <c r="EH247" s="3">
        <v>8.9044750000000006E-2</v>
      </c>
      <c r="EI247" s="1">
        <v>0</v>
      </c>
      <c r="EL247" s="1">
        <v>0</v>
      </c>
      <c r="EM247" s="1">
        <v>0</v>
      </c>
      <c r="EN247" s="1">
        <v>1633661.45</v>
      </c>
      <c r="EO247" s="1">
        <v>1.2333592799999999</v>
      </c>
      <c r="ER247" s="1">
        <v>0</v>
      </c>
      <c r="ES247" s="1">
        <v>1</v>
      </c>
      <c r="ET247" s="3">
        <v>6.8485526339999998</v>
      </c>
      <c r="EU247" s="3">
        <v>4.026671447</v>
      </c>
      <c r="EV247" s="3">
        <v>0</v>
      </c>
      <c r="EW247" s="3">
        <v>4.1917808220000001</v>
      </c>
      <c r="EX247" s="3">
        <v>0.181140145</v>
      </c>
      <c r="EY247" s="3">
        <v>45</v>
      </c>
      <c r="EZ247" s="3">
        <v>1530</v>
      </c>
      <c r="FA247" s="1">
        <v>0</v>
      </c>
      <c r="FB247" s="1">
        <v>0</v>
      </c>
      <c r="FC247" s="3">
        <v>2.5077832510000002</v>
      </c>
      <c r="FD247" s="1">
        <v>0</v>
      </c>
      <c r="FE247" s="1">
        <v>0</v>
      </c>
    </row>
    <row r="248" spans="1:161" x14ac:dyDescent="0.3">
      <c r="A248" s="1">
        <v>16975488</v>
      </c>
      <c r="B248" s="1">
        <v>128</v>
      </c>
      <c r="C248" s="1">
        <v>6648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600</v>
      </c>
      <c r="J248" s="3">
        <v>600</v>
      </c>
      <c r="K248" s="1">
        <v>600000</v>
      </c>
      <c r="L248" s="1">
        <v>600000</v>
      </c>
      <c r="M248" s="1">
        <v>600000</v>
      </c>
      <c r="N248" s="3">
        <v>529801.24</v>
      </c>
      <c r="O248" s="1">
        <v>618444</v>
      </c>
      <c r="P248" s="1">
        <v>546657.49</v>
      </c>
      <c r="Q248" s="1">
        <v>618444</v>
      </c>
      <c r="R248" s="1">
        <v>546657.49</v>
      </c>
      <c r="S248" s="1">
        <v>600000</v>
      </c>
      <c r="T248" s="1">
        <v>529801.24</v>
      </c>
      <c r="U248" s="1">
        <v>600000</v>
      </c>
      <c r="V248" s="1">
        <v>529801.24</v>
      </c>
      <c r="W248" s="1">
        <v>0</v>
      </c>
      <c r="X248" s="1">
        <v>0</v>
      </c>
      <c r="Y248" s="1">
        <v>0</v>
      </c>
      <c r="Z248" s="1">
        <v>0</v>
      </c>
      <c r="AA248" s="1">
        <v>-3490.41</v>
      </c>
      <c r="AB248" s="1">
        <v>-3301.25</v>
      </c>
      <c r="AC248" s="1">
        <v>-3490.41</v>
      </c>
      <c r="AD248" s="1">
        <v>-3301.25</v>
      </c>
      <c r="AE248" s="3" t="s">
        <v>544</v>
      </c>
      <c r="AF248" s="3" t="s">
        <v>161</v>
      </c>
      <c r="AG248" s="1" t="s">
        <v>970</v>
      </c>
      <c r="AH248" s="3" t="s">
        <v>545</v>
      </c>
      <c r="AI248" s="1">
        <v>5</v>
      </c>
      <c r="AJ248" s="3" t="s">
        <v>162</v>
      </c>
      <c r="AK248" s="1" t="s">
        <v>191</v>
      </c>
      <c r="AL248" s="3">
        <v>102.409583333333</v>
      </c>
      <c r="AM248" s="3">
        <v>102.460333333333</v>
      </c>
      <c r="AN248" s="3">
        <v>614762</v>
      </c>
      <c r="AO248" s="3">
        <v>586381.15</v>
      </c>
      <c r="AP248" s="1" t="s">
        <v>164</v>
      </c>
      <c r="AQ248" s="1">
        <v>4</v>
      </c>
      <c r="AR248" s="1" t="s">
        <v>165</v>
      </c>
      <c r="AS248" s="3">
        <v>132534288.59999999</v>
      </c>
      <c r="AT248" s="1" t="s">
        <v>176</v>
      </c>
      <c r="AU248" s="1">
        <v>1</v>
      </c>
      <c r="AV248" s="1">
        <v>1</v>
      </c>
      <c r="AW248" s="3" t="s">
        <v>494</v>
      </c>
      <c r="AX248" s="3" t="s">
        <v>546</v>
      </c>
      <c r="AY248" s="1">
        <v>0</v>
      </c>
      <c r="BA248" s="3">
        <v>8205251.6799999997</v>
      </c>
      <c r="BB248" s="1">
        <v>1.0484</v>
      </c>
      <c r="BD248" s="1" t="s">
        <v>971</v>
      </c>
      <c r="BE248" s="1">
        <v>1</v>
      </c>
      <c r="BF248" s="1">
        <v>1</v>
      </c>
      <c r="BG248" s="1" t="s">
        <v>168</v>
      </c>
      <c r="BH248" s="1">
        <v>0</v>
      </c>
      <c r="BI248" s="1">
        <v>31345322.399999999</v>
      </c>
      <c r="BJ248" s="1">
        <v>0</v>
      </c>
      <c r="BK248" s="1">
        <v>123618989.48999999</v>
      </c>
      <c r="BL248" s="1">
        <v>132456249.91</v>
      </c>
      <c r="BM248" s="1">
        <v>596150.00000000012</v>
      </c>
      <c r="BN248" s="1">
        <v>9219855.2300000004</v>
      </c>
      <c r="BO248" s="1">
        <v>23.664660909999998</v>
      </c>
      <c r="BP248" s="1">
        <v>0.45007313999999998</v>
      </c>
      <c r="BQ248" s="1">
        <v>6.9606796500000003</v>
      </c>
      <c r="BR248" s="1">
        <v>0.44269798999999999</v>
      </c>
      <c r="BS248" s="1" t="s">
        <v>169</v>
      </c>
      <c r="BT248" s="1" t="s">
        <v>169</v>
      </c>
      <c r="BU248" s="1">
        <v>26356083.120000001</v>
      </c>
      <c r="BV248" s="1">
        <v>0</v>
      </c>
      <c r="BW248" s="1">
        <v>5223.96</v>
      </c>
      <c r="BX248" s="1">
        <v>0.05</v>
      </c>
      <c r="BY248" s="1" t="s">
        <v>170</v>
      </c>
      <c r="BZ248" s="1">
        <v>-78038.69</v>
      </c>
      <c r="CA248" s="1" t="s">
        <v>250</v>
      </c>
      <c r="CB248" s="1" t="s">
        <v>251</v>
      </c>
      <c r="CC248" s="1">
        <v>-496.09</v>
      </c>
      <c r="CD248" s="1">
        <v>37800.949999999997</v>
      </c>
      <c r="CE248" s="1">
        <v>614457.5</v>
      </c>
      <c r="CF248" s="1">
        <v>581157.18999999994</v>
      </c>
      <c r="CG248" s="1">
        <v>0</v>
      </c>
      <c r="CH248" s="1">
        <v>1.4438757900000001</v>
      </c>
      <c r="CI248" s="1">
        <v>13.27863496</v>
      </c>
      <c r="CJ248" s="1">
        <v>17588381.91</v>
      </c>
      <c r="CK248" s="1">
        <v>1912503.72</v>
      </c>
      <c r="CL248" s="1">
        <v>6269233.6699999999</v>
      </c>
      <c r="CM248" s="1" t="s">
        <v>164</v>
      </c>
      <c r="CN248" s="1" t="s">
        <v>164</v>
      </c>
      <c r="CO248" s="1" t="s">
        <v>184</v>
      </c>
      <c r="CP248" s="1" t="s">
        <v>243</v>
      </c>
      <c r="CQ248" s="3" t="s">
        <v>252</v>
      </c>
      <c r="CR248" s="1">
        <v>0</v>
      </c>
      <c r="CS248" s="1" t="s">
        <v>243</v>
      </c>
      <c r="CT248" s="1">
        <v>0.47434553000000002</v>
      </c>
      <c r="CV248" s="1">
        <v>0</v>
      </c>
      <c r="CW248" s="1">
        <v>-219173.26</v>
      </c>
      <c r="DA248" s="1">
        <v>1355558.46</v>
      </c>
      <c r="DB248" s="1">
        <v>0</v>
      </c>
      <c r="DC248" s="1">
        <v>2520.3126550000002</v>
      </c>
      <c r="DD248" s="1">
        <v>52555.483399999997</v>
      </c>
      <c r="DE248" s="1">
        <v>-296353.43</v>
      </c>
      <c r="DF248" s="1">
        <v>92570020.519999996</v>
      </c>
      <c r="DG248" s="1">
        <v>304.5</v>
      </c>
      <c r="DH248" s="1">
        <v>394770.09</v>
      </c>
      <c r="DI248" s="1">
        <v>0.29803809999999997</v>
      </c>
      <c r="DK248" s="1">
        <v>0</v>
      </c>
      <c r="DL248" s="1">
        <v>0</v>
      </c>
      <c r="DM248" s="1">
        <v>-296353.43</v>
      </c>
      <c r="DN248" s="1">
        <v>0</v>
      </c>
      <c r="DO248" s="1">
        <v>0</v>
      </c>
      <c r="DP248" s="1">
        <v>16777215</v>
      </c>
      <c r="DQ248" s="1">
        <v>0</v>
      </c>
      <c r="DR248" s="1">
        <v>0</v>
      </c>
      <c r="DS248" s="1">
        <v>0</v>
      </c>
      <c r="DT248" s="1">
        <v>0</v>
      </c>
      <c r="DU248" s="1">
        <v>0</v>
      </c>
      <c r="DV248" s="1">
        <v>614762</v>
      </c>
      <c r="DW248" s="1">
        <v>586381.15</v>
      </c>
      <c r="DX248" s="1">
        <v>31345322.399999999</v>
      </c>
      <c r="DY248" s="1">
        <v>-1110160.2399999984</v>
      </c>
      <c r="DZ248" s="1">
        <v>92570020.519999966</v>
      </c>
      <c r="EA248" s="1">
        <v>0</v>
      </c>
      <c r="EB248" s="1">
        <v>0</v>
      </c>
      <c r="EC248" s="1" t="s">
        <v>176</v>
      </c>
      <c r="EE248" s="1">
        <v>0</v>
      </c>
      <c r="EF248" s="1">
        <v>3</v>
      </c>
      <c r="EG248" s="1">
        <v>0</v>
      </c>
      <c r="EH248" s="3">
        <v>0.63344606000000003</v>
      </c>
      <c r="EI248" s="1">
        <v>0</v>
      </c>
      <c r="EL248" s="1">
        <v>0</v>
      </c>
      <c r="EM248" s="1">
        <v>0</v>
      </c>
      <c r="EN248" s="1">
        <v>1633661.45</v>
      </c>
      <c r="EO248" s="1">
        <v>1.2333592799999999</v>
      </c>
      <c r="ER248" s="1">
        <v>102.43875</v>
      </c>
      <c r="ES248" s="1">
        <v>1.0572999999999999</v>
      </c>
      <c r="ET248" s="3">
        <v>7.5365228389999999</v>
      </c>
      <c r="EU248" s="3">
        <v>2.5000000000000001E-2</v>
      </c>
      <c r="EV248" s="3">
        <v>2.4679692186E-2</v>
      </c>
      <c r="EW248" s="3">
        <v>2.4657533999999998E-2</v>
      </c>
      <c r="EX248" s="3">
        <v>2.37977E-4</v>
      </c>
      <c r="EY248" s="3">
        <v>0</v>
      </c>
      <c r="EZ248" s="3">
        <v>9</v>
      </c>
      <c r="FA248" s="1">
        <v>0</v>
      </c>
      <c r="FB248" s="1">
        <v>0</v>
      </c>
      <c r="FC248" s="3">
        <v>-16.022758970000002</v>
      </c>
      <c r="FD248" s="1">
        <v>0</v>
      </c>
      <c r="FE248" s="1">
        <v>0</v>
      </c>
    </row>
    <row r="249" spans="1:161" x14ac:dyDescent="0.3">
      <c r="A249" s="1">
        <v>16975402</v>
      </c>
      <c r="B249" s="1">
        <v>128</v>
      </c>
      <c r="C249" s="1">
        <v>7165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300</v>
      </c>
      <c r="J249" s="3">
        <v>300</v>
      </c>
      <c r="K249" s="1">
        <v>300000</v>
      </c>
      <c r="L249" s="1">
        <v>300000</v>
      </c>
      <c r="M249" s="1">
        <v>300000</v>
      </c>
      <c r="N249" s="3">
        <v>271985.49</v>
      </c>
      <c r="O249" s="1">
        <v>302430</v>
      </c>
      <c r="P249" s="1">
        <v>274188.58</v>
      </c>
      <c r="Q249" s="1">
        <v>302430</v>
      </c>
      <c r="R249" s="1">
        <v>274188.58</v>
      </c>
      <c r="S249" s="1">
        <v>300000</v>
      </c>
      <c r="T249" s="1">
        <v>271985.49</v>
      </c>
      <c r="U249" s="1">
        <v>300000</v>
      </c>
      <c r="V249" s="1">
        <v>271985.49</v>
      </c>
      <c r="W249" s="1">
        <v>0</v>
      </c>
      <c r="X249" s="1">
        <v>0</v>
      </c>
      <c r="Y249" s="1">
        <v>0</v>
      </c>
      <c r="Z249" s="1">
        <v>0</v>
      </c>
      <c r="AA249" s="1">
        <v>-1702.62</v>
      </c>
      <c r="AB249" s="1">
        <v>-1610.34</v>
      </c>
      <c r="AC249" s="1">
        <v>-1702.62</v>
      </c>
      <c r="AD249" s="1">
        <v>-1610.34</v>
      </c>
      <c r="AE249" s="3" t="s">
        <v>547</v>
      </c>
      <c r="AF249" s="3" t="s">
        <v>161</v>
      </c>
      <c r="AG249" s="1" t="s">
        <v>970</v>
      </c>
      <c r="AH249" s="3" t="s">
        <v>548</v>
      </c>
      <c r="AI249" s="1">
        <v>5</v>
      </c>
      <c r="AJ249" s="3" t="s">
        <v>162</v>
      </c>
      <c r="AK249" s="1" t="s">
        <v>191</v>
      </c>
      <c r="AL249" s="3">
        <v>82.059849999999997</v>
      </c>
      <c r="AM249" s="3">
        <v>81.814133333333004</v>
      </c>
      <c r="AN249" s="3">
        <v>245442.4</v>
      </c>
      <c r="AO249" s="3">
        <v>234111.41</v>
      </c>
      <c r="AP249" s="1" t="s">
        <v>164</v>
      </c>
      <c r="AQ249" s="1">
        <v>4</v>
      </c>
      <c r="AR249" s="1" t="s">
        <v>165</v>
      </c>
      <c r="AS249" s="3">
        <v>132534288.59999999</v>
      </c>
      <c r="AT249" s="1" t="s">
        <v>176</v>
      </c>
      <c r="AU249" s="1">
        <v>1</v>
      </c>
      <c r="AV249" s="1">
        <v>1</v>
      </c>
      <c r="AW249" s="3" t="s">
        <v>494</v>
      </c>
      <c r="AX249" s="3" t="s">
        <v>546</v>
      </c>
      <c r="AY249" s="1">
        <v>0</v>
      </c>
      <c r="BA249" s="3">
        <v>8205251.6799999997</v>
      </c>
      <c r="BB249" s="1">
        <v>1.0484</v>
      </c>
      <c r="BD249" s="1" t="s">
        <v>971</v>
      </c>
      <c r="BE249" s="1">
        <v>1</v>
      </c>
      <c r="BF249" s="1">
        <v>1</v>
      </c>
      <c r="BG249" s="1" t="s">
        <v>168</v>
      </c>
      <c r="BH249" s="1">
        <v>0</v>
      </c>
      <c r="BI249" s="1">
        <v>31345322.399999999</v>
      </c>
      <c r="BJ249" s="1">
        <v>0</v>
      </c>
      <c r="BK249" s="1">
        <v>123618989.48999999</v>
      </c>
      <c r="BL249" s="1">
        <v>132456249.91</v>
      </c>
      <c r="BM249" s="1">
        <v>596150.00000000012</v>
      </c>
      <c r="BN249" s="1">
        <v>9219855.2300000004</v>
      </c>
      <c r="BO249" s="1">
        <v>23.664660909999998</v>
      </c>
      <c r="BP249" s="1">
        <v>0.45007313999999998</v>
      </c>
      <c r="BQ249" s="1">
        <v>6.9606796500000003</v>
      </c>
      <c r="BR249" s="1">
        <v>0.17674622000000001</v>
      </c>
      <c r="BS249" s="1" t="s">
        <v>169</v>
      </c>
      <c r="BT249" s="1" t="s">
        <v>169</v>
      </c>
      <c r="BU249" s="1">
        <v>26356083.120000001</v>
      </c>
      <c r="BV249" s="1">
        <v>0</v>
      </c>
      <c r="BW249" s="1">
        <v>1273.47</v>
      </c>
      <c r="BX249" s="1">
        <v>-0.3</v>
      </c>
      <c r="BY249" s="1" t="s">
        <v>170</v>
      </c>
      <c r="BZ249" s="1">
        <v>-78038.69</v>
      </c>
      <c r="CA249" s="1" t="s">
        <v>250</v>
      </c>
      <c r="CB249" s="1" t="s">
        <v>251</v>
      </c>
      <c r="CC249" s="1">
        <v>-54547.83</v>
      </c>
      <c r="CD249" s="1">
        <v>-39740.300000000003</v>
      </c>
      <c r="CE249" s="1">
        <v>246179.55</v>
      </c>
      <c r="CF249" s="1">
        <v>232837.94</v>
      </c>
      <c r="CG249" s="1">
        <v>0</v>
      </c>
      <c r="CH249" s="1">
        <v>1.4438757900000001</v>
      </c>
      <c r="CI249" s="1">
        <v>13.27863496</v>
      </c>
      <c r="CJ249" s="1">
        <v>17588381.91</v>
      </c>
      <c r="CK249" s="1">
        <v>1912503.72</v>
      </c>
      <c r="CL249" s="1">
        <v>6269233.6699999999</v>
      </c>
      <c r="CM249" s="1" t="s">
        <v>164</v>
      </c>
      <c r="CN249" s="1" t="s">
        <v>164</v>
      </c>
      <c r="CO249" s="1" t="s">
        <v>184</v>
      </c>
      <c r="CP249" s="1" t="s">
        <v>243</v>
      </c>
      <c r="CQ249" s="3" t="s">
        <v>252</v>
      </c>
      <c r="CR249" s="1">
        <v>0</v>
      </c>
      <c r="CS249" s="1" t="s">
        <v>243</v>
      </c>
      <c r="CT249" s="1">
        <v>0.18938142999999999</v>
      </c>
      <c r="CV249" s="1">
        <v>0</v>
      </c>
      <c r="CW249" s="1">
        <v>-219173.26</v>
      </c>
      <c r="DA249" s="1">
        <v>1355558.46</v>
      </c>
      <c r="DB249" s="1">
        <v>0</v>
      </c>
      <c r="DC249" s="1">
        <v>2520.3126550000002</v>
      </c>
      <c r="DD249" s="1">
        <v>52555.483399999997</v>
      </c>
      <c r="DE249" s="1">
        <v>-296353.43</v>
      </c>
      <c r="DF249" s="1">
        <v>92570020.519999996</v>
      </c>
      <c r="DG249" s="1">
        <v>-737.15</v>
      </c>
      <c r="DH249" s="1">
        <v>394770.09</v>
      </c>
      <c r="DI249" s="1">
        <v>0.29803809999999997</v>
      </c>
      <c r="DK249" s="1">
        <v>0</v>
      </c>
      <c r="DL249" s="1">
        <v>0</v>
      </c>
      <c r="DM249" s="1">
        <v>-296353.43</v>
      </c>
      <c r="DN249" s="1">
        <v>0</v>
      </c>
      <c r="DO249" s="1">
        <v>0</v>
      </c>
      <c r="DP249" s="1">
        <v>16777215</v>
      </c>
      <c r="DQ249" s="1">
        <v>0</v>
      </c>
      <c r="DR249" s="1">
        <v>0</v>
      </c>
      <c r="DS249" s="1">
        <v>0</v>
      </c>
      <c r="DT249" s="1">
        <v>0</v>
      </c>
      <c r="DU249" s="1">
        <v>0</v>
      </c>
      <c r="DV249" s="1">
        <v>245442.4</v>
      </c>
      <c r="DW249" s="1">
        <v>234111.41</v>
      </c>
      <c r="DX249" s="1">
        <v>31345322.399999999</v>
      </c>
      <c r="DY249" s="1">
        <v>-1110160.2399999984</v>
      </c>
      <c r="DZ249" s="1">
        <v>92570020.519999966</v>
      </c>
      <c r="EA249" s="1">
        <v>0</v>
      </c>
      <c r="EB249" s="1">
        <v>0</v>
      </c>
      <c r="EC249" s="1" t="s">
        <v>176</v>
      </c>
      <c r="EE249" s="1">
        <v>0</v>
      </c>
      <c r="EF249" s="1">
        <v>3</v>
      </c>
      <c r="EG249" s="1">
        <v>0</v>
      </c>
      <c r="EH249" s="3">
        <v>0.25290196999999998</v>
      </c>
      <c r="EI249" s="1">
        <v>0</v>
      </c>
      <c r="EL249" s="1">
        <v>0</v>
      </c>
      <c r="EM249" s="1">
        <v>0</v>
      </c>
      <c r="EN249" s="1">
        <v>1633661.45</v>
      </c>
      <c r="EO249" s="1">
        <v>1.2333592799999999</v>
      </c>
      <c r="ER249" s="1">
        <v>82.010538888889002</v>
      </c>
      <c r="ES249" s="1">
        <v>1.0572999999999999</v>
      </c>
      <c r="ET249" s="3">
        <v>8.0062452059999991</v>
      </c>
      <c r="EU249" s="3">
        <v>5.2841920020000002</v>
      </c>
      <c r="EV249" s="3">
        <v>4.1667925235430001</v>
      </c>
      <c r="EW249" s="3">
        <v>5.9753424659999999</v>
      </c>
      <c r="EX249" s="3">
        <v>0.32779550099999999</v>
      </c>
      <c r="EY249" s="3">
        <v>61</v>
      </c>
      <c r="EZ249" s="3">
        <v>2181</v>
      </c>
      <c r="FA249" s="1">
        <v>0</v>
      </c>
      <c r="FB249" s="1">
        <v>0</v>
      </c>
      <c r="FC249" s="3">
        <v>3.9009600400000002</v>
      </c>
      <c r="FD249" s="1">
        <v>0</v>
      </c>
      <c r="FE249" s="1">
        <v>0</v>
      </c>
    </row>
    <row r="250" spans="1:161" x14ac:dyDescent="0.3">
      <c r="A250" s="1">
        <v>16975602</v>
      </c>
      <c r="B250" s="1">
        <v>128</v>
      </c>
      <c r="C250" s="1">
        <v>9352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200</v>
      </c>
      <c r="J250" s="3">
        <v>200</v>
      </c>
      <c r="K250" s="1">
        <v>200000</v>
      </c>
      <c r="L250" s="1">
        <v>200000</v>
      </c>
      <c r="M250" s="1">
        <v>200000</v>
      </c>
      <c r="N250" s="3">
        <v>167700.82</v>
      </c>
      <c r="O250" s="1">
        <v>199932</v>
      </c>
      <c r="P250" s="1">
        <v>167643.79999999999</v>
      </c>
      <c r="Q250" s="1">
        <v>199932</v>
      </c>
      <c r="R250" s="1">
        <v>167643.79999999999</v>
      </c>
      <c r="S250" s="1">
        <v>200000</v>
      </c>
      <c r="T250" s="1">
        <v>167700.82</v>
      </c>
      <c r="U250" s="1">
        <v>200000</v>
      </c>
      <c r="V250" s="1">
        <v>167700.82</v>
      </c>
      <c r="W250" s="1">
        <v>0</v>
      </c>
      <c r="X250" s="1">
        <v>0</v>
      </c>
      <c r="Y250" s="1">
        <v>0</v>
      </c>
      <c r="Z250" s="1">
        <v>0</v>
      </c>
      <c r="AA250" s="1">
        <v>2074.17</v>
      </c>
      <c r="AB250" s="1">
        <v>1961.76</v>
      </c>
      <c r="AC250" s="1">
        <v>2074.17</v>
      </c>
      <c r="AD250" s="1">
        <v>1961.76</v>
      </c>
      <c r="AE250" s="3" t="s">
        <v>525</v>
      </c>
      <c r="AF250" s="3" t="s">
        <v>161</v>
      </c>
      <c r="AG250" s="1" t="s">
        <v>970</v>
      </c>
      <c r="AH250" s="3" t="s">
        <v>549</v>
      </c>
      <c r="AI250" s="1">
        <v>5</v>
      </c>
      <c r="AJ250" s="3" t="s">
        <v>162</v>
      </c>
      <c r="AK250" s="1" t="s">
        <v>191</v>
      </c>
      <c r="AL250" s="3">
        <v>83.258249999998995</v>
      </c>
      <c r="AM250" s="3">
        <v>83.351124999999001</v>
      </c>
      <c r="AN250" s="3">
        <v>166702.25</v>
      </c>
      <c r="AO250" s="3">
        <v>159006.34</v>
      </c>
      <c r="AP250" s="1" t="s">
        <v>164</v>
      </c>
      <c r="AQ250" s="1">
        <v>4</v>
      </c>
      <c r="AR250" s="1" t="s">
        <v>165</v>
      </c>
      <c r="AS250" s="3">
        <v>132534288.59999999</v>
      </c>
      <c r="AT250" s="1" t="s">
        <v>176</v>
      </c>
      <c r="AU250" s="1">
        <v>1</v>
      </c>
      <c r="AV250" s="1">
        <v>1</v>
      </c>
      <c r="AW250" s="3" t="s">
        <v>494</v>
      </c>
      <c r="AX250" s="3" t="s">
        <v>546</v>
      </c>
      <c r="AY250" s="1">
        <v>0</v>
      </c>
      <c r="BA250" s="3">
        <v>8205251.6799999997</v>
      </c>
      <c r="BB250" s="1">
        <v>1.0484</v>
      </c>
      <c r="BD250" s="1" t="s">
        <v>971</v>
      </c>
      <c r="BE250" s="1">
        <v>1</v>
      </c>
      <c r="BF250" s="1">
        <v>1</v>
      </c>
      <c r="BG250" s="1" t="s">
        <v>168</v>
      </c>
      <c r="BH250" s="1">
        <v>0</v>
      </c>
      <c r="BI250" s="1">
        <v>31345322.399999999</v>
      </c>
      <c r="BJ250" s="1">
        <v>0</v>
      </c>
      <c r="BK250" s="1">
        <v>123618989.48999999</v>
      </c>
      <c r="BL250" s="1">
        <v>132456249.91</v>
      </c>
      <c r="BM250" s="1">
        <v>596150.00000000012</v>
      </c>
      <c r="BN250" s="1">
        <v>9219855.2300000004</v>
      </c>
      <c r="BO250" s="1">
        <v>23.664660909999998</v>
      </c>
      <c r="BP250" s="1">
        <v>0.45007313999999998</v>
      </c>
      <c r="BQ250" s="1">
        <v>6.9606796500000003</v>
      </c>
      <c r="BR250" s="1">
        <v>0.12004442</v>
      </c>
      <c r="BS250" s="1" t="s">
        <v>169</v>
      </c>
      <c r="BT250" s="1" t="s">
        <v>169</v>
      </c>
      <c r="BU250" s="1">
        <v>26356083.120000001</v>
      </c>
      <c r="BV250" s="1">
        <v>0</v>
      </c>
      <c r="BW250" s="1">
        <v>1514.14</v>
      </c>
      <c r="BX250" s="1">
        <v>0.11</v>
      </c>
      <c r="BY250" s="1" t="s">
        <v>170</v>
      </c>
      <c r="BZ250" s="1">
        <v>-78038.69</v>
      </c>
      <c r="CA250" s="1" t="s">
        <v>250</v>
      </c>
      <c r="CB250" s="1" t="s">
        <v>251</v>
      </c>
      <c r="CC250" s="1">
        <v>-35489.67</v>
      </c>
      <c r="CD250" s="1">
        <v>-12113.36</v>
      </c>
      <c r="CE250" s="1">
        <v>166516.5</v>
      </c>
      <c r="CF250" s="1">
        <v>157492.20000000001</v>
      </c>
      <c r="CG250" s="1">
        <v>0</v>
      </c>
      <c r="CH250" s="1">
        <v>1.4438757900000001</v>
      </c>
      <c r="CI250" s="1">
        <v>13.27863496</v>
      </c>
      <c r="CJ250" s="1">
        <v>17588381.91</v>
      </c>
      <c r="CK250" s="1">
        <v>1912503.72</v>
      </c>
      <c r="CL250" s="1">
        <v>6269233.6699999999</v>
      </c>
      <c r="CM250" s="1" t="s">
        <v>164</v>
      </c>
      <c r="CN250" s="1" t="s">
        <v>164</v>
      </c>
      <c r="CO250" s="1" t="s">
        <v>184</v>
      </c>
      <c r="CP250" s="1" t="s">
        <v>243</v>
      </c>
      <c r="CQ250" s="3" t="s">
        <v>252</v>
      </c>
      <c r="CR250" s="1">
        <v>0</v>
      </c>
      <c r="CS250" s="1" t="s">
        <v>243</v>
      </c>
      <c r="CT250" s="1">
        <v>0.12862614</v>
      </c>
      <c r="CV250" s="1">
        <v>0</v>
      </c>
      <c r="CW250" s="1">
        <v>-219173.26</v>
      </c>
      <c r="DA250" s="1">
        <v>1355558.46</v>
      </c>
      <c r="DB250" s="1">
        <v>0</v>
      </c>
      <c r="DC250" s="1">
        <v>2520.3126550000002</v>
      </c>
      <c r="DD250" s="1">
        <v>52555.483399999997</v>
      </c>
      <c r="DE250" s="1">
        <v>-296353.43</v>
      </c>
      <c r="DF250" s="1">
        <v>92570020.519999996</v>
      </c>
      <c r="DG250" s="1">
        <v>185.75</v>
      </c>
      <c r="DH250" s="1">
        <v>394770.09</v>
      </c>
      <c r="DI250" s="1">
        <v>0.29803809999999997</v>
      </c>
      <c r="DK250" s="1">
        <v>0</v>
      </c>
      <c r="DL250" s="1">
        <v>0</v>
      </c>
      <c r="DM250" s="1">
        <v>-296353.43</v>
      </c>
      <c r="DN250" s="1">
        <v>0</v>
      </c>
      <c r="DO250" s="1">
        <v>0</v>
      </c>
      <c r="DP250" s="1">
        <v>16777215</v>
      </c>
      <c r="DQ250" s="1">
        <v>0</v>
      </c>
      <c r="DR250" s="1">
        <v>0</v>
      </c>
      <c r="DS250" s="1">
        <v>0</v>
      </c>
      <c r="DT250" s="1">
        <v>0</v>
      </c>
      <c r="DU250" s="1">
        <v>0</v>
      </c>
      <c r="DV250" s="1">
        <v>166702.25</v>
      </c>
      <c r="DW250" s="1">
        <v>159006.34</v>
      </c>
      <c r="DX250" s="1">
        <v>31345322.399999999</v>
      </c>
      <c r="DY250" s="1">
        <v>-1110160.2399999984</v>
      </c>
      <c r="DZ250" s="1">
        <v>92570020.519999966</v>
      </c>
      <c r="EA250" s="1">
        <v>0</v>
      </c>
      <c r="EB250" s="1">
        <v>0</v>
      </c>
      <c r="EC250" s="1" t="s">
        <v>176</v>
      </c>
      <c r="EE250" s="1">
        <v>0</v>
      </c>
      <c r="EF250" s="1">
        <v>3</v>
      </c>
      <c r="EG250" s="1">
        <v>0</v>
      </c>
      <c r="EH250" s="3">
        <v>0.17176872000000001</v>
      </c>
      <c r="EI250" s="1">
        <v>0</v>
      </c>
      <c r="EL250" s="1">
        <v>0</v>
      </c>
      <c r="EM250" s="1">
        <v>0</v>
      </c>
      <c r="EN250" s="1">
        <v>1633661.45</v>
      </c>
      <c r="EO250" s="1">
        <v>1.2333592799999999</v>
      </c>
      <c r="ER250" s="1">
        <v>83.342166666669002</v>
      </c>
      <c r="ES250" s="1">
        <v>1.0572999999999999</v>
      </c>
      <c r="ET250" s="3">
        <v>8.9573765279999993</v>
      </c>
      <c r="EU250" s="3">
        <v>4.2559653910000002</v>
      </c>
      <c r="EV250" s="3">
        <v>3.394963918867</v>
      </c>
      <c r="EW250" s="3">
        <v>4.7479452049999997</v>
      </c>
      <c r="EX250" s="3">
        <v>0.21736596999999999</v>
      </c>
      <c r="EY250" s="3">
        <v>49</v>
      </c>
      <c r="EZ250" s="3">
        <v>1733</v>
      </c>
      <c r="FA250" s="1">
        <v>0</v>
      </c>
      <c r="FB250" s="1">
        <v>0</v>
      </c>
      <c r="FC250" s="3">
        <v>4.4281554170000001</v>
      </c>
      <c r="FD250" s="1">
        <v>0</v>
      </c>
      <c r="FE250" s="1">
        <v>0</v>
      </c>
    </row>
    <row r="251" spans="1:161" x14ac:dyDescent="0.3">
      <c r="A251" s="1">
        <v>16975403</v>
      </c>
      <c r="B251" s="1">
        <v>128</v>
      </c>
      <c r="C251" s="1">
        <v>9244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300</v>
      </c>
      <c r="J251" s="3">
        <v>300</v>
      </c>
      <c r="K251" s="1">
        <v>300000</v>
      </c>
      <c r="L251" s="1">
        <v>300000</v>
      </c>
      <c r="M251" s="1">
        <v>300000</v>
      </c>
      <c r="N251" s="3">
        <v>300000</v>
      </c>
      <c r="O251" s="1">
        <v>342187</v>
      </c>
      <c r="P251" s="1">
        <v>342187</v>
      </c>
      <c r="Q251" s="1">
        <v>342187</v>
      </c>
      <c r="R251" s="1">
        <v>342187</v>
      </c>
      <c r="S251" s="1">
        <v>300000</v>
      </c>
      <c r="T251" s="1">
        <v>300000</v>
      </c>
      <c r="U251" s="1">
        <v>300000</v>
      </c>
      <c r="V251" s="1">
        <v>300000</v>
      </c>
      <c r="W251" s="1">
        <v>0</v>
      </c>
      <c r="X251" s="1">
        <v>0</v>
      </c>
      <c r="Y251" s="1">
        <v>0</v>
      </c>
      <c r="Z251" s="1">
        <v>0</v>
      </c>
      <c r="AA251" s="1">
        <v>-16592.310000000001</v>
      </c>
      <c r="AB251" s="1">
        <v>-16592.310000000001</v>
      </c>
      <c r="AC251" s="1">
        <v>-16592.310000000001</v>
      </c>
      <c r="AD251" s="1">
        <v>-16592.310000000001</v>
      </c>
      <c r="AE251" s="3" t="s">
        <v>408</v>
      </c>
      <c r="AF251" s="3" t="s">
        <v>161</v>
      </c>
      <c r="AG251" s="1" t="s">
        <v>970</v>
      </c>
      <c r="AH251" s="3" t="s">
        <v>550</v>
      </c>
      <c r="AI251" s="1">
        <v>4</v>
      </c>
      <c r="AJ251" s="3" t="s">
        <v>165</v>
      </c>
      <c r="AK251" s="1" t="s">
        <v>191</v>
      </c>
      <c r="AL251" s="3">
        <v>103.04573672133699</v>
      </c>
      <c r="AM251" s="3">
        <v>103.001696721314</v>
      </c>
      <c r="AN251" s="3">
        <v>309005.09000000003</v>
      </c>
      <c r="AO251" s="3">
        <v>309005.09000000003</v>
      </c>
      <c r="AP251" s="1" t="s">
        <v>164</v>
      </c>
      <c r="AQ251" s="1">
        <v>4</v>
      </c>
      <c r="AR251" s="1" t="s">
        <v>165</v>
      </c>
      <c r="AS251" s="3">
        <v>132534288.59999999</v>
      </c>
      <c r="AT251" s="1" t="s">
        <v>176</v>
      </c>
      <c r="AU251" s="1">
        <v>1</v>
      </c>
      <c r="AV251" s="1">
        <v>1</v>
      </c>
      <c r="AW251" s="3" t="s">
        <v>214</v>
      </c>
      <c r="AX251" s="3" t="s">
        <v>215</v>
      </c>
      <c r="AY251" s="1">
        <v>0</v>
      </c>
      <c r="BA251" s="3">
        <v>8205251.6799999997</v>
      </c>
      <c r="BB251" s="1">
        <v>1</v>
      </c>
      <c r="BD251" s="1" t="s">
        <v>971</v>
      </c>
      <c r="BE251" s="1">
        <v>1</v>
      </c>
      <c r="BF251" s="1">
        <v>1</v>
      </c>
      <c r="BG251" s="1" t="s">
        <v>168</v>
      </c>
      <c r="BH251" s="1">
        <v>0</v>
      </c>
      <c r="BI251" s="1">
        <v>31345322.399999999</v>
      </c>
      <c r="BJ251" s="1">
        <v>0</v>
      </c>
      <c r="BK251" s="1">
        <v>123618989.48999999</v>
      </c>
      <c r="BL251" s="1">
        <v>132456249.91</v>
      </c>
      <c r="BM251" s="1">
        <v>596150.00000000012</v>
      </c>
      <c r="BN251" s="1">
        <v>9219855.2300000004</v>
      </c>
      <c r="BO251" s="1">
        <v>23.664660909999998</v>
      </c>
      <c r="BP251" s="1">
        <v>0.45007313999999998</v>
      </c>
      <c r="BQ251" s="1">
        <v>6.9606796500000003</v>
      </c>
      <c r="BR251" s="1">
        <v>0.23328842</v>
      </c>
      <c r="BS251" s="1" t="s">
        <v>169</v>
      </c>
      <c r="BT251" s="1" t="s">
        <v>169</v>
      </c>
      <c r="BU251" s="1">
        <v>26356083.120000001</v>
      </c>
      <c r="BV251" s="1">
        <v>0</v>
      </c>
      <c r="BW251" s="1">
        <v>-132.12</v>
      </c>
      <c r="BX251" s="1">
        <v>-0.04</v>
      </c>
      <c r="BY251" s="1" t="s">
        <v>170</v>
      </c>
      <c r="BZ251" s="1">
        <v>-78038.69</v>
      </c>
      <c r="CA251" s="1" t="s">
        <v>250</v>
      </c>
      <c r="CB251" s="1" t="s">
        <v>251</v>
      </c>
      <c r="CC251" s="1">
        <v>-16457.48</v>
      </c>
      <c r="CD251" s="1">
        <v>-16457.48</v>
      </c>
      <c r="CE251" s="1">
        <v>309137.21000000002</v>
      </c>
      <c r="CF251" s="1">
        <v>309137.21000000002</v>
      </c>
      <c r="CG251" s="1">
        <v>0</v>
      </c>
      <c r="CH251" s="1">
        <v>1.4438757900000001</v>
      </c>
      <c r="CI251" s="1">
        <v>13.27863496</v>
      </c>
      <c r="CJ251" s="1">
        <v>17588381.91</v>
      </c>
      <c r="CK251" s="1">
        <v>1912503.72</v>
      </c>
      <c r="CL251" s="1">
        <v>6269233.6699999999</v>
      </c>
      <c r="CM251" s="1" t="s">
        <v>164</v>
      </c>
      <c r="CN251" s="1" t="s">
        <v>164</v>
      </c>
      <c r="CO251" s="1" t="s">
        <v>184</v>
      </c>
      <c r="CP251" s="1" t="s">
        <v>243</v>
      </c>
      <c r="CQ251" s="3" t="s">
        <v>252</v>
      </c>
      <c r="CR251" s="1">
        <v>0</v>
      </c>
      <c r="CS251" s="1" t="s">
        <v>243</v>
      </c>
      <c r="CT251" s="1">
        <v>0.24996571000000001</v>
      </c>
      <c r="CV251" s="1">
        <v>0</v>
      </c>
      <c r="CW251" s="1">
        <v>-219173.26</v>
      </c>
      <c r="DA251" s="1">
        <v>1355558.46</v>
      </c>
      <c r="DB251" s="1">
        <v>0</v>
      </c>
      <c r="DC251" s="1">
        <v>2520.3126550000002</v>
      </c>
      <c r="DD251" s="1">
        <v>52555.483399999997</v>
      </c>
      <c r="DE251" s="1">
        <v>-296353.43</v>
      </c>
      <c r="DF251" s="1">
        <v>92570020.519999996</v>
      </c>
      <c r="DG251" s="1">
        <v>-132.12</v>
      </c>
      <c r="DH251" s="1">
        <v>394770.09</v>
      </c>
      <c r="DI251" s="1">
        <v>0.29803809999999997</v>
      </c>
      <c r="DK251" s="1">
        <v>0</v>
      </c>
      <c r="DL251" s="1">
        <v>0</v>
      </c>
      <c r="DM251" s="1">
        <v>-296353.43</v>
      </c>
      <c r="DN251" s="1">
        <v>0</v>
      </c>
      <c r="DO251" s="1">
        <v>0</v>
      </c>
      <c r="DP251" s="1">
        <v>16777215</v>
      </c>
      <c r="DQ251" s="1">
        <v>0</v>
      </c>
      <c r="DR251" s="1">
        <v>0</v>
      </c>
      <c r="DS251" s="1">
        <v>0</v>
      </c>
      <c r="DT251" s="1">
        <v>0</v>
      </c>
      <c r="DU251" s="1">
        <v>0</v>
      </c>
      <c r="DV251" s="1">
        <v>309005.09000000003</v>
      </c>
      <c r="DW251" s="1">
        <v>309005.09000000003</v>
      </c>
      <c r="DX251" s="1">
        <v>31345322.399999999</v>
      </c>
      <c r="DY251" s="1">
        <v>-1110160.2399999984</v>
      </c>
      <c r="DZ251" s="1">
        <v>92570020.519999966</v>
      </c>
      <c r="EA251" s="1">
        <v>0</v>
      </c>
      <c r="EB251" s="1">
        <v>0</v>
      </c>
      <c r="EC251" s="1" t="s">
        <v>176</v>
      </c>
      <c r="EE251" s="1">
        <v>0</v>
      </c>
      <c r="EF251" s="1">
        <v>3</v>
      </c>
      <c r="EG251" s="1">
        <v>0</v>
      </c>
      <c r="EH251" s="3">
        <v>0.33380686999999998</v>
      </c>
      <c r="EI251" s="1">
        <v>0</v>
      </c>
      <c r="EL251" s="1">
        <v>0</v>
      </c>
      <c r="EM251" s="1">
        <v>0</v>
      </c>
      <c r="EN251" s="1">
        <v>1633661.45</v>
      </c>
      <c r="EO251" s="1">
        <v>1.2333592799999999</v>
      </c>
      <c r="ER251" s="1">
        <v>103.00787704917801</v>
      </c>
      <c r="ES251" s="1">
        <v>1</v>
      </c>
      <c r="ET251" s="3">
        <v>4.533168098</v>
      </c>
      <c r="EU251" s="3">
        <v>1.4290704160000001</v>
      </c>
      <c r="EV251" s="3">
        <v>1.408218199499</v>
      </c>
      <c r="EW251" s="3">
        <v>1.4767123289999999</v>
      </c>
      <c r="EX251" s="3">
        <v>3.2172104E-2</v>
      </c>
      <c r="EY251" s="3">
        <v>16</v>
      </c>
      <c r="EZ251" s="3">
        <v>539</v>
      </c>
      <c r="FA251" s="1">
        <v>0</v>
      </c>
      <c r="FB251" s="1">
        <v>0</v>
      </c>
      <c r="FC251" s="3">
        <v>-2.6562589810000001</v>
      </c>
      <c r="FD251" s="1">
        <v>0</v>
      </c>
      <c r="FE251" s="1">
        <v>0</v>
      </c>
    </row>
    <row r="252" spans="1:161" x14ac:dyDescent="0.3">
      <c r="A252" s="1">
        <v>16975355</v>
      </c>
      <c r="B252" s="1">
        <v>128</v>
      </c>
      <c r="C252" s="1">
        <v>8899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200</v>
      </c>
      <c r="J252" s="3">
        <v>200</v>
      </c>
      <c r="K252" s="1">
        <v>200000</v>
      </c>
      <c r="L252" s="1">
        <v>200000</v>
      </c>
      <c r="M252" s="1">
        <v>200000</v>
      </c>
      <c r="N252" s="3">
        <v>200000</v>
      </c>
      <c r="O252" s="1">
        <v>203590</v>
      </c>
      <c r="P252" s="1">
        <v>203590</v>
      </c>
      <c r="Q252" s="1">
        <v>203590</v>
      </c>
      <c r="R252" s="1">
        <v>203590</v>
      </c>
      <c r="S252" s="1">
        <v>200000</v>
      </c>
      <c r="T252" s="1">
        <v>200000</v>
      </c>
      <c r="U252" s="1">
        <v>200000</v>
      </c>
      <c r="V252" s="1">
        <v>200000</v>
      </c>
      <c r="W252" s="1">
        <v>0</v>
      </c>
      <c r="X252" s="1">
        <v>0</v>
      </c>
      <c r="Y252" s="1">
        <v>0</v>
      </c>
      <c r="Z252" s="1">
        <v>0</v>
      </c>
      <c r="AA252" s="1">
        <v>-3772.87</v>
      </c>
      <c r="AB252" s="1">
        <v>-3772.87</v>
      </c>
      <c r="AC252" s="1">
        <v>-3772.87</v>
      </c>
      <c r="AD252" s="1">
        <v>-3772.87</v>
      </c>
      <c r="AE252" s="3" t="s">
        <v>551</v>
      </c>
      <c r="AF252" s="3" t="s">
        <v>161</v>
      </c>
      <c r="AG252" s="1" t="s">
        <v>970</v>
      </c>
      <c r="AH252" s="3" t="s">
        <v>552</v>
      </c>
      <c r="AI252" s="1">
        <v>4</v>
      </c>
      <c r="AJ252" s="3" t="s">
        <v>165</v>
      </c>
      <c r="AK252" s="1" t="s">
        <v>191</v>
      </c>
      <c r="AL252" s="3">
        <v>98.556311556867996</v>
      </c>
      <c r="AM252" s="3">
        <v>98.588606557378</v>
      </c>
      <c r="AN252" s="3">
        <v>197177.21</v>
      </c>
      <c r="AO252" s="3">
        <v>197177.21</v>
      </c>
      <c r="AP252" s="1" t="s">
        <v>164</v>
      </c>
      <c r="AQ252" s="1">
        <v>4</v>
      </c>
      <c r="AR252" s="1" t="s">
        <v>165</v>
      </c>
      <c r="AS252" s="3">
        <v>132534288.59999999</v>
      </c>
      <c r="AT252" s="1" t="s">
        <v>176</v>
      </c>
      <c r="AU252" s="1">
        <v>1</v>
      </c>
      <c r="AV252" s="1">
        <v>1</v>
      </c>
      <c r="AW252" s="3" t="s">
        <v>214</v>
      </c>
      <c r="AX252" s="3" t="s">
        <v>215</v>
      </c>
      <c r="AY252" s="1">
        <v>0</v>
      </c>
      <c r="BA252" s="3">
        <v>8205251.6799999997</v>
      </c>
      <c r="BB252" s="1">
        <v>1</v>
      </c>
      <c r="BD252" s="1" t="s">
        <v>971</v>
      </c>
      <c r="BE252" s="1">
        <v>1</v>
      </c>
      <c r="BF252" s="1">
        <v>1</v>
      </c>
      <c r="BG252" s="1" t="s">
        <v>168</v>
      </c>
      <c r="BH252" s="1">
        <v>0</v>
      </c>
      <c r="BI252" s="1">
        <v>31345322.399999999</v>
      </c>
      <c r="BJ252" s="1">
        <v>0</v>
      </c>
      <c r="BK252" s="1">
        <v>123618989.48999999</v>
      </c>
      <c r="BL252" s="1">
        <v>132456249.91</v>
      </c>
      <c r="BM252" s="1">
        <v>596150.00000000012</v>
      </c>
      <c r="BN252" s="1">
        <v>9219855.2300000004</v>
      </c>
      <c r="BO252" s="1">
        <v>23.664660909999998</v>
      </c>
      <c r="BP252" s="1">
        <v>0.45007313999999998</v>
      </c>
      <c r="BQ252" s="1">
        <v>6.9606796500000003</v>
      </c>
      <c r="BR252" s="1">
        <v>0.14886214</v>
      </c>
      <c r="BS252" s="1" t="s">
        <v>169</v>
      </c>
      <c r="BT252" s="1" t="s">
        <v>169</v>
      </c>
      <c r="BU252" s="1">
        <v>26356083.120000001</v>
      </c>
      <c r="BV252" s="1">
        <v>0</v>
      </c>
      <c r="BW252" s="1">
        <v>64.59</v>
      </c>
      <c r="BX252" s="1">
        <v>0.03</v>
      </c>
      <c r="BY252" s="1" t="s">
        <v>170</v>
      </c>
      <c r="BZ252" s="1">
        <v>-78038.69</v>
      </c>
      <c r="CA252" s="1" t="s">
        <v>250</v>
      </c>
      <c r="CB252" s="1" t="s">
        <v>251</v>
      </c>
      <c r="CC252" s="1">
        <v>-2704.51</v>
      </c>
      <c r="CD252" s="1">
        <v>-2704.51</v>
      </c>
      <c r="CE252" s="1">
        <v>197112.62</v>
      </c>
      <c r="CF252" s="1">
        <v>197112.62</v>
      </c>
      <c r="CG252" s="1">
        <v>0</v>
      </c>
      <c r="CH252" s="1">
        <v>1.4438757900000001</v>
      </c>
      <c r="CI252" s="1">
        <v>13.27863496</v>
      </c>
      <c r="CJ252" s="1">
        <v>17588381.91</v>
      </c>
      <c r="CK252" s="1">
        <v>1912503.72</v>
      </c>
      <c r="CL252" s="1">
        <v>6269233.6699999999</v>
      </c>
      <c r="CM252" s="1" t="s">
        <v>164</v>
      </c>
      <c r="CN252" s="1" t="s">
        <v>164</v>
      </c>
      <c r="CO252" s="1" t="s">
        <v>184</v>
      </c>
      <c r="CP252" s="1" t="s">
        <v>243</v>
      </c>
      <c r="CQ252" s="3" t="s">
        <v>252</v>
      </c>
      <c r="CR252" s="1">
        <v>0</v>
      </c>
      <c r="CS252" s="1" t="s">
        <v>243</v>
      </c>
      <c r="CT252" s="1">
        <v>0.15950397999999999</v>
      </c>
      <c r="CV252" s="1">
        <v>0</v>
      </c>
      <c r="CW252" s="1">
        <v>-219173.26</v>
      </c>
      <c r="DA252" s="1">
        <v>1355558.46</v>
      </c>
      <c r="DB252" s="1">
        <v>0</v>
      </c>
      <c r="DC252" s="1">
        <v>2520.3126550000002</v>
      </c>
      <c r="DD252" s="1">
        <v>52555.483399999997</v>
      </c>
      <c r="DE252" s="1">
        <v>-296353.43</v>
      </c>
      <c r="DF252" s="1">
        <v>92570020.519999996</v>
      </c>
      <c r="DG252" s="1">
        <v>64.59</v>
      </c>
      <c r="DH252" s="1">
        <v>394770.09</v>
      </c>
      <c r="DI252" s="1">
        <v>0.29803809999999997</v>
      </c>
      <c r="DK252" s="1">
        <v>0</v>
      </c>
      <c r="DL252" s="1">
        <v>0</v>
      </c>
      <c r="DM252" s="1">
        <v>-296353.43</v>
      </c>
      <c r="DN252" s="1">
        <v>0</v>
      </c>
      <c r="DO252" s="1">
        <v>0</v>
      </c>
      <c r="DP252" s="1">
        <v>16777215</v>
      </c>
      <c r="DQ252" s="1">
        <v>0</v>
      </c>
      <c r="DR252" s="1">
        <v>0</v>
      </c>
      <c r="DS252" s="1">
        <v>0</v>
      </c>
      <c r="DT252" s="1">
        <v>0</v>
      </c>
      <c r="DU252" s="1">
        <v>0</v>
      </c>
      <c r="DV252" s="1">
        <v>197177.21</v>
      </c>
      <c r="DW252" s="1">
        <v>197177.21</v>
      </c>
      <c r="DX252" s="1">
        <v>31345322.399999999</v>
      </c>
      <c r="DY252" s="1">
        <v>-1110160.2399999984</v>
      </c>
      <c r="DZ252" s="1">
        <v>92570020.519999966</v>
      </c>
      <c r="EA252" s="1">
        <v>0</v>
      </c>
      <c r="EB252" s="1">
        <v>0</v>
      </c>
      <c r="EC252" s="1" t="s">
        <v>176</v>
      </c>
      <c r="EE252" s="1">
        <v>0</v>
      </c>
      <c r="EF252" s="1">
        <v>3</v>
      </c>
      <c r="EG252" s="1">
        <v>0</v>
      </c>
      <c r="EH252" s="3">
        <v>0.21300331</v>
      </c>
      <c r="EI252" s="1">
        <v>0</v>
      </c>
      <c r="EL252" s="1">
        <v>0</v>
      </c>
      <c r="EM252" s="1">
        <v>0</v>
      </c>
      <c r="EN252" s="1">
        <v>1633661.45</v>
      </c>
      <c r="EO252" s="1">
        <v>1.2333592799999999</v>
      </c>
      <c r="ER252" s="1">
        <v>98.558008196721005</v>
      </c>
      <c r="ES252" s="1">
        <v>1</v>
      </c>
      <c r="ET252" s="3">
        <v>6.1722927429999999</v>
      </c>
      <c r="EU252" s="3">
        <v>0.428961749</v>
      </c>
      <c r="EV252" s="3">
        <v>0.39819819725400002</v>
      </c>
      <c r="EW252" s="3">
        <v>0.430136986</v>
      </c>
      <c r="EX252" s="3">
        <v>5.4377189999999997E-3</v>
      </c>
      <c r="EY252" s="3">
        <v>5</v>
      </c>
      <c r="EZ252" s="3">
        <v>157</v>
      </c>
      <c r="FA252" s="1">
        <v>0</v>
      </c>
      <c r="FB252" s="1">
        <v>0</v>
      </c>
      <c r="FC252" s="3">
        <v>-1.5323035519999999</v>
      </c>
      <c r="FD252" s="1">
        <v>0</v>
      </c>
      <c r="FE252" s="1">
        <v>0</v>
      </c>
    </row>
    <row r="253" spans="1:161" x14ac:dyDescent="0.3">
      <c r="A253" s="1">
        <v>16975431</v>
      </c>
      <c r="B253" s="1">
        <v>128</v>
      </c>
      <c r="C253" s="1">
        <v>9461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1</v>
      </c>
      <c r="J253" s="3">
        <v>1</v>
      </c>
      <c r="K253" s="1">
        <v>100000</v>
      </c>
      <c r="L253" s="1">
        <v>100000</v>
      </c>
      <c r="M253" s="1">
        <v>100000</v>
      </c>
      <c r="N253" s="3">
        <v>100000</v>
      </c>
      <c r="O253" s="1">
        <v>100388</v>
      </c>
      <c r="P253" s="1">
        <v>100388</v>
      </c>
      <c r="Q253" s="1">
        <v>100388</v>
      </c>
      <c r="R253" s="1">
        <v>100388</v>
      </c>
      <c r="S253" s="1">
        <v>100000</v>
      </c>
      <c r="T253" s="1">
        <v>100000</v>
      </c>
      <c r="U253" s="1">
        <v>100000</v>
      </c>
      <c r="V253" s="1">
        <v>100000</v>
      </c>
      <c r="W253" s="1">
        <v>0</v>
      </c>
      <c r="X253" s="1">
        <v>0</v>
      </c>
      <c r="Y253" s="1">
        <v>0</v>
      </c>
      <c r="Z253" s="1">
        <v>0</v>
      </c>
      <c r="AA253" s="1">
        <v>610.82000000000005</v>
      </c>
      <c r="AB253" s="1">
        <v>610.82000000000005</v>
      </c>
      <c r="AC253" s="1">
        <v>610.82000000000005</v>
      </c>
      <c r="AD253" s="1">
        <v>610.82000000000005</v>
      </c>
      <c r="AE253" s="3" t="s">
        <v>553</v>
      </c>
      <c r="AF253" s="3" t="s">
        <v>161</v>
      </c>
      <c r="AG253" s="1" t="s">
        <v>970</v>
      </c>
      <c r="AH253" s="3" t="s">
        <v>554</v>
      </c>
      <c r="AI253" s="1">
        <v>4</v>
      </c>
      <c r="AJ253" s="3" t="s">
        <v>165</v>
      </c>
      <c r="AK253" s="1" t="s">
        <v>176</v>
      </c>
      <c r="AL253" s="3">
        <v>95.717509863065999</v>
      </c>
      <c r="AM253" s="3">
        <v>95.753969863014007</v>
      </c>
      <c r="AN253" s="3">
        <v>95753.97</v>
      </c>
      <c r="AO253" s="3">
        <v>95753.97</v>
      </c>
      <c r="AP253" s="1" t="s">
        <v>164</v>
      </c>
      <c r="AQ253" s="1">
        <v>4</v>
      </c>
      <c r="AR253" s="1" t="s">
        <v>165</v>
      </c>
      <c r="AS253" s="3">
        <v>132534288.59999999</v>
      </c>
      <c r="AT253" s="1" t="s">
        <v>176</v>
      </c>
      <c r="AU253" s="1">
        <v>1</v>
      </c>
      <c r="AV253" s="1">
        <v>1</v>
      </c>
      <c r="AW253" s="3" t="s">
        <v>214</v>
      </c>
      <c r="AX253" s="3" t="s">
        <v>249</v>
      </c>
      <c r="AY253" s="1">
        <v>0</v>
      </c>
      <c r="BA253" s="3">
        <v>8205251.6799999997</v>
      </c>
      <c r="BB253" s="1">
        <v>1</v>
      </c>
      <c r="BD253" s="1" t="s">
        <v>971</v>
      </c>
      <c r="BE253" s="1">
        <v>1</v>
      </c>
      <c r="BF253" s="1">
        <v>1</v>
      </c>
      <c r="BG253" s="1" t="s">
        <v>168</v>
      </c>
      <c r="BH253" s="1">
        <v>0</v>
      </c>
      <c r="BI253" s="1">
        <v>31345322.399999999</v>
      </c>
      <c r="BJ253" s="1">
        <v>0</v>
      </c>
      <c r="BK253" s="1">
        <v>123618989.48999999</v>
      </c>
      <c r="BL253" s="1">
        <v>132456249.91</v>
      </c>
      <c r="BM253" s="1">
        <v>596150.00000000012</v>
      </c>
      <c r="BN253" s="1">
        <v>9219855.2300000004</v>
      </c>
      <c r="BO253" s="1">
        <v>23.664660909999998</v>
      </c>
      <c r="BP253" s="1">
        <v>0.45007313999999998</v>
      </c>
      <c r="BQ253" s="1">
        <v>6.9606796500000003</v>
      </c>
      <c r="BR253" s="1">
        <v>7.2291019999999998E-2</v>
      </c>
      <c r="BS253" s="1" t="s">
        <v>169</v>
      </c>
      <c r="BT253" s="1" t="s">
        <v>169</v>
      </c>
      <c r="BU253" s="1">
        <v>26356083.120000001</v>
      </c>
      <c r="BV253" s="1">
        <v>0</v>
      </c>
      <c r="BW253" s="1">
        <v>36.46</v>
      </c>
      <c r="BX253" s="1">
        <v>0.04</v>
      </c>
      <c r="BY253" s="1" t="s">
        <v>170</v>
      </c>
      <c r="BZ253" s="1">
        <v>-78038.69</v>
      </c>
      <c r="CA253" s="1" t="s">
        <v>250</v>
      </c>
      <c r="CB253" s="1" t="s">
        <v>251</v>
      </c>
      <c r="CC253" s="1">
        <v>-5281.31</v>
      </c>
      <c r="CD253" s="1">
        <v>-5281.31</v>
      </c>
      <c r="CE253" s="1">
        <v>95717.51</v>
      </c>
      <c r="CF253" s="1">
        <v>95717.51</v>
      </c>
      <c r="CG253" s="1">
        <v>0</v>
      </c>
      <c r="CH253" s="1">
        <v>1.4438757900000001</v>
      </c>
      <c r="CI253" s="1">
        <v>13.27863496</v>
      </c>
      <c r="CJ253" s="1">
        <v>17588381.91</v>
      </c>
      <c r="CK253" s="1">
        <v>1912503.72</v>
      </c>
      <c r="CL253" s="1">
        <v>6269233.6699999999</v>
      </c>
      <c r="CM253" s="1" t="s">
        <v>164</v>
      </c>
      <c r="CN253" s="1" t="s">
        <v>164</v>
      </c>
      <c r="CO253" s="1" t="s">
        <v>184</v>
      </c>
      <c r="CP253" s="1" t="s">
        <v>243</v>
      </c>
      <c r="CQ253" s="3" t="s">
        <v>252</v>
      </c>
      <c r="CR253" s="1">
        <v>0</v>
      </c>
      <c r="CS253" s="1" t="s">
        <v>243</v>
      </c>
      <c r="CT253" s="1">
        <v>7.7458949999999999E-2</v>
      </c>
      <c r="CV253" s="1">
        <v>0</v>
      </c>
      <c r="CW253" s="1">
        <v>-219173.26</v>
      </c>
      <c r="DA253" s="1">
        <v>1355558.46</v>
      </c>
      <c r="DB253" s="1">
        <v>0</v>
      </c>
      <c r="DC253" s="1">
        <v>2520.3126550000002</v>
      </c>
      <c r="DD253" s="1">
        <v>52555.483399999997</v>
      </c>
      <c r="DE253" s="1">
        <v>-296353.43</v>
      </c>
      <c r="DF253" s="1">
        <v>92570020.519999996</v>
      </c>
      <c r="DG253" s="1">
        <v>36.46</v>
      </c>
      <c r="DH253" s="1">
        <v>394770.09</v>
      </c>
      <c r="DI253" s="1">
        <v>0.29803809999999997</v>
      </c>
      <c r="DK253" s="1">
        <v>0</v>
      </c>
      <c r="DL253" s="1">
        <v>0</v>
      </c>
      <c r="DM253" s="1">
        <v>-296353.43</v>
      </c>
      <c r="DN253" s="1">
        <v>0</v>
      </c>
      <c r="DO253" s="1">
        <v>0</v>
      </c>
      <c r="DP253" s="1">
        <v>16777215</v>
      </c>
      <c r="DQ253" s="1">
        <v>0</v>
      </c>
      <c r="DR253" s="1">
        <v>0</v>
      </c>
      <c r="DS253" s="1">
        <v>0</v>
      </c>
      <c r="DT253" s="1">
        <v>0</v>
      </c>
      <c r="DU253" s="1">
        <v>0</v>
      </c>
      <c r="DV253" s="1">
        <v>95753.97</v>
      </c>
      <c r="DW253" s="1">
        <v>95753.97</v>
      </c>
      <c r="DX253" s="1">
        <v>31345322.399999999</v>
      </c>
      <c r="DY253" s="1">
        <v>-1110160.2399999984</v>
      </c>
      <c r="DZ253" s="1">
        <v>92570020.519999966</v>
      </c>
      <c r="EA253" s="1">
        <v>0</v>
      </c>
      <c r="EB253" s="1">
        <v>0</v>
      </c>
      <c r="EC253" s="1" t="s">
        <v>176</v>
      </c>
      <c r="EE253" s="1">
        <v>0</v>
      </c>
      <c r="EF253" s="1">
        <v>3</v>
      </c>
      <c r="EG253" s="1">
        <v>0</v>
      </c>
      <c r="EH253" s="3">
        <v>0.1034395</v>
      </c>
      <c r="EI253" s="1">
        <v>0</v>
      </c>
      <c r="EL253" s="1">
        <v>0</v>
      </c>
      <c r="EM253" s="1">
        <v>0</v>
      </c>
      <c r="EN253" s="1">
        <v>1633661.45</v>
      </c>
      <c r="EO253" s="1">
        <v>1.2333592799999999</v>
      </c>
      <c r="ER253" s="1">
        <v>95.794482191781</v>
      </c>
      <c r="ES253" s="1">
        <v>1</v>
      </c>
      <c r="ET253" s="3">
        <v>5.3781837489999997</v>
      </c>
      <c r="EU253" s="3">
        <v>1.2725902790000001</v>
      </c>
      <c r="EV253" s="3">
        <v>1.1568535585969999</v>
      </c>
      <c r="EW253" s="3">
        <v>1.287671233</v>
      </c>
      <c r="EX253" s="3">
        <v>2.6153803E-2</v>
      </c>
      <c r="EY253" s="3">
        <v>14</v>
      </c>
      <c r="EZ253" s="3">
        <v>470</v>
      </c>
      <c r="FA253" s="1">
        <v>0</v>
      </c>
      <c r="FB253" s="1">
        <v>0</v>
      </c>
      <c r="FC253" s="3">
        <v>1.570901613</v>
      </c>
      <c r="FD253" s="1">
        <v>0</v>
      </c>
      <c r="FE253" s="1">
        <v>0</v>
      </c>
    </row>
    <row r="254" spans="1:161" x14ac:dyDescent="0.3">
      <c r="A254" s="1">
        <v>16975559</v>
      </c>
      <c r="B254" s="1">
        <v>128</v>
      </c>
      <c r="C254" s="1">
        <v>7282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1016</v>
      </c>
      <c r="J254" s="3">
        <v>1016</v>
      </c>
      <c r="K254" s="1">
        <v>1016000</v>
      </c>
      <c r="L254" s="1">
        <v>1016000</v>
      </c>
      <c r="M254" s="1">
        <v>1016000</v>
      </c>
      <c r="N254" s="3">
        <v>1016000</v>
      </c>
      <c r="O254" s="1">
        <v>992398.28</v>
      </c>
      <c r="P254" s="1">
        <v>992398.28</v>
      </c>
      <c r="Q254" s="1">
        <v>992398.28</v>
      </c>
      <c r="R254" s="1">
        <v>992398.28</v>
      </c>
      <c r="S254" s="1">
        <v>1016000</v>
      </c>
      <c r="T254" s="1">
        <v>1016000</v>
      </c>
      <c r="U254" s="1">
        <v>1016000</v>
      </c>
      <c r="V254" s="1">
        <v>1016000</v>
      </c>
      <c r="W254" s="1">
        <v>808.39</v>
      </c>
      <c r="X254" s="1">
        <v>808.39</v>
      </c>
      <c r="Y254" s="1">
        <v>808.39</v>
      </c>
      <c r="Z254" s="1">
        <v>808.39</v>
      </c>
      <c r="AA254" s="1">
        <v>25143.23</v>
      </c>
      <c r="AB254" s="1">
        <v>25143.23</v>
      </c>
      <c r="AC254" s="1">
        <v>25143.23</v>
      </c>
      <c r="AD254" s="1">
        <v>25143.23</v>
      </c>
      <c r="AE254" s="3" t="s">
        <v>270</v>
      </c>
      <c r="AF254" s="3" t="s">
        <v>161</v>
      </c>
      <c r="AG254" s="1" t="s">
        <v>970</v>
      </c>
      <c r="AH254" s="3" t="s">
        <v>555</v>
      </c>
      <c r="AI254" s="1">
        <v>4</v>
      </c>
      <c r="AJ254" s="3" t="s">
        <v>165</v>
      </c>
      <c r="AK254" s="1" t="s">
        <v>176</v>
      </c>
      <c r="AL254" s="3">
        <v>100.086862824956</v>
      </c>
      <c r="AM254" s="3">
        <v>100.092061643835</v>
      </c>
      <c r="AN254" s="3">
        <v>1016935.35</v>
      </c>
      <c r="AO254" s="3">
        <v>1016935.35</v>
      </c>
      <c r="AP254" s="1" t="s">
        <v>164</v>
      </c>
      <c r="AQ254" s="1">
        <v>4</v>
      </c>
      <c r="AR254" s="1" t="s">
        <v>165</v>
      </c>
      <c r="AS254" s="3">
        <v>132534288.59999999</v>
      </c>
      <c r="AT254" s="1" t="s">
        <v>176</v>
      </c>
      <c r="AU254" s="1">
        <v>1</v>
      </c>
      <c r="AV254" s="1">
        <v>1</v>
      </c>
      <c r="AW254" s="3" t="s">
        <v>214</v>
      </c>
      <c r="AX254" s="3" t="s">
        <v>556</v>
      </c>
      <c r="AY254" s="1">
        <v>0</v>
      </c>
      <c r="BA254" s="3">
        <v>8205251.6799999997</v>
      </c>
      <c r="BB254" s="1">
        <v>1</v>
      </c>
      <c r="BD254" s="1" t="s">
        <v>971</v>
      </c>
      <c r="BE254" s="1">
        <v>1</v>
      </c>
      <c r="BF254" s="1">
        <v>1</v>
      </c>
      <c r="BG254" s="1" t="s">
        <v>168</v>
      </c>
      <c r="BH254" s="1">
        <v>0</v>
      </c>
      <c r="BI254" s="1">
        <v>31345322.399999999</v>
      </c>
      <c r="BJ254" s="1">
        <v>0</v>
      </c>
      <c r="BK254" s="1">
        <v>123618989.48999999</v>
      </c>
      <c r="BL254" s="1">
        <v>132456249.91</v>
      </c>
      <c r="BM254" s="1">
        <v>596150.00000000012</v>
      </c>
      <c r="BN254" s="1">
        <v>9219855.2300000004</v>
      </c>
      <c r="BO254" s="1">
        <v>23.664660909999998</v>
      </c>
      <c r="BP254" s="1">
        <v>0.45007313999999998</v>
      </c>
      <c r="BQ254" s="1">
        <v>6.9606796500000003</v>
      </c>
      <c r="BR254" s="1">
        <v>0.76775188000000005</v>
      </c>
      <c r="BS254" s="1" t="s">
        <v>169</v>
      </c>
      <c r="BT254" s="1" t="s">
        <v>169</v>
      </c>
      <c r="BU254" s="1">
        <v>26356083.120000001</v>
      </c>
      <c r="BV254" s="1">
        <v>0</v>
      </c>
      <c r="BW254" s="1">
        <v>52.82</v>
      </c>
      <c r="BX254" s="1">
        <v>0.01</v>
      </c>
      <c r="BY254" s="1" t="s">
        <v>170</v>
      </c>
      <c r="BZ254" s="1">
        <v>-78038.69</v>
      </c>
      <c r="CA254" s="1" t="s">
        <v>250</v>
      </c>
      <c r="CB254" s="1" t="s">
        <v>251</v>
      </c>
      <c r="CC254" s="1">
        <v>-1467.37</v>
      </c>
      <c r="CD254" s="1">
        <v>-1467.37</v>
      </c>
      <c r="CE254" s="1">
        <v>1016882.53</v>
      </c>
      <c r="CF254" s="1">
        <v>1016882.53</v>
      </c>
      <c r="CG254" s="1">
        <v>0</v>
      </c>
      <c r="CH254" s="1">
        <v>1.4438757900000001</v>
      </c>
      <c r="CI254" s="1">
        <v>13.27863496</v>
      </c>
      <c r="CJ254" s="1">
        <v>17588381.91</v>
      </c>
      <c r="CK254" s="1">
        <v>1912503.72</v>
      </c>
      <c r="CL254" s="1">
        <v>6269233.6699999999</v>
      </c>
      <c r="CM254" s="1" t="s">
        <v>164</v>
      </c>
      <c r="CN254" s="1" t="s">
        <v>164</v>
      </c>
      <c r="CO254" s="1" t="s">
        <v>184</v>
      </c>
      <c r="CP254" s="1" t="s">
        <v>243</v>
      </c>
      <c r="CQ254" s="3" t="s">
        <v>252</v>
      </c>
      <c r="CR254" s="1">
        <v>0</v>
      </c>
      <c r="CS254" s="1" t="s">
        <v>243</v>
      </c>
      <c r="CT254" s="1">
        <v>0.82263684000000004</v>
      </c>
      <c r="CV254" s="1">
        <v>0</v>
      </c>
      <c r="CW254" s="1">
        <v>-219173.26</v>
      </c>
      <c r="DA254" s="1">
        <v>1355558.46</v>
      </c>
      <c r="DB254" s="1">
        <v>0</v>
      </c>
      <c r="DC254" s="1">
        <v>2520.3126550000002</v>
      </c>
      <c r="DD254" s="1">
        <v>52555.483399999997</v>
      </c>
      <c r="DE254" s="1">
        <v>-296353.43</v>
      </c>
      <c r="DF254" s="1">
        <v>92570020.519999996</v>
      </c>
      <c r="DG254" s="1">
        <v>52.82</v>
      </c>
      <c r="DH254" s="1">
        <v>394770.09</v>
      </c>
      <c r="DI254" s="1">
        <v>0.29803809999999997</v>
      </c>
      <c r="DK254" s="1">
        <v>0</v>
      </c>
      <c r="DL254" s="1">
        <v>0</v>
      </c>
      <c r="DM254" s="1">
        <v>-296353.43</v>
      </c>
      <c r="DN254" s="1">
        <v>0</v>
      </c>
      <c r="DO254" s="1">
        <v>0</v>
      </c>
      <c r="DP254" s="1">
        <v>16777215</v>
      </c>
      <c r="DQ254" s="1">
        <v>0</v>
      </c>
      <c r="DR254" s="1">
        <v>0</v>
      </c>
      <c r="DS254" s="1">
        <v>0</v>
      </c>
      <c r="DT254" s="1">
        <v>0</v>
      </c>
      <c r="DU254" s="1">
        <v>0</v>
      </c>
      <c r="DV254" s="1">
        <v>1016935.35</v>
      </c>
      <c r="DW254" s="1">
        <v>1016935.35</v>
      </c>
      <c r="DX254" s="1">
        <v>31345322.399999999</v>
      </c>
      <c r="DY254" s="1">
        <v>-1110160.2399999984</v>
      </c>
      <c r="DZ254" s="1">
        <v>92570020.519999966</v>
      </c>
      <c r="EA254" s="1">
        <v>0</v>
      </c>
      <c r="EB254" s="1">
        <v>0</v>
      </c>
      <c r="EC254" s="1" t="s">
        <v>176</v>
      </c>
      <c r="EE254" s="1">
        <v>0</v>
      </c>
      <c r="EF254" s="1">
        <v>3</v>
      </c>
      <c r="EG254" s="1">
        <v>0</v>
      </c>
      <c r="EH254" s="3">
        <v>1.09855798</v>
      </c>
      <c r="EI254" s="1">
        <v>0</v>
      </c>
      <c r="EL254" s="1">
        <v>0</v>
      </c>
      <c r="EM254" s="1">
        <v>0</v>
      </c>
      <c r="EN254" s="1">
        <v>1633661.45</v>
      </c>
      <c r="EO254" s="1">
        <v>1.2333592799999999</v>
      </c>
      <c r="ER254" s="1">
        <v>100.07732876712301</v>
      </c>
      <c r="ES254" s="1">
        <v>1</v>
      </c>
      <c r="ET254" s="3">
        <v>4.3466614080000001</v>
      </c>
      <c r="EU254" s="3">
        <v>0.17260274</v>
      </c>
      <c r="EV254" s="3">
        <v>0.16554071668299999</v>
      </c>
      <c r="EW254" s="3">
        <v>0.17260274</v>
      </c>
      <c r="EX254" s="3">
        <v>1.858838E-3</v>
      </c>
      <c r="EY254" s="3">
        <v>2</v>
      </c>
      <c r="EZ254" s="3">
        <v>63</v>
      </c>
      <c r="FA254" s="1">
        <v>0</v>
      </c>
      <c r="FB254" s="1">
        <v>0</v>
      </c>
      <c r="FC254" s="3">
        <v>20.105637412</v>
      </c>
      <c r="FD254" s="1">
        <v>0</v>
      </c>
      <c r="FE254" s="1">
        <v>0</v>
      </c>
    </row>
    <row r="255" spans="1:161" x14ac:dyDescent="0.3">
      <c r="A255" s="1">
        <v>16975374</v>
      </c>
      <c r="B255" s="1">
        <v>128</v>
      </c>
      <c r="C255" s="1">
        <v>7283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200</v>
      </c>
      <c r="J255" s="3">
        <v>200</v>
      </c>
      <c r="K255" s="1">
        <v>200000</v>
      </c>
      <c r="L255" s="1">
        <v>200000</v>
      </c>
      <c r="M255" s="1">
        <v>200000</v>
      </c>
      <c r="N255" s="3">
        <v>200000</v>
      </c>
      <c r="O255" s="1">
        <v>200188</v>
      </c>
      <c r="P255" s="1">
        <v>200188</v>
      </c>
      <c r="Q255" s="1">
        <v>200188</v>
      </c>
      <c r="R255" s="1">
        <v>200188</v>
      </c>
      <c r="S255" s="1">
        <v>200000</v>
      </c>
      <c r="T255" s="1">
        <v>200000</v>
      </c>
      <c r="U255" s="1">
        <v>200000</v>
      </c>
      <c r="V255" s="1">
        <v>200000</v>
      </c>
      <c r="W255" s="1">
        <v>0</v>
      </c>
      <c r="X255" s="1">
        <v>0</v>
      </c>
      <c r="Y255" s="1">
        <v>0</v>
      </c>
      <c r="Z255" s="1">
        <v>0</v>
      </c>
      <c r="AA255" s="1">
        <v>1158.8800000000001</v>
      </c>
      <c r="AB255" s="1">
        <v>1158.8800000000001</v>
      </c>
      <c r="AC255" s="1">
        <v>1158.8800000000001</v>
      </c>
      <c r="AD255" s="1">
        <v>1158.8800000000001</v>
      </c>
      <c r="AE255" s="3" t="s">
        <v>557</v>
      </c>
      <c r="AF255" s="3" t="s">
        <v>161</v>
      </c>
      <c r="AG255" s="1" t="s">
        <v>970</v>
      </c>
      <c r="AH255" s="3" t="s">
        <v>558</v>
      </c>
      <c r="AI255" s="1">
        <v>4</v>
      </c>
      <c r="AJ255" s="3" t="s">
        <v>165</v>
      </c>
      <c r="AK255" s="1" t="s">
        <v>176</v>
      </c>
      <c r="AL255" s="3">
        <v>93.244202532225003</v>
      </c>
      <c r="AM255" s="3">
        <v>93.167857534245996</v>
      </c>
      <c r="AN255" s="3">
        <v>186335.72</v>
      </c>
      <c r="AO255" s="3">
        <v>186335.72</v>
      </c>
      <c r="AP255" s="1" t="s">
        <v>164</v>
      </c>
      <c r="AQ255" s="1">
        <v>4</v>
      </c>
      <c r="AR255" s="1" t="s">
        <v>165</v>
      </c>
      <c r="AS255" s="3">
        <v>132534288.59999999</v>
      </c>
      <c r="AT255" s="1" t="s">
        <v>176</v>
      </c>
      <c r="AU255" s="1">
        <v>1</v>
      </c>
      <c r="AV255" s="1">
        <v>1</v>
      </c>
      <c r="AW255" s="3" t="s">
        <v>214</v>
      </c>
      <c r="AX255" s="3" t="s">
        <v>556</v>
      </c>
      <c r="AY255" s="1">
        <v>0</v>
      </c>
      <c r="BA255" s="3">
        <v>8205251.6799999997</v>
      </c>
      <c r="BB255" s="1">
        <v>1</v>
      </c>
      <c r="BD255" s="1" t="s">
        <v>971</v>
      </c>
      <c r="BE255" s="1">
        <v>1</v>
      </c>
      <c r="BF255" s="1">
        <v>1</v>
      </c>
      <c r="BG255" s="1" t="s">
        <v>168</v>
      </c>
      <c r="BH255" s="1">
        <v>0</v>
      </c>
      <c r="BI255" s="1">
        <v>31345322.399999999</v>
      </c>
      <c r="BJ255" s="1">
        <v>0</v>
      </c>
      <c r="BK255" s="1">
        <v>123618989.48999999</v>
      </c>
      <c r="BL255" s="1">
        <v>132456249.91</v>
      </c>
      <c r="BM255" s="1">
        <v>596150.00000000012</v>
      </c>
      <c r="BN255" s="1">
        <v>9219855.2300000004</v>
      </c>
      <c r="BO255" s="1">
        <v>23.664660909999998</v>
      </c>
      <c r="BP255" s="1">
        <v>0.45007313999999998</v>
      </c>
      <c r="BQ255" s="1">
        <v>6.9606796500000003</v>
      </c>
      <c r="BR255" s="1">
        <v>0.14067718000000001</v>
      </c>
      <c r="BS255" s="1" t="s">
        <v>169</v>
      </c>
      <c r="BT255" s="1" t="s">
        <v>169</v>
      </c>
      <c r="BU255" s="1">
        <v>26356083.120000001</v>
      </c>
      <c r="BV255" s="1">
        <v>0</v>
      </c>
      <c r="BW255" s="1">
        <v>-152.69</v>
      </c>
      <c r="BX255" s="1">
        <v>-0.09</v>
      </c>
      <c r="BY255" s="1" t="s">
        <v>170</v>
      </c>
      <c r="BZ255" s="1">
        <v>-78038.69</v>
      </c>
      <c r="CA255" s="1" t="s">
        <v>250</v>
      </c>
      <c r="CB255" s="1" t="s">
        <v>251</v>
      </c>
      <c r="CC255" s="1">
        <v>-14858.47</v>
      </c>
      <c r="CD255" s="1">
        <v>-14858.47</v>
      </c>
      <c r="CE255" s="1">
        <v>186488.41</v>
      </c>
      <c r="CF255" s="1">
        <v>186488.41</v>
      </c>
      <c r="CG255" s="1">
        <v>0</v>
      </c>
      <c r="CH255" s="1">
        <v>1.4438757900000001</v>
      </c>
      <c r="CI255" s="1">
        <v>13.27863496</v>
      </c>
      <c r="CJ255" s="1">
        <v>17588381.91</v>
      </c>
      <c r="CK255" s="1">
        <v>1912503.72</v>
      </c>
      <c r="CL255" s="1">
        <v>6269233.6699999999</v>
      </c>
      <c r="CM255" s="1" t="s">
        <v>164</v>
      </c>
      <c r="CN255" s="1" t="s">
        <v>164</v>
      </c>
      <c r="CO255" s="1" t="s">
        <v>184</v>
      </c>
      <c r="CP255" s="1" t="s">
        <v>243</v>
      </c>
      <c r="CQ255" s="3" t="s">
        <v>252</v>
      </c>
      <c r="CR255" s="1">
        <v>0</v>
      </c>
      <c r="CS255" s="1" t="s">
        <v>243</v>
      </c>
      <c r="CT255" s="1">
        <v>0.1507339</v>
      </c>
      <c r="CV255" s="1">
        <v>0</v>
      </c>
      <c r="CW255" s="1">
        <v>-219173.26</v>
      </c>
      <c r="DA255" s="1">
        <v>1355558.46</v>
      </c>
      <c r="DB255" s="1">
        <v>0</v>
      </c>
      <c r="DC255" s="1">
        <v>2520.3126550000002</v>
      </c>
      <c r="DD255" s="1">
        <v>52555.483399999997</v>
      </c>
      <c r="DE255" s="1">
        <v>-296353.43</v>
      </c>
      <c r="DF255" s="1">
        <v>92570020.519999996</v>
      </c>
      <c r="DG255" s="1">
        <v>-152.69</v>
      </c>
      <c r="DH255" s="1">
        <v>394770.09</v>
      </c>
      <c r="DI255" s="1">
        <v>0.29803809999999997</v>
      </c>
      <c r="DK255" s="1">
        <v>0</v>
      </c>
      <c r="DL255" s="1">
        <v>0</v>
      </c>
      <c r="DM255" s="1">
        <v>-296353.43</v>
      </c>
      <c r="DN255" s="1">
        <v>0</v>
      </c>
      <c r="DO255" s="1">
        <v>0</v>
      </c>
      <c r="DP255" s="1">
        <v>16777215</v>
      </c>
      <c r="DQ255" s="1">
        <v>0</v>
      </c>
      <c r="DR255" s="1">
        <v>0</v>
      </c>
      <c r="DS255" s="1">
        <v>0</v>
      </c>
      <c r="DT255" s="1">
        <v>0</v>
      </c>
      <c r="DU255" s="1">
        <v>0</v>
      </c>
      <c r="DV255" s="1">
        <v>186335.72</v>
      </c>
      <c r="DW255" s="1">
        <v>186335.72</v>
      </c>
      <c r="DX255" s="1">
        <v>31345322.399999999</v>
      </c>
      <c r="DY255" s="1">
        <v>-1110160.2399999984</v>
      </c>
      <c r="DZ255" s="1">
        <v>92570020.519999966</v>
      </c>
      <c r="EA255" s="1">
        <v>0</v>
      </c>
      <c r="EB255" s="1">
        <v>0</v>
      </c>
      <c r="EC255" s="1" t="s">
        <v>176</v>
      </c>
      <c r="EE255" s="1">
        <v>0</v>
      </c>
      <c r="EF255" s="1">
        <v>3</v>
      </c>
      <c r="EG255" s="1">
        <v>0</v>
      </c>
      <c r="EH255" s="3">
        <v>0.20129164999999999</v>
      </c>
      <c r="EI255" s="1">
        <v>0</v>
      </c>
      <c r="EL255" s="1">
        <v>0</v>
      </c>
      <c r="EM255" s="1">
        <v>0</v>
      </c>
      <c r="EN255" s="1">
        <v>1633661.45</v>
      </c>
      <c r="EO255" s="1">
        <v>1.2333592799999999</v>
      </c>
      <c r="ER255" s="1">
        <v>93.283806849314999</v>
      </c>
      <c r="ES255" s="1">
        <v>1</v>
      </c>
      <c r="ET255" s="3">
        <v>4.6342288869999999</v>
      </c>
      <c r="EU255" s="3">
        <v>2.8824973840000001</v>
      </c>
      <c r="EV255" s="3">
        <v>2.569812307426</v>
      </c>
      <c r="EW255" s="3">
        <v>2.978082192</v>
      </c>
      <c r="EX255" s="3">
        <v>0.104004268</v>
      </c>
      <c r="EY255" s="3">
        <v>33</v>
      </c>
      <c r="EZ255" s="3">
        <v>1087</v>
      </c>
      <c r="FA255" s="1">
        <v>0</v>
      </c>
      <c r="FB255" s="1">
        <v>0</v>
      </c>
      <c r="FC255" s="3">
        <v>2.1094615160000001</v>
      </c>
      <c r="FD255" s="1">
        <v>0</v>
      </c>
      <c r="FE255" s="1">
        <v>0</v>
      </c>
    </row>
    <row r="256" spans="1:161" x14ac:dyDescent="0.3">
      <c r="A256" s="1">
        <v>16975407</v>
      </c>
      <c r="B256" s="1">
        <v>128</v>
      </c>
      <c r="C256" s="1">
        <v>9616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300</v>
      </c>
      <c r="J256" s="3">
        <v>300</v>
      </c>
      <c r="K256" s="1">
        <v>300000</v>
      </c>
      <c r="L256" s="1">
        <v>300000</v>
      </c>
      <c r="M256" s="1">
        <v>300000</v>
      </c>
      <c r="N256" s="3">
        <v>300000</v>
      </c>
      <c r="O256" s="1">
        <v>291252</v>
      </c>
      <c r="P256" s="1">
        <v>291252</v>
      </c>
      <c r="Q256" s="1">
        <v>291252</v>
      </c>
      <c r="R256" s="1">
        <v>291252</v>
      </c>
      <c r="S256" s="1">
        <v>300000</v>
      </c>
      <c r="T256" s="1">
        <v>300000</v>
      </c>
      <c r="U256" s="1">
        <v>300000</v>
      </c>
      <c r="V256" s="1">
        <v>300000</v>
      </c>
      <c r="W256" s="1">
        <v>0</v>
      </c>
      <c r="X256" s="1">
        <v>0</v>
      </c>
      <c r="Y256" s="1">
        <v>0</v>
      </c>
      <c r="Z256" s="1">
        <v>0</v>
      </c>
      <c r="AA256" s="1">
        <v>5114.71</v>
      </c>
      <c r="AB256" s="1">
        <v>5114.71</v>
      </c>
      <c r="AC256" s="1">
        <v>5114.71</v>
      </c>
      <c r="AD256" s="1">
        <v>5114.71</v>
      </c>
      <c r="AE256" s="3" t="s">
        <v>560</v>
      </c>
      <c r="AF256" s="3" t="s">
        <v>161</v>
      </c>
      <c r="AG256" s="1" t="s">
        <v>970</v>
      </c>
      <c r="AH256" s="3" t="s">
        <v>561</v>
      </c>
      <c r="AI256" s="1">
        <v>4</v>
      </c>
      <c r="AJ256" s="3" t="s">
        <v>165</v>
      </c>
      <c r="AK256" s="1" t="s">
        <v>163</v>
      </c>
      <c r="AL256" s="3">
        <v>95.864241304190003</v>
      </c>
      <c r="AM256" s="3">
        <v>95.875891304348002</v>
      </c>
      <c r="AN256" s="3">
        <v>287627.67</v>
      </c>
      <c r="AO256" s="3">
        <v>287627.67</v>
      </c>
      <c r="AP256" s="1" t="s">
        <v>164</v>
      </c>
      <c r="AQ256" s="1">
        <v>4</v>
      </c>
      <c r="AR256" s="1" t="s">
        <v>165</v>
      </c>
      <c r="AS256" s="3">
        <v>132534288.59999999</v>
      </c>
      <c r="AT256" s="1" t="s">
        <v>176</v>
      </c>
      <c r="AU256" s="1">
        <v>1</v>
      </c>
      <c r="AV256" s="1">
        <v>1</v>
      </c>
      <c r="AW256" s="3" t="s">
        <v>214</v>
      </c>
      <c r="AX256" s="3" t="s">
        <v>559</v>
      </c>
      <c r="AY256" s="1">
        <v>0</v>
      </c>
      <c r="BA256" s="3">
        <v>8205251.6799999997</v>
      </c>
      <c r="BB256" s="1">
        <v>1</v>
      </c>
      <c r="BD256" s="1" t="s">
        <v>971</v>
      </c>
      <c r="BE256" s="1">
        <v>1</v>
      </c>
      <c r="BF256" s="1">
        <v>1</v>
      </c>
      <c r="BG256" s="1" t="s">
        <v>168</v>
      </c>
      <c r="BH256" s="1">
        <v>0</v>
      </c>
      <c r="BI256" s="1">
        <v>31345322.399999999</v>
      </c>
      <c r="BJ256" s="1">
        <v>0</v>
      </c>
      <c r="BK256" s="1">
        <v>123618989.48999999</v>
      </c>
      <c r="BL256" s="1">
        <v>132456249.91</v>
      </c>
      <c r="BM256" s="1">
        <v>596150.00000000012</v>
      </c>
      <c r="BN256" s="1">
        <v>9219855.2300000004</v>
      </c>
      <c r="BO256" s="1">
        <v>23.664660909999998</v>
      </c>
      <c r="BP256" s="1">
        <v>0.45007313999999998</v>
      </c>
      <c r="BQ256" s="1">
        <v>6.9606796500000003</v>
      </c>
      <c r="BR256" s="1">
        <v>0.21714918999999999</v>
      </c>
      <c r="BS256" s="1" t="s">
        <v>169</v>
      </c>
      <c r="BT256" s="1" t="s">
        <v>169</v>
      </c>
      <c r="BU256" s="1">
        <v>26356083.120000001</v>
      </c>
      <c r="BV256" s="1">
        <v>0</v>
      </c>
      <c r="BW256" s="1">
        <v>34.950000000000003</v>
      </c>
      <c r="BX256" s="1">
        <v>0.01</v>
      </c>
      <c r="BY256" s="1" t="s">
        <v>170</v>
      </c>
      <c r="BZ256" s="1">
        <v>-78038.69</v>
      </c>
      <c r="CA256" s="1" t="s">
        <v>250</v>
      </c>
      <c r="CB256" s="1" t="s">
        <v>251</v>
      </c>
      <c r="CC256" s="1">
        <v>-8773.99</v>
      </c>
      <c r="CD256" s="1">
        <v>-8773.99</v>
      </c>
      <c r="CE256" s="1">
        <v>287592.71999999997</v>
      </c>
      <c r="CF256" s="1">
        <v>287592.71999999997</v>
      </c>
      <c r="CG256" s="1">
        <v>0</v>
      </c>
      <c r="CH256" s="1">
        <v>1.4438757900000001</v>
      </c>
      <c r="CI256" s="1">
        <v>13.27863496</v>
      </c>
      <c r="CJ256" s="1">
        <v>17588381.91</v>
      </c>
      <c r="CK256" s="1">
        <v>1912503.72</v>
      </c>
      <c r="CL256" s="1">
        <v>6269233.6699999999</v>
      </c>
      <c r="CM256" s="1" t="s">
        <v>164</v>
      </c>
      <c r="CN256" s="1" t="s">
        <v>164</v>
      </c>
      <c r="CO256" s="1" t="s">
        <v>184</v>
      </c>
      <c r="CP256" s="1" t="s">
        <v>243</v>
      </c>
      <c r="CQ256" s="3" t="s">
        <v>252</v>
      </c>
      <c r="CR256" s="1">
        <v>0</v>
      </c>
      <c r="CS256" s="1" t="s">
        <v>243</v>
      </c>
      <c r="CT256" s="1">
        <v>0.23267272</v>
      </c>
      <c r="CV256" s="1">
        <v>0</v>
      </c>
      <c r="CW256" s="1">
        <v>-219173.26</v>
      </c>
      <c r="DA256" s="1">
        <v>1355558.46</v>
      </c>
      <c r="DB256" s="1">
        <v>0</v>
      </c>
      <c r="DC256" s="1">
        <v>2520.3126550000002</v>
      </c>
      <c r="DD256" s="1">
        <v>52555.483399999997</v>
      </c>
      <c r="DE256" s="1">
        <v>-296353.43</v>
      </c>
      <c r="DF256" s="1">
        <v>92570020.519999996</v>
      </c>
      <c r="DG256" s="1">
        <v>34.950000000000003</v>
      </c>
      <c r="DH256" s="1">
        <v>394770.09</v>
      </c>
      <c r="DI256" s="1">
        <v>0.29803809999999997</v>
      </c>
      <c r="DK256" s="1">
        <v>0</v>
      </c>
      <c r="DL256" s="1">
        <v>0</v>
      </c>
      <c r="DM256" s="1">
        <v>-296353.43</v>
      </c>
      <c r="DN256" s="1">
        <v>0</v>
      </c>
      <c r="DO256" s="1">
        <v>0</v>
      </c>
      <c r="DP256" s="1">
        <v>16777215</v>
      </c>
      <c r="DQ256" s="1">
        <v>0</v>
      </c>
      <c r="DR256" s="1">
        <v>0</v>
      </c>
      <c r="DS256" s="1">
        <v>0</v>
      </c>
      <c r="DT256" s="1">
        <v>0</v>
      </c>
      <c r="DU256" s="1">
        <v>0</v>
      </c>
      <c r="DV256" s="1">
        <v>287627.67</v>
      </c>
      <c r="DW256" s="1">
        <v>287627.67</v>
      </c>
      <c r="DX256" s="1">
        <v>31345322.399999999</v>
      </c>
      <c r="DY256" s="1">
        <v>-1110160.2399999984</v>
      </c>
      <c r="DZ256" s="1">
        <v>92570020.519999966</v>
      </c>
      <c r="EA256" s="1">
        <v>0</v>
      </c>
      <c r="EB256" s="1">
        <v>0</v>
      </c>
      <c r="EC256" s="1" t="s">
        <v>176</v>
      </c>
      <c r="EE256" s="1">
        <v>0</v>
      </c>
      <c r="EF256" s="1">
        <v>3</v>
      </c>
      <c r="EG256" s="1">
        <v>0</v>
      </c>
      <c r="EH256" s="3">
        <v>0.31071363000000002</v>
      </c>
      <c r="EI256" s="1">
        <v>0</v>
      </c>
      <c r="EL256" s="1">
        <v>0</v>
      </c>
      <c r="EM256" s="1">
        <v>0</v>
      </c>
      <c r="EN256" s="1">
        <v>1633661.45</v>
      </c>
      <c r="EO256" s="1">
        <v>1.2333592799999999</v>
      </c>
      <c r="ER256" s="1">
        <v>95.863173913042999</v>
      </c>
      <c r="ES256" s="1">
        <v>1</v>
      </c>
      <c r="ET256" s="3">
        <v>5.4500593500000001</v>
      </c>
      <c r="EU256" s="3">
        <v>1.0305163159999999</v>
      </c>
      <c r="EV256" s="3">
        <v>0.96167959370900002</v>
      </c>
      <c r="EW256" s="3">
        <v>1.0383561640000001</v>
      </c>
      <c r="EX256" s="3">
        <v>1.9859347999999999E-2</v>
      </c>
      <c r="EY256" s="3">
        <v>12</v>
      </c>
      <c r="EZ256" s="3">
        <v>379</v>
      </c>
      <c r="FA256" s="1">
        <v>0</v>
      </c>
      <c r="FB256" s="1">
        <v>0</v>
      </c>
      <c r="FC256" s="3">
        <v>4.1630805510000002</v>
      </c>
      <c r="FD256" s="1">
        <v>0</v>
      </c>
      <c r="FE256" s="1">
        <v>0</v>
      </c>
    </row>
    <row r="257" spans="1:161" x14ac:dyDescent="0.3">
      <c r="A257" s="1">
        <v>16975576</v>
      </c>
      <c r="B257" s="1">
        <v>128</v>
      </c>
      <c r="C257" s="1">
        <v>9577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100</v>
      </c>
      <c r="J257" s="3">
        <v>100</v>
      </c>
      <c r="K257" s="1">
        <v>100000</v>
      </c>
      <c r="L257" s="1">
        <v>100000</v>
      </c>
      <c r="M257" s="1">
        <v>100000</v>
      </c>
      <c r="N257" s="3">
        <v>100000</v>
      </c>
      <c r="O257" s="1">
        <v>104815</v>
      </c>
      <c r="P257" s="1">
        <v>104815</v>
      </c>
      <c r="Q257" s="1">
        <v>104815</v>
      </c>
      <c r="R257" s="1">
        <v>104815</v>
      </c>
      <c r="S257" s="1">
        <v>100000</v>
      </c>
      <c r="T257" s="1">
        <v>100000</v>
      </c>
      <c r="U257" s="1">
        <v>100000</v>
      </c>
      <c r="V257" s="1">
        <v>100000</v>
      </c>
      <c r="W257" s="1">
        <v>0</v>
      </c>
      <c r="X257" s="1">
        <v>0</v>
      </c>
      <c r="Y257" s="1">
        <v>0</v>
      </c>
      <c r="Z257" s="1">
        <v>0</v>
      </c>
      <c r="AA257" s="1">
        <v>-2646.05</v>
      </c>
      <c r="AB257" s="1">
        <v>-2646.05</v>
      </c>
      <c r="AC257" s="1">
        <v>-2646.05</v>
      </c>
      <c r="AD257" s="1">
        <v>-2646.05</v>
      </c>
      <c r="AE257" s="3" t="s">
        <v>302</v>
      </c>
      <c r="AF257" s="3" t="s">
        <v>161</v>
      </c>
      <c r="AG257" s="1" t="s">
        <v>970</v>
      </c>
      <c r="AH257" s="3" t="s">
        <v>562</v>
      </c>
      <c r="AI257" s="1">
        <v>4</v>
      </c>
      <c r="AJ257" s="3" t="s">
        <v>165</v>
      </c>
      <c r="AK257" s="1" t="s">
        <v>191</v>
      </c>
      <c r="AL257" s="3">
        <v>96.060998342735004</v>
      </c>
      <c r="AM257" s="3">
        <v>96.605958333333007</v>
      </c>
      <c r="AN257" s="3">
        <v>96605.96</v>
      </c>
      <c r="AO257" s="3">
        <v>96605.96</v>
      </c>
      <c r="AP257" s="1" t="s">
        <v>164</v>
      </c>
      <c r="AQ257" s="1">
        <v>4</v>
      </c>
      <c r="AR257" s="1" t="s">
        <v>165</v>
      </c>
      <c r="AS257" s="3">
        <v>132534288.59999999</v>
      </c>
      <c r="AT257" s="1" t="s">
        <v>176</v>
      </c>
      <c r="AU257" s="1">
        <v>1</v>
      </c>
      <c r="AV257" s="1">
        <v>1</v>
      </c>
      <c r="AW257" s="3" t="s">
        <v>214</v>
      </c>
      <c r="AX257" s="3" t="s">
        <v>559</v>
      </c>
      <c r="AY257" s="1">
        <v>0</v>
      </c>
      <c r="BA257" s="3">
        <v>8205251.6799999997</v>
      </c>
      <c r="BB257" s="1">
        <v>1</v>
      </c>
      <c r="BD257" s="1" t="s">
        <v>971</v>
      </c>
      <c r="BE257" s="1">
        <v>1</v>
      </c>
      <c r="BF257" s="1">
        <v>1</v>
      </c>
      <c r="BG257" s="1" t="s">
        <v>168</v>
      </c>
      <c r="BH257" s="1">
        <v>0</v>
      </c>
      <c r="BI257" s="1">
        <v>31345322.399999999</v>
      </c>
      <c r="BJ257" s="1">
        <v>0</v>
      </c>
      <c r="BK257" s="1">
        <v>123618989.48999999</v>
      </c>
      <c r="BL257" s="1">
        <v>132456249.91</v>
      </c>
      <c r="BM257" s="1">
        <v>596150.00000000012</v>
      </c>
      <c r="BN257" s="1">
        <v>9219855.2300000004</v>
      </c>
      <c r="BO257" s="1">
        <v>23.664660909999998</v>
      </c>
      <c r="BP257" s="1">
        <v>0.45007313999999998</v>
      </c>
      <c r="BQ257" s="1">
        <v>6.9606796500000003</v>
      </c>
      <c r="BR257" s="1">
        <v>7.2934239999999997E-2</v>
      </c>
      <c r="BS257" s="1" t="s">
        <v>169</v>
      </c>
      <c r="BT257" s="1" t="s">
        <v>169</v>
      </c>
      <c r="BU257" s="1">
        <v>26356083.120000001</v>
      </c>
      <c r="BV257" s="1">
        <v>0</v>
      </c>
      <c r="BW257" s="1">
        <v>544.96</v>
      </c>
      <c r="BX257" s="1">
        <v>0.56000000000000005</v>
      </c>
      <c r="BY257" s="1" t="s">
        <v>170</v>
      </c>
      <c r="BZ257" s="1">
        <v>-78038.69</v>
      </c>
      <c r="CA257" s="1" t="s">
        <v>250</v>
      </c>
      <c r="CB257" s="1" t="s">
        <v>251</v>
      </c>
      <c r="CC257" s="1">
        <v>-6107.95</v>
      </c>
      <c r="CD257" s="1">
        <v>-6107.95</v>
      </c>
      <c r="CE257" s="1">
        <v>96061</v>
      </c>
      <c r="CF257" s="1">
        <v>96061</v>
      </c>
      <c r="CG257" s="1">
        <v>0</v>
      </c>
      <c r="CH257" s="1">
        <v>1.4438757900000001</v>
      </c>
      <c r="CI257" s="1">
        <v>13.27863496</v>
      </c>
      <c r="CJ257" s="1">
        <v>17588381.91</v>
      </c>
      <c r="CK257" s="1">
        <v>1912503.72</v>
      </c>
      <c r="CL257" s="1">
        <v>6269233.6699999999</v>
      </c>
      <c r="CM257" s="1" t="s">
        <v>164</v>
      </c>
      <c r="CN257" s="1" t="s">
        <v>164</v>
      </c>
      <c r="CO257" s="1" t="s">
        <v>184</v>
      </c>
      <c r="CP257" s="1" t="s">
        <v>243</v>
      </c>
      <c r="CQ257" s="3" t="s">
        <v>252</v>
      </c>
      <c r="CR257" s="1">
        <v>0</v>
      </c>
      <c r="CS257" s="1" t="s">
        <v>243</v>
      </c>
      <c r="CT257" s="1">
        <v>7.8148159999999994E-2</v>
      </c>
      <c r="CV257" s="1">
        <v>0</v>
      </c>
      <c r="CW257" s="1">
        <v>-219173.26</v>
      </c>
      <c r="DA257" s="1">
        <v>1355558.46</v>
      </c>
      <c r="DB257" s="1">
        <v>0</v>
      </c>
      <c r="DC257" s="1">
        <v>2520.3126550000002</v>
      </c>
      <c r="DD257" s="1">
        <v>52555.483399999997</v>
      </c>
      <c r="DE257" s="1">
        <v>-296353.43</v>
      </c>
      <c r="DF257" s="1">
        <v>92570020.519999996</v>
      </c>
      <c r="DG257" s="1">
        <v>544.96</v>
      </c>
      <c r="DH257" s="1">
        <v>394770.09</v>
      </c>
      <c r="DI257" s="1">
        <v>0.29803809999999997</v>
      </c>
      <c r="DK257" s="1">
        <v>0</v>
      </c>
      <c r="DL257" s="1">
        <v>0</v>
      </c>
      <c r="DM257" s="1">
        <v>-296353.43</v>
      </c>
      <c r="DN257" s="1">
        <v>0</v>
      </c>
      <c r="DO257" s="1">
        <v>0</v>
      </c>
      <c r="DP257" s="1">
        <v>16777215</v>
      </c>
      <c r="DQ257" s="1">
        <v>0</v>
      </c>
      <c r="DR257" s="1">
        <v>0</v>
      </c>
      <c r="DS257" s="1">
        <v>0</v>
      </c>
      <c r="DT257" s="1">
        <v>0</v>
      </c>
      <c r="DU257" s="1">
        <v>0</v>
      </c>
      <c r="DV257" s="1">
        <v>96605.96</v>
      </c>
      <c r="DW257" s="1">
        <v>96605.96</v>
      </c>
      <c r="DX257" s="1">
        <v>31345322.399999999</v>
      </c>
      <c r="DY257" s="1">
        <v>-1110160.2399999984</v>
      </c>
      <c r="DZ257" s="1">
        <v>92570020.519999966</v>
      </c>
      <c r="EA257" s="1">
        <v>0</v>
      </c>
      <c r="EB257" s="1">
        <v>0</v>
      </c>
      <c r="EC257" s="1" t="s">
        <v>176</v>
      </c>
      <c r="EE257" s="1">
        <v>0</v>
      </c>
      <c r="EF257" s="1">
        <v>3</v>
      </c>
      <c r="EG257" s="1">
        <v>0</v>
      </c>
      <c r="EH257" s="3">
        <v>0.10435988</v>
      </c>
      <c r="EI257" s="1">
        <v>0</v>
      </c>
      <c r="EL257" s="1">
        <v>0</v>
      </c>
      <c r="EM257" s="1">
        <v>0</v>
      </c>
      <c r="EN257" s="1">
        <v>1633661.45</v>
      </c>
      <c r="EO257" s="1">
        <v>1.2333592799999999</v>
      </c>
      <c r="ER257" s="1">
        <v>96.582055555555996</v>
      </c>
      <c r="ES257" s="1">
        <v>1</v>
      </c>
      <c r="ET257" s="3">
        <v>5.0305933510000003</v>
      </c>
      <c r="EU257" s="3">
        <v>1.4380426690000001</v>
      </c>
      <c r="EV257" s="3">
        <v>1.35481358776</v>
      </c>
      <c r="EW257" s="3">
        <v>1.4602739730000001</v>
      </c>
      <c r="EX257" s="3">
        <v>3.3565243000000002E-2</v>
      </c>
      <c r="EY257" s="3">
        <v>17</v>
      </c>
      <c r="EZ257" s="3">
        <v>533</v>
      </c>
      <c r="FA257" s="1">
        <v>0</v>
      </c>
      <c r="FB257" s="1">
        <v>0</v>
      </c>
      <c r="FC257" s="3">
        <v>-0.77502005600000001</v>
      </c>
      <c r="FD257" s="1">
        <v>0</v>
      </c>
      <c r="FE257" s="1">
        <v>0</v>
      </c>
    </row>
    <row r="258" spans="1:161" x14ac:dyDescent="0.3">
      <c r="A258" s="1">
        <v>16975524</v>
      </c>
      <c r="B258" s="1">
        <v>128</v>
      </c>
      <c r="C258" s="1">
        <v>9136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900</v>
      </c>
      <c r="J258" s="3">
        <v>900</v>
      </c>
      <c r="K258" s="1">
        <v>900000</v>
      </c>
      <c r="L258" s="1">
        <v>900000</v>
      </c>
      <c r="M258" s="1">
        <v>900000</v>
      </c>
      <c r="N258" s="3">
        <v>900000</v>
      </c>
      <c r="O258" s="1">
        <v>918138</v>
      </c>
      <c r="P258" s="1">
        <v>918138</v>
      </c>
      <c r="Q258" s="1">
        <v>918138</v>
      </c>
      <c r="R258" s="1">
        <v>918138</v>
      </c>
      <c r="S258" s="1">
        <v>900000</v>
      </c>
      <c r="T258" s="1">
        <v>900000</v>
      </c>
      <c r="U258" s="1">
        <v>900000</v>
      </c>
      <c r="V258" s="1">
        <v>900000</v>
      </c>
      <c r="W258" s="1">
        <v>0</v>
      </c>
      <c r="X258" s="1">
        <v>0</v>
      </c>
      <c r="Y258" s="1">
        <v>0</v>
      </c>
      <c r="Z258" s="1">
        <v>0</v>
      </c>
      <c r="AA258" s="1">
        <v>17988.14</v>
      </c>
      <c r="AB258" s="1">
        <v>17988.14</v>
      </c>
      <c r="AC258" s="1">
        <v>17988.14</v>
      </c>
      <c r="AD258" s="1">
        <v>17988.14</v>
      </c>
      <c r="AE258" s="3" t="s">
        <v>670</v>
      </c>
      <c r="AF258" s="3" t="s">
        <v>161</v>
      </c>
      <c r="AG258" s="1" t="s">
        <v>970</v>
      </c>
      <c r="AH258" s="3" t="s">
        <v>563</v>
      </c>
      <c r="AI258" s="1">
        <v>4</v>
      </c>
      <c r="AJ258" s="3" t="s">
        <v>165</v>
      </c>
      <c r="AK258" s="1" t="s">
        <v>191</v>
      </c>
      <c r="AL258" s="3">
        <v>80.563083333335001</v>
      </c>
      <c r="AM258" s="3">
        <v>80.577166666668006</v>
      </c>
      <c r="AN258" s="3">
        <v>725194.5</v>
      </c>
      <c r="AO258" s="3">
        <v>725194.5</v>
      </c>
      <c r="AP258" s="1" t="s">
        <v>164</v>
      </c>
      <c r="AQ258" s="1">
        <v>4</v>
      </c>
      <c r="AR258" s="1" t="s">
        <v>165</v>
      </c>
      <c r="AS258" s="3">
        <v>132534288.59999999</v>
      </c>
      <c r="AT258" s="1" t="s">
        <v>176</v>
      </c>
      <c r="AU258" s="1">
        <v>1</v>
      </c>
      <c r="AV258" s="1">
        <v>1</v>
      </c>
      <c r="AW258" s="3" t="s">
        <v>214</v>
      </c>
      <c r="AX258" s="3" t="s">
        <v>564</v>
      </c>
      <c r="AY258" s="1">
        <v>0</v>
      </c>
      <c r="BA258" s="3">
        <v>8205251.6799999997</v>
      </c>
      <c r="BB258" s="1">
        <v>1</v>
      </c>
      <c r="BD258" s="1" t="s">
        <v>971</v>
      </c>
      <c r="BE258" s="1">
        <v>1</v>
      </c>
      <c r="BF258" s="1">
        <v>1</v>
      </c>
      <c r="BG258" s="1" t="s">
        <v>168</v>
      </c>
      <c r="BH258" s="1">
        <v>0</v>
      </c>
      <c r="BI258" s="1">
        <v>31345322.399999999</v>
      </c>
      <c r="BJ258" s="1">
        <v>0</v>
      </c>
      <c r="BK258" s="1">
        <v>123618989.48999999</v>
      </c>
      <c r="BL258" s="1">
        <v>132456249.91</v>
      </c>
      <c r="BM258" s="1">
        <v>596150.00000000012</v>
      </c>
      <c r="BN258" s="1">
        <v>9219855.2300000004</v>
      </c>
      <c r="BO258" s="1">
        <v>23.664660909999998</v>
      </c>
      <c r="BP258" s="1">
        <v>0.45007313999999998</v>
      </c>
      <c r="BQ258" s="1">
        <v>6.9606796500000003</v>
      </c>
      <c r="BR258" s="1">
        <v>0.54749738000000003</v>
      </c>
      <c r="BS258" s="1" t="s">
        <v>169</v>
      </c>
      <c r="BT258" s="1" t="s">
        <v>169</v>
      </c>
      <c r="BU258" s="1">
        <v>26356083.120000001</v>
      </c>
      <c r="BV258" s="1">
        <v>0</v>
      </c>
      <c r="BW258" s="1">
        <v>126.75</v>
      </c>
      <c r="BX258" s="1">
        <v>0.01</v>
      </c>
      <c r="BY258" s="1" t="s">
        <v>170</v>
      </c>
      <c r="BZ258" s="1">
        <v>-78038.69</v>
      </c>
      <c r="CA258" s="1" t="s">
        <v>250</v>
      </c>
      <c r="CB258" s="1" t="s">
        <v>251</v>
      </c>
      <c r="CC258" s="1">
        <v>-211058.39</v>
      </c>
      <c r="CD258" s="1">
        <v>-211058.39</v>
      </c>
      <c r="CE258" s="1">
        <v>725067.75</v>
      </c>
      <c r="CF258" s="1">
        <v>725067.75</v>
      </c>
      <c r="CG258" s="1">
        <v>0</v>
      </c>
      <c r="CH258" s="1">
        <v>1.4438757900000001</v>
      </c>
      <c r="CI258" s="1">
        <v>13.27863496</v>
      </c>
      <c r="CJ258" s="1">
        <v>17588381.91</v>
      </c>
      <c r="CK258" s="1">
        <v>1912503.72</v>
      </c>
      <c r="CL258" s="1">
        <v>6269233.6699999999</v>
      </c>
      <c r="CM258" s="1" t="s">
        <v>164</v>
      </c>
      <c r="CN258" s="1" t="s">
        <v>164</v>
      </c>
      <c r="CO258" s="1" t="s">
        <v>184</v>
      </c>
      <c r="CP258" s="1" t="s">
        <v>243</v>
      </c>
      <c r="CQ258" s="3" t="s">
        <v>252</v>
      </c>
      <c r="CR258" s="1">
        <v>0</v>
      </c>
      <c r="CS258" s="1" t="s">
        <v>243</v>
      </c>
      <c r="CT258" s="1">
        <v>0.58663681000000001</v>
      </c>
      <c r="CV258" s="1">
        <v>0</v>
      </c>
      <c r="CW258" s="1">
        <v>-219173.26</v>
      </c>
      <c r="DA258" s="1">
        <v>1355558.46</v>
      </c>
      <c r="DB258" s="1">
        <v>0</v>
      </c>
      <c r="DC258" s="1">
        <v>2520.3126550000002</v>
      </c>
      <c r="DD258" s="1">
        <v>52555.483399999997</v>
      </c>
      <c r="DE258" s="1">
        <v>-296353.43</v>
      </c>
      <c r="DF258" s="1">
        <v>92570020.519999996</v>
      </c>
      <c r="DG258" s="1">
        <v>126.75</v>
      </c>
      <c r="DH258" s="1">
        <v>394770.09</v>
      </c>
      <c r="DI258" s="1">
        <v>0.29803809999999997</v>
      </c>
      <c r="DK258" s="1">
        <v>0</v>
      </c>
      <c r="DL258" s="1">
        <v>0</v>
      </c>
      <c r="DM258" s="1">
        <v>-296353.43</v>
      </c>
      <c r="DN258" s="1">
        <v>0</v>
      </c>
      <c r="DO258" s="1">
        <v>0</v>
      </c>
      <c r="DP258" s="1">
        <v>16777215</v>
      </c>
      <c r="DQ258" s="1">
        <v>0</v>
      </c>
      <c r="DR258" s="1">
        <v>0</v>
      </c>
      <c r="DS258" s="1">
        <v>0</v>
      </c>
      <c r="DT258" s="1">
        <v>0</v>
      </c>
      <c r="DU258" s="1">
        <v>0</v>
      </c>
      <c r="DV258" s="1">
        <v>725194.5</v>
      </c>
      <c r="DW258" s="1">
        <v>725194.5</v>
      </c>
      <c r="DX258" s="1">
        <v>31345322.399999999</v>
      </c>
      <c r="DY258" s="1">
        <v>-1110160.2399999984</v>
      </c>
      <c r="DZ258" s="1">
        <v>92570020.519999966</v>
      </c>
      <c r="EA258" s="1">
        <v>0</v>
      </c>
      <c r="EB258" s="1">
        <v>0</v>
      </c>
      <c r="EC258" s="1" t="s">
        <v>176</v>
      </c>
      <c r="EE258" s="1">
        <v>0</v>
      </c>
      <c r="EF258" s="1">
        <v>3</v>
      </c>
      <c r="EG258" s="1">
        <v>0</v>
      </c>
      <c r="EH258" s="3">
        <v>0.78340103999999999</v>
      </c>
      <c r="EI258" s="1">
        <v>0</v>
      </c>
      <c r="EL258" s="1">
        <v>0</v>
      </c>
      <c r="EM258" s="1">
        <v>0</v>
      </c>
      <c r="EN258" s="1">
        <v>1633661.45</v>
      </c>
      <c r="EO258" s="1">
        <v>1.2333592799999999</v>
      </c>
      <c r="ER258" s="1">
        <v>80.572972222223001</v>
      </c>
      <c r="ES258" s="1">
        <v>1</v>
      </c>
      <c r="ET258" s="3">
        <v>68.702552560000001</v>
      </c>
      <c r="EU258" s="3">
        <v>0.521648636</v>
      </c>
      <c r="EV258" s="3">
        <v>0.31284243976699999</v>
      </c>
      <c r="EW258" s="3">
        <v>0.536986301</v>
      </c>
      <c r="EX258" s="3">
        <v>4.436433E-3</v>
      </c>
      <c r="EY258" s="3">
        <v>5</v>
      </c>
      <c r="EZ258" s="3">
        <v>196</v>
      </c>
      <c r="FA258" s="1">
        <v>0</v>
      </c>
      <c r="FB258" s="1">
        <v>0</v>
      </c>
      <c r="FC258" s="3">
        <v>7.4557677260000004</v>
      </c>
      <c r="FD258" s="1">
        <v>0</v>
      </c>
      <c r="FE258" s="1">
        <v>0</v>
      </c>
    </row>
    <row r="259" spans="1:161" x14ac:dyDescent="0.3">
      <c r="A259" s="1">
        <v>16975509</v>
      </c>
      <c r="B259" s="1">
        <v>128</v>
      </c>
      <c r="C259" s="1">
        <v>9406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4</v>
      </c>
      <c r="J259" s="3">
        <v>4</v>
      </c>
      <c r="K259" s="1">
        <v>400000</v>
      </c>
      <c r="L259" s="1">
        <v>400000</v>
      </c>
      <c r="M259" s="1">
        <v>400000</v>
      </c>
      <c r="N259" s="3">
        <v>400000</v>
      </c>
      <c r="O259" s="1">
        <v>406944.57</v>
      </c>
      <c r="P259" s="1">
        <v>406944.57</v>
      </c>
      <c r="Q259" s="1">
        <v>406944.57</v>
      </c>
      <c r="R259" s="1">
        <v>406944.57</v>
      </c>
      <c r="S259" s="1">
        <v>400000</v>
      </c>
      <c r="T259" s="1">
        <v>400000</v>
      </c>
      <c r="U259" s="1">
        <v>400000</v>
      </c>
      <c r="V259" s="1">
        <v>400000</v>
      </c>
      <c r="W259" s="1">
        <v>0</v>
      </c>
      <c r="X259" s="1">
        <v>0</v>
      </c>
      <c r="Y259" s="1">
        <v>0</v>
      </c>
      <c r="Z259" s="1">
        <v>0</v>
      </c>
      <c r="AA259" s="1">
        <v>-4066.3</v>
      </c>
      <c r="AB259" s="1">
        <v>-4066.3</v>
      </c>
      <c r="AC259" s="1">
        <v>-4066.3</v>
      </c>
      <c r="AD259" s="1">
        <v>-4066.3</v>
      </c>
      <c r="AE259" s="3" t="s">
        <v>565</v>
      </c>
      <c r="AF259" s="3" t="s">
        <v>161</v>
      </c>
      <c r="AG259" s="1" t="s">
        <v>970</v>
      </c>
      <c r="AH259" s="3" t="s">
        <v>566</v>
      </c>
      <c r="AI259" s="1">
        <v>4</v>
      </c>
      <c r="AJ259" s="3" t="s">
        <v>165</v>
      </c>
      <c r="AK259" s="1" t="s">
        <v>176</v>
      </c>
      <c r="AL259" s="3">
        <v>88.242701215196007</v>
      </c>
      <c r="AM259" s="3">
        <v>88.290043715848</v>
      </c>
      <c r="AN259" s="3">
        <v>353160.17</v>
      </c>
      <c r="AO259" s="3">
        <v>353160.17</v>
      </c>
      <c r="AP259" s="1" t="s">
        <v>164</v>
      </c>
      <c r="AQ259" s="1">
        <v>4</v>
      </c>
      <c r="AR259" s="1" t="s">
        <v>165</v>
      </c>
      <c r="AS259" s="3">
        <v>132534288.59999999</v>
      </c>
      <c r="AT259" s="1" t="s">
        <v>176</v>
      </c>
      <c r="AU259" s="1">
        <v>1</v>
      </c>
      <c r="AV259" s="1">
        <v>1</v>
      </c>
      <c r="AW259" s="3" t="s">
        <v>567</v>
      </c>
      <c r="AX259" s="3" t="s">
        <v>431</v>
      </c>
      <c r="AY259" s="1">
        <v>0</v>
      </c>
      <c r="BA259" s="3">
        <v>8205251.6799999997</v>
      </c>
      <c r="BB259" s="1">
        <v>1</v>
      </c>
      <c r="BD259" s="1" t="s">
        <v>971</v>
      </c>
      <c r="BE259" s="1">
        <v>1</v>
      </c>
      <c r="BF259" s="1">
        <v>1</v>
      </c>
      <c r="BG259" s="1" t="s">
        <v>168</v>
      </c>
      <c r="BH259" s="1">
        <v>0</v>
      </c>
      <c r="BI259" s="1">
        <v>31345322.399999999</v>
      </c>
      <c r="BJ259" s="1">
        <v>0</v>
      </c>
      <c r="BK259" s="1">
        <v>123618989.48999999</v>
      </c>
      <c r="BL259" s="1">
        <v>132456249.91</v>
      </c>
      <c r="BM259" s="1">
        <v>596150.00000000012</v>
      </c>
      <c r="BN259" s="1">
        <v>9219855.2300000004</v>
      </c>
      <c r="BO259" s="1">
        <v>23.664660909999998</v>
      </c>
      <c r="BP259" s="1">
        <v>0.45007313999999998</v>
      </c>
      <c r="BQ259" s="1">
        <v>6.9606796500000003</v>
      </c>
      <c r="BR259" s="1">
        <v>0.26662401000000002</v>
      </c>
      <c r="BS259" s="1" t="s">
        <v>169</v>
      </c>
      <c r="BT259" s="1" t="s">
        <v>169</v>
      </c>
      <c r="BU259" s="1">
        <v>26356083.120000001</v>
      </c>
      <c r="BV259" s="1">
        <v>0</v>
      </c>
      <c r="BW259" s="1">
        <v>189.37</v>
      </c>
      <c r="BX259" s="1">
        <v>0.06</v>
      </c>
      <c r="BY259" s="1" t="s">
        <v>170</v>
      </c>
      <c r="BZ259" s="1">
        <v>-78038.69</v>
      </c>
      <c r="CA259" s="1" t="s">
        <v>250</v>
      </c>
      <c r="CB259" s="1" t="s">
        <v>251</v>
      </c>
      <c r="CC259" s="1">
        <v>-49907.47</v>
      </c>
      <c r="CD259" s="1">
        <v>-49907.47</v>
      </c>
      <c r="CE259" s="1">
        <v>352970.8</v>
      </c>
      <c r="CF259" s="1">
        <v>352970.8</v>
      </c>
      <c r="CG259" s="1">
        <v>0</v>
      </c>
      <c r="CH259" s="1">
        <v>1.4438757900000001</v>
      </c>
      <c r="CI259" s="1">
        <v>13.27863496</v>
      </c>
      <c r="CJ259" s="1">
        <v>17588381.91</v>
      </c>
      <c r="CK259" s="1">
        <v>1912503.72</v>
      </c>
      <c r="CL259" s="1">
        <v>6269233.6699999999</v>
      </c>
      <c r="CM259" s="1" t="s">
        <v>164</v>
      </c>
      <c r="CN259" s="1" t="s">
        <v>164</v>
      </c>
      <c r="CO259" s="1" t="s">
        <v>184</v>
      </c>
      <c r="CP259" s="1" t="s">
        <v>243</v>
      </c>
      <c r="CQ259" s="3" t="s">
        <v>252</v>
      </c>
      <c r="CR259" s="1">
        <v>0</v>
      </c>
      <c r="CS259" s="1" t="s">
        <v>243</v>
      </c>
      <c r="CT259" s="1">
        <v>0.28568440000000001</v>
      </c>
      <c r="CV259" s="1">
        <v>0</v>
      </c>
      <c r="CW259" s="1">
        <v>-219173.26</v>
      </c>
      <c r="DA259" s="1">
        <v>1355558.46</v>
      </c>
      <c r="DB259" s="1">
        <v>0</v>
      </c>
      <c r="DC259" s="1">
        <v>2520.3126550000002</v>
      </c>
      <c r="DD259" s="1">
        <v>52555.483399999997</v>
      </c>
      <c r="DE259" s="1">
        <v>-296353.43</v>
      </c>
      <c r="DF259" s="1">
        <v>92570020.519999996</v>
      </c>
      <c r="DG259" s="1">
        <v>189.37</v>
      </c>
      <c r="DH259" s="1">
        <v>394770.09</v>
      </c>
      <c r="DI259" s="1">
        <v>0.29803809999999997</v>
      </c>
      <c r="DK259" s="1">
        <v>0</v>
      </c>
      <c r="DL259" s="1">
        <v>0</v>
      </c>
      <c r="DM259" s="1">
        <v>-296353.43</v>
      </c>
      <c r="DN259" s="1">
        <v>0</v>
      </c>
      <c r="DO259" s="1">
        <v>0</v>
      </c>
      <c r="DP259" s="1">
        <v>16777215</v>
      </c>
      <c r="DQ259" s="1">
        <v>0</v>
      </c>
      <c r="DR259" s="1">
        <v>0</v>
      </c>
      <c r="DS259" s="1">
        <v>0</v>
      </c>
      <c r="DT259" s="1">
        <v>0</v>
      </c>
      <c r="DU259" s="1">
        <v>0</v>
      </c>
      <c r="DV259" s="1">
        <v>353160.17</v>
      </c>
      <c r="DW259" s="1">
        <v>353160.17</v>
      </c>
      <c r="DX259" s="1">
        <v>31345322.399999999</v>
      </c>
      <c r="DY259" s="1">
        <v>-1110160.2399999984</v>
      </c>
      <c r="DZ259" s="1">
        <v>92570020.519999966</v>
      </c>
      <c r="EA259" s="1">
        <v>0</v>
      </c>
      <c r="EB259" s="1">
        <v>0</v>
      </c>
      <c r="EC259" s="1" t="s">
        <v>176</v>
      </c>
      <c r="EE259" s="1">
        <v>0</v>
      </c>
      <c r="EF259" s="1">
        <v>3</v>
      </c>
      <c r="EG259" s="1">
        <v>0</v>
      </c>
      <c r="EH259" s="3">
        <v>0.38150599000000002</v>
      </c>
      <c r="EI259" s="1">
        <v>0</v>
      </c>
      <c r="EL259" s="1">
        <v>0</v>
      </c>
      <c r="EM259" s="1">
        <v>0</v>
      </c>
      <c r="EN259" s="1">
        <v>1633661.45</v>
      </c>
      <c r="EO259" s="1">
        <v>1.2333592799999999</v>
      </c>
      <c r="ER259" s="1">
        <v>88.347262295080995</v>
      </c>
      <c r="ES259" s="1">
        <v>1</v>
      </c>
      <c r="ET259" s="3">
        <v>7.0440341169999998</v>
      </c>
      <c r="EU259" s="3">
        <v>2.5086353959999999</v>
      </c>
      <c r="EV259" s="3">
        <v>2.0704663383250002</v>
      </c>
      <c r="EW259" s="3">
        <v>2.5561643840000001</v>
      </c>
      <c r="EX259" s="3">
        <v>7.7385725000000002E-2</v>
      </c>
      <c r="EY259" s="3">
        <v>28</v>
      </c>
      <c r="EZ259" s="3">
        <v>933</v>
      </c>
      <c r="FA259" s="1">
        <v>0</v>
      </c>
      <c r="FB259" s="1">
        <v>0</v>
      </c>
      <c r="FC259" s="3">
        <v>1.1932025559999999</v>
      </c>
      <c r="FD259" s="1">
        <v>0</v>
      </c>
      <c r="FE259" s="1">
        <v>0</v>
      </c>
    </row>
    <row r="260" spans="1:161" x14ac:dyDescent="0.3">
      <c r="A260" s="1">
        <v>16975451</v>
      </c>
      <c r="B260" s="1">
        <v>128</v>
      </c>
      <c r="C260" s="1">
        <v>7239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400</v>
      </c>
      <c r="J260" s="3">
        <v>400</v>
      </c>
      <c r="K260" s="1">
        <v>400000</v>
      </c>
      <c r="L260" s="1">
        <v>400000</v>
      </c>
      <c r="M260" s="1">
        <v>400000</v>
      </c>
      <c r="N260" s="3">
        <v>400000</v>
      </c>
      <c r="O260" s="1">
        <v>398218</v>
      </c>
      <c r="P260" s="1">
        <v>398218</v>
      </c>
      <c r="Q260" s="1">
        <v>398218</v>
      </c>
      <c r="R260" s="1">
        <v>398218</v>
      </c>
      <c r="S260" s="1">
        <v>400000</v>
      </c>
      <c r="T260" s="1">
        <v>400000</v>
      </c>
      <c r="U260" s="1">
        <v>400000</v>
      </c>
      <c r="V260" s="1">
        <v>400000</v>
      </c>
      <c r="W260" s="1">
        <v>0</v>
      </c>
      <c r="X260" s="1">
        <v>0</v>
      </c>
      <c r="Y260" s="1">
        <v>0</v>
      </c>
      <c r="Z260" s="1">
        <v>0</v>
      </c>
      <c r="AA260" s="1">
        <v>3883.62</v>
      </c>
      <c r="AB260" s="1">
        <v>3883.62</v>
      </c>
      <c r="AC260" s="1">
        <v>3883.62</v>
      </c>
      <c r="AD260" s="1">
        <v>3883.62</v>
      </c>
      <c r="AE260" s="3" t="s">
        <v>569</v>
      </c>
      <c r="AF260" s="3" t="s">
        <v>161</v>
      </c>
      <c r="AG260" s="1" t="s">
        <v>970</v>
      </c>
      <c r="AH260" s="3" t="s">
        <v>570</v>
      </c>
      <c r="AI260" s="1">
        <v>4</v>
      </c>
      <c r="AJ260" s="3" t="s">
        <v>165</v>
      </c>
      <c r="AK260" s="1" t="s">
        <v>191</v>
      </c>
      <c r="AL260" s="3">
        <v>96.315275034251997</v>
      </c>
      <c r="AM260" s="3">
        <v>96.297157534245997</v>
      </c>
      <c r="AN260" s="3">
        <v>385188.63</v>
      </c>
      <c r="AO260" s="3">
        <v>385188.63</v>
      </c>
      <c r="AP260" s="1" t="s">
        <v>164</v>
      </c>
      <c r="AQ260" s="1">
        <v>4</v>
      </c>
      <c r="AR260" s="1" t="s">
        <v>165</v>
      </c>
      <c r="AS260" s="3">
        <v>132534288.59999999</v>
      </c>
      <c r="AT260" s="1" t="s">
        <v>176</v>
      </c>
      <c r="AU260" s="1">
        <v>1</v>
      </c>
      <c r="AV260" s="1">
        <v>1</v>
      </c>
      <c r="AW260" s="3" t="s">
        <v>220</v>
      </c>
      <c r="AX260" s="3" t="s">
        <v>568</v>
      </c>
      <c r="AY260" s="1">
        <v>0</v>
      </c>
      <c r="BA260" s="3">
        <v>8205251.6799999997</v>
      </c>
      <c r="BB260" s="1">
        <v>1</v>
      </c>
      <c r="BD260" s="1" t="s">
        <v>971</v>
      </c>
      <c r="BE260" s="1">
        <v>1</v>
      </c>
      <c r="BF260" s="1">
        <v>1</v>
      </c>
      <c r="BG260" s="1" t="s">
        <v>168</v>
      </c>
      <c r="BH260" s="1">
        <v>0</v>
      </c>
      <c r="BI260" s="1">
        <v>31345322.399999999</v>
      </c>
      <c r="BJ260" s="1">
        <v>0</v>
      </c>
      <c r="BK260" s="1">
        <v>123618989.48999999</v>
      </c>
      <c r="BL260" s="1">
        <v>132456249.91</v>
      </c>
      <c r="BM260" s="1">
        <v>596150.00000000012</v>
      </c>
      <c r="BN260" s="1">
        <v>9219855.2300000004</v>
      </c>
      <c r="BO260" s="1">
        <v>23.664660909999998</v>
      </c>
      <c r="BP260" s="1">
        <v>0.45007313999999998</v>
      </c>
      <c r="BQ260" s="1">
        <v>6.9606796500000003</v>
      </c>
      <c r="BR260" s="1">
        <v>0.29080442000000001</v>
      </c>
      <c r="BS260" s="1" t="s">
        <v>169</v>
      </c>
      <c r="BT260" s="1" t="s">
        <v>169</v>
      </c>
      <c r="BU260" s="1">
        <v>26356083.120000001</v>
      </c>
      <c r="BV260" s="1">
        <v>0</v>
      </c>
      <c r="BW260" s="1">
        <v>-72.47</v>
      </c>
      <c r="BX260" s="1">
        <v>-0.02</v>
      </c>
      <c r="BY260" s="1" t="s">
        <v>170</v>
      </c>
      <c r="BZ260" s="1">
        <v>-78038.69</v>
      </c>
      <c r="CA260" s="1" t="s">
        <v>250</v>
      </c>
      <c r="CB260" s="1" t="s">
        <v>251</v>
      </c>
      <c r="CC260" s="1">
        <v>-16840.52</v>
      </c>
      <c r="CD260" s="1">
        <v>-16840.52</v>
      </c>
      <c r="CE260" s="1">
        <v>385261.1</v>
      </c>
      <c r="CF260" s="1">
        <v>385261.1</v>
      </c>
      <c r="CG260" s="1">
        <v>0</v>
      </c>
      <c r="CH260" s="1">
        <v>1.4438757900000001</v>
      </c>
      <c r="CI260" s="1">
        <v>13.27863496</v>
      </c>
      <c r="CJ260" s="1">
        <v>17588381.91</v>
      </c>
      <c r="CK260" s="1">
        <v>1912503.72</v>
      </c>
      <c r="CL260" s="1">
        <v>6269233.6699999999</v>
      </c>
      <c r="CM260" s="1" t="s">
        <v>164</v>
      </c>
      <c r="CN260" s="1" t="s">
        <v>164</v>
      </c>
      <c r="CO260" s="1" t="s">
        <v>184</v>
      </c>
      <c r="CP260" s="1" t="s">
        <v>243</v>
      </c>
      <c r="CQ260" s="3" t="s">
        <v>252</v>
      </c>
      <c r="CR260" s="1">
        <v>0</v>
      </c>
      <c r="CS260" s="1" t="s">
        <v>243</v>
      </c>
      <c r="CT260" s="1">
        <v>0.31159341000000002</v>
      </c>
      <c r="CV260" s="1">
        <v>0</v>
      </c>
      <c r="CW260" s="1">
        <v>-219173.26</v>
      </c>
      <c r="DA260" s="1">
        <v>1355558.46</v>
      </c>
      <c r="DB260" s="1">
        <v>0</v>
      </c>
      <c r="DC260" s="1">
        <v>2520.3126550000002</v>
      </c>
      <c r="DD260" s="1">
        <v>52555.483399999997</v>
      </c>
      <c r="DE260" s="1">
        <v>-296353.43</v>
      </c>
      <c r="DF260" s="1">
        <v>92570020.519999996</v>
      </c>
      <c r="DG260" s="1">
        <v>-72.47</v>
      </c>
      <c r="DH260" s="1">
        <v>394770.09</v>
      </c>
      <c r="DI260" s="1">
        <v>0.29803809999999997</v>
      </c>
      <c r="DK260" s="1">
        <v>0</v>
      </c>
      <c r="DL260" s="1">
        <v>0</v>
      </c>
      <c r="DM260" s="1">
        <v>-296353.43</v>
      </c>
      <c r="DN260" s="1">
        <v>0</v>
      </c>
      <c r="DO260" s="1">
        <v>0</v>
      </c>
      <c r="DP260" s="1">
        <v>16777215</v>
      </c>
      <c r="DQ260" s="1">
        <v>0</v>
      </c>
      <c r="DR260" s="1">
        <v>0</v>
      </c>
      <c r="DS260" s="1">
        <v>0</v>
      </c>
      <c r="DT260" s="1">
        <v>0</v>
      </c>
      <c r="DU260" s="1">
        <v>0</v>
      </c>
      <c r="DV260" s="1">
        <v>385188.63</v>
      </c>
      <c r="DW260" s="1">
        <v>385188.63</v>
      </c>
      <c r="DX260" s="1">
        <v>31345322.399999999</v>
      </c>
      <c r="DY260" s="1">
        <v>-1110160.2399999984</v>
      </c>
      <c r="DZ260" s="1">
        <v>92570020.519999966</v>
      </c>
      <c r="EA260" s="1">
        <v>0</v>
      </c>
      <c r="EB260" s="1">
        <v>0</v>
      </c>
      <c r="EC260" s="1" t="s">
        <v>176</v>
      </c>
      <c r="EE260" s="1">
        <v>0</v>
      </c>
      <c r="EF260" s="1">
        <v>3</v>
      </c>
      <c r="EG260" s="1">
        <v>0</v>
      </c>
      <c r="EH260" s="3">
        <v>0.41610515999999997</v>
      </c>
      <c r="EI260" s="1">
        <v>0</v>
      </c>
      <c r="EL260" s="1">
        <v>0</v>
      </c>
      <c r="EM260" s="1">
        <v>0</v>
      </c>
      <c r="EN260" s="1">
        <v>1633661.45</v>
      </c>
      <c r="EO260" s="1">
        <v>1.2333592799999999</v>
      </c>
      <c r="ER260" s="1">
        <v>96.315863013699001</v>
      </c>
      <c r="ES260" s="1">
        <v>1</v>
      </c>
      <c r="ET260" s="3">
        <v>4.7083987020000002</v>
      </c>
      <c r="EU260" s="3">
        <v>1.835301952</v>
      </c>
      <c r="EV260" s="3">
        <v>1.688199738996</v>
      </c>
      <c r="EW260" s="3">
        <v>1.882191781</v>
      </c>
      <c r="EX260" s="3">
        <v>4.8035258999999997E-2</v>
      </c>
      <c r="EY260" s="3">
        <v>21</v>
      </c>
      <c r="EZ260" s="3">
        <v>687</v>
      </c>
      <c r="FA260" s="1">
        <v>0</v>
      </c>
      <c r="FB260" s="1">
        <v>0</v>
      </c>
      <c r="FC260" s="3">
        <v>2.8390149569999998</v>
      </c>
      <c r="FD260" s="1">
        <v>0</v>
      </c>
      <c r="FE260" s="1">
        <v>0</v>
      </c>
    </row>
    <row r="261" spans="1:161" x14ac:dyDescent="0.3">
      <c r="A261" s="1">
        <v>16975408</v>
      </c>
      <c r="B261" s="1">
        <v>128</v>
      </c>
      <c r="C261" s="1">
        <v>7349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300</v>
      </c>
      <c r="J261" s="3">
        <v>300</v>
      </c>
      <c r="K261" s="1">
        <v>300000</v>
      </c>
      <c r="L261" s="1">
        <v>300000</v>
      </c>
      <c r="M261" s="1">
        <v>300000</v>
      </c>
      <c r="N261" s="3">
        <v>300000</v>
      </c>
      <c r="O261" s="1">
        <v>297567</v>
      </c>
      <c r="P261" s="1">
        <v>297567</v>
      </c>
      <c r="Q261" s="1">
        <v>297567</v>
      </c>
      <c r="R261" s="1">
        <v>297567</v>
      </c>
      <c r="S261" s="1">
        <v>300000</v>
      </c>
      <c r="T261" s="1">
        <v>300000</v>
      </c>
      <c r="U261" s="1">
        <v>300000</v>
      </c>
      <c r="V261" s="1">
        <v>300000</v>
      </c>
      <c r="W261" s="1">
        <v>0</v>
      </c>
      <c r="X261" s="1">
        <v>0</v>
      </c>
      <c r="Y261" s="1">
        <v>0</v>
      </c>
      <c r="Z261" s="1">
        <v>0</v>
      </c>
      <c r="AA261" s="1">
        <v>3259.01</v>
      </c>
      <c r="AB261" s="1">
        <v>3259.01</v>
      </c>
      <c r="AC261" s="1">
        <v>3259.01</v>
      </c>
      <c r="AD261" s="1">
        <v>3259.01</v>
      </c>
      <c r="AE261" s="3" t="s">
        <v>571</v>
      </c>
      <c r="AF261" s="3" t="s">
        <v>161</v>
      </c>
      <c r="AG261" s="1" t="s">
        <v>970</v>
      </c>
      <c r="AH261" s="3" t="s">
        <v>572</v>
      </c>
      <c r="AI261" s="1">
        <v>4</v>
      </c>
      <c r="AJ261" s="3" t="s">
        <v>165</v>
      </c>
      <c r="AK261" s="1" t="s">
        <v>179</v>
      </c>
      <c r="AL261" s="3">
        <v>99.110684519721005</v>
      </c>
      <c r="AM261" s="3">
        <v>99.179794520548</v>
      </c>
      <c r="AN261" s="3">
        <v>297539.38</v>
      </c>
      <c r="AO261" s="3">
        <v>297539.38</v>
      </c>
      <c r="AP261" s="1" t="s">
        <v>164</v>
      </c>
      <c r="AQ261" s="1">
        <v>4</v>
      </c>
      <c r="AR261" s="1" t="s">
        <v>165</v>
      </c>
      <c r="AS261" s="3">
        <v>132534288.59999999</v>
      </c>
      <c r="AT261" s="1" t="s">
        <v>176</v>
      </c>
      <c r="AU261" s="1">
        <v>1</v>
      </c>
      <c r="AV261" s="1">
        <v>1</v>
      </c>
      <c r="AW261" s="3" t="s">
        <v>220</v>
      </c>
      <c r="AX261" s="3" t="s">
        <v>568</v>
      </c>
      <c r="AY261" s="1">
        <v>0</v>
      </c>
      <c r="BA261" s="3">
        <v>8205251.6799999997</v>
      </c>
      <c r="BB261" s="1">
        <v>1</v>
      </c>
      <c r="BD261" s="1" t="s">
        <v>971</v>
      </c>
      <c r="BE261" s="1">
        <v>1</v>
      </c>
      <c r="BF261" s="1">
        <v>1</v>
      </c>
      <c r="BG261" s="1" t="s">
        <v>168</v>
      </c>
      <c r="BH261" s="1">
        <v>0</v>
      </c>
      <c r="BI261" s="1">
        <v>31345322.399999999</v>
      </c>
      <c r="BJ261" s="1">
        <v>0</v>
      </c>
      <c r="BK261" s="1">
        <v>123618989.48999999</v>
      </c>
      <c r="BL261" s="1">
        <v>132456249.91</v>
      </c>
      <c r="BM261" s="1">
        <v>596150.00000000012</v>
      </c>
      <c r="BN261" s="1">
        <v>9219855.2300000004</v>
      </c>
      <c r="BO261" s="1">
        <v>23.664660909999998</v>
      </c>
      <c r="BP261" s="1">
        <v>0.45007313999999998</v>
      </c>
      <c r="BQ261" s="1">
        <v>6.9606796500000003</v>
      </c>
      <c r="BR261" s="1">
        <v>0.22463219000000001</v>
      </c>
      <c r="BS261" s="1" t="s">
        <v>169</v>
      </c>
      <c r="BT261" s="1" t="s">
        <v>169</v>
      </c>
      <c r="BU261" s="1">
        <v>26356083.120000001</v>
      </c>
      <c r="BV261" s="1">
        <v>0</v>
      </c>
      <c r="BW261" s="1">
        <v>207.33</v>
      </c>
      <c r="BX261" s="1">
        <v>7.0000000000000007E-2</v>
      </c>
      <c r="BY261" s="1" t="s">
        <v>170</v>
      </c>
      <c r="BZ261" s="1">
        <v>-78038.69</v>
      </c>
      <c r="CA261" s="1" t="s">
        <v>250</v>
      </c>
      <c r="CB261" s="1" t="s">
        <v>251</v>
      </c>
      <c r="CC261" s="1">
        <v>-3493.96</v>
      </c>
      <c r="CD261" s="1">
        <v>-3493.96</v>
      </c>
      <c r="CE261" s="1">
        <v>297332.05</v>
      </c>
      <c r="CF261" s="1">
        <v>297332.05</v>
      </c>
      <c r="CG261" s="1">
        <v>0</v>
      </c>
      <c r="CH261" s="1">
        <v>1.4438757900000001</v>
      </c>
      <c r="CI261" s="1">
        <v>13.27863496</v>
      </c>
      <c r="CJ261" s="1">
        <v>17588381.91</v>
      </c>
      <c r="CK261" s="1">
        <v>1912503.72</v>
      </c>
      <c r="CL261" s="1">
        <v>6269233.6699999999</v>
      </c>
      <c r="CM261" s="1" t="s">
        <v>164</v>
      </c>
      <c r="CN261" s="1" t="s">
        <v>164</v>
      </c>
      <c r="CO261" s="1" t="s">
        <v>184</v>
      </c>
      <c r="CP261" s="1" t="s">
        <v>243</v>
      </c>
      <c r="CQ261" s="3" t="s">
        <v>252</v>
      </c>
      <c r="CR261" s="1">
        <v>0</v>
      </c>
      <c r="CS261" s="1" t="s">
        <v>243</v>
      </c>
      <c r="CT261" s="1">
        <v>0.24069067</v>
      </c>
      <c r="CV261" s="1">
        <v>0</v>
      </c>
      <c r="CW261" s="1">
        <v>-219173.26</v>
      </c>
      <c r="DA261" s="1">
        <v>1355558.46</v>
      </c>
      <c r="DB261" s="1">
        <v>0</v>
      </c>
      <c r="DC261" s="1">
        <v>2520.3126550000002</v>
      </c>
      <c r="DD261" s="1">
        <v>52555.483399999997</v>
      </c>
      <c r="DE261" s="1">
        <v>-296353.43</v>
      </c>
      <c r="DF261" s="1">
        <v>92570020.519999996</v>
      </c>
      <c r="DG261" s="1">
        <v>207.33</v>
      </c>
      <c r="DH261" s="1">
        <v>394770.09</v>
      </c>
      <c r="DI261" s="1">
        <v>0.29803809999999997</v>
      </c>
      <c r="DK261" s="1">
        <v>0</v>
      </c>
      <c r="DL261" s="1">
        <v>0</v>
      </c>
      <c r="DM261" s="1">
        <v>-296353.43</v>
      </c>
      <c r="DN261" s="1">
        <v>0</v>
      </c>
      <c r="DO261" s="1">
        <v>0</v>
      </c>
      <c r="DP261" s="1">
        <v>16777215</v>
      </c>
      <c r="DQ261" s="1">
        <v>0</v>
      </c>
      <c r="DR261" s="1">
        <v>0</v>
      </c>
      <c r="DS261" s="1">
        <v>0</v>
      </c>
      <c r="DT261" s="1">
        <v>0</v>
      </c>
      <c r="DU261" s="1">
        <v>0</v>
      </c>
      <c r="DV261" s="1">
        <v>297539.38</v>
      </c>
      <c r="DW261" s="1">
        <v>297539.38</v>
      </c>
      <c r="DX261" s="1">
        <v>31345322.399999999</v>
      </c>
      <c r="DY261" s="1">
        <v>-1110160.2399999984</v>
      </c>
      <c r="DZ261" s="1">
        <v>92570020.519999966</v>
      </c>
      <c r="EA261" s="1">
        <v>0</v>
      </c>
      <c r="EB261" s="1">
        <v>0</v>
      </c>
      <c r="EC261" s="1" t="s">
        <v>176</v>
      </c>
      <c r="EE261" s="1">
        <v>0</v>
      </c>
      <c r="EF261" s="1">
        <v>3</v>
      </c>
      <c r="EG261" s="1">
        <v>0</v>
      </c>
      <c r="EH261" s="3">
        <v>0.32142089000000001</v>
      </c>
      <c r="EI261" s="1">
        <v>0</v>
      </c>
      <c r="EL261" s="1">
        <v>0</v>
      </c>
      <c r="EM261" s="1">
        <v>0</v>
      </c>
      <c r="EN261" s="1">
        <v>1633661.45</v>
      </c>
      <c r="EO261" s="1">
        <v>1.2333592799999999</v>
      </c>
      <c r="ER261" s="1">
        <v>99.180924657534007</v>
      </c>
      <c r="ES261" s="1">
        <v>1</v>
      </c>
      <c r="ET261" s="3">
        <v>4.6100140339999998</v>
      </c>
      <c r="EU261" s="3">
        <v>0.29315068500000002</v>
      </c>
      <c r="EV261" s="3">
        <v>0.277936642171</v>
      </c>
      <c r="EW261" s="3">
        <v>0.29315068500000002</v>
      </c>
      <c r="EX261" s="3">
        <v>3.4641250000000002E-3</v>
      </c>
      <c r="EY261" s="3">
        <v>3</v>
      </c>
      <c r="EZ261" s="3">
        <v>107</v>
      </c>
      <c r="FA261" s="1">
        <v>0</v>
      </c>
      <c r="FB261" s="1">
        <v>0</v>
      </c>
      <c r="FC261" s="3">
        <v>4.5809598720000002</v>
      </c>
      <c r="FD261" s="1">
        <v>0</v>
      </c>
      <c r="FE261" s="1">
        <v>0</v>
      </c>
    </row>
    <row r="262" spans="1:161" x14ac:dyDescent="0.3">
      <c r="A262" s="1">
        <v>16975537</v>
      </c>
      <c r="B262" s="1">
        <v>128</v>
      </c>
      <c r="C262" s="1">
        <v>7286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900</v>
      </c>
      <c r="J262" s="3">
        <v>900</v>
      </c>
      <c r="K262" s="1">
        <v>900000</v>
      </c>
      <c r="L262" s="1">
        <v>900000</v>
      </c>
      <c r="M262" s="1">
        <v>900000</v>
      </c>
      <c r="N262" s="3">
        <v>900000</v>
      </c>
      <c r="O262" s="1">
        <v>900028.64</v>
      </c>
      <c r="P262" s="1">
        <v>900028.64</v>
      </c>
      <c r="Q262" s="1">
        <v>900028.64</v>
      </c>
      <c r="R262" s="1">
        <v>900028.64</v>
      </c>
      <c r="S262" s="1">
        <v>900000</v>
      </c>
      <c r="T262" s="1">
        <v>900000</v>
      </c>
      <c r="U262" s="1">
        <v>900000</v>
      </c>
      <c r="V262" s="1">
        <v>900000</v>
      </c>
      <c r="W262" s="1">
        <v>0</v>
      </c>
      <c r="X262" s="1">
        <v>0</v>
      </c>
      <c r="Y262" s="1">
        <v>0</v>
      </c>
      <c r="Z262" s="1">
        <v>0</v>
      </c>
      <c r="AA262" s="1">
        <v>15334.17</v>
      </c>
      <c r="AB262" s="1">
        <v>15334.17</v>
      </c>
      <c r="AC262" s="1">
        <v>15334.17</v>
      </c>
      <c r="AD262" s="1">
        <v>15334.17</v>
      </c>
      <c r="AE262" s="3" t="s">
        <v>573</v>
      </c>
      <c r="AF262" s="3" t="s">
        <v>161</v>
      </c>
      <c r="AG262" s="1" t="s">
        <v>970</v>
      </c>
      <c r="AH262" s="3" t="s">
        <v>574</v>
      </c>
      <c r="AI262" s="1">
        <v>4</v>
      </c>
      <c r="AJ262" s="3" t="s">
        <v>165</v>
      </c>
      <c r="AK262" s="1" t="s">
        <v>191</v>
      </c>
      <c r="AL262" s="3">
        <v>88.923505555556005</v>
      </c>
      <c r="AM262" s="3">
        <v>88.736000000000004</v>
      </c>
      <c r="AN262" s="3">
        <v>798624</v>
      </c>
      <c r="AO262" s="3">
        <v>798624</v>
      </c>
      <c r="AP262" s="1" t="s">
        <v>164</v>
      </c>
      <c r="AQ262" s="1">
        <v>4</v>
      </c>
      <c r="AR262" s="1" t="s">
        <v>165</v>
      </c>
      <c r="AS262" s="3">
        <v>132534288.59999999</v>
      </c>
      <c r="AT262" s="1" t="s">
        <v>176</v>
      </c>
      <c r="AU262" s="1">
        <v>1</v>
      </c>
      <c r="AV262" s="1">
        <v>1</v>
      </c>
      <c r="AW262" s="3" t="s">
        <v>220</v>
      </c>
      <c r="AX262" s="3" t="s">
        <v>575</v>
      </c>
      <c r="AY262" s="1">
        <v>0</v>
      </c>
      <c r="BA262" s="3">
        <v>8205251.6799999997</v>
      </c>
      <c r="BB262" s="1">
        <v>1</v>
      </c>
      <c r="BD262" s="1" t="s">
        <v>971</v>
      </c>
      <c r="BE262" s="1">
        <v>1</v>
      </c>
      <c r="BF262" s="1">
        <v>1</v>
      </c>
      <c r="BG262" s="1" t="s">
        <v>168</v>
      </c>
      <c r="BH262" s="1">
        <v>0</v>
      </c>
      <c r="BI262" s="1">
        <v>31345322.399999999</v>
      </c>
      <c r="BJ262" s="1">
        <v>0</v>
      </c>
      <c r="BK262" s="1">
        <v>123618989.48999999</v>
      </c>
      <c r="BL262" s="1">
        <v>132456249.91</v>
      </c>
      <c r="BM262" s="1">
        <v>596150.00000000012</v>
      </c>
      <c r="BN262" s="1">
        <v>9219855.2300000004</v>
      </c>
      <c r="BO262" s="1">
        <v>23.664660909999998</v>
      </c>
      <c r="BP262" s="1">
        <v>0.45007313999999998</v>
      </c>
      <c r="BQ262" s="1">
        <v>6.9606796500000003</v>
      </c>
      <c r="BR262" s="1">
        <v>0.60293417999999999</v>
      </c>
      <c r="BS262" s="1" t="s">
        <v>169</v>
      </c>
      <c r="BT262" s="1" t="s">
        <v>169</v>
      </c>
      <c r="BU262" s="1">
        <v>26356083.120000001</v>
      </c>
      <c r="BV262" s="1">
        <v>0</v>
      </c>
      <c r="BW262" s="1">
        <v>-1687.55</v>
      </c>
      <c r="BX262" s="1">
        <v>-0.21</v>
      </c>
      <c r="BY262" s="1" t="s">
        <v>170</v>
      </c>
      <c r="BZ262" s="1">
        <v>-78038.69</v>
      </c>
      <c r="CA262" s="1" t="s">
        <v>250</v>
      </c>
      <c r="CB262" s="1" t="s">
        <v>251</v>
      </c>
      <c r="CC262" s="1">
        <v>-115051.26</v>
      </c>
      <c r="CD262" s="1">
        <v>-115051.26</v>
      </c>
      <c r="CE262" s="1">
        <v>800311.55</v>
      </c>
      <c r="CF262" s="1">
        <v>800311.55</v>
      </c>
      <c r="CG262" s="1">
        <v>0</v>
      </c>
      <c r="CH262" s="1">
        <v>1.4438757900000001</v>
      </c>
      <c r="CI262" s="1">
        <v>13.27863496</v>
      </c>
      <c r="CJ262" s="1">
        <v>17588381.91</v>
      </c>
      <c r="CK262" s="1">
        <v>1912503.72</v>
      </c>
      <c r="CL262" s="1">
        <v>6269233.6699999999</v>
      </c>
      <c r="CM262" s="1" t="s">
        <v>164</v>
      </c>
      <c r="CN262" s="1" t="s">
        <v>164</v>
      </c>
      <c r="CO262" s="1" t="s">
        <v>184</v>
      </c>
      <c r="CP262" s="1" t="s">
        <v>243</v>
      </c>
      <c r="CQ262" s="3" t="s">
        <v>252</v>
      </c>
      <c r="CR262" s="1">
        <v>0</v>
      </c>
      <c r="CS262" s="1" t="s">
        <v>243</v>
      </c>
      <c r="CT262" s="1">
        <v>0.64603666999999998</v>
      </c>
      <c r="CV262" s="1">
        <v>0</v>
      </c>
      <c r="CW262" s="1">
        <v>-219173.26</v>
      </c>
      <c r="DA262" s="1">
        <v>1355558.46</v>
      </c>
      <c r="DB262" s="1">
        <v>0</v>
      </c>
      <c r="DC262" s="1">
        <v>2520.3126550000002</v>
      </c>
      <c r="DD262" s="1">
        <v>52555.483399999997</v>
      </c>
      <c r="DE262" s="1">
        <v>-296353.43</v>
      </c>
      <c r="DF262" s="1">
        <v>92570020.519999996</v>
      </c>
      <c r="DG262" s="1">
        <v>-1687.55</v>
      </c>
      <c r="DH262" s="1">
        <v>394770.09</v>
      </c>
      <c r="DI262" s="1">
        <v>0.29803809999999997</v>
      </c>
      <c r="DK262" s="1">
        <v>0</v>
      </c>
      <c r="DL262" s="1">
        <v>0</v>
      </c>
      <c r="DM262" s="1">
        <v>-296353.43</v>
      </c>
      <c r="DN262" s="1">
        <v>0</v>
      </c>
      <c r="DO262" s="1">
        <v>0</v>
      </c>
      <c r="DP262" s="1">
        <v>16777215</v>
      </c>
      <c r="DQ262" s="1">
        <v>0</v>
      </c>
      <c r="DR262" s="1">
        <v>0</v>
      </c>
      <c r="DS262" s="1">
        <v>0</v>
      </c>
      <c r="DT262" s="1">
        <v>0</v>
      </c>
      <c r="DU262" s="1">
        <v>0</v>
      </c>
      <c r="DV262" s="1">
        <v>798624</v>
      </c>
      <c r="DW262" s="1">
        <v>798624</v>
      </c>
      <c r="DX262" s="1">
        <v>31345322.399999999</v>
      </c>
      <c r="DY262" s="1">
        <v>-1110160.2399999984</v>
      </c>
      <c r="DZ262" s="1">
        <v>92570020.519999966</v>
      </c>
      <c r="EA262" s="1">
        <v>0</v>
      </c>
      <c r="EB262" s="1">
        <v>0</v>
      </c>
      <c r="EC262" s="1" t="s">
        <v>176</v>
      </c>
      <c r="EE262" s="1">
        <v>0</v>
      </c>
      <c r="EF262" s="1">
        <v>3</v>
      </c>
      <c r="EG262" s="1">
        <v>0</v>
      </c>
      <c r="EH262" s="3">
        <v>0.86272422999999998</v>
      </c>
      <c r="EI262" s="1">
        <v>0</v>
      </c>
      <c r="EL262" s="1">
        <v>0</v>
      </c>
      <c r="EM262" s="1">
        <v>0</v>
      </c>
      <c r="EN262" s="1">
        <v>1633661.45</v>
      </c>
      <c r="EO262" s="1">
        <v>1.2333592799999999</v>
      </c>
      <c r="ER262" s="1">
        <v>88.728013888888</v>
      </c>
      <c r="ES262" s="1">
        <v>1</v>
      </c>
      <c r="ET262" s="3">
        <v>100.37064556200001</v>
      </c>
      <c r="EU262" s="3">
        <v>0.20277777799999999</v>
      </c>
      <c r="EV262" s="3">
        <v>0.119799119861</v>
      </c>
      <c r="EW262" s="3">
        <v>0.20273972600000001</v>
      </c>
      <c r="EX262" s="3">
        <v>1.0813109999999999E-3</v>
      </c>
      <c r="EY262" s="3">
        <v>2</v>
      </c>
      <c r="EZ262" s="3">
        <v>74</v>
      </c>
      <c r="FA262" s="1">
        <v>0</v>
      </c>
      <c r="FB262" s="1">
        <v>0</v>
      </c>
      <c r="FC262" s="3">
        <v>11.077785818000001</v>
      </c>
      <c r="FD262" s="1">
        <v>0</v>
      </c>
      <c r="FE262" s="1">
        <v>0</v>
      </c>
    </row>
    <row r="263" spans="1:161" x14ac:dyDescent="0.3">
      <c r="A263" s="1">
        <v>16975381</v>
      </c>
      <c r="B263" s="1">
        <v>128</v>
      </c>
      <c r="C263" s="1">
        <v>1034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250</v>
      </c>
      <c r="J263" s="3">
        <v>250</v>
      </c>
      <c r="K263" s="1">
        <v>250000</v>
      </c>
      <c r="L263" s="1">
        <v>250000</v>
      </c>
      <c r="M263" s="1">
        <v>250000</v>
      </c>
      <c r="N263" s="3">
        <v>189165.88</v>
      </c>
      <c r="O263" s="1">
        <v>252771.82</v>
      </c>
      <c r="P263" s="1">
        <v>192521.42</v>
      </c>
      <c r="Q263" s="1">
        <v>252771.82</v>
      </c>
      <c r="R263" s="1">
        <v>192521.42</v>
      </c>
      <c r="S263" s="1">
        <v>250000</v>
      </c>
      <c r="T263" s="1">
        <v>189165.88</v>
      </c>
      <c r="U263" s="1">
        <v>250000</v>
      </c>
      <c r="V263" s="1">
        <v>189165.88</v>
      </c>
      <c r="W263" s="1">
        <v>0</v>
      </c>
      <c r="X263" s="1">
        <v>0</v>
      </c>
      <c r="Y263" s="1">
        <v>0</v>
      </c>
      <c r="Z263" s="1">
        <v>0</v>
      </c>
      <c r="AA263" s="1">
        <v>8458.24</v>
      </c>
      <c r="AB263" s="1">
        <v>7999.85</v>
      </c>
      <c r="AC263" s="1">
        <v>8458.24</v>
      </c>
      <c r="AD263" s="1">
        <v>7999.85</v>
      </c>
      <c r="AE263" s="3" t="s">
        <v>576</v>
      </c>
      <c r="AF263" s="3" t="s">
        <v>161</v>
      </c>
      <c r="AG263" s="1" t="s">
        <v>970</v>
      </c>
      <c r="AH263" s="3" t="s">
        <v>577</v>
      </c>
      <c r="AI263" s="1">
        <v>5</v>
      </c>
      <c r="AJ263" s="3" t="s">
        <v>162</v>
      </c>
      <c r="AK263" s="1" t="s">
        <v>191</v>
      </c>
      <c r="AL263" s="3">
        <v>105.201917347728</v>
      </c>
      <c r="AM263" s="3">
        <v>104.078233333333</v>
      </c>
      <c r="AN263" s="3">
        <v>260195.58</v>
      </c>
      <c r="AO263" s="3">
        <v>248183.5</v>
      </c>
      <c r="AP263" s="1" t="s">
        <v>164</v>
      </c>
      <c r="AQ263" s="1">
        <v>4</v>
      </c>
      <c r="AR263" s="1" t="s">
        <v>165</v>
      </c>
      <c r="AS263" s="3">
        <v>132534288.59999999</v>
      </c>
      <c r="AT263" s="1" t="s">
        <v>176</v>
      </c>
      <c r="AU263" s="1">
        <v>1</v>
      </c>
      <c r="AV263" s="1">
        <v>1</v>
      </c>
      <c r="AW263" s="3" t="s">
        <v>220</v>
      </c>
      <c r="AX263" s="3" t="s">
        <v>575</v>
      </c>
      <c r="AY263" s="1">
        <v>0</v>
      </c>
      <c r="BA263" s="3">
        <v>8205251.6799999997</v>
      </c>
      <c r="BB263" s="1">
        <v>1.0484</v>
      </c>
      <c r="BD263" s="1" t="s">
        <v>971</v>
      </c>
      <c r="BE263" s="1">
        <v>1</v>
      </c>
      <c r="BF263" s="1">
        <v>1</v>
      </c>
      <c r="BG263" s="1" t="s">
        <v>168</v>
      </c>
      <c r="BH263" s="1">
        <v>0</v>
      </c>
      <c r="BI263" s="1">
        <v>31345322.399999999</v>
      </c>
      <c r="BJ263" s="1">
        <v>0</v>
      </c>
      <c r="BK263" s="1">
        <v>123618989.48999999</v>
      </c>
      <c r="BL263" s="1">
        <v>132456249.91</v>
      </c>
      <c r="BM263" s="1">
        <v>596150.00000000012</v>
      </c>
      <c r="BN263" s="1">
        <v>9219855.2300000004</v>
      </c>
      <c r="BO263" s="1">
        <v>23.664660909999998</v>
      </c>
      <c r="BP263" s="1">
        <v>0.45007313999999998</v>
      </c>
      <c r="BQ263" s="1">
        <v>6.9606796500000003</v>
      </c>
      <c r="BR263" s="1">
        <v>0.18737017</v>
      </c>
      <c r="BS263" s="1" t="s">
        <v>169</v>
      </c>
      <c r="BT263" s="1" t="s">
        <v>169</v>
      </c>
      <c r="BU263" s="1">
        <v>26356083.120000001</v>
      </c>
      <c r="BV263" s="1">
        <v>0</v>
      </c>
      <c r="BW263" s="1">
        <v>-567.84</v>
      </c>
      <c r="BX263" s="1">
        <v>-1.06</v>
      </c>
      <c r="BY263" s="1" t="s">
        <v>170</v>
      </c>
      <c r="BZ263" s="1">
        <v>-78038.69</v>
      </c>
      <c r="CA263" s="1" t="s">
        <v>250</v>
      </c>
      <c r="CB263" s="1" t="s">
        <v>251</v>
      </c>
      <c r="CC263" s="1">
        <v>1774.73</v>
      </c>
      <c r="CD263" s="1">
        <v>48230.07</v>
      </c>
      <c r="CE263" s="1">
        <v>263004.78999999998</v>
      </c>
      <c r="CF263" s="1">
        <v>248751.34</v>
      </c>
      <c r="CG263" s="1">
        <v>0</v>
      </c>
      <c r="CH263" s="1">
        <v>1.4438757900000001</v>
      </c>
      <c r="CI263" s="1">
        <v>13.27863496</v>
      </c>
      <c r="CJ263" s="1">
        <v>17588381.91</v>
      </c>
      <c r="CK263" s="1">
        <v>1912503.72</v>
      </c>
      <c r="CL263" s="1">
        <v>6269233.6699999999</v>
      </c>
      <c r="CM263" s="1" t="s">
        <v>164</v>
      </c>
      <c r="CN263" s="1" t="s">
        <v>164</v>
      </c>
      <c r="CO263" s="1" t="s">
        <v>184</v>
      </c>
      <c r="CP263" s="1" t="s">
        <v>243</v>
      </c>
      <c r="CQ263" s="3" t="s">
        <v>252</v>
      </c>
      <c r="CR263" s="1">
        <v>0</v>
      </c>
      <c r="CS263" s="1" t="s">
        <v>243</v>
      </c>
      <c r="CT263" s="1">
        <v>0.20076487000000001</v>
      </c>
      <c r="CV263" s="1">
        <v>0</v>
      </c>
      <c r="CW263" s="1">
        <v>-219173.26</v>
      </c>
      <c r="DA263" s="1">
        <v>1355558.46</v>
      </c>
      <c r="DB263" s="1">
        <v>0</v>
      </c>
      <c r="DC263" s="1">
        <v>2520.3126550000002</v>
      </c>
      <c r="DD263" s="1">
        <v>52555.483399999997</v>
      </c>
      <c r="DE263" s="1">
        <v>-296353.43</v>
      </c>
      <c r="DF263" s="1">
        <v>92570020.519999996</v>
      </c>
      <c r="DG263" s="1">
        <v>-2809.21</v>
      </c>
      <c r="DH263" s="1">
        <v>394770.09</v>
      </c>
      <c r="DI263" s="1">
        <v>0.29803809999999997</v>
      </c>
      <c r="DK263" s="1">
        <v>0</v>
      </c>
      <c r="DL263" s="1">
        <v>0</v>
      </c>
      <c r="DM263" s="1">
        <v>-296353.43</v>
      </c>
      <c r="DN263" s="1">
        <v>0</v>
      </c>
      <c r="DO263" s="1">
        <v>0</v>
      </c>
      <c r="DP263" s="1">
        <v>16777215</v>
      </c>
      <c r="DQ263" s="1">
        <v>0</v>
      </c>
      <c r="DR263" s="1">
        <v>0</v>
      </c>
      <c r="DS263" s="1">
        <v>0</v>
      </c>
      <c r="DT263" s="1">
        <v>0</v>
      </c>
      <c r="DU263" s="1">
        <v>0</v>
      </c>
      <c r="DV263" s="1">
        <v>260195.58</v>
      </c>
      <c r="DW263" s="1">
        <v>248183.5</v>
      </c>
      <c r="DX263" s="1">
        <v>31345322.399999999</v>
      </c>
      <c r="DY263" s="1">
        <v>-1110160.2399999984</v>
      </c>
      <c r="DZ263" s="1">
        <v>92570020.519999966</v>
      </c>
      <c r="EA263" s="1">
        <v>0</v>
      </c>
      <c r="EB263" s="1">
        <v>0</v>
      </c>
      <c r="EC263" s="1" t="s">
        <v>176</v>
      </c>
      <c r="EE263" s="1">
        <v>0</v>
      </c>
      <c r="EF263" s="1">
        <v>3</v>
      </c>
      <c r="EG263" s="1">
        <v>0</v>
      </c>
      <c r="EH263" s="3">
        <v>0.26810353999999997</v>
      </c>
      <c r="EI263" s="1">
        <v>0</v>
      </c>
      <c r="EL263" s="1">
        <v>0</v>
      </c>
      <c r="EM263" s="1">
        <v>0</v>
      </c>
      <c r="EN263" s="1">
        <v>1633661.45</v>
      </c>
      <c r="EO263" s="1">
        <v>1.2333592799999999</v>
      </c>
      <c r="ER263" s="1">
        <v>104.854794444444</v>
      </c>
      <c r="ES263" s="1">
        <v>1.0572999999999999</v>
      </c>
      <c r="ET263" s="3">
        <v>7.1930368280000003</v>
      </c>
      <c r="EU263" s="3">
        <v>8.202415963</v>
      </c>
      <c r="EV263" s="3">
        <v>8.3020419309579996</v>
      </c>
      <c r="EW263" s="3">
        <v>12.545205479</v>
      </c>
      <c r="EX263" s="3">
        <v>0.89522206199999999</v>
      </c>
      <c r="EY263" s="3">
        <v>95</v>
      </c>
      <c r="EZ263" s="3">
        <v>4579</v>
      </c>
      <c r="FA263" s="1">
        <v>0</v>
      </c>
      <c r="FB263" s="1">
        <v>0</v>
      </c>
      <c r="FC263" s="3">
        <v>7.6722216960000003</v>
      </c>
      <c r="FD263" s="1">
        <v>0</v>
      </c>
      <c r="FE263" s="1">
        <v>0</v>
      </c>
    </row>
    <row r="264" spans="1:161" x14ac:dyDescent="0.3">
      <c r="A264" s="1">
        <v>16975528</v>
      </c>
      <c r="B264" s="1">
        <v>128</v>
      </c>
      <c r="C264" s="1">
        <v>10668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6</v>
      </c>
      <c r="J264" s="3">
        <v>6</v>
      </c>
      <c r="K264" s="1">
        <v>600000</v>
      </c>
      <c r="L264" s="1">
        <v>600000</v>
      </c>
      <c r="M264" s="1">
        <v>600000</v>
      </c>
      <c r="N264" s="3">
        <v>600000</v>
      </c>
      <c r="O264" s="1">
        <v>600408</v>
      </c>
      <c r="P264" s="1">
        <v>600408</v>
      </c>
      <c r="Q264" s="1">
        <v>600408</v>
      </c>
      <c r="R264" s="1">
        <v>600408</v>
      </c>
      <c r="S264" s="1">
        <v>600000</v>
      </c>
      <c r="T264" s="1">
        <v>600000</v>
      </c>
      <c r="U264" s="1">
        <v>600000</v>
      </c>
      <c r="V264" s="1">
        <v>600000</v>
      </c>
      <c r="W264" s="1">
        <v>0</v>
      </c>
      <c r="X264" s="1">
        <v>0</v>
      </c>
      <c r="Y264" s="1">
        <v>0</v>
      </c>
      <c r="Z264" s="1">
        <v>0</v>
      </c>
      <c r="AA264" s="1">
        <v>5975.42</v>
      </c>
      <c r="AB264" s="1">
        <v>5975.42</v>
      </c>
      <c r="AC264" s="1">
        <v>5975.42</v>
      </c>
      <c r="AD264" s="1">
        <v>5975.42</v>
      </c>
      <c r="AE264" s="3" t="s">
        <v>699</v>
      </c>
      <c r="AF264" s="3" t="s">
        <v>161</v>
      </c>
      <c r="AG264" s="1" t="s">
        <v>970</v>
      </c>
      <c r="AH264" s="3" t="s">
        <v>700</v>
      </c>
      <c r="AI264" s="1">
        <v>4</v>
      </c>
      <c r="AJ264" s="3" t="s">
        <v>165</v>
      </c>
      <c r="AK264" s="1" t="s">
        <v>191</v>
      </c>
      <c r="AL264" s="3">
        <v>100.38444983578199</v>
      </c>
      <c r="AM264" s="3">
        <v>100.20990983606799</v>
      </c>
      <c r="AN264" s="3">
        <v>601259.46</v>
      </c>
      <c r="AO264" s="3">
        <v>601259.46</v>
      </c>
      <c r="AP264" s="1" t="s">
        <v>164</v>
      </c>
      <c r="AQ264" s="1">
        <v>4</v>
      </c>
      <c r="AR264" s="1" t="s">
        <v>165</v>
      </c>
      <c r="AS264" s="3">
        <v>132534288.59999999</v>
      </c>
      <c r="AT264" s="1" t="s">
        <v>176</v>
      </c>
      <c r="AU264" s="1">
        <v>1</v>
      </c>
      <c r="AV264" s="1">
        <v>1</v>
      </c>
      <c r="AW264" s="3" t="s">
        <v>235</v>
      </c>
      <c r="AX264" s="3" t="s">
        <v>578</v>
      </c>
      <c r="AY264" s="1">
        <v>0</v>
      </c>
      <c r="BA264" s="3">
        <v>8205251.6799999997</v>
      </c>
      <c r="BB264" s="1">
        <v>1</v>
      </c>
      <c r="BD264" s="1" t="s">
        <v>971</v>
      </c>
      <c r="BE264" s="1">
        <v>1</v>
      </c>
      <c r="BF264" s="1">
        <v>1</v>
      </c>
      <c r="BG264" s="1" t="s">
        <v>168</v>
      </c>
      <c r="BH264" s="1">
        <v>0</v>
      </c>
      <c r="BI264" s="1">
        <v>31345322.399999999</v>
      </c>
      <c r="BJ264" s="1">
        <v>0</v>
      </c>
      <c r="BK264" s="1">
        <v>123618989.48999999</v>
      </c>
      <c r="BL264" s="1">
        <v>132456249.91</v>
      </c>
      <c r="BM264" s="1">
        <v>596150.00000000012</v>
      </c>
      <c r="BN264" s="1">
        <v>9219855.2300000004</v>
      </c>
      <c r="BO264" s="1">
        <v>23.664660909999998</v>
      </c>
      <c r="BP264" s="1">
        <v>0.45007313999999998</v>
      </c>
      <c r="BQ264" s="1">
        <v>6.9606796500000003</v>
      </c>
      <c r="BR264" s="1">
        <v>0.45393061000000001</v>
      </c>
      <c r="BS264" s="1" t="s">
        <v>169</v>
      </c>
      <c r="BT264" s="1" t="s">
        <v>169</v>
      </c>
      <c r="BU264" s="1">
        <v>26356083.120000001</v>
      </c>
      <c r="BV264" s="1">
        <v>0</v>
      </c>
      <c r="BW264" s="1">
        <v>-1047.24</v>
      </c>
      <c r="BX264" s="1">
        <v>-0.17</v>
      </c>
      <c r="BY264" s="1" t="s">
        <v>170</v>
      </c>
      <c r="BZ264" s="1">
        <v>-78038.69</v>
      </c>
      <c r="CA264" s="1" t="s">
        <v>250</v>
      </c>
      <c r="CB264" s="1" t="s">
        <v>251</v>
      </c>
      <c r="CC264" s="1">
        <v>-4076.72</v>
      </c>
      <c r="CD264" s="1">
        <v>-4076.72</v>
      </c>
      <c r="CE264" s="1">
        <v>602306.69999999995</v>
      </c>
      <c r="CF264" s="1">
        <v>602306.69999999995</v>
      </c>
      <c r="CG264" s="1">
        <v>0</v>
      </c>
      <c r="CH264" s="1">
        <v>1.4438757900000001</v>
      </c>
      <c r="CI264" s="1">
        <v>13.27863496</v>
      </c>
      <c r="CJ264" s="1">
        <v>17588381.91</v>
      </c>
      <c r="CK264" s="1">
        <v>1912503.72</v>
      </c>
      <c r="CL264" s="1">
        <v>6269233.6699999999</v>
      </c>
      <c r="CM264" s="1" t="s">
        <v>164</v>
      </c>
      <c r="CN264" s="1" t="s">
        <v>164</v>
      </c>
      <c r="CO264" s="1" t="s">
        <v>184</v>
      </c>
      <c r="CP264" s="1" t="s">
        <v>243</v>
      </c>
      <c r="CQ264" s="3" t="s">
        <v>252</v>
      </c>
      <c r="CR264" s="1">
        <v>0</v>
      </c>
      <c r="CS264" s="1" t="s">
        <v>243</v>
      </c>
      <c r="CT264" s="1">
        <v>0.48638114999999998</v>
      </c>
      <c r="CV264" s="1">
        <v>0</v>
      </c>
      <c r="CW264" s="1">
        <v>-219173.26</v>
      </c>
      <c r="DA264" s="1">
        <v>1355558.46</v>
      </c>
      <c r="DB264" s="1">
        <v>0</v>
      </c>
      <c r="DC264" s="1">
        <v>2520.3126550000002</v>
      </c>
      <c r="DD264" s="1">
        <v>52555.483399999997</v>
      </c>
      <c r="DE264" s="1">
        <v>-296353.43</v>
      </c>
      <c r="DF264" s="1">
        <v>92570020.519999996</v>
      </c>
      <c r="DG264" s="1">
        <v>-1047.24</v>
      </c>
      <c r="DH264" s="1">
        <v>394770.09</v>
      </c>
      <c r="DI264" s="1">
        <v>0.29803809999999997</v>
      </c>
      <c r="DK264" s="1">
        <v>0</v>
      </c>
      <c r="DL264" s="1">
        <v>0</v>
      </c>
      <c r="DM264" s="1">
        <v>-296353.43</v>
      </c>
      <c r="DN264" s="1">
        <v>0</v>
      </c>
      <c r="DO264" s="1">
        <v>0</v>
      </c>
      <c r="DP264" s="1">
        <v>16777215</v>
      </c>
      <c r="DQ264" s="1">
        <v>0</v>
      </c>
      <c r="DR264" s="1">
        <v>0</v>
      </c>
      <c r="DS264" s="1">
        <v>0</v>
      </c>
      <c r="DT264" s="1">
        <v>0</v>
      </c>
      <c r="DU264" s="1">
        <v>0</v>
      </c>
      <c r="DV264" s="1">
        <v>601259.46</v>
      </c>
      <c r="DW264" s="1">
        <v>601259.46</v>
      </c>
      <c r="DX264" s="1">
        <v>31345322.399999999</v>
      </c>
      <c r="DY264" s="1">
        <v>-1110160.2399999984</v>
      </c>
      <c r="DZ264" s="1">
        <v>92570020.519999966</v>
      </c>
      <c r="EA264" s="1">
        <v>0</v>
      </c>
      <c r="EB264" s="1">
        <v>0</v>
      </c>
      <c r="EC264" s="1" t="s">
        <v>176</v>
      </c>
      <c r="EE264" s="1">
        <v>0</v>
      </c>
      <c r="EF264" s="1">
        <v>3</v>
      </c>
      <c r="EG264" s="1">
        <v>0</v>
      </c>
      <c r="EH264" s="3">
        <v>0.64951855999999997</v>
      </c>
      <c r="EI264" s="1">
        <v>0</v>
      </c>
      <c r="EL264" s="1">
        <v>0</v>
      </c>
      <c r="EM264" s="1">
        <v>0</v>
      </c>
      <c r="EN264" s="1">
        <v>1633661.45</v>
      </c>
      <c r="EO264" s="1">
        <v>1.2333592799999999</v>
      </c>
      <c r="ER264" s="1">
        <v>100.413590163932</v>
      </c>
      <c r="ES264" s="1">
        <v>1</v>
      </c>
      <c r="ET264" s="3">
        <v>5.0767205750000004</v>
      </c>
      <c r="EU264" s="3">
        <v>4.100287593</v>
      </c>
      <c r="EV264" s="3">
        <v>3.918323636622</v>
      </c>
      <c r="EW264" s="3">
        <v>4.5068493150000002</v>
      </c>
      <c r="EX264" s="3">
        <v>0.198337228</v>
      </c>
      <c r="EY264" s="3">
        <v>47</v>
      </c>
      <c r="EZ264" s="3">
        <v>1645</v>
      </c>
      <c r="FA264" s="1">
        <v>0</v>
      </c>
      <c r="FB264" s="1">
        <v>0</v>
      </c>
      <c r="FC264" s="3">
        <v>5.1651172320000001</v>
      </c>
      <c r="FD264" s="1">
        <v>0</v>
      </c>
      <c r="FE264" s="1">
        <v>0</v>
      </c>
    </row>
    <row r="265" spans="1:161" x14ac:dyDescent="0.3">
      <c r="A265" s="1">
        <v>16975489</v>
      </c>
      <c r="B265" s="1">
        <v>128</v>
      </c>
      <c r="C265" s="1">
        <v>4498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600</v>
      </c>
      <c r="J265" s="3">
        <v>600</v>
      </c>
      <c r="K265" s="1">
        <v>600000</v>
      </c>
      <c r="L265" s="1">
        <v>600000</v>
      </c>
      <c r="M265" s="1">
        <v>600000</v>
      </c>
      <c r="N265" s="3">
        <v>600000</v>
      </c>
      <c r="O265" s="1">
        <v>629512.19999999995</v>
      </c>
      <c r="P265" s="1">
        <v>629512.19999999995</v>
      </c>
      <c r="Q265" s="1">
        <v>629512.19999999995</v>
      </c>
      <c r="R265" s="1">
        <v>629512.19999999995</v>
      </c>
      <c r="S265" s="1">
        <v>600000</v>
      </c>
      <c r="T265" s="1">
        <v>600000</v>
      </c>
      <c r="U265" s="1">
        <v>600000</v>
      </c>
      <c r="V265" s="1">
        <v>600000</v>
      </c>
      <c r="W265" s="1">
        <v>0</v>
      </c>
      <c r="X265" s="1">
        <v>0</v>
      </c>
      <c r="Y265" s="1">
        <v>0</v>
      </c>
      <c r="Z265" s="1">
        <v>0</v>
      </c>
      <c r="AA265" s="1">
        <v>-17310.02</v>
      </c>
      <c r="AB265" s="1">
        <v>-17310.02</v>
      </c>
      <c r="AC265" s="1">
        <v>-17310.02</v>
      </c>
      <c r="AD265" s="1">
        <v>-17310.02</v>
      </c>
      <c r="AE265" s="3" t="s">
        <v>421</v>
      </c>
      <c r="AF265" s="3" t="s">
        <v>161</v>
      </c>
      <c r="AG265" s="1" t="s">
        <v>970</v>
      </c>
      <c r="AH265" s="3" t="s">
        <v>579</v>
      </c>
      <c r="AI265" s="1">
        <v>4</v>
      </c>
      <c r="AJ265" s="3" t="s">
        <v>165</v>
      </c>
      <c r="AK265" s="1" t="s">
        <v>176</v>
      </c>
      <c r="AL265" s="3">
        <v>95.356868032782003</v>
      </c>
      <c r="AM265" s="3">
        <v>95.354918032788007</v>
      </c>
      <c r="AN265" s="3">
        <v>572129.51</v>
      </c>
      <c r="AO265" s="3">
        <v>572129.51</v>
      </c>
      <c r="AP265" s="1" t="s">
        <v>164</v>
      </c>
      <c r="AQ265" s="1">
        <v>4</v>
      </c>
      <c r="AR265" s="1" t="s">
        <v>165</v>
      </c>
      <c r="AS265" s="3">
        <v>132534288.59999999</v>
      </c>
      <c r="AT265" s="1" t="s">
        <v>176</v>
      </c>
      <c r="AU265" s="1">
        <v>1</v>
      </c>
      <c r="AV265" s="1">
        <v>1</v>
      </c>
      <c r="AW265" s="3" t="s">
        <v>235</v>
      </c>
      <c r="AX265" s="3" t="s">
        <v>580</v>
      </c>
      <c r="AY265" s="1">
        <v>0</v>
      </c>
      <c r="BA265" s="3">
        <v>8205251.6799999997</v>
      </c>
      <c r="BB265" s="1">
        <v>1</v>
      </c>
      <c r="BD265" s="1" t="s">
        <v>971</v>
      </c>
      <c r="BE265" s="1">
        <v>1</v>
      </c>
      <c r="BF265" s="1">
        <v>1</v>
      </c>
      <c r="BG265" s="1" t="s">
        <v>168</v>
      </c>
      <c r="BH265" s="1">
        <v>0</v>
      </c>
      <c r="BI265" s="1">
        <v>31345322.399999999</v>
      </c>
      <c r="BJ265" s="1">
        <v>0</v>
      </c>
      <c r="BK265" s="1">
        <v>123618989.48999999</v>
      </c>
      <c r="BL265" s="1">
        <v>132456249.91</v>
      </c>
      <c r="BM265" s="1">
        <v>596150.00000000012</v>
      </c>
      <c r="BN265" s="1">
        <v>9219855.2300000004</v>
      </c>
      <c r="BO265" s="1">
        <v>23.664660909999998</v>
      </c>
      <c r="BP265" s="1">
        <v>0.45007313999999998</v>
      </c>
      <c r="BQ265" s="1">
        <v>6.9606796500000003</v>
      </c>
      <c r="BR265" s="1">
        <v>0.43193848000000001</v>
      </c>
      <c r="BS265" s="1" t="s">
        <v>169</v>
      </c>
      <c r="BT265" s="1" t="s">
        <v>169</v>
      </c>
      <c r="BU265" s="1">
        <v>26356083.120000001</v>
      </c>
      <c r="BV265" s="1">
        <v>0</v>
      </c>
      <c r="BW265" s="1">
        <v>-11.7</v>
      </c>
      <c r="BX265" s="1">
        <v>0</v>
      </c>
      <c r="BY265" s="1" t="s">
        <v>170</v>
      </c>
      <c r="BZ265" s="1">
        <v>-78038.69</v>
      </c>
      <c r="CA265" s="1" t="s">
        <v>250</v>
      </c>
      <c r="CB265" s="1" t="s">
        <v>251</v>
      </c>
      <c r="CC265" s="1">
        <v>-40060.97</v>
      </c>
      <c r="CD265" s="1">
        <v>-40060.97</v>
      </c>
      <c r="CE265" s="1">
        <v>572141.21</v>
      </c>
      <c r="CF265" s="1">
        <v>572141.21</v>
      </c>
      <c r="CG265" s="1">
        <v>0</v>
      </c>
      <c r="CH265" s="1">
        <v>1.4438757900000001</v>
      </c>
      <c r="CI265" s="1">
        <v>13.27863496</v>
      </c>
      <c r="CJ265" s="1">
        <v>17588381.91</v>
      </c>
      <c r="CK265" s="1">
        <v>1912503.72</v>
      </c>
      <c r="CL265" s="1">
        <v>6269233.6699999999</v>
      </c>
      <c r="CM265" s="1" t="s">
        <v>164</v>
      </c>
      <c r="CN265" s="1" t="s">
        <v>164</v>
      </c>
      <c r="CO265" s="1" t="s">
        <v>184</v>
      </c>
      <c r="CP265" s="1" t="s">
        <v>243</v>
      </c>
      <c r="CQ265" s="3" t="s">
        <v>252</v>
      </c>
      <c r="CR265" s="1">
        <v>0</v>
      </c>
      <c r="CS265" s="1" t="s">
        <v>243</v>
      </c>
      <c r="CT265" s="1">
        <v>0.46281685</v>
      </c>
      <c r="CV265" s="1">
        <v>0</v>
      </c>
      <c r="CW265" s="1">
        <v>-219173.26</v>
      </c>
      <c r="DA265" s="1">
        <v>1355558.46</v>
      </c>
      <c r="DB265" s="1">
        <v>0</v>
      </c>
      <c r="DC265" s="1">
        <v>2520.3126550000002</v>
      </c>
      <c r="DD265" s="1">
        <v>52555.483399999997</v>
      </c>
      <c r="DE265" s="1">
        <v>-296353.43</v>
      </c>
      <c r="DF265" s="1">
        <v>92570020.519999996</v>
      </c>
      <c r="DG265" s="1">
        <v>-11.7</v>
      </c>
      <c r="DH265" s="1">
        <v>394770.09</v>
      </c>
      <c r="DI265" s="1">
        <v>0.29803809999999997</v>
      </c>
      <c r="DK265" s="1">
        <v>0</v>
      </c>
      <c r="DL265" s="1">
        <v>0</v>
      </c>
      <c r="DM265" s="1">
        <v>-296353.43</v>
      </c>
      <c r="DN265" s="1">
        <v>0</v>
      </c>
      <c r="DO265" s="1">
        <v>0</v>
      </c>
      <c r="DP265" s="1">
        <v>16777215</v>
      </c>
      <c r="DQ265" s="1">
        <v>0</v>
      </c>
      <c r="DR265" s="1">
        <v>0</v>
      </c>
      <c r="DS265" s="1">
        <v>0</v>
      </c>
      <c r="DT265" s="1">
        <v>0</v>
      </c>
      <c r="DU265" s="1">
        <v>0</v>
      </c>
      <c r="DV265" s="1">
        <v>572129.51</v>
      </c>
      <c r="DW265" s="1">
        <v>572129.51</v>
      </c>
      <c r="DX265" s="1">
        <v>31345322.399999999</v>
      </c>
      <c r="DY265" s="1">
        <v>-1110160.2399999984</v>
      </c>
      <c r="DZ265" s="1">
        <v>92570020.519999966</v>
      </c>
      <c r="EA265" s="1">
        <v>0</v>
      </c>
      <c r="EB265" s="1">
        <v>0</v>
      </c>
      <c r="EC265" s="1" t="s">
        <v>176</v>
      </c>
      <c r="EE265" s="1">
        <v>0</v>
      </c>
      <c r="EF265" s="1">
        <v>3</v>
      </c>
      <c r="EG265" s="1">
        <v>0</v>
      </c>
      <c r="EH265" s="3">
        <v>0.61805054000000004</v>
      </c>
      <c r="EI265" s="1">
        <v>0</v>
      </c>
      <c r="EL265" s="1">
        <v>0</v>
      </c>
      <c r="EM265" s="1">
        <v>0</v>
      </c>
      <c r="EN265" s="1">
        <v>1633661.45</v>
      </c>
      <c r="EO265" s="1">
        <v>1.2333592799999999</v>
      </c>
      <c r="ER265" s="1">
        <v>95.411234972676993</v>
      </c>
      <c r="ES265" s="1">
        <v>1</v>
      </c>
      <c r="ET265" s="3">
        <v>4.3629160389999999</v>
      </c>
      <c r="EU265" s="3">
        <v>3.2948982789999999</v>
      </c>
      <c r="EV265" s="3">
        <v>3.0122798961739998</v>
      </c>
      <c r="EW265" s="3">
        <v>3.4328767120000001</v>
      </c>
      <c r="EX265" s="3">
        <v>0.132458831</v>
      </c>
      <c r="EY265" s="3">
        <v>38</v>
      </c>
      <c r="EZ265" s="3">
        <v>1253</v>
      </c>
      <c r="FA265" s="1">
        <v>0</v>
      </c>
      <c r="FB265" s="1">
        <v>0</v>
      </c>
      <c r="FC265" s="3">
        <v>1.400613739</v>
      </c>
      <c r="FD265" s="1">
        <v>0</v>
      </c>
      <c r="FE265" s="1">
        <v>0</v>
      </c>
    </row>
    <row r="266" spans="1:161" x14ac:dyDescent="0.3">
      <c r="A266" s="1">
        <v>16975533</v>
      </c>
      <c r="B266" s="1">
        <v>128</v>
      </c>
      <c r="C266" s="1">
        <v>4612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9</v>
      </c>
      <c r="J266" s="3">
        <v>9</v>
      </c>
      <c r="K266" s="1">
        <v>450000</v>
      </c>
      <c r="L266" s="1">
        <v>450000</v>
      </c>
      <c r="M266" s="1">
        <v>450000</v>
      </c>
      <c r="N266" s="3">
        <v>450000</v>
      </c>
      <c r="O266" s="1">
        <v>506481.83</v>
      </c>
      <c r="P266" s="1">
        <v>506481.83</v>
      </c>
      <c r="Q266" s="1">
        <v>506481.83</v>
      </c>
      <c r="R266" s="1">
        <v>506481.83</v>
      </c>
      <c r="S266" s="1">
        <v>450000</v>
      </c>
      <c r="T266" s="1">
        <v>450000</v>
      </c>
      <c r="U266" s="1">
        <v>450000</v>
      </c>
      <c r="V266" s="1">
        <v>450000</v>
      </c>
      <c r="W266" s="1">
        <v>0</v>
      </c>
      <c r="X266" s="1">
        <v>0</v>
      </c>
      <c r="Y266" s="1">
        <v>0</v>
      </c>
      <c r="Z266" s="1">
        <v>0</v>
      </c>
      <c r="AA266" s="1">
        <v>-42839.37</v>
      </c>
      <c r="AB266" s="1">
        <v>-42839.37</v>
      </c>
      <c r="AC266" s="1">
        <v>-42839.37</v>
      </c>
      <c r="AD266" s="1">
        <v>-42839.37</v>
      </c>
      <c r="AE266" s="3" t="s">
        <v>388</v>
      </c>
      <c r="AF266" s="3" t="s">
        <v>161</v>
      </c>
      <c r="AG266" s="1" t="s">
        <v>970</v>
      </c>
      <c r="AH266" s="3" t="s">
        <v>581</v>
      </c>
      <c r="AI266" s="1">
        <v>4</v>
      </c>
      <c r="AJ266" s="3" t="s">
        <v>165</v>
      </c>
      <c r="AK266" s="1" t="s">
        <v>191</v>
      </c>
      <c r="AL266" s="3">
        <v>100.683236721382</v>
      </c>
      <c r="AM266" s="3">
        <v>100.68969672131399</v>
      </c>
      <c r="AN266" s="3">
        <v>453103.64</v>
      </c>
      <c r="AO266" s="3">
        <v>453103.64</v>
      </c>
      <c r="AP266" s="1" t="s">
        <v>164</v>
      </c>
      <c r="AQ266" s="1">
        <v>4</v>
      </c>
      <c r="AR266" s="1" t="s">
        <v>165</v>
      </c>
      <c r="AS266" s="3">
        <v>132534288.59999999</v>
      </c>
      <c r="AT266" s="1" t="s">
        <v>176</v>
      </c>
      <c r="AU266" s="1">
        <v>1</v>
      </c>
      <c r="AV266" s="1">
        <v>1</v>
      </c>
      <c r="AW266" s="3" t="s">
        <v>235</v>
      </c>
      <c r="AX266" s="3" t="s">
        <v>236</v>
      </c>
      <c r="AY266" s="1">
        <v>0</v>
      </c>
      <c r="BA266" s="3">
        <v>8205251.6799999997</v>
      </c>
      <c r="BB266" s="1">
        <v>1</v>
      </c>
      <c r="BD266" s="1" t="s">
        <v>971</v>
      </c>
      <c r="BE266" s="1">
        <v>1</v>
      </c>
      <c r="BF266" s="1">
        <v>1</v>
      </c>
      <c r="BG266" s="1" t="s">
        <v>168</v>
      </c>
      <c r="BH266" s="1">
        <v>0</v>
      </c>
      <c r="BI266" s="1">
        <v>31345322.399999999</v>
      </c>
      <c r="BJ266" s="1">
        <v>0</v>
      </c>
      <c r="BK266" s="1">
        <v>123618989.48999999</v>
      </c>
      <c r="BL266" s="1">
        <v>132456249.91</v>
      </c>
      <c r="BM266" s="1">
        <v>596150.00000000012</v>
      </c>
      <c r="BN266" s="1">
        <v>9219855.2300000004</v>
      </c>
      <c r="BO266" s="1">
        <v>23.664660909999998</v>
      </c>
      <c r="BP266" s="1">
        <v>0.45007313999999998</v>
      </c>
      <c r="BQ266" s="1">
        <v>6.9606796500000003</v>
      </c>
      <c r="BR266" s="1">
        <v>0.34207796000000001</v>
      </c>
      <c r="BS266" s="1" t="s">
        <v>169</v>
      </c>
      <c r="BT266" s="1" t="s">
        <v>169</v>
      </c>
      <c r="BU266" s="1">
        <v>26356083.120000001</v>
      </c>
      <c r="BV266" s="1">
        <v>0</v>
      </c>
      <c r="BW266" s="1">
        <v>29.07</v>
      </c>
      <c r="BX266" s="1">
        <v>0.01</v>
      </c>
      <c r="BY266" s="1" t="s">
        <v>170</v>
      </c>
      <c r="BZ266" s="1">
        <v>-78038.69</v>
      </c>
      <c r="CA266" s="1" t="s">
        <v>250</v>
      </c>
      <c r="CB266" s="1" t="s">
        <v>251</v>
      </c>
      <c r="CC266" s="1">
        <v>-10567.89</v>
      </c>
      <c r="CD266" s="1">
        <v>-10567.89</v>
      </c>
      <c r="CE266" s="1">
        <v>453074.57</v>
      </c>
      <c r="CF266" s="1">
        <v>453074.57</v>
      </c>
      <c r="CG266" s="1">
        <v>0</v>
      </c>
      <c r="CH266" s="1">
        <v>1.4438757900000001</v>
      </c>
      <c r="CI266" s="1">
        <v>13.27863496</v>
      </c>
      <c r="CJ266" s="1">
        <v>17588381.91</v>
      </c>
      <c r="CK266" s="1">
        <v>1912503.72</v>
      </c>
      <c r="CL266" s="1">
        <v>6269233.6699999999</v>
      </c>
      <c r="CM266" s="1" t="s">
        <v>164</v>
      </c>
      <c r="CN266" s="1" t="s">
        <v>164</v>
      </c>
      <c r="CO266" s="1" t="s">
        <v>184</v>
      </c>
      <c r="CP266" s="1" t="s">
        <v>243</v>
      </c>
      <c r="CQ266" s="3" t="s">
        <v>252</v>
      </c>
      <c r="CR266" s="1">
        <v>0</v>
      </c>
      <c r="CS266" s="1" t="s">
        <v>243</v>
      </c>
      <c r="CT266" s="1">
        <v>0.36653238999999999</v>
      </c>
      <c r="CV266" s="1">
        <v>0</v>
      </c>
      <c r="CW266" s="1">
        <v>-219173.26</v>
      </c>
      <c r="DA266" s="1">
        <v>1355558.46</v>
      </c>
      <c r="DB266" s="1">
        <v>0</v>
      </c>
      <c r="DC266" s="1">
        <v>2520.3126550000002</v>
      </c>
      <c r="DD266" s="1">
        <v>52555.483399999997</v>
      </c>
      <c r="DE266" s="1">
        <v>-296353.43</v>
      </c>
      <c r="DF266" s="1">
        <v>92570020.519999996</v>
      </c>
      <c r="DG266" s="1">
        <v>29.07</v>
      </c>
      <c r="DH266" s="1">
        <v>394770.09</v>
      </c>
      <c r="DI266" s="1">
        <v>0.29803809999999997</v>
      </c>
      <c r="DK266" s="1">
        <v>0</v>
      </c>
      <c r="DL266" s="1">
        <v>0</v>
      </c>
      <c r="DM266" s="1">
        <v>-296353.43</v>
      </c>
      <c r="DN266" s="1">
        <v>0</v>
      </c>
      <c r="DO266" s="1">
        <v>0</v>
      </c>
      <c r="DP266" s="1">
        <v>16777215</v>
      </c>
      <c r="DQ266" s="1">
        <v>0</v>
      </c>
      <c r="DR266" s="1">
        <v>0</v>
      </c>
      <c r="DS266" s="1">
        <v>0</v>
      </c>
      <c r="DT266" s="1">
        <v>0</v>
      </c>
      <c r="DU266" s="1">
        <v>0</v>
      </c>
      <c r="DV266" s="1">
        <v>453103.64</v>
      </c>
      <c r="DW266" s="1">
        <v>453103.64</v>
      </c>
      <c r="DX266" s="1">
        <v>31345322.399999999</v>
      </c>
      <c r="DY266" s="1">
        <v>-1110160.2399999984</v>
      </c>
      <c r="DZ266" s="1">
        <v>92570020.519999966</v>
      </c>
      <c r="EA266" s="1">
        <v>0</v>
      </c>
      <c r="EB266" s="1">
        <v>0</v>
      </c>
      <c r="EC266" s="1" t="s">
        <v>176</v>
      </c>
      <c r="EE266" s="1">
        <v>0</v>
      </c>
      <c r="EF266" s="1">
        <v>3</v>
      </c>
      <c r="EG266" s="1">
        <v>0</v>
      </c>
      <c r="EH266" s="3">
        <v>0.48947125000000002</v>
      </c>
      <c r="EI266" s="1">
        <v>0</v>
      </c>
      <c r="EL266" s="1">
        <v>0</v>
      </c>
      <c r="EM266" s="1">
        <v>0</v>
      </c>
      <c r="EN266" s="1">
        <v>1633661.45</v>
      </c>
      <c r="EO266" s="1">
        <v>1.2333592799999999</v>
      </c>
      <c r="ER266" s="1">
        <v>100.697877049178</v>
      </c>
      <c r="ES266" s="1">
        <v>1</v>
      </c>
      <c r="ET266" s="3">
        <v>4.2549431350000004</v>
      </c>
      <c r="EU266" s="3">
        <v>0.97540983599999997</v>
      </c>
      <c r="EV266" s="3">
        <v>0.94212990560800003</v>
      </c>
      <c r="EW266" s="3">
        <v>0.97808219200000002</v>
      </c>
      <c r="EX266" s="3">
        <v>1.7727644000000001E-2</v>
      </c>
      <c r="EY266" s="3">
        <v>11</v>
      </c>
      <c r="EZ266" s="3">
        <v>357</v>
      </c>
      <c r="FA266" s="1">
        <v>0</v>
      </c>
      <c r="FB266" s="1">
        <v>0</v>
      </c>
      <c r="FC266" s="3">
        <v>-6.9862426949999996</v>
      </c>
      <c r="FD266" s="1">
        <v>0</v>
      </c>
      <c r="FE266" s="1">
        <v>0</v>
      </c>
    </row>
    <row r="267" spans="1:161" x14ac:dyDescent="0.3">
      <c r="A267" s="1">
        <v>16975397</v>
      </c>
      <c r="B267" s="1">
        <v>128</v>
      </c>
      <c r="C267" s="1">
        <v>8458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1</v>
      </c>
      <c r="J267" s="3">
        <v>1</v>
      </c>
      <c r="K267" s="1">
        <v>100000</v>
      </c>
      <c r="L267" s="1">
        <v>100000</v>
      </c>
      <c r="M267" s="1">
        <v>100000</v>
      </c>
      <c r="N267" s="3">
        <v>100000</v>
      </c>
      <c r="O267" s="1">
        <v>106857</v>
      </c>
      <c r="P267" s="1">
        <v>106857</v>
      </c>
      <c r="Q267" s="1">
        <v>106857</v>
      </c>
      <c r="R267" s="1">
        <v>106857</v>
      </c>
      <c r="S267" s="1">
        <v>100000</v>
      </c>
      <c r="T267" s="1">
        <v>100000</v>
      </c>
      <c r="U267" s="1">
        <v>100000</v>
      </c>
      <c r="V267" s="1">
        <v>100000</v>
      </c>
      <c r="W267" s="1">
        <v>0</v>
      </c>
      <c r="X267" s="1">
        <v>0</v>
      </c>
      <c r="Y267" s="1">
        <v>0</v>
      </c>
      <c r="Z267" s="1">
        <v>0</v>
      </c>
      <c r="AA267" s="1">
        <v>-3124.33</v>
      </c>
      <c r="AB267" s="1">
        <v>-3124.33</v>
      </c>
      <c r="AC267" s="1">
        <v>-3124.33</v>
      </c>
      <c r="AD267" s="1">
        <v>-3124.33</v>
      </c>
      <c r="AE267" s="3" t="s">
        <v>582</v>
      </c>
      <c r="AF267" s="3" t="s">
        <v>161</v>
      </c>
      <c r="AG267" s="1" t="s">
        <v>970</v>
      </c>
      <c r="AH267" s="3" t="s">
        <v>583</v>
      </c>
      <c r="AI267" s="1">
        <v>4</v>
      </c>
      <c r="AJ267" s="3" t="s">
        <v>165</v>
      </c>
      <c r="AK267" s="1" t="s">
        <v>191</v>
      </c>
      <c r="AL267" s="3">
        <v>98.230413773636002</v>
      </c>
      <c r="AM267" s="3">
        <v>98.148573770492007</v>
      </c>
      <c r="AN267" s="3">
        <v>98148.57</v>
      </c>
      <c r="AO267" s="3">
        <v>98148.57</v>
      </c>
      <c r="AP267" s="1" t="s">
        <v>164</v>
      </c>
      <c r="AQ267" s="1">
        <v>4</v>
      </c>
      <c r="AR267" s="1" t="s">
        <v>165</v>
      </c>
      <c r="AS267" s="3">
        <v>132534288.59999999</v>
      </c>
      <c r="AT267" s="1" t="s">
        <v>176</v>
      </c>
      <c r="AU267" s="1">
        <v>1</v>
      </c>
      <c r="AV267" s="1">
        <v>1</v>
      </c>
      <c r="AW267" s="3" t="s">
        <v>235</v>
      </c>
      <c r="AX267" s="3" t="s">
        <v>236</v>
      </c>
      <c r="AY267" s="1">
        <v>0</v>
      </c>
      <c r="BA267" s="3">
        <v>8205251.6799999997</v>
      </c>
      <c r="BB267" s="1">
        <v>1</v>
      </c>
      <c r="BD267" s="1" t="s">
        <v>971</v>
      </c>
      <c r="BE267" s="1">
        <v>1</v>
      </c>
      <c r="BF267" s="1">
        <v>1</v>
      </c>
      <c r="BG267" s="1" t="s">
        <v>168</v>
      </c>
      <c r="BH267" s="1">
        <v>0</v>
      </c>
      <c r="BI267" s="1">
        <v>31345322.399999999</v>
      </c>
      <c r="BJ267" s="1">
        <v>0</v>
      </c>
      <c r="BK267" s="1">
        <v>123618989.48999999</v>
      </c>
      <c r="BL267" s="1">
        <v>132456249.91</v>
      </c>
      <c r="BM267" s="1">
        <v>596150.00000000012</v>
      </c>
      <c r="BN267" s="1">
        <v>9219855.2300000004</v>
      </c>
      <c r="BO267" s="1">
        <v>23.664660909999998</v>
      </c>
      <c r="BP267" s="1">
        <v>0.45007313999999998</v>
      </c>
      <c r="BQ267" s="1">
        <v>6.9606796500000003</v>
      </c>
      <c r="BR267" s="1">
        <v>7.4098860000000003E-2</v>
      </c>
      <c r="BS267" s="1" t="s">
        <v>169</v>
      </c>
      <c r="BT267" s="1" t="s">
        <v>169</v>
      </c>
      <c r="BU267" s="1">
        <v>26356083.120000001</v>
      </c>
      <c r="BV267" s="1">
        <v>0</v>
      </c>
      <c r="BW267" s="1">
        <v>-81.84</v>
      </c>
      <c r="BX267" s="1">
        <v>-0.08</v>
      </c>
      <c r="BY267" s="1" t="s">
        <v>170</v>
      </c>
      <c r="BZ267" s="1">
        <v>-78038.69</v>
      </c>
      <c r="CA267" s="1" t="s">
        <v>250</v>
      </c>
      <c r="CB267" s="1" t="s">
        <v>251</v>
      </c>
      <c r="CC267" s="1">
        <v>-5502.26</v>
      </c>
      <c r="CD267" s="1">
        <v>-5502.26</v>
      </c>
      <c r="CE267" s="1">
        <v>98230.41</v>
      </c>
      <c r="CF267" s="1">
        <v>98230.41</v>
      </c>
      <c r="CG267" s="1">
        <v>0</v>
      </c>
      <c r="CH267" s="1">
        <v>1.4438757900000001</v>
      </c>
      <c r="CI267" s="1">
        <v>13.27863496</v>
      </c>
      <c r="CJ267" s="1">
        <v>17588381.91</v>
      </c>
      <c r="CK267" s="1">
        <v>1912503.72</v>
      </c>
      <c r="CL267" s="1">
        <v>6269233.6699999999</v>
      </c>
      <c r="CM267" s="1" t="s">
        <v>164</v>
      </c>
      <c r="CN267" s="1" t="s">
        <v>164</v>
      </c>
      <c r="CO267" s="1" t="s">
        <v>184</v>
      </c>
      <c r="CP267" s="1" t="s">
        <v>243</v>
      </c>
      <c r="CQ267" s="3" t="s">
        <v>252</v>
      </c>
      <c r="CR267" s="1">
        <v>0</v>
      </c>
      <c r="CS267" s="1" t="s">
        <v>243</v>
      </c>
      <c r="CT267" s="1">
        <v>7.9396030000000006E-2</v>
      </c>
      <c r="CV267" s="1">
        <v>0</v>
      </c>
      <c r="CW267" s="1">
        <v>-219173.26</v>
      </c>
      <c r="DA267" s="1">
        <v>1355558.46</v>
      </c>
      <c r="DB267" s="1">
        <v>0</v>
      </c>
      <c r="DC267" s="1">
        <v>2520.3126550000002</v>
      </c>
      <c r="DD267" s="1">
        <v>52555.483399999997</v>
      </c>
      <c r="DE267" s="1">
        <v>-296353.43</v>
      </c>
      <c r="DF267" s="1">
        <v>92570020.519999996</v>
      </c>
      <c r="DG267" s="1">
        <v>-81.84</v>
      </c>
      <c r="DH267" s="1">
        <v>394770.09</v>
      </c>
      <c r="DI267" s="1">
        <v>0.29803809999999997</v>
      </c>
      <c r="DK267" s="1">
        <v>0</v>
      </c>
      <c r="DL267" s="1">
        <v>0</v>
      </c>
      <c r="DM267" s="1">
        <v>-296353.43</v>
      </c>
      <c r="DN267" s="1">
        <v>0</v>
      </c>
      <c r="DO267" s="1">
        <v>0</v>
      </c>
      <c r="DP267" s="1">
        <v>16777215</v>
      </c>
      <c r="DQ267" s="1">
        <v>0</v>
      </c>
      <c r="DR267" s="1">
        <v>0</v>
      </c>
      <c r="DS267" s="1">
        <v>0</v>
      </c>
      <c r="DT267" s="1">
        <v>0</v>
      </c>
      <c r="DU267" s="1">
        <v>0</v>
      </c>
      <c r="DV267" s="1">
        <v>98148.57</v>
      </c>
      <c r="DW267" s="1">
        <v>98148.57</v>
      </c>
      <c r="DX267" s="1">
        <v>31345322.399999999</v>
      </c>
      <c r="DY267" s="1">
        <v>-1110160.2399999984</v>
      </c>
      <c r="DZ267" s="1">
        <v>92570020.519999966</v>
      </c>
      <c r="EA267" s="1">
        <v>0</v>
      </c>
      <c r="EB267" s="1">
        <v>0</v>
      </c>
      <c r="EC267" s="1" t="s">
        <v>176</v>
      </c>
      <c r="EE267" s="1">
        <v>0</v>
      </c>
      <c r="EF267" s="1">
        <v>3</v>
      </c>
      <c r="EG267" s="1">
        <v>0</v>
      </c>
      <c r="EH267" s="3">
        <v>0.1060263</v>
      </c>
      <c r="EI267" s="1">
        <v>0</v>
      </c>
      <c r="EL267" s="1">
        <v>0</v>
      </c>
      <c r="EM267" s="1">
        <v>0</v>
      </c>
      <c r="EN267" s="1">
        <v>1633661.45</v>
      </c>
      <c r="EO267" s="1">
        <v>1.2333592799999999</v>
      </c>
      <c r="ER267" s="1">
        <v>98.210352459017997</v>
      </c>
      <c r="ES267" s="1">
        <v>1</v>
      </c>
      <c r="ET267" s="3">
        <v>4.9121783470000002</v>
      </c>
      <c r="EU267" s="3">
        <v>2.2269727640000001</v>
      </c>
      <c r="EV267" s="3">
        <v>2.0847129813060001</v>
      </c>
      <c r="EW267" s="3">
        <v>2.3123287669999999</v>
      </c>
      <c r="EX267" s="3">
        <v>6.632702E-2</v>
      </c>
      <c r="EY267" s="3">
        <v>25</v>
      </c>
      <c r="EZ267" s="3">
        <v>844</v>
      </c>
      <c r="FA267" s="1">
        <v>0</v>
      </c>
      <c r="FB267" s="1">
        <v>0</v>
      </c>
      <c r="FC267" s="3">
        <v>1.0150638489999999</v>
      </c>
      <c r="FD267" s="1">
        <v>0</v>
      </c>
      <c r="FE267" s="1">
        <v>0</v>
      </c>
    </row>
    <row r="268" spans="1:161" x14ac:dyDescent="0.3">
      <c r="A268" s="1">
        <v>16975523</v>
      </c>
      <c r="B268" s="1">
        <v>128</v>
      </c>
      <c r="C268" s="1">
        <v>7060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900</v>
      </c>
      <c r="J268" s="3">
        <v>900</v>
      </c>
      <c r="K268" s="1">
        <v>900000</v>
      </c>
      <c r="L268" s="1">
        <v>900000</v>
      </c>
      <c r="M268" s="1">
        <v>900000</v>
      </c>
      <c r="N268" s="3">
        <v>900000</v>
      </c>
      <c r="O268" s="1">
        <v>935963</v>
      </c>
      <c r="P268" s="1">
        <v>935963</v>
      </c>
      <c r="Q268" s="1">
        <v>935963</v>
      </c>
      <c r="R268" s="1">
        <v>935963</v>
      </c>
      <c r="S268" s="1">
        <v>900000</v>
      </c>
      <c r="T268" s="1">
        <v>900000</v>
      </c>
      <c r="U268" s="1">
        <v>900000</v>
      </c>
      <c r="V268" s="1">
        <v>900000</v>
      </c>
      <c r="W268" s="1">
        <v>0</v>
      </c>
      <c r="X268" s="1">
        <v>0</v>
      </c>
      <c r="Y268" s="1">
        <v>0</v>
      </c>
      <c r="Z268" s="1">
        <v>0</v>
      </c>
      <c r="AA268" s="1">
        <v>-17675.96</v>
      </c>
      <c r="AB268" s="1">
        <v>-17675.96</v>
      </c>
      <c r="AC268" s="1">
        <v>-17675.96</v>
      </c>
      <c r="AD268" s="1">
        <v>-17675.96</v>
      </c>
      <c r="AE268" s="3" t="s">
        <v>584</v>
      </c>
      <c r="AF268" s="3" t="s">
        <v>161</v>
      </c>
      <c r="AG268" s="1" t="s">
        <v>970</v>
      </c>
      <c r="AH268" s="3" t="s">
        <v>585</v>
      </c>
      <c r="AI268" s="1">
        <v>4</v>
      </c>
      <c r="AJ268" s="3" t="s">
        <v>165</v>
      </c>
      <c r="AK268" s="1" t="s">
        <v>217</v>
      </c>
      <c r="AL268" s="3">
        <v>97.118906739617998</v>
      </c>
      <c r="AM268" s="3">
        <v>96.994595628414004</v>
      </c>
      <c r="AN268" s="3">
        <v>872951.36</v>
      </c>
      <c r="AO268" s="3">
        <v>872951.36</v>
      </c>
      <c r="AP268" s="1" t="s">
        <v>164</v>
      </c>
      <c r="AQ268" s="1">
        <v>4</v>
      </c>
      <c r="AR268" s="1" t="s">
        <v>165</v>
      </c>
      <c r="AS268" s="3">
        <v>132534288.59999999</v>
      </c>
      <c r="AT268" s="1" t="s">
        <v>176</v>
      </c>
      <c r="AU268" s="1">
        <v>1</v>
      </c>
      <c r="AV268" s="1">
        <v>1</v>
      </c>
      <c r="AW268" s="3" t="s">
        <v>235</v>
      </c>
      <c r="AX268" s="3" t="s">
        <v>236</v>
      </c>
      <c r="AY268" s="1">
        <v>0</v>
      </c>
      <c r="BA268" s="3">
        <v>8205251.6799999997</v>
      </c>
      <c r="BB268" s="1">
        <v>1</v>
      </c>
      <c r="BD268" s="1" t="s">
        <v>971</v>
      </c>
      <c r="BE268" s="1">
        <v>1</v>
      </c>
      <c r="BF268" s="1">
        <v>1</v>
      </c>
      <c r="BG268" s="1" t="s">
        <v>168</v>
      </c>
      <c r="BH268" s="1">
        <v>0</v>
      </c>
      <c r="BI268" s="1">
        <v>31345322.399999999</v>
      </c>
      <c r="BJ268" s="1">
        <v>0</v>
      </c>
      <c r="BK268" s="1">
        <v>123618989.48999999</v>
      </c>
      <c r="BL268" s="1">
        <v>132456249.91</v>
      </c>
      <c r="BM268" s="1">
        <v>596150.00000000012</v>
      </c>
      <c r="BN268" s="1">
        <v>9219855.2300000004</v>
      </c>
      <c r="BO268" s="1">
        <v>23.664660909999998</v>
      </c>
      <c r="BP268" s="1">
        <v>0.45007313999999998</v>
      </c>
      <c r="BQ268" s="1">
        <v>6.9606796500000003</v>
      </c>
      <c r="BR268" s="1">
        <v>0.65904883000000003</v>
      </c>
      <c r="BS268" s="1" t="s">
        <v>169</v>
      </c>
      <c r="BT268" s="1" t="s">
        <v>169</v>
      </c>
      <c r="BU268" s="1">
        <v>26356083.120000001</v>
      </c>
      <c r="BV268" s="1">
        <v>0</v>
      </c>
      <c r="BW268" s="1">
        <v>-1118.8</v>
      </c>
      <c r="BX268" s="1">
        <v>-0.12</v>
      </c>
      <c r="BY268" s="1" t="s">
        <v>170</v>
      </c>
      <c r="BZ268" s="1">
        <v>-78038.69</v>
      </c>
      <c r="CA268" s="1" t="s">
        <v>250</v>
      </c>
      <c r="CB268" s="1" t="s">
        <v>251</v>
      </c>
      <c r="CC268" s="1">
        <v>-44216.88</v>
      </c>
      <c r="CD268" s="1">
        <v>-44216.88</v>
      </c>
      <c r="CE268" s="1">
        <v>874070.16</v>
      </c>
      <c r="CF268" s="1">
        <v>874070.16</v>
      </c>
      <c r="CG268" s="1">
        <v>0</v>
      </c>
      <c r="CH268" s="1">
        <v>1.4438757900000001</v>
      </c>
      <c r="CI268" s="1">
        <v>13.27863496</v>
      </c>
      <c r="CJ268" s="1">
        <v>17588381.91</v>
      </c>
      <c r="CK268" s="1">
        <v>1912503.72</v>
      </c>
      <c r="CL268" s="1">
        <v>6269233.6699999999</v>
      </c>
      <c r="CM268" s="1" t="s">
        <v>164</v>
      </c>
      <c r="CN268" s="1" t="s">
        <v>164</v>
      </c>
      <c r="CO268" s="1" t="s">
        <v>184</v>
      </c>
      <c r="CP268" s="1" t="s">
        <v>243</v>
      </c>
      <c r="CQ268" s="3" t="s">
        <v>252</v>
      </c>
      <c r="CR268" s="1">
        <v>0</v>
      </c>
      <c r="CS268" s="1" t="s">
        <v>243</v>
      </c>
      <c r="CT268" s="1">
        <v>0.70616283000000002</v>
      </c>
      <c r="CV268" s="1">
        <v>0</v>
      </c>
      <c r="CW268" s="1">
        <v>-219173.26</v>
      </c>
      <c r="DA268" s="1">
        <v>1355558.46</v>
      </c>
      <c r="DB268" s="1">
        <v>0</v>
      </c>
      <c r="DC268" s="1">
        <v>2520.3126550000002</v>
      </c>
      <c r="DD268" s="1">
        <v>52555.483399999997</v>
      </c>
      <c r="DE268" s="1">
        <v>-296353.43</v>
      </c>
      <c r="DF268" s="1">
        <v>92570020.519999996</v>
      </c>
      <c r="DG268" s="1">
        <v>-1118.8</v>
      </c>
      <c r="DH268" s="1">
        <v>394770.09</v>
      </c>
      <c r="DI268" s="1">
        <v>0.29803809999999997</v>
      </c>
      <c r="DK268" s="1">
        <v>0</v>
      </c>
      <c r="DL268" s="1">
        <v>0</v>
      </c>
      <c r="DM268" s="1">
        <v>-296353.43</v>
      </c>
      <c r="DN268" s="1">
        <v>0</v>
      </c>
      <c r="DO268" s="1">
        <v>0</v>
      </c>
      <c r="DP268" s="1">
        <v>16777215</v>
      </c>
      <c r="DQ268" s="1">
        <v>0</v>
      </c>
      <c r="DR268" s="1">
        <v>0</v>
      </c>
      <c r="DS268" s="1">
        <v>0</v>
      </c>
      <c r="DT268" s="1">
        <v>0</v>
      </c>
      <c r="DU268" s="1">
        <v>0</v>
      </c>
      <c r="DV268" s="1">
        <v>872951.36</v>
      </c>
      <c r="DW268" s="1">
        <v>872951.36</v>
      </c>
      <c r="DX268" s="1">
        <v>31345322.399999999</v>
      </c>
      <c r="DY268" s="1">
        <v>-1110160.2399999984</v>
      </c>
      <c r="DZ268" s="1">
        <v>92570020.519999966</v>
      </c>
      <c r="EA268" s="1">
        <v>0</v>
      </c>
      <c r="EB268" s="1">
        <v>0</v>
      </c>
      <c r="EC268" s="1" t="s">
        <v>176</v>
      </c>
      <c r="EE268" s="1">
        <v>0</v>
      </c>
      <c r="EF268" s="1">
        <v>3</v>
      </c>
      <c r="EG268" s="1">
        <v>0</v>
      </c>
      <c r="EH268" s="3">
        <v>0.94301736000000003</v>
      </c>
      <c r="EI268" s="1">
        <v>0</v>
      </c>
      <c r="EL268" s="1">
        <v>0</v>
      </c>
      <c r="EM268" s="1">
        <v>0</v>
      </c>
      <c r="EN268" s="1">
        <v>1633661.45</v>
      </c>
      <c r="EO268" s="1">
        <v>1.2333592799999999</v>
      </c>
      <c r="ER268" s="1">
        <v>97.113532786885003</v>
      </c>
      <c r="ES268" s="1">
        <v>1</v>
      </c>
      <c r="ET268" s="3">
        <v>5.8541272070000003</v>
      </c>
      <c r="EU268" s="3">
        <v>1.703145913</v>
      </c>
      <c r="EV268" s="3">
        <v>1.5625136289879999</v>
      </c>
      <c r="EW268" s="3">
        <v>1.7397260269999999</v>
      </c>
      <c r="EX268" s="3">
        <v>4.1384889000000001E-2</v>
      </c>
      <c r="EY268" s="3">
        <v>19</v>
      </c>
      <c r="EZ268" s="3">
        <v>635</v>
      </c>
      <c r="FA268" s="1">
        <v>0</v>
      </c>
      <c r="FB268" s="1">
        <v>0</v>
      </c>
      <c r="FC268" s="3">
        <v>1.684528984</v>
      </c>
      <c r="FD268" s="1">
        <v>0</v>
      </c>
      <c r="FE268" s="1">
        <v>0</v>
      </c>
    </row>
    <row r="269" spans="1:161" x14ac:dyDescent="0.3">
      <c r="A269" s="1">
        <v>16975520</v>
      </c>
      <c r="B269" s="1">
        <v>128</v>
      </c>
      <c r="C269" s="1">
        <v>7137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800</v>
      </c>
      <c r="J269" s="3">
        <v>800</v>
      </c>
      <c r="K269" s="1">
        <v>800000</v>
      </c>
      <c r="L269" s="1">
        <v>800000</v>
      </c>
      <c r="M269" s="1">
        <v>800000</v>
      </c>
      <c r="N269" s="3">
        <v>800000</v>
      </c>
      <c r="O269" s="1">
        <v>798225.7</v>
      </c>
      <c r="P269" s="1">
        <v>798225.7</v>
      </c>
      <c r="Q269" s="1">
        <v>798225.7</v>
      </c>
      <c r="R269" s="1">
        <v>798225.7</v>
      </c>
      <c r="S269" s="1">
        <v>800000</v>
      </c>
      <c r="T269" s="1">
        <v>800000</v>
      </c>
      <c r="U269" s="1">
        <v>800000</v>
      </c>
      <c r="V269" s="1">
        <v>800000</v>
      </c>
      <c r="W269" s="1">
        <v>0</v>
      </c>
      <c r="X269" s="1">
        <v>0</v>
      </c>
      <c r="Y269" s="1">
        <v>0</v>
      </c>
      <c r="Z269" s="1">
        <v>0</v>
      </c>
      <c r="AA269" s="1">
        <v>6360.96</v>
      </c>
      <c r="AB269" s="1">
        <v>6360.96</v>
      </c>
      <c r="AC269" s="1">
        <v>6360.96</v>
      </c>
      <c r="AD269" s="1">
        <v>6360.96</v>
      </c>
      <c r="AE269" s="3" t="s">
        <v>461</v>
      </c>
      <c r="AF269" s="3" t="s">
        <v>161</v>
      </c>
      <c r="AG269" s="1" t="s">
        <v>970</v>
      </c>
      <c r="AH269" s="3" t="s">
        <v>586</v>
      </c>
      <c r="AI269" s="1">
        <v>4</v>
      </c>
      <c r="AJ269" s="3" t="s">
        <v>165</v>
      </c>
      <c r="AK269" s="1" t="s">
        <v>191</v>
      </c>
      <c r="AL269" s="3">
        <v>92.501123013061999</v>
      </c>
      <c r="AM269" s="3">
        <v>92.362844262294999</v>
      </c>
      <c r="AN269" s="3">
        <v>738902.75</v>
      </c>
      <c r="AO269" s="3">
        <v>738902.75</v>
      </c>
      <c r="AP269" s="1" t="s">
        <v>164</v>
      </c>
      <c r="AQ269" s="1">
        <v>4</v>
      </c>
      <c r="AR269" s="1" t="s">
        <v>165</v>
      </c>
      <c r="AS269" s="3">
        <v>132534288.59999999</v>
      </c>
      <c r="AT269" s="1" t="s">
        <v>176</v>
      </c>
      <c r="AU269" s="1">
        <v>1</v>
      </c>
      <c r="AV269" s="1">
        <v>1</v>
      </c>
      <c r="AW269" s="3" t="s">
        <v>235</v>
      </c>
      <c r="AX269" s="3" t="s">
        <v>236</v>
      </c>
      <c r="AY269" s="1">
        <v>0</v>
      </c>
      <c r="BA269" s="3">
        <v>8205251.6799999997</v>
      </c>
      <c r="BB269" s="1">
        <v>1</v>
      </c>
      <c r="BD269" s="1" t="s">
        <v>971</v>
      </c>
      <c r="BE269" s="1">
        <v>1</v>
      </c>
      <c r="BF269" s="1">
        <v>1</v>
      </c>
      <c r="BG269" s="1" t="s">
        <v>168</v>
      </c>
      <c r="BH269" s="1">
        <v>0</v>
      </c>
      <c r="BI269" s="1">
        <v>31345322.399999999</v>
      </c>
      <c r="BJ269" s="1">
        <v>0</v>
      </c>
      <c r="BK269" s="1">
        <v>123618989.48999999</v>
      </c>
      <c r="BL269" s="1">
        <v>132456249.91</v>
      </c>
      <c r="BM269" s="1">
        <v>596150.00000000012</v>
      </c>
      <c r="BN269" s="1">
        <v>9219855.2300000004</v>
      </c>
      <c r="BO269" s="1">
        <v>23.664660909999998</v>
      </c>
      <c r="BP269" s="1">
        <v>0.45007313999999998</v>
      </c>
      <c r="BQ269" s="1">
        <v>6.9606796500000003</v>
      </c>
      <c r="BR269" s="1">
        <v>0.55784665</v>
      </c>
      <c r="BS269" s="1" t="s">
        <v>169</v>
      </c>
      <c r="BT269" s="1" t="s">
        <v>169</v>
      </c>
      <c r="BU269" s="1">
        <v>26356083.120000001</v>
      </c>
      <c r="BV269" s="1">
        <v>0</v>
      </c>
      <c r="BW269" s="1">
        <v>-1106.23</v>
      </c>
      <c r="BX269" s="1">
        <v>-0.15</v>
      </c>
      <c r="BY269" s="1" t="s">
        <v>170</v>
      </c>
      <c r="BZ269" s="1">
        <v>-78038.69</v>
      </c>
      <c r="CA269" s="1" t="s">
        <v>250</v>
      </c>
      <c r="CB269" s="1" t="s">
        <v>251</v>
      </c>
      <c r="CC269" s="1">
        <v>-64577.68</v>
      </c>
      <c r="CD269" s="1">
        <v>-64577.68</v>
      </c>
      <c r="CE269" s="1">
        <v>740008.98</v>
      </c>
      <c r="CF269" s="1">
        <v>740008.98</v>
      </c>
      <c r="CG269" s="1">
        <v>0</v>
      </c>
      <c r="CH269" s="1">
        <v>1.4438757900000001</v>
      </c>
      <c r="CI269" s="1">
        <v>13.27863496</v>
      </c>
      <c r="CJ269" s="1">
        <v>17588381.91</v>
      </c>
      <c r="CK269" s="1">
        <v>1912503.72</v>
      </c>
      <c r="CL269" s="1">
        <v>6269233.6699999999</v>
      </c>
      <c r="CM269" s="1" t="s">
        <v>164</v>
      </c>
      <c r="CN269" s="1" t="s">
        <v>164</v>
      </c>
      <c r="CO269" s="1" t="s">
        <v>184</v>
      </c>
      <c r="CP269" s="1" t="s">
        <v>243</v>
      </c>
      <c r="CQ269" s="3" t="s">
        <v>252</v>
      </c>
      <c r="CR269" s="1">
        <v>0</v>
      </c>
      <c r="CS269" s="1" t="s">
        <v>243</v>
      </c>
      <c r="CT269" s="1">
        <v>0.59772592999999996</v>
      </c>
      <c r="CV269" s="1">
        <v>0</v>
      </c>
      <c r="CW269" s="1">
        <v>-219173.26</v>
      </c>
      <c r="DA269" s="1">
        <v>1355558.46</v>
      </c>
      <c r="DB269" s="1">
        <v>0</v>
      </c>
      <c r="DC269" s="1">
        <v>2520.3126550000002</v>
      </c>
      <c r="DD269" s="1">
        <v>52555.483399999997</v>
      </c>
      <c r="DE269" s="1">
        <v>-296353.43</v>
      </c>
      <c r="DF269" s="1">
        <v>92570020.519999996</v>
      </c>
      <c r="DG269" s="1">
        <v>-1106.23</v>
      </c>
      <c r="DH269" s="1">
        <v>394770.09</v>
      </c>
      <c r="DI269" s="1">
        <v>0.29803809999999997</v>
      </c>
      <c r="DK269" s="1">
        <v>0</v>
      </c>
      <c r="DL269" s="1">
        <v>0</v>
      </c>
      <c r="DM269" s="1">
        <v>-296353.43</v>
      </c>
      <c r="DN269" s="1">
        <v>0</v>
      </c>
      <c r="DO269" s="1">
        <v>0</v>
      </c>
      <c r="DP269" s="1">
        <v>16777215</v>
      </c>
      <c r="DQ269" s="1">
        <v>0</v>
      </c>
      <c r="DR269" s="1">
        <v>0</v>
      </c>
      <c r="DS269" s="1">
        <v>0</v>
      </c>
      <c r="DT269" s="1">
        <v>0</v>
      </c>
      <c r="DU269" s="1">
        <v>0</v>
      </c>
      <c r="DV269" s="1">
        <v>738902.75</v>
      </c>
      <c r="DW269" s="1">
        <v>738902.75</v>
      </c>
      <c r="DX269" s="1">
        <v>31345322.399999999</v>
      </c>
      <c r="DY269" s="1">
        <v>-1110160.2399999984</v>
      </c>
      <c r="DZ269" s="1">
        <v>92570020.519999966</v>
      </c>
      <c r="EA269" s="1">
        <v>0</v>
      </c>
      <c r="EB269" s="1">
        <v>0</v>
      </c>
      <c r="EC269" s="1" t="s">
        <v>176</v>
      </c>
      <c r="EE269" s="1">
        <v>0</v>
      </c>
      <c r="EF269" s="1">
        <v>3</v>
      </c>
      <c r="EG269" s="1">
        <v>0</v>
      </c>
      <c r="EH269" s="3">
        <v>0.79820955999999998</v>
      </c>
      <c r="EI269" s="1">
        <v>0</v>
      </c>
      <c r="EL269" s="1">
        <v>0</v>
      </c>
      <c r="EM269" s="1">
        <v>0</v>
      </c>
      <c r="EN269" s="1">
        <v>1633661.45</v>
      </c>
      <c r="EO269" s="1">
        <v>1.2333592799999999</v>
      </c>
      <c r="ER269" s="1">
        <v>92.469270491803002</v>
      </c>
      <c r="ES269" s="1">
        <v>1</v>
      </c>
      <c r="ET269" s="3">
        <v>5.1710158599999998</v>
      </c>
      <c r="EU269" s="3">
        <v>2.1569401770000001</v>
      </c>
      <c r="EV269" s="3">
        <v>1.896441553177</v>
      </c>
      <c r="EW269" s="3">
        <v>2.189041096</v>
      </c>
      <c r="EX269" s="3">
        <v>6.1942252000000003E-2</v>
      </c>
      <c r="EY269" s="3">
        <v>25</v>
      </c>
      <c r="EZ269" s="3">
        <v>799</v>
      </c>
      <c r="FA269" s="1">
        <v>0</v>
      </c>
      <c r="FB269" s="1">
        <v>0</v>
      </c>
      <c r="FC269" s="3">
        <v>1.52758032</v>
      </c>
      <c r="FD269" s="1">
        <v>0</v>
      </c>
      <c r="FE269" s="1">
        <v>0</v>
      </c>
    </row>
    <row r="270" spans="1:161" x14ac:dyDescent="0.3">
      <c r="A270" s="1">
        <v>16975519</v>
      </c>
      <c r="B270" s="1">
        <v>128</v>
      </c>
      <c r="C270" s="1">
        <v>9407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700</v>
      </c>
      <c r="J270" s="3">
        <v>700</v>
      </c>
      <c r="K270" s="1">
        <v>700000</v>
      </c>
      <c r="L270" s="1">
        <v>700000</v>
      </c>
      <c r="M270" s="1">
        <v>700000</v>
      </c>
      <c r="N270" s="3">
        <v>700000</v>
      </c>
      <c r="O270" s="1">
        <v>695899</v>
      </c>
      <c r="P270" s="1">
        <v>695899</v>
      </c>
      <c r="Q270" s="1">
        <v>695899</v>
      </c>
      <c r="R270" s="1">
        <v>695899</v>
      </c>
      <c r="S270" s="1">
        <v>700000</v>
      </c>
      <c r="T270" s="1">
        <v>700000</v>
      </c>
      <c r="U270" s="1">
        <v>700000</v>
      </c>
      <c r="V270" s="1">
        <v>700000</v>
      </c>
      <c r="W270" s="1">
        <v>0</v>
      </c>
      <c r="X270" s="1">
        <v>0</v>
      </c>
      <c r="Y270" s="1">
        <v>0</v>
      </c>
      <c r="Z270" s="1">
        <v>0</v>
      </c>
      <c r="AA270" s="1">
        <v>560.32000000000005</v>
      </c>
      <c r="AB270" s="1">
        <v>560.32000000000005</v>
      </c>
      <c r="AC270" s="1">
        <v>560.32000000000005</v>
      </c>
      <c r="AD270" s="1">
        <v>560.32000000000005</v>
      </c>
      <c r="AE270" s="3" t="s">
        <v>587</v>
      </c>
      <c r="AF270" s="3" t="s">
        <v>161</v>
      </c>
      <c r="AG270" s="1" t="s">
        <v>970</v>
      </c>
      <c r="AH270" s="3" t="s">
        <v>588</v>
      </c>
      <c r="AI270" s="1">
        <v>4</v>
      </c>
      <c r="AJ270" s="3" t="s">
        <v>165</v>
      </c>
      <c r="AK270" s="1" t="s">
        <v>217</v>
      </c>
      <c r="AL270" s="3">
        <v>84.393578344182998</v>
      </c>
      <c r="AM270" s="3">
        <v>84.073661202186997</v>
      </c>
      <c r="AN270" s="3">
        <v>588515.63</v>
      </c>
      <c r="AO270" s="3">
        <v>588515.63</v>
      </c>
      <c r="AP270" s="1" t="s">
        <v>164</v>
      </c>
      <c r="AQ270" s="1">
        <v>4</v>
      </c>
      <c r="AR270" s="1" t="s">
        <v>165</v>
      </c>
      <c r="AS270" s="3">
        <v>132534288.59999999</v>
      </c>
      <c r="AT270" s="1" t="s">
        <v>176</v>
      </c>
      <c r="AU270" s="1">
        <v>1</v>
      </c>
      <c r="AV270" s="1">
        <v>1</v>
      </c>
      <c r="AW270" s="3" t="s">
        <v>235</v>
      </c>
      <c r="AX270" s="3" t="s">
        <v>236</v>
      </c>
      <c r="AY270" s="1">
        <v>0</v>
      </c>
      <c r="BA270" s="3">
        <v>8205251.6799999997</v>
      </c>
      <c r="BB270" s="1">
        <v>1</v>
      </c>
      <c r="BD270" s="1" t="s">
        <v>971</v>
      </c>
      <c r="BE270" s="1">
        <v>1</v>
      </c>
      <c r="BF270" s="1">
        <v>1</v>
      </c>
      <c r="BG270" s="1" t="s">
        <v>168</v>
      </c>
      <c r="BH270" s="1">
        <v>0</v>
      </c>
      <c r="BI270" s="1">
        <v>31345322.399999999</v>
      </c>
      <c r="BJ270" s="1">
        <v>0</v>
      </c>
      <c r="BK270" s="1">
        <v>123618989.48999999</v>
      </c>
      <c r="BL270" s="1">
        <v>132456249.91</v>
      </c>
      <c r="BM270" s="1">
        <v>596150.00000000012</v>
      </c>
      <c r="BN270" s="1">
        <v>9219855.2300000004</v>
      </c>
      <c r="BO270" s="1">
        <v>23.664660909999998</v>
      </c>
      <c r="BP270" s="1">
        <v>0.45007313999999998</v>
      </c>
      <c r="BQ270" s="1">
        <v>6.9606796500000003</v>
      </c>
      <c r="BR270" s="1">
        <v>0.44430944999999999</v>
      </c>
      <c r="BS270" s="1" t="s">
        <v>169</v>
      </c>
      <c r="BT270" s="1" t="s">
        <v>169</v>
      </c>
      <c r="BU270" s="1">
        <v>26356083.120000001</v>
      </c>
      <c r="BV270" s="1">
        <v>0</v>
      </c>
      <c r="BW270" s="1">
        <v>-2239.42</v>
      </c>
      <c r="BX270" s="1">
        <v>-0.38</v>
      </c>
      <c r="BY270" s="1" t="s">
        <v>170</v>
      </c>
      <c r="BZ270" s="1">
        <v>-78038.69</v>
      </c>
      <c r="CA270" s="1" t="s">
        <v>250</v>
      </c>
      <c r="CB270" s="1" t="s">
        <v>251</v>
      </c>
      <c r="CC270" s="1">
        <v>-105704.27</v>
      </c>
      <c r="CD270" s="1">
        <v>-105704.27</v>
      </c>
      <c r="CE270" s="1">
        <v>590755.05000000005</v>
      </c>
      <c r="CF270" s="1">
        <v>590755.05000000005</v>
      </c>
      <c r="CG270" s="1">
        <v>0</v>
      </c>
      <c r="CH270" s="1">
        <v>1.4438757900000001</v>
      </c>
      <c r="CI270" s="1">
        <v>13.27863496</v>
      </c>
      <c r="CJ270" s="1">
        <v>17588381.91</v>
      </c>
      <c r="CK270" s="1">
        <v>1912503.72</v>
      </c>
      <c r="CL270" s="1">
        <v>6269233.6699999999</v>
      </c>
      <c r="CM270" s="1" t="s">
        <v>164</v>
      </c>
      <c r="CN270" s="1" t="s">
        <v>164</v>
      </c>
      <c r="CO270" s="1" t="s">
        <v>184</v>
      </c>
      <c r="CP270" s="1" t="s">
        <v>243</v>
      </c>
      <c r="CQ270" s="3" t="s">
        <v>252</v>
      </c>
      <c r="CR270" s="1">
        <v>0</v>
      </c>
      <c r="CS270" s="1" t="s">
        <v>243</v>
      </c>
      <c r="CT270" s="1">
        <v>0.47607219000000001</v>
      </c>
      <c r="CV270" s="1">
        <v>0</v>
      </c>
      <c r="CW270" s="1">
        <v>-219173.26</v>
      </c>
      <c r="DA270" s="1">
        <v>1355558.46</v>
      </c>
      <c r="DB270" s="1">
        <v>0</v>
      </c>
      <c r="DC270" s="1">
        <v>2520.3126550000002</v>
      </c>
      <c r="DD270" s="1">
        <v>52555.483399999997</v>
      </c>
      <c r="DE270" s="1">
        <v>-296353.43</v>
      </c>
      <c r="DF270" s="1">
        <v>92570020.519999996</v>
      </c>
      <c r="DG270" s="1">
        <v>-2239.42</v>
      </c>
      <c r="DH270" s="1">
        <v>394770.09</v>
      </c>
      <c r="DI270" s="1">
        <v>0.29803809999999997</v>
      </c>
      <c r="DK270" s="1">
        <v>0</v>
      </c>
      <c r="DL270" s="1">
        <v>0</v>
      </c>
      <c r="DM270" s="1">
        <v>-296353.43</v>
      </c>
      <c r="DN270" s="1">
        <v>0</v>
      </c>
      <c r="DO270" s="1">
        <v>0</v>
      </c>
      <c r="DP270" s="1">
        <v>16777215</v>
      </c>
      <c r="DQ270" s="1">
        <v>0</v>
      </c>
      <c r="DR270" s="1">
        <v>0</v>
      </c>
      <c r="DS270" s="1">
        <v>0</v>
      </c>
      <c r="DT270" s="1">
        <v>0</v>
      </c>
      <c r="DU270" s="1">
        <v>0</v>
      </c>
      <c r="DV270" s="1">
        <v>588515.63</v>
      </c>
      <c r="DW270" s="1">
        <v>588515.63</v>
      </c>
      <c r="DX270" s="1">
        <v>31345322.399999999</v>
      </c>
      <c r="DY270" s="1">
        <v>-1110160.2399999984</v>
      </c>
      <c r="DZ270" s="1">
        <v>92570020.519999966</v>
      </c>
      <c r="EA270" s="1">
        <v>0</v>
      </c>
      <c r="EB270" s="1">
        <v>0</v>
      </c>
      <c r="EC270" s="1" t="s">
        <v>176</v>
      </c>
      <c r="EE270" s="1">
        <v>0</v>
      </c>
      <c r="EF270" s="1">
        <v>3</v>
      </c>
      <c r="EG270" s="1">
        <v>0</v>
      </c>
      <c r="EH270" s="3">
        <v>0.63575185999999995</v>
      </c>
      <c r="EI270" s="1">
        <v>0</v>
      </c>
      <c r="EL270" s="1">
        <v>0</v>
      </c>
      <c r="EM270" s="1">
        <v>0</v>
      </c>
      <c r="EN270" s="1">
        <v>1633661.45</v>
      </c>
      <c r="EO270" s="1">
        <v>1.2333592799999999</v>
      </c>
      <c r="ER270" s="1">
        <v>84.312467213114004</v>
      </c>
      <c r="ES270" s="1">
        <v>1</v>
      </c>
      <c r="ET270" s="3">
        <v>6.6840112109999996</v>
      </c>
      <c r="EU270" s="3">
        <v>4.320488879</v>
      </c>
      <c r="EV270" s="3">
        <v>3.4144861336310002</v>
      </c>
      <c r="EW270" s="3">
        <v>4.5589041100000003</v>
      </c>
      <c r="EX270" s="3">
        <v>0.20738456499999999</v>
      </c>
      <c r="EY270" s="3">
        <v>49</v>
      </c>
      <c r="EZ270" s="3">
        <v>1664</v>
      </c>
      <c r="FA270" s="1">
        <v>0</v>
      </c>
      <c r="FB270" s="1">
        <v>0</v>
      </c>
      <c r="FC270" s="3">
        <v>2.7023849119999999</v>
      </c>
      <c r="FD270" s="1">
        <v>0</v>
      </c>
      <c r="FE270" s="1">
        <v>0</v>
      </c>
    </row>
    <row r="271" spans="1:161" x14ac:dyDescent="0.3">
      <c r="A271" s="1">
        <v>16975493</v>
      </c>
      <c r="B271" s="1">
        <v>128</v>
      </c>
      <c r="C271" s="1">
        <v>10788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3</v>
      </c>
      <c r="J271" s="3">
        <v>3</v>
      </c>
      <c r="K271" s="1">
        <v>300000</v>
      </c>
      <c r="L271" s="1">
        <v>300000</v>
      </c>
      <c r="M271" s="1">
        <v>300000</v>
      </c>
      <c r="N271" s="3">
        <v>299475</v>
      </c>
      <c r="O271" s="1">
        <v>299475</v>
      </c>
      <c r="P271" s="1">
        <v>299475</v>
      </c>
      <c r="Q271" s="1">
        <v>299475</v>
      </c>
      <c r="R271" s="1">
        <v>299475</v>
      </c>
      <c r="S271" s="1">
        <v>300000</v>
      </c>
      <c r="T271" s="1">
        <v>300000</v>
      </c>
      <c r="U271" s="1">
        <v>300000</v>
      </c>
      <c r="V271" s="1">
        <v>300000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3" t="s">
        <v>963</v>
      </c>
      <c r="AF271" s="3" t="s">
        <v>161</v>
      </c>
      <c r="AG271" s="1" t="s">
        <v>970</v>
      </c>
      <c r="AH271" s="3" t="s">
        <v>964</v>
      </c>
      <c r="AI271" s="1">
        <v>4</v>
      </c>
      <c r="AJ271" s="3" t="s">
        <v>165</v>
      </c>
      <c r="AK271" s="1" t="s">
        <v>191</v>
      </c>
      <c r="AL271" s="3">
        <v>100.063998851883</v>
      </c>
      <c r="AM271" s="3">
        <v>100.013868852458</v>
      </c>
      <c r="AN271" s="3">
        <v>300041.61</v>
      </c>
      <c r="AO271" s="3">
        <v>300041.61</v>
      </c>
      <c r="AP271" s="1" t="s">
        <v>164</v>
      </c>
      <c r="AQ271" s="1">
        <v>4</v>
      </c>
      <c r="AR271" s="1" t="s">
        <v>165</v>
      </c>
      <c r="AS271" s="3">
        <v>132534288.59999999</v>
      </c>
      <c r="AT271" s="1" t="s">
        <v>164</v>
      </c>
      <c r="AU271" s="1">
        <v>2</v>
      </c>
      <c r="AV271" s="1">
        <v>3</v>
      </c>
      <c r="AW271" s="3" t="s">
        <v>210</v>
      </c>
      <c r="AX271" s="3" t="s">
        <v>237</v>
      </c>
      <c r="AY271" s="1">
        <v>0</v>
      </c>
      <c r="BA271" s="3">
        <v>8205251.6799999997</v>
      </c>
      <c r="BB271" s="1">
        <v>1</v>
      </c>
      <c r="BD271" s="1" t="s">
        <v>971</v>
      </c>
      <c r="BE271" s="1">
        <v>1</v>
      </c>
      <c r="BF271" s="1">
        <v>1</v>
      </c>
      <c r="BG271" s="1" t="s">
        <v>168</v>
      </c>
      <c r="BH271" s="1">
        <v>0</v>
      </c>
      <c r="BI271" s="1">
        <v>31345322.399999999</v>
      </c>
      <c r="BJ271" s="1">
        <v>0</v>
      </c>
      <c r="BK271" s="1">
        <v>123618989.48999999</v>
      </c>
      <c r="BL271" s="1">
        <v>132456249.91</v>
      </c>
      <c r="BM271" s="1">
        <v>596150.00000000012</v>
      </c>
      <c r="BN271" s="1">
        <v>9219855.2300000004</v>
      </c>
      <c r="BO271" s="1">
        <v>23.664660909999998</v>
      </c>
      <c r="BP271" s="1">
        <v>0.45007313999999998</v>
      </c>
      <c r="BQ271" s="1">
        <v>6.9606796500000003</v>
      </c>
      <c r="BR271" s="1">
        <v>0.22652128999999999</v>
      </c>
      <c r="BS271" s="1" t="s">
        <v>169</v>
      </c>
      <c r="BT271" s="1" t="s">
        <v>169</v>
      </c>
      <c r="BU271" s="1">
        <v>26356083.120000001</v>
      </c>
      <c r="BV271" s="1">
        <v>0</v>
      </c>
      <c r="BW271" s="1">
        <v>-150.38999999999999</v>
      </c>
      <c r="BX271" s="1">
        <v>-0.05</v>
      </c>
      <c r="BY271" s="1" t="s">
        <v>170</v>
      </c>
      <c r="BZ271" s="1">
        <v>-78038.69</v>
      </c>
      <c r="CA271" s="1" t="s">
        <v>250</v>
      </c>
      <c r="CB271" s="1" t="s">
        <v>251</v>
      </c>
      <c r="CC271" s="1">
        <v>717</v>
      </c>
      <c r="CD271" s="1">
        <v>717</v>
      </c>
      <c r="CE271" s="1">
        <v>300192</v>
      </c>
      <c r="CF271" s="1">
        <v>300192</v>
      </c>
      <c r="CG271" s="1">
        <v>0</v>
      </c>
      <c r="CH271" s="1">
        <v>1.4438757900000001</v>
      </c>
      <c r="CI271" s="1">
        <v>13.27863496</v>
      </c>
      <c r="CJ271" s="1">
        <v>17588381.91</v>
      </c>
      <c r="CK271" s="1">
        <v>1912503.72</v>
      </c>
      <c r="CL271" s="1">
        <v>6269233.6699999999</v>
      </c>
      <c r="CM271" s="1" t="s">
        <v>164</v>
      </c>
      <c r="CN271" s="1" t="s">
        <v>164</v>
      </c>
      <c r="CO271" s="1" t="s">
        <v>965</v>
      </c>
      <c r="CP271" s="1" t="s">
        <v>243</v>
      </c>
      <c r="CQ271" s="3" t="s">
        <v>252</v>
      </c>
      <c r="CR271" s="1">
        <v>0</v>
      </c>
      <c r="CS271" s="1" t="s">
        <v>243</v>
      </c>
      <c r="CT271" s="1">
        <v>0</v>
      </c>
      <c r="CU271">
        <v>12639424</v>
      </c>
      <c r="CV271" s="1">
        <v>0</v>
      </c>
      <c r="CW271" s="1">
        <v>-219173.26</v>
      </c>
      <c r="DA271" s="1">
        <v>1355558.46</v>
      </c>
      <c r="DB271" s="1">
        <v>0</v>
      </c>
      <c r="DC271" s="1">
        <v>2520.3126550000002</v>
      </c>
      <c r="DD271" s="1">
        <v>52555.483399999997</v>
      </c>
      <c r="DE271" s="1">
        <v>-296353.43</v>
      </c>
      <c r="DF271" s="1">
        <v>92570020.519999996</v>
      </c>
      <c r="DG271" s="1">
        <v>-150.38999999999999</v>
      </c>
      <c r="DH271" s="1">
        <v>394770.09</v>
      </c>
      <c r="DI271" s="1">
        <v>0.29803809999999997</v>
      </c>
      <c r="DK271" s="1">
        <v>0</v>
      </c>
      <c r="DL271" s="1">
        <v>0</v>
      </c>
      <c r="DM271" s="1">
        <v>-296353.43</v>
      </c>
      <c r="DN271" s="1">
        <v>0</v>
      </c>
      <c r="DO271" s="1">
        <v>0</v>
      </c>
      <c r="DP271" s="1">
        <v>16777215</v>
      </c>
      <c r="DQ271" s="1">
        <v>0</v>
      </c>
      <c r="DR271" s="1">
        <v>0</v>
      </c>
      <c r="DS271" s="1">
        <v>0</v>
      </c>
      <c r="DT271" s="1">
        <v>0</v>
      </c>
      <c r="DU271" s="1">
        <v>0</v>
      </c>
      <c r="DV271" s="1">
        <v>300041.61</v>
      </c>
      <c r="DW271" s="1">
        <v>300041.61</v>
      </c>
      <c r="DX271" s="1">
        <v>31345322.399999999</v>
      </c>
      <c r="DY271" s="1">
        <v>-1110160.2399999984</v>
      </c>
      <c r="DZ271" s="1">
        <v>92570020.519999966</v>
      </c>
      <c r="EA271" s="1">
        <v>0</v>
      </c>
      <c r="EB271" s="1">
        <v>0</v>
      </c>
      <c r="EC271" s="1" t="s">
        <v>176</v>
      </c>
      <c r="EE271" s="1">
        <v>0</v>
      </c>
      <c r="EF271" s="1">
        <v>3</v>
      </c>
      <c r="EG271" s="1">
        <v>0</v>
      </c>
      <c r="EH271" s="3">
        <v>0</v>
      </c>
      <c r="EI271" s="1">
        <v>0</v>
      </c>
      <c r="EL271" s="1">
        <v>0</v>
      </c>
      <c r="EM271" s="1">
        <v>0</v>
      </c>
      <c r="EN271" s="1">
        <v>1633661.45</v>
      </c>
      <c r="EO271" s="1">
        <v>1.2333592799999999</v>
      </c>
      <c r="ER271" s="1">
        <v>100.039</v>
      </c>
      <c r="ES271" s="1">
        <v>1</v>
      </c>
      <c r="ET271" s="3">
        <v>5.6038459830000003</v>
      </c>
      <c r="EU271" s="3">
        <v>1.94675566</v>
      </c>
      <c r="EV271" s="3">
        <v>1.844170424076</v>
      </c>
      <c r="EW271" s="3">
        <v>2.0027397260000002</v>
      </c>
      <c r="EX271" s="3">
        <v>5.1891438999999998E-2</v>
      </c>
      <c r="EY271" s="3">
        <v>22</v>
      </c>
      <c r="EZ271" s="3">
        <v>731</v>
      </c>
      <c r="FA271" s="1">
        <v>0</v>
      </c>
      <c r="FB271" s="1">
        <v>0</v>
      </c>
      <c r="FC271" s="3">
        <v>5.7200771850000001</v>
      </c>
      <c r="FD271" s="1">
        <v>0</v>
      </c>
      <c r="FE271" s="1">
        <v>0</v>
      </c>
    </row>
    <row r="272" spans="1:161" x14ac:dyDescent="0.3">
      <c r="A272" s="1">
        <v>16975605</v>
      </c>
      <c r="B272" s="1">
        <v>128</v>
      </c>
      <c r="C272" s="1">
        <v>10632</v>
      </c>
      <c r="D272" s="1">
        <v>0</v>
      </c>
      <c r="E272" s="1">
        <v>0</v>
      </c>
      <c r="F272" s="1">
        <v>0</v>
      </c>
      <c r="G272" s="1">
        <v>0</v>
      </c>
      <c r="H272" s="1">
        <v>3741</v>
      </c>
      <c r="I272" s="1">
        <v>0</v>
      </c>
      <c r="J272" s="3">
        <v>1000</v>
      </c>
      <c r="K272" s="1">
        <v>0</v>
      </c>
      <c r="L272" s="1">
        <v>0</v>
      </c>
      <c r="M272" s="1">
        <v>1000000</v>
      </c>
      <c r="N272" s="3">
        <v>1000000</v>
      </c>
      <c r="O272" s="1">
        <v>0</v>
      </c>
      <c r="P272" s="1">
        <v>0</v>
      </c>
      <c r="Q272" s="1">
        <v>953995</v>
      </c>
      <c r="R272" s="1">
        <v>953995</v>
      </c>
      <c r="S272" s="1">
        <v>0</v>
      </c>
      <c r="T272" s="1">
        <v>0</v>
      </c>
      <c r="U272" s="1">
        <v>1000000</v>
      </c>
      <c r="V272" s="1">
        <v>1000000</v>
      </c>
      <c r="W272" s="1">
        <v>0</v>
      </c>
      <c r="X272" s="1">
        <v>0</v>
      </c>
      <c r="Y272" s="1">
        <v>8449.32</v>
      </c>
      <c r="Z272" s="1">
        <v>8449.32</v>
      </c>
      <c r="AA272" s="1">
        <v>0</v>
      </c>
      <c r="AB272" s="1">
        <v>0</v>
      </c>
      <c r="AC272" s="1">
        <v>0</v>
      </c>
      <c r="AD272" s="1">
        <v>0</v>
      </c>
      <c r="AE272" s="3" t="s">
        <v>972</v>
      </c>
      <c r="AF272" s="3" t="s">
        <v>161</v>
      </c>
      <c r="AG272" s="1" t="s">
        <v>970</v>
      </c>
      <c r="AH272" s="3" t="s">
        <v>973</v>
      </c>
      <c r="AI272" s="1">
        <v>4</v>
      </c>
      <c r="AJ272" s="3" t="s">
        <v>165</v>
      </c>
      <c r="AK272" s="1" t="s">
        <v>191</v>
      </c>
      <c r="AL272" s="3">
        <v>96.244431835449006</v>
      </c>
      <c r="AM272" s="3">
        <v>96.146143835616996</v>
      </c>
      <c r="AN272" s="3">
        <v>961461.44</v>
      </c>
      <c r="AO272" s="3">
        <v>961461.44</v>
      </c>
      <c r="AP272" s="1" t="s">
        <v>164</v>
      </c>
      <c r="AQ272" s="1">
        <v>4</v>
      </c>
      <c r="AR272" s="1" t="s">
        <v>165</v>
      </c>
      <c r="AS272" s="3">
        <v>132534288.59999999</v>
      </c>
      <c r="AT272" s="1" t="s">
        <v>164</v>
      </c>
      <c r="AU272" s="1">
        <v>5</v>
      </c>
      <c r="AV272" s="1">
        <v>5</v>
      </c>
      <c r="AW272" s="3" t="s">
        <v>210</v>
      </c>
      <c r="AX272" s="3" t="s">
        <v>237</v>
      </c>
      <c r="AY272" s="1">
        <v>0</v>
      </c>
      <c r="BA272" s="3">
        <v>8205251.6799999997</v>
      </c>
      <c r="BB272" s="1">
        <v>1</v>
      </c>
      <c r="BD272" s="1" t="s">
        <v>971</v>
      </c>
      <c r="BE272" s="1">
        <v>1</v>
      </c>
      <c r="BF272" s="1">
        <v>1</v>
      </c>
      <c r="BG272" s="1" t="s">
        <v>168</v>
      </c>
      <c r="BH272" s="1">
        <v>0</v>
      </c>
      <c r="BI272" s="1">
        <v>31345322.399999999</v>
      </c>
      <c r="BJ272" s="1">
        <v>0</v>
      </c>
      <c r="BK272" s="1">
        <v>123618989.48999999</v>
      </c>
      <c r="BL272" s="1">
        <v>132456249.91</v>
      </c>
      <c r="BM272" s="1">
        <v>596150.00000000012</v>
      </c>
      <c r="BN272" s="1">
        <v>9219855.2300000004</v>
      </c>
      <c r="BO272" s="1">
        <v>23.664660909999998</v>
      </c>
      <c r="BP272" s="1">
        <v>0.45007313999999998</v>
      </c>
      <c r="BQ272" s="1">
        <v>6.9606796500000003</v>
      </c>
      <c r="BR272" s="1">
        <v>0.72587095000000001</v>
      </c>
      <c r="BS272" s="1" t="s">
        <v>169</v>
      </c>
      <c r="BT272" s="1" t="s">
        <v>169</v>
      </c>
      <c r="BU272" s="1">
        <v>26356083.120000001</v>
      </c>
      <c r="BV272" s="1">
        <v>0</v>
      </c>
      <c r="BW272" s="1">
        <v>-982.88</v>
      </c>
      <c r="BX272" s="1">
        <v>-0.1</v>
      </c>
      <c r="BY272" s="1" t="s">
        <v>170</v>
      </c>
      <c r="BZ272" s="1">
        <v>-78038.69</v>
      </c>
      <c r="CA272" s="1" t="s">
        <v>250</v>
      </c>
      <c r="CB272" s="1" t="s">
        <v>251</v>
      </c>
      <c r="CC272" s="1">
        <v>0</v>
      </c>
      <c r="CD272" s="1">
        <v>0</v>
      </c>
      <c r="CE272" s="1">
        <v>962444.32</v>
      </c>
      <c r="CF272" s="1">
        <v>962444.32</v>
      </c>
      <c r="CG272" s="1">
        <v>0</v>
      </c>
      <c r="CH272" s="1">
        <v>1.4438757900000001</v>
      </c>
      <c r="CI272" s="1">
        <v>13.27863496</v>
      </c>
      <c r="CJ272" s="1">
        <v>17588381.91</v>
      </c>
      <c r="CK272" s="1">
        <v>1912503.72</v>
      </c>
      <c r="CL272" s="1">
        <v>6269233.6699999999</v>
      </c>
      <c r="CM272" s="1" t="s">
        <v>164</v>
      </c>
      <c r="CN272" s="1" t="s">
        <v>164</v>
      </c>
      <c r="CO272" s="1" t="s">
        <v>974</v>
      </c>
      <c r="CP272" s="1" t="s">
        <v>243</v>
      </c>
      <c r="CQ272" s="3" t="s">
        <v>252</v>
      </c>
      <c r="CR272" s="1">
        <v>0</v>
      </c>
      <c r="CS272" s="1" t="s">
        <v>243</v>
      </c>
      <c r="CT272" s="1">
        <v>0</v>
      </c>
      <c r="CU272">
        <v>12639424</v>
      </c>
      <c r="CV272" s="1">
        <v>0</v>
      </c>
      <c r="CW272" s="1">
        <v>-219173.26</v>
      </c>
      <c r="CY272" t="s">
        <v>975</v>
      </c>
      <c r="DA272" s="1">
        <v>1355558.46</v>
      </c>
      <c r="DB272" s="1">
        <v>0</v>
      </c>
      <c r="DC272" s="1">
        <v>2520.3126550000002</v>
      </c>
      <c r="DD272" s="1">
        <v>52555.483399999997</v>
      </c>
      <c r="DE272" s="1">
        <v>-296353.43</v>
      </c>
      <c r="DF272" s="1">
        <v>92570020.519999996</v>
      </c>
      <c r="DG272" s="1">
        <v>-982.88</v>
      </c>
      <c r="DH272" s="1">
        <v>394770.09</v>
      </c>
      <c r="DI272" s="1">
        <v>0.29803809999999997</v>
      </c>
      <c r="DK272" s="1">
        <v>0</v>
      </c>
      <c r="DL272" s="1">
        <v>0</v>
      </c>
      <c r="DM272" s="1">
        <v>-296353.43</v>
      </c>
      <c r="DN272" s="1">
        <v>0</v>
      </c>
      <c r="DO272" s="1">
        <v>0</v>
      </c>
      <c r="DP272" s="1">
        <v>16777215</v>
      </c>
      <c r="DQ272" s="1">
        <v>0</v>
      </c>
      <c r="DR272" s="1">
        <v>0</v>
      </c>
      <c r="DS272" s="1">
        <v>0</v>
      </c>
      <c r="DT272" s="1">
        <v>0</v>
      </c>
      <c r="DU272" s="1">
        <v>0</v>
      </c>
      <c r="DV272" s="1">
        <v>961461.44</v>
      </c>
      <c r="DW272" s="1">
        <v>961461.44</v>
      </c>
      <c r="DX272" s="1">
        <v>31345322.399999999</v>
      </c>
      <c r="DY272" s="1">
        <v>-1110160.2399999984</v>
      </c>
      <c r="DZ272" s="1">
        <v>92570020.519999966</v>
      </c>
      <c r="EA272" s="1">
        <v>0</v>
      </c>
      <c r="EB272" s="1">
        <v>0</v>
      </c>
      <c r="EC272" s="1" t="s">
        <v>176</v>
      </c>
      <c r="EE272" s="1">
        <v>0</v>
      </c>
      <c r="EF272" s="1">
        <v>3</v>
      </c>
      <c r="EG272" s="1">
        <v>0</v>
      </c>
      <c r="EH272" s="3">
        <v>0</v>
      </c>
      <c r="EI272" s="1">
        <v>0</v>
      </c>
      <c r="EL272" s="1">
        <v>0</v>
      </c>
      <c r="EM272" s="1">
        <v>0</v>
      </c>
      <c r="EN272" s="1">
        <v>1633661.45</v>
      </c>
      <c r="EO272" s="1">
        <v>1.2333592799999999</v>
      </c>
      <c r="ER272" s="1">
        <v>96.242931506849004</v>
      </c>
      <c r="ES272" s="1">
        <v>1</v>
      </c>
      <c r="ET272" s="3">
        <v>4.2233815210000003</v>
      </c>
      <c r="EU272" s="3">
        <v>1.289162227</v>
      </c>
      <c r="EV272" s="3">
        <v>1.190450262733</v>
      </c>
      <c r="EW272" s="3">
        <v>1.3041095890000001</v>
      </c>
      <c r="EX272" s="3">
        <v>2.7278771E-2</v>
      </c>
      <c r="EY272" s="3">
        <v>15</v>
      </c>
      <c r="EZ272" s="3">
        <v>476</v>
      </c>
      <c r="FA272" s="1">
        <v>0</v>
      </c>
      <c r="FB272" s="1">
        <v>0</v>
      </c>
      <c r="FC272" s="3">
        <v>4.9312457910000003</v>
      </c>
      <c r="FD272" s="1">
        <v>0</v>
      </c>
      <c r="FE272" s="1">
        <v>0</v>
      </c>
    </row>
    <row r="273" spans="1:161" x14ac:dyDescent="0.3">
      <c r="A273" s="1">
        <v>16975606</v>
      </c>
      <c r="B273" s="1">
        <v>128</v>
      </c>
      <c r="C273" s="1">
        <v>8771</v>
      </c>
      <c r="D273" s="1">
        <v>0</v>
      </c>
      <c r="E273" s="1">
        <v>0</v>
      </c>
      <c r="F273" s="1">
        <v>0</v>
      </c>
      <c r="G273" s="1">
        <v>0</v>
      </c>
      <c r="H273" s="1">
        <v>3742</v>
      </c>
      <c r="I273" s="1">
        <v>0</v>
      </c>
      <c r="J273" s="3">
        <v>1000</v>
      </c>
      <c r="K273" s="1">
        <v>0</v>
      </c>
      <c r="L273" s="1">
        <v>0</v>
      </c>
      <c r="M273" s="1">
        <v>1000000</v>
      </c>
      <c r="N273" s="3">
        <v>1000000</v>
      </c>
      <c r="O273" s="1">
        <v>0</v>
      </c>
      <c r="P273" s="1">
        <v>0</v>
      </c>
      <c r="Q273" s="1">
        <v>975615</v>
      </c>
      <c r="R273" s="1">
        <v>975615</v>
      </c>
      <c r="S273" s="1">
        <v>0</v>
      </c>
      <c r="T273" s="1">
        <v>0</v>
      </c>
      <c r="U273" s="1">
        <v>1000000</v>
      </c>
      <c r="V273" s="1">
        <v>1000000</v>
      </c>
      <c r="W273" s="1">
        <v>0</v>
      </c>
      <c r="X273" s="1">
        <v>0</v>
      </c>
      <c r="Y273" s="1">
        <v>1793.03</v>
      </c>
      <c r="Z273" s="1">
        <v>1793.03</v>
      </c>
      <c r="AA273" s="1">
        <v>0</v>
      </c>
      <c r="AB273" s="1">
        <v>0</v>
      </c>
      <c r="AC273" s="1">
        <v>0</v>
      </c>
      <c r="AD273" s="1">
        <v>0</v>
      </c>
      <c r="AE273" s="3" t="s">
        <v>976</v>
      </c>
      <c r="AF273" s="3" t="s">
        <v>161</v>
      </c>
      <c r="AG273" s="1" t="s">
        <v>970</v>
      </c>
      <c r="AH273" s="3" t="s">
        <v>977</v>
      </c>
      <c r="AI273" s="1">
        <v>4</v>
      </c>
      <c r="AJ273" s="3" t="s">
        <v>165</v>
      </c>
      <c r="AK273" s="1" t="s">
        <v>191</v>
      </c>
      <c r="AL273" s="3">
        <v>97.740802628333995</v>
      </c>
      <c r="AM273" s="3">
        <v>97.719595628414993</v>
      </c>
      <c r="AN273" s="3">
        <v>977195.96</v>
      </c>
      <c r="AO273" s="3">
        <v>977195.96</v>
      </c>
      <c r="AP273" s="1" t="s">
        <v>164</v>
      </c>
      <c r="AQ273" s="1">
        <v>4</v>
      </c>
      <c r="AR273" s="1" t="s">
        <v>165</v>
      </c>
      <c r="AS273" s="3">
        <v>132534288.59999999</v>
      </c>
      <c r="AT273" s="1" t="s">
        <v>164</v>
      </c>
      <c r="AU273" s="1">
        <v>5</v>
      </c>
      <c r="AV273" s="1">
        <v>5</v>
      </c>
      <c r="AW273" s="3" t="s">
        <v>210</v>
      </c>
      <c r="AX273" s="3" t="s">
        <v>211</v>
      </c>
      <c r="AY273" s="1">
        <v>0</v>
      </c>
      <c r="BA273" s="3">
        <v>8205251.6799999997</v>
      </c>
      <c r="BB273" s="1">
        <v>1</v>
      </c>
      <c r="BD273" s="1" t="s">
        <v>971</v>
      </c>
      <c r="BE273" s="1">
        <v>1</v>
      </c>
      <c r="BF273" s="1">
        <v>1</v>
      </c>
      <c r="BG273" s="1" t="s">
        <v>168</v>
      </c>
      <c r="BH273" s="1">
        <v>0</v>
      </c>
      <c r="BI273" s="1">
        <v>31345322.399999999</v>
      </c>
      <c r="BJ273" s="1">
        <v>0</v>
      </c>
      <c r="BK273" s="1">
        <v>123618989.48999999</v>
      </c>
      <c r="BL273" s="1">
        <v>132456249.91</v>
      </c>
      <c r="BM273" s="1">
        <v>596150.00000000012</v>
      </c>
      <c r="BN273" s="1">
        <v>9219855.2300000004</v>
      </c>
      <c r="BO273" s="1">
        <v>23.664660909999998</v>
      </c>
      <c r="BP273" s="1">
        <v>0.45007313999999998</v>
      </c>
      <c r="BQ273" s="1">
        <v>6.9606796500000003</v>
      </c>
      <c r="BR273" s="1">
        <v>0.73774998000000003</v>
      </c>
      <c r="BS273" s="1" t="s">
        <v>169</v>
      </c>
      <c r="BT273" s="1" t="s">
        <v>169</v>
      </c>
      <c r="BU273" s="1">
        <v>26356083.120000001</v>
      </c>
      <c r="BV273" s="1">
        <v>0</v>
      </c>
      <c r="BW273" s="1">
        <v>-212.07</v>
      </c>
      <c r="BX273" s="1">
        <v>-0.02</v>
      </c>
      <c r="BY273" s="1" t="s">
        <v>170</v>
      </c>
      <c r="BZ273" s="1">
        <v>-78038.69</v>
      </c>
      <c r="CA273" s="1" t="s">
        <v>250</v>
      </c>
      <c r="CB273" s="1" t="s">
        <v>251</v>
      </c>
      <c r="CC273" s="1">
        <v>0</v>
      </c>
      <c r="CD273" s="1">
        <v>0</v>
      </c>
      <c r="CE273" s="1">
        <v>977408.03</v>
      </c>
      <c r="CF273" s="1">
        <v>977408.03</v>
      </c>
      <c r="CG273" s="1">
        <v>0</v>
      </c>
      <c r="CH273" s="1">
        <v>1.4438757900000001</v>
      </c>
      <c r="CI273" s="1">
        <v>13.27863496</v>
      </c>
      <c r="CJ273" s="1">
        <v>17588381.91</v>
      </c>
      <c r="CK273" s="1">
        <v>1912503.72</v>
      </c>
      <c r="CL273" s="1">
        <v>6269233.6699999999</v>
      </c>
      <c r="CM273" s="1" t="s">
        <v>164</v>
      </c>
      <c r="CN273" s="1" t="s">
        <v>164</v>
      </c>
      <c r="CO273" s="1" t="s">
        <v>974</v>
      </c>
      <c r="CP273" s="1" t="s">
        <v>243</v>
      </c>
      <c r="CQ273" s="3" t="s">
        <v>252</v>
      </c>
      <c r="CR273" s="1">
        <v>0</v>
      </c>
      <c r="CS273" s="1" t="s">
        <v>243</v>
      </c>
      <c r="CT273" s="1">
        <v>0</v>
      </c>
      <c r="CU273">
        <v>12639424</v>
      </c>
      <c r="CV273" s="1">
        <v>0</v>
      </c>
      <c r="CW273" s="1">
        <v>-219173.26</v>
      </c>
      <c r="CY273" t="s">
        <v>975</v>
      </c>
      <c r="DA273" s="1">
        <v>1355558.46</v>
      </c>
      <c r="DB273" s="1">
        <v>0</v>
      </c>
      <c r="DC273" s="1">
        <v>2520.3126550000002</v>
      </c>
      <c r="DD273" s="1">
        <v>52555.483399999997</v>
      </c>
      <c r="DE273" s="1">
        <v>-296353.43</v>
      </c>
      <c r="DF273" s="1">
        <v>92570020.519999996</v>
      </c>
      <c r="DG273" s="1">
        <v>-212.07</v>
      </c>
      <c r="DH273" s="1">
        <v>394770.09</v>
      </c>
      <c r="DI273" s="1">
        <v>0.29803809999999997</v>
      </c>
      <c r="DK273" s="1">
        <v>0</v>
      </c>
      <c r="DL273" s="1">
        <v>0</v>
      </c>
      <c r="DM273" s="1">
        <v>-296353.43</v>
      </c>
      <c r="DN273" s="1">
        <v>0</v>
      </c>
      <c r="DO273" s="1">
        <v>0</v>
      </c>
      <c r="DP273" s="1">
        <v>16777215</v>
      </c>
      <c r="DQ273" s="1">
        <v>0</v>
      </c>
      <c r="DR273" s="1">
        <v>0</v>
      </c>
      <c r="DS273" s="1">
        <v>0</v>
      </c>
      <c r="DT273" s="1">
        <v>0</v>
      </c>
      <c r="DU273" s="1">
        <v>0</v>
      </c>
      <c r="DV273" s="1">
        <v>977195.96</v>
      </c>
      <c r="DW273" s="1">
        <v>977195.96</v>
      </c>
      <c r="DX273" s="1">
        <v>31345322.399999999</v>
      </c>
      <c r="DY273" s="1">
        <v>-1110160.2399999984</v>
      </c>
      <c r="DZ273" s="1">
        <v>92570020.519999966</v>
      </c>
      <c r="EA273" s="1">
        <v>0</v>
      </c>
      <c r="EB273" s="1">
        <v>0</v>
      </c>
      <c r="EC273" s="1" t="s">
        <v>176</v>
      </c>
      <c r="EE273" s="1">
        <v>0</v>
      </c>
      <c r="EF273" s="1">
        <v>3</v>
      </c>
      <c r="EG273" s="1">
        <v>0</v>
      </c>
      <c r="EH273" s="3">
        <v>0</v>
      </c>
      <c r="EI273" s="1">
        <v>0</v>
      </c>
      <c r="EL273" s="1">
        <v>0</v>
      </c>
      <c r="EM273" s="1">
        <v>0</v>
      </c>
      <c r="EN273" s="1">
        <v>1633661.45</v>
      </c>
      <c r="EO273" s="1">
        <v>1.2333592799999999</v>
      </c>
      <c r="ER273" s="1">
        <v>97.739303278688993</v>
      </c>
      <c r="ES273" s="1">
        <v>1</v>
      </c>
      <c r="ET273" s="3">
        <v>3.8721141640000001</v>
      </c>
      <c r="EU273" s="3">
        <v>0.71857923499999998</v>
      </c>
      <c r="EV273" s="3">
        <v>0.67615292430899998</v>
      </c>
      <c r="EW273" s="3">
        <v>0.72054794499999997</v>
      </c>
      <c r="EX273" s="3">
        <v>1.1445802999999999E-2</v>
      </c>
      <c r="EY273" s="3">
        <v>8</v>
      </c>
      <c r="EZ273" s="3">
        <v>263</v>
      </c>
      <c r="FA273" s="1">
        <v>0</v>
      </c>
      <c r="FB273" s="1">
        <v>0</v>
      </c>
      <c r="FC273" s="3">
        <v>4.135175662</v>
      </c>
      <c r="FD273" s="1">
        <v>0</v>
      </c>
      <c r="FE273" s="1">
        <v>0</v>
      </c>
    </row>
    <row r="274" spans="1:16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3"/>
      <c r="K274" s="1"/>
      <c r="L274" s="1"/>
      <c r="M274" s="1"/>
      <c r="N274" s="3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3"/>
      <c r="AF274" s="3"/>
      <c r="AG274" s="1"/>
      <c r="AH274" s="3"/>
      <c r="AI274" s="1"/>
      <c r="AJ274" s="3"/>
      <c r="AK274" s="1"/>
      <c r="AL274" s="3"/>
      <c r="AM274" s="3"/>
      <c r="AN274" s="3"/>
      <c r="AO274" s="3"/>
      <c r="AP274" s="1"/>
      <c r="AQ274" s="1"/>
      <c r="AR274" s="1"/>
      <c r="AS274" s="3"/>
      <c r="AT274" s="1"/>
      <c r="AU274" s="1"/>
      <c r="AV274" s="1"/>
      <c r="AW274" s="3"/>
      <c r="AX274" s="3"/>
      <c r="AY274" s="1"/>
      <c r="BA274" s="3"/>
      <c r="BB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3"/>
      <c r="CR274" s="1"/>
      <c r="CS274" s="1"/>
      <c r="CT274" s="1"/>
      <c r="CU274" s="1"/>
      <c r="CV274" s="1"/>
      <c r="CW274" s="1"/>
      <c r="CY274" s="1"/>
      <c r="DA274" s="1"/>
      <c r="DB274" s="1"/>
      <c r="DC274" s="1"/>
      <c r="DD274" s="1"/>
      <c r="DE274" s="1"/>
      <c r="DF274" s="1"/>
      <c r="DG274" s="1"/>
      <c r="DH274" s="1"/>
      <c r="DI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E274" s="1"/>
      <c r="EF274" s="1"/>
      <c r="EG274" s="1"/>
      <c r="EH274" s="3"/>
      <c r="EI274" s="1"/>
      <c r="EL274" s="1"/>
      <c r="EM274" s="1"/>
      <c r="EN274" s="1"/>
      <c r="EO274" s="1"/>
      <c r="ER274" s="1"/>
      <c r="ES274" s="1"/>
      <c r="ET274" s="3"/>
      <c r="EU274" s="3"/>
      <c r="EV274" s="3"/>
      <c r="EW274" s="3"/>
      <c r="EX274" s="3"/>
      <c r="EY274" s="3"/>
      <c r="EZ274" s="3"/>
      <c r="FA274" s="1"/>
      <c r="FB274" s="1"/>
      <c r="FC274" s="3"/>
      <c r="FD274" s="1"/>
      <c r="FE274" s="1"/>
    </row>
    <row r="275" spans="1:16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3"/>
      <c r="K275" s="1"/>
      <c r="L275" s="1"/>
      <c r="M275" s="1"/>
      <c r="N275" s="3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3"/>
      <c r="AF275" s="3"/>
      <c r="AG275" s="1"/>
      <c r="AH275" s="3"/>
      <c r="AI275" s="1"/>
      <c r="AJ275" s="3"/>
      <c r="AK275" s="1"/>
      <c r="AL275" s="3"/>
      <c r="AM275" s="3"/>
      <c r="AN275" s="3"/>
      <c r="AO275" s="3"/>
      <c r="AP275" s="1"/>
      <c r="AQ275" s="1"/>
      <c r="AR275" s="1"/>
      <c r="AS275" s="3"/>
      <c r="AT275" s="1"/>
      <c r="AU275" s="1"/>
      <c r="AV275" s="1"/>
      <c r="AW275" s="3"/>
      <c r="AX275" s="3"/>
      <c r="AY275" s="1"/>
      <c r="BA275" s="3"/>
      <c r="BB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3"/>
      <c r="CR275" s="1"/>
      <c r="CS275" s="1"/>
      <c r="CT275" s="1"/>
      <c r="CU275" s="1"/>
      <c r="CV275" s="1"/>
      <c r="CW275" s="1"/>
      <c r="DA275" s="1"/>
      <c r="DB275" s="1"/>
      <c r="DC275" s="1"/>
      <c r="DD275" s="1"/>
      <c r="DE275" s="1"/>
      <c r="DF275" s="1"/>
      <c r="DG275" s="1"/>
      <c r="DH275" s="1"/>
      <c r="DI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E275" s="1"/>
      <c r="EF275" s="1"/>
      <c r="EG275" s="1"/>
      <c r="EH275" s="3"/>
      <c r="EI275" s="1"/>
      <c r="EL275" s="1"/>
      <c r="EM275" s="1"/>
      <c r="EN275" s="1"/>
      <c r="EO275" s="1"/>
      <c r="ER275" s="1"/>
      <c r="ES275" s="1"/>
      <c r="ET275" s="3"/>
      <c r="EU275" s="3"/>
      <c r="EV275" s="3"/>
      <c r="EW275" s="3"/>
      <c r="EX275" s="3"/>
      <c r="EY275" s="3"/>
      <c r="EZ275" s="3"/>
      <c r="FA275" s="1"/>
      <c r="FB275" s="1"/>
      <c r="FC275" s="3"/>
      <c r="FD275" s="1"/>
      <c r="FE275" s="1"/>
    </row>
    <row r="276" spans="1:16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3"/>
      <c r="K276" s="1"/>
      <c r="L276" s="1"/>
      <c r="M276" s="1"/>
      <c r="N276" s="3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3"/>
      <c r="AF276" s="3"/>
      <c r="AG276" s="1"/>
      <c r="AH276" s="3"/>
      <c r="AI276" s="1"/>
      <c r="AJ276" s="3"/>
      <c r="AK276" s="1"/>
      <c r="AL276" s="3"/>
      <c r="AM276" s="3"/>
      <c r="AN276" s="3"/>
      <c r="AO276" s="3"/>
      <c r="AP276" s="1"/>
      <c r="AQ276" s="1"/>
      <c r="AR276" s="1"/>
      <c r="AS276" s="3"/>
      <c r="AT276" s="1"/>
      <c r="AU276" s="1"/>
      <c r="AV276" s="1"/>
      <c r="AW276" s="3"/>
      <c r="AX276" s="3"/>
      <c r="AY276" s="1"/>
      <c r="BA276" s="3"/>
      <c r="BB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3"/>
      <c r="CR276" s="1"/>
      <c r="CS276" s="1"/>
      <c r="CT276" s="1"/>
      <c r="CU276" s="1"/>
      <c r="CV276" s="1"/>
      <c r="CW276" s="1"/>
      <c r="CY276" s="1"/>
      <c r="DA276" s="1"/>
      <c r="DB276" s="1"/>
      <c r="DC276" s="1"/>
      <c r="DD276" s="1"/>
      <c r="DE276" s="1"/>
      <c r="DF276" s="1"/>
      <c r="DG276" s="1"/>
      <c r="DH276" s="1"/>
      <c r="DI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E276" s="1"/>
      <c r="EF276" s="1"/>
      <c r="EG276" s="1"/>
      <c r="EH276" s="3"/>
      <c r="EI276" s="1"/>
      <c r="EL276" s="1"/>
      <c r="EM276" s="1"/>
      <c r="EN276" s="1"/>
      <c r="EO276" s="1"/>
      <c r="ER276" s="1"/>
      <c r="ES276" s="1"/>
      <c r="ET276" s="3"/>
      <c r="EU276" s="3"/>
      <c r="EV276" s="3"/>
      <c r="EW276" s="3"/>
      <c r="EX276" s="3"/>
      <c r="EY276" s="3"/>
      <c r="EZ276" s="3"/>
      <c r="FA276" s="1"/>
      <c r="FB276" s="1"/>
      <c r="FC276" s="3"/>
      <c r="FD276" s="1"/>
      <c r="FE276" s="1"/>
    </row>
    <row r="277" spans="1:16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3"/>
      <c r="K277" s="1"/>
      <c r="L277" s="1"/>
      <c r="M277" s="1"/>
      <c r="N277" s="3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3"/>
      <c r="AF277" s="3"/>
      <c r="AG277" s="1"/>
      <c r="AH277" s="3"/>
      <c r="AI277" s="1"/>
      <c r="AJ277" s="3"/>
      <c r="AK277" s="1"/>
      <c r="AL277" s="3"/>
      <c r="AM277" s="3"/>
      <c r="AN277" s="3"/>
      <c r="AO277" s="3"/>
      <c r="AP277" s="1"/>
      <c r="AQ277" s="1"/>
      <c r="AR277" s="1"/>
      <c r="AS277" s="3"/>
      <c r="AT277" s="1"/>
      <c r="AU277" s="1"/>
      <c r="AV277" s="1"/>
      <c r="AW277" s="3"/>
      <c r="AX277" s="3"/>
      <c r="AY277" s="1"/>
      <c r="BA277" s="3"/>
      <c r="BB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3"/>
      <c r="CR277" s="1"/>
      <c r="CS277" s="1"/>
      <c r="CT277" s="1"/>
      <c r="CU277" s="1"/>
      <c r="CV277" s="1"/>
      <c r="CW277" s="1"/>
      <c r="CY277" s="1"/>
      <c r="DA277" s="1"/>
      <c r="DB277" s="1"/>
      <c r="DC277" s="1"/>
      <c r="DD277" s="1"/>
      <c r="DE277" s="1"/>
      <c r="DF277" s="1"/>
      <c r="DG277" s="1"/>
      <c r="DH277" s="1"/>
      <c r="DI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E277" s="1"/>
      <c r="EF277" s="1"/>
      <c r="EG277" s="1"/>
      <c r="EH277" s="3"/>
      <c r="EI277" s="1"/>
      <c r="EL277" s="1"/>
      <c r="EM277" s="1"/>
      <c r="EN277" s="1"/>
      <c r="EO277" s="1"/>
      <c r="ER277" s="1"/>
      <c r="ES277" s="1"/>
      <c r="ET277" s="3"/>
      <c r="EU277" s="3"/>
      <c r="EV277" s="3"/>
      <c r="EW277" s="3"/>
      <c r="EX277" s="3"/>
      <c r="EY277" s="3"/>
      <c r="EZ277" s="3"/>
      <c r="FA277" s="1"/>
      <c r="FB277" s="1"/>
      <c r="FC277" s="3"/>
      <c r="FD277" s="1"/>
      <c r="FE277" s="1"/>
    </row>
    <row r="278" spans="1:16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3"/>
      <c r="K278" s="1"/>
      <c r="L278" s="1"/>
      <c r="M278" s="1"/>
      <c r="N278" s="3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3"/>
      <c r="AF278" s="3"/>
      <c r="AG278" s="1"/>
      <c r="AH278" s="3"/>
      <c r="AI278" s="1"/>
      <c r="AJ278" s="3"/>
      <c r="AK278" s="1"/>
      <c r="AL278" s="3"/>
      <c r="AM278" s="3"/>
      <c r="AN278" s="3"/>
      <c r="AO278" s="3"/>
      <c r="AP278" s="1"/>
      <c r="AQ278" s="1"/>
      <c r="AR278" s="1"/>
      <c r="AS278" s="3"/>
      <c r="AT278" s="1"/>
      <c r="AU278" s="1"/>
      <c r="AV278" s="1"/>
      <c r="AW278" s="3"/>
      <c r="AX278" s="3"/>
      <c r="AY278" s="1"/>
      <c r="BA278" s="3"/>
      <c r="BB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3"/>
      <c r="CR278" s="1"/>
      <c r="CS278" s="1"/>
      <c r="CT278" s="1"/>
      <c r="CU278" s="1"/>
      <c r="CV278" s="1"/>
      <c r="CW278" s="1"/>
      <c r="CY278" s="1"/>
      <c r="DA278" s="1"/>
      <c r="DB278" s="1"/>
      <c r="DC278" s="1"/>
      <c r="DD278" s="1"/>
      <c r="DE278" s="1"/>
      <c r="DF278" s="1"/>
      <c r="DG278" s="1"/>
      <c r="DH278" s="1"/>
      <c r="DI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E278" s="1"/>
      <c r="EF278" s="1"/>
      <c r="EG278" s="1"/>
      <c r="EH278" s="3"/>
      <c r="EI278" s="1"/>
      <c r="EL278" s="1"/>
      <c r="EM278" s="1"/>
      <c r="EN278" s="1"/>
      <c r="EO278" s="1"/>
      <c r="ER278" s="1"/>
      <c r="ES278" s="1"/>
      <c r="ET278" s="3"/>
      <c r="EU278" s="3"/>
      <c r="EV278" s="3"/>
      <c r="EW278" s="3"/>
      <c r="EX278" s="3"/>
      <c r="EY278" s="3"/>
      <c r="EZ278" s="3"/>
      <c r="FA278" s="1"/>
      <c r="FB278" s="1"/>
      <c r="FC278" s="3"/>
      <c r="FD278" s="1"/>
      <c r="FE278" s="1"/>
    </row>
    <row r="279" spans="1:16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3"/>
      <c r="K279" s="1"/>
      <c r="L279" s="1"/>
      <c r="M279" s="1"/>
      <c r="N279" s="3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3"/>
      <c r="AF279" s="3"/>
      <c r="AG279" s="1"/>
      <c r="AH279" s="3"/>
      <c r="AI279" s="1"/>
      <c r="AJ279" s="3"/>
      <c r="AK279" s="1"/>
      <c r="AL279" s="3"/>
      <c r="AM279" s="3"/>
      <c r="AN279" s="3"/>
      <c r="AO279" s="3"/>
      <c r="AP279" s="1"/>
      <c r="AQ279" s="1"/>
      <c r="AR279" s="1"/>
      <c r="AS279" s="3"/>
      <c r="AT279" s="1"/>
      <c r="AU279" s="1"/>
      <c r="AV279" s="1"/>
      <c r="AW279" s="3"/>
      <c r="AX279" s="3"/>
      <c r="AY279" s="1"/>
      <c r="BA279" s="3"/>
      <c r="BB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3"/>
      <c r="CR279" s="1"/>
      <c r="CS279" s="1"/>
      <c r="CT279" s="1"/>
      <c r="CU279" s="1"/>
      <c r="CV279" s="1"/>
      <c r="CW279" s="1"/>
      <c r="DA279" s="1"/>
      <c r="DB279" s="1"/>
      <c r="DC279" s="1"/>
      <c r="DD279" s="1"/>
      <c r="DE279" s="1"/>
      <c r="DF279" s="1"/>
      <c r="DG279" s="1"/>
      <c r="DH279" s="1"/>
      <c r="DI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E279" s="1"/>
      <c r="EF279" s="1"/>
      <c r="EG279" s="1"/>
      <c r="EH279" s="3"/>
      <c r="EI279" s="1"/>
      <c r="EL279" s="1"/>
      <c r="EM279" s="1"/>
      <c r="EN279" s="1"/>
      <c r="EO279" s="1"/>
      <c r="ER279" s="1"/>
      <c r="ES279" s="1"/>
      <c r="ET279" s="3"/>
      <c r="EU279" s="3"/>
      <c r="EV279" s="3"/>
      <c r="EW279" s="3"/>
      <c r="EX279" s="3"/>
      <c r="EY279" s="3"/>
      <c r="EZ279" s="3"/>
      <c r="FA279" s="1"/>
      <c r="FB279" s="1"/>
      <c r="FC279" s="3"/>
      <c r="FD279" s="1"/>
      <c r="FE279" s="1"/>
    </row>
    <row r="280" spans="1:16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3"/>
      <c r="K280" s="1"/>
      <c r="L280" s="1"/>
      <c r="M280" s="1"/>
      <c r="N280" s="3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3"/>
      <c r="AF280" s="3"/>
      <c r="AG280" s="1"/>
      <c r="AH280" s="3"/>
      <c r="AI280" s="1"/>
      <c r="AJ280" s="3"/>
      <c r="AK280" s="1"/>
      <c r="AL280" s="3"/>
      <c r="AM280" s="3"/>
      <c r="AN280" s="3"/>
      <c r="AO280" s="3"/>
      <c r="AP280" s="1"/>
      <c r="AQ280" s="1"/>
      <c r="AR280" s="1"/>
      <c r="AS280" s="3"/>
      <c r="AT280" s="1"/>
      <c r="AU280" s="1"/>
      <c r="AV280" s="1"/>
      <c r="AW280" s="3"/>
      <c r="AX280" s="3"/>
      <c r="AY280" s="1"/>
      <c r="BA280" s="3"/>
      <c r="BB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3"/>
      <c r="CR280" s="1"/>
      <c r="CS280" s="1"/>
      <c r="CT280" s="1"/>
      <c r="CU280" s="1"/>
      <c r="CV280" s="1"/>
      <c r="CW280" s="1"/>
      <c r="CY280" s="1"/>
      <c r="DA280" s="1"/>
      <c r="DB280" s="1"/>
      <c r="DC280" s="1"/>
      <c r="DD280" s="1"/>
      <c r="DE280" s="1"/>
      <c r="DF280" s="1"/>
      <c r="DG280" s="1"/>
      <c r="DH280" s="1"/>
      <c r="DI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E280" s="1"/>
      <c r="EF280" s="1"/>
      <c r="EG280" s="1"/>
      <c r="EH280" s="3"/>
      <c r="EI280" s="1"/>
      <c r="EL280" s="1"/>
      <c r="EM280" s="1"/>
      <c r="EN280" s="1"/>
      <c r="EO280" s="1"/>
      <c r="ER280" s="1"/>
      <c r="ES280" s="1"/>
      <c r="ET280" s="3"/>
      <c r="EU280" s="3"/>
      <c r="EV280" s="3"/>
      <c r="EW280" s="3"/>
      <c r="EX280" s="3"/>
      <c r="EY280" s="3"/>
      <c r="EZ280" s="3"/>
      <c r="FA280" s="1"/>
      <c r="FB280" s="1"/>
      <c r="FC280" s="3"/>
      <c r="FD280" s="1"/>
      <c r="FE280" s="1"/>
    </row>
    <row r="281" spans="1:16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3"/>
      <c r="K281" s="1"/>
      <c r="L281" s="1"/>
      <c r="M281" s="1"/>
      <c r="N281" s="3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3"/>
      <c r="AF281" s="3"/>
      <c r="AG281" s="1"/>
      <c r="AH281" s="3"/>
      <c r="AI281" s="1"/>
      <c r="AJ281" s="3"/>
      <c r="AK281" s="1"/>
      <c r="AL281" s="3"/>
      <c r="AM281" s="3"/>
      <c r="AN281" s="3"/>
      <c r="AO281" s="3"/>
      <c r="AP281" s="1"/>
      <c r="AQ281" s="1"/>
      <c r="AR281" s="1"/>
      <c r="AS281" s="3"/>
      <c r="AT281" s="1"/>
      <c r="AU281" s="1"/>
      <c r="AV281" s="1"/>
      <c r="AW281" s="3"/>
      <c r="AX281" s="3"/>
      <c r="AY281" s="1"/>
      <c r="BA281" s="3"/>
      <c r="BB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3"/>
      <c r="CR281" s="1"/>
      <c r="CS281" s="1"/>
      <c r="CT281" s="1"/>
      <c r="CU281" s="1"/>
      <c r="CV281" s="1"/>
      <c r="CW281" s="1"/>
      <c r="CY281" s="1"/>
      <c r="DA281" s="1"/>
      <c r="DB281" s="1"/>
      <c r="DC281" s="1"/>
      <c r="DD281" s="1"/>
      <c r="DE281" s="1"/>
      <c r="DF281" s="1"/>
      <c r="DG281" s="1"/>
      <c r="DH281" s="1"/>
      <c r="DI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E281" s="1"/>
      <c r="EF281" s="1"/>
      <c r="EG281" s="1"/>
      <c r="EH281" s="3"/>
      <c r="EI281" s="1"/>
      <c r="EL281" s="1"/>
      <c r="EM281" s="1"/>
      <c r="EN281" s="1"/>
      <c r="EO281" s="1"/>
      <c r="ER281" s="1"/>
      <c r="ES281" s="1"/>
      <c r="ET281" s="3"/>
      <c r="EU281" s="3"/>
      <c r="EV281" s="3"/>
      <c r="EW281" s="3"/>
      <c r="EX281" s="3"/>
      <c r="EY281" s="3"/>
      <c r="EZ281" s="3"/>
      <c r="FA281" s="1"/>
      <c r="FB281" s="1"/>
      <c r="FC281" s="3"/>
      <c r="FD281" s="1"/>
      <c r="FE281" s="1"/>
    </row>
    <row r="282" spans="1:16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3"/>
      <c r="K282" s="1"/>
      <c r="L282" s="1"/>
      <c r="M282" s="1"/>
      <c r="N282" s="3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3"/>
      <c r="AF282" s="3"/>
      <c r="AG282" s="1"/>
      <c r="AH282" s="3"/>
      <c r="AI282" s="1"/>
      <c r="AJ282" s="3"/>
      <c r="AK282" s="1"/>
      <c r="AL282" s="3"/>
      <c r="AM282" s="3"/>
      <c r="AN282" s="3"/>
      <c r="AO282" s="3"/>
      <c r="AP282" s="1"/>
      <c r="AQ282" s="1"/>
      <c r="AR282" s="1"/>
      <c r="AS282" s="3"/>
      <c r="AT282" s="1"/>
      <c r="AU282" s="1"/>
      <c r="AV282" s="1"/>
      <c r="AW282" s="3"/>
      <c r="AX282" s="3"/>
      <c r="AY282" s="1"/>
      <c r="BA282" s="3"/>
      <c r="BB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3"/>
      <c r="CR282" s="1"/>
      <c r="CS282" s="1"/>
      <c r="CT282" s="1"/>
      <c r="CU282" s="1"/>
      <c r="CV282" s="1"/>
      <c r="CW282" s="1"/>
      <c r="DA282" s="1"/>
      <c r="DB282" s="1"/>
      <c r="DC282" s="1"/>
      <c r="DD282" s="1"/>
      <c r="DE282" s="1"/>
      <c r="DF282" s="1"/>
      <c r="DG282" s="1"/>
      <c r="DH282" s="1"/>
      <c r="DI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E282" s="1"/>
      <c r="EF282" s="1"/>
      <c r="EG282" s="1"/>
      <c r="EH282" s="3"/>
      <c r="EI282" s="1"/>
      <c r="EL282" s="1"/>
      <c r="EM282" s="1"/>
      <c r="EN282" s="1"/>
      <c r="EO282" s="1"/>
      <c r="ER282" s="1"/>
      <c r="ES282" s="1"/>
      <c r="ET282" s="3"/>
      <c r="EU282" s="3"/>
      <c r="EV282" s="3"/>
      <c r="EW282" s="3"/>
      <c r="EX282" s="3"/>
      <c r="EY282" s="3"/>
      <c r="EZ282" s="3"/>
      <c r="FA282" s="1"/>
      <c r="FB282" s="1"/>
      <c r="FC282" s="3"/>
      <c r="FD282" s="1"/>
      <c r="FE282" s="1"/>
    </row>
    <row r="283" spans="1:16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3"/>
      <c r="K283" s="1"/>
      <c r="L283" s="1"/>
      <c r="M283" s="1"/>
      <c r="N283" s="3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3"/>
      <c r="AF283" s="3"/>
      <c r="AG283" s="1"/>
      <c r="AH283" s="3"/>
      <c r="AI283" s="1"/>
      <c r="AJ283" s="3"/>
      <c r="AK283" s="1"/>
      <c r="AL283" s="3"/>
      <c r="AM283" s="3"/>
      <c r="AN283" s="3"/>
      <c r="AO283" s="3"/>
      <c r="AP283" s="1"/>
      <c r="AQ283" s="1"/>
      <c r="AR283" s="1"/>
      <c r="AS283" s="3"/>
      <c r="AT283" s="1"/>
      <c r="AU283" s="1"/>
      <c r="AV283" s="1"/>
      <c r="AW283" s="3"/>
      <c r="AX283" s="3"/>
      <c r="AY283" s="1"/>
      <c r="BA283" s="3"/>
      <c r="BB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3"/>
      <c r="CR283" s="1"/>
      <c r="CS283" s="1"/>
      <c r="CT283" s="1"/>
      <c r="CU283" s="1"/>
      <c r="CV283" s="1"/>
      <c r="CW283" s="1"/>
      <c r="DA283" s="1"/>
      <c r="DB283" s="1"/>
      <c r="DC283" s="1"/>
      <c r="DD283" s="1"/>
      <c r="DE283" s="1"/>
      <c r="DF283" s="1"/>
      <c r="DG283" s="1"/>
      <c r="DH283" s="1"/>
      <c r="DI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E283" s="1"/>
      <c r="EF283" s="1"/>
      <c r="EG283" s="1"/>
      <c r="EH283" s="3"/>
      <c r="EI283" s="1"/>
      <c r="EL283" s="1"/>
      <c r="EM283" s="1"/>
      <c r="EN283" s="1"/>
      <c r="EO283" s="1"/>
      <c r="ER283" s="1"/>
      <c r="ES283" s="1"/>
      <c r="ET283" s="3"/>
      <c r="EU283" s="3"/>
      <c r="EV283" s="3"/>
      <c r="EW283" s="3"/>
      <c r="EX283" s="3"/>
      <c r="EY283" s="3"/>
      <c r="EZ283" s="3"/>
      <c r="FA283" s="1"/>
      <c r="FB283" s="1"/>
      <c r="FC283" s="3"/>
      <c r="FD283" s="1"/>
      <c r="FE283" s="1"/>
    </row>
    <row r="284" spans="1:16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3"/>
      <c r="K284" s="1"/>
      <c r="L284" s="1"/>
      <c r="M284" s="1"/>
      <c r="N284" s="3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3"/>
      <c r="AF284" s="3"/>
      <c r="AG284" s="1"/>
      <c r="AH284" s="3"/>
      <c r="AI284" s="1"/>
      <c r="AJ284" s="3"/>
      <c r="AK284" s="1"/>
      <c r="AL284" s="3"/>
      <c r="AM284" s="3"/>
      <c r="AN284" s="3"/>
      <c r="AO284" s="3"/>
      <c r="AP284" s="1"/>
      <c r="AQ284" s="1"/>
      <c r="AR284" s="1"/>
      <c r="AS284" s="3"/>
      <c r="AT284" s="1"/>
      <c r="AU284" s="1"/>
      <c r="AV284" s="1"/>
      <c r="AW284" s="3"/>
      <c r="AX284" s="3"/>
      <c r="AY284" s="1"/>
      <c r="BA284" s="3"/>
      <c r="BB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3"/>
      <c r="CR284" s="1"/>
      <c r="CS284" s="1"/>
      <c r="CT284" s="1"/>
      <c r="CU284" s="1"/>
      <c r="CV284" s="1"/>
      <c r="CW284" s="1"/>
      <c r="DA284" s="1"/>
      <c r="DB284" s="1"/>
      <c r="DC284" s="1"/>
      <c r="DD284" s="1"/>
      <c r="DE284" s="1"/>
      <c r="DF284" s="1"/>
      <c r="DG284" s="1"/>
      <c r="DH284" s="1"/>
      <c r="DI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E284" s="1"/>
      <c r="EF284" s="1"/>
      <c r="EG284" s="1"/>
      <c r="EH284" s="3"/>
      <c r="EI284" s="1"/>
      <c r="EL284" s="1"/>
      <c r="EM284" s="1"/>
      <c r="EN284" s="1"/>
      <c r="EO284" s="1"/>
      <c r="ER284" s="1"/>
      <c r="ES284" s="1"/>
      <c r="ET284" s="3"/>
      <c r="EU284" s="3"/>
      <c r="EV284" s="3"/>
      <c r="EW284" s="3"/>
      <c r="EX284" s="3"/>
      <c r="EY284" s="3"/>
      <c r="EZ284" s="3"/>
      <c r="FA284" s="1"/>
      <c r="FB284" s="1"/>
      <c r="FC284" s="3"/>
      <c r="FD284" s="1"/>
      <c r="FE284" s="1"/>
    </row>
  </sheetData>
  <autoFilter ref="A1:IV1" xr:uid="{00000000-0001-0000-0000-000000000000}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743A-7504-4D67-9D5B-1DD0B2C47526}">
  <sheetPr codeName="Hoja2" filterMode="1"/>
  <dimension ref="A1:BC339"/>
  <sheetViews>
    <sheetView topLeftCell="A8" zoomScale="70" zoomScaleNormal="70" workbookViewId="0">
      <selection activeCell="A15" sqref="A15:K209"/>
    </sheetView>
  </sheetViews>
  <sheetFormatPr baseColWidth="10" defaultRowHeight="16.5" x14ac:dyDescent="0.3"/>
  <cols>
    <col min="1" max="1" width="14.77734375" bestFit="1" customWidth="1"/>
    <col min="2" max="2" width="15.5546875" bestFit="1" customWidth="1"/>
    <col min="3" max="3" width="20" bestFit="1" customWidth="1"/>
    <col min="4" max="4" width="16" bestFit="1" customWidth="1"/>
    <col min="5" max="5" width="20.109375" bestFit="1" customWidth="1"/>
    <col min="6" max="6" width="27.88671875" bestFit="1" customWidth="1"/>
    <col min="7" max="7" width="21.5546875" bestFit="1" customWidth="1"/>
    <col min="8" max="8" width="9" customWidth="1"/>
    <col min="9" max="9" width="9.21875" customWidth="1"/>
    <col min="10" max="10" width="7" customWidth="1"/>
    <col min="11" max="11" width="10" bestFit="1" customWidth="1"/>
    <col min="12" max="12" width="15.88671875" bestFit="1" customWidth="1"/>
    <col min="13" max="13" width="8" bestFit="1" customWidth="1"/>
    <col min="14" max="14" width="19.6640625" bestFit="1" customWidth="1"/>
    <col min="15" max="15" width="8" bestFit="1" customWidth="1"/>
    <col min="16" max="16" width="10.21875" bestFit="1" customWidth="1"/>
    <col min="17" max="17" width="26.33203125" bestFit="1" customWidth="1"/>
    <col min="23" max="23" width="16.44140625" bestFit="1" customWidth="1"/>
  </cols>
  <sheetData>
    <row r="1" spans="1:55" hidden="1" x14ac:dyDescent="0.3"/>
    <row r="2" spans="1:55" hidden="1" x14ac:dyDescent="0.3"/>
    <row r="3" spans="1:55" hidden="1" x14ac:dyDescent="0.3"/>
    <row r="4" spans="1:55" ht="18.75" hidden="1" customHeight="1" x14ac:dyDescent="0.3"/>
    <row r="5" spans="1:55" ht="18.75" hidden="1" customHeight="1" x14ac:dyDescent="0.3"/>
    <row r="6" spans="1:55" ht="18.75" hidden="1" customHeight="1" x14ac:dyDescent="0.3"/>
    <row r="7" spans="1:55" ht="18.75" hidden="1" customHeight="1" x14ac:dyDescent="0.3"/>
    <row r="8" spans="1:55" ht="18.75" customHeight="1" x14ac:dyDescent="0.3">
      <c r="K8" s="5"/>
      <c r="L8" s="18"/>
      <c r="M8" s="18"/>
      <c r="N8" s="18"/>
      <c r="O8" s="18"/>
      <c r="P8" s="18"/>
      <c r="Q8" s="5"/>
      <c r="R8" s="18"/>
      <c r="S8" s="5"/>
      <c r="T8" s="18"/>
      <c r="U8" s="18"/>
      <c r="V8" s="5"/>
      <c r="W8" s="18"/>
      <c r="X8" s="5"/>
      <c r="Y8" s="18"/>
      <c r="Z8" s="5"/>
      <c r="AA8" s="5"/>
      <c r="AB8" s="5"/>
      <c r="AC8" s="5"/>
      <c r="AD8" s="5"/>
      <c r="AE8" s="5"/>
      <c r="AF8" s="18"/>
      <c r="AG8" s="18"/>
      <c r="AH8" s="18"/>
      <c r="AI8" s="5"/>
      <c r="AJ8" s="5"/>
      <c r="AK8" s="34"/>
      <c r="AL8" s="6"/>
      <c r="AM8" s="5"/>
      <c r="AN8" s="5"/>
      <c r="AO8" s="5"/>
      <c r="AP8" s="35" t="str">
        <f t="array" aca="1" ref="AP8" ca="1">IFERROR(INDEX($AI$16:$AI$1070,MATCH(0,COUNTIF($AP$5:$AP7,$AI$16:$AI$1070),0)),"")</f>
        <v/>
      </c>
      <c r="AQ8" s="7" t="str">
        <f t="shared" ref="AQ8:AQ16" ca="1" si="0">IF(AP8="","",SUMIF($AI$16:$AI$1070,$AP8,$F$16:$F$1201))</f>
        <v/>
      </c>
      <c r="AR8" s="18"/>
      <c r="AS8" s="35" t="str">
        <f t="array" aca="1" ref="AS8" ca="1">IFERROR(INDEX($AJ$16:$AJ$1070,MATCH(0,COUNTIF($AS$5:$AS7,$AJ$16:$AJ$1070),0)),"")</f>
        <v/>
      </c>
      <c r="AT8" s="7" t="str">
        <f t="shared" ref="AT8:AT16" ca="1" si="1">IF(AS8="","",SUMIF($AJ$16:$AJ$1070,$AS8,$F$16:$F$1201))</f>
        <v/>
      </c>
      <c r="AU8" s="5"/>
      <c r="AV8" s="35" t="str">
        <f t="array" aca="1" ref="AV8" ca="1">IFERROR(INDEX($T$16:$T$1070,MATCH(0,COUNTIF($AV$5:$AV7,$T$16:$T$1070),0)),"")</f>
        <v/>
      </c>
      <c r="AW8" s="7" t="str">
        <f t="shared" ref="AW8:AW16" ca="1" si="2">IF(AV8="","",SUMIF($T$16:$T$1070,$AV8,$F$16:$F$1201))</f>
        <v/>
      </c>
      <c r="AX8" s="18"/>
      <c r="AY8" s="35" t="str">
        <f t="array" aca="1" ref="AY8" ca="1">IFERROR(INDEX($U$16:$U$1070,MATCH(0,COUNTIF($AY$5:$AY7,$U$16:$U$1070),0)),"")</f>
        <v/>
      </c>
      <c r="AZ8" s="7" t="str">
        <f t="shared" ref="AZ8:AZ16" ca="1" si="3">IF(AY8="","",SUMIF($U$16:$U$1070,$AY8,$F$16:$F$1201))</f>
        <v/>
      </c>
      <c r="BA8" s="7"/>
      <c r="BB8" s="35">
        <v>3</v>
      </c>
      <c r="BC8" s="7">
        <f ca="1">SUMIF($AM$16:$AM$1070,$BB8,$F$16:$F$1201)</f>
        <v>0</v>
      </c>
    </row>
    <row r="9" spans="1:55" ht="18.75" customHeight="1" x14ac:dyDescent="0.3">
      <c r="K9" s="5"/>
      <c r="L9" s="18"/>
      <c r="M9" s="18"/>
      <c r="N9" s="18"/>
      <c r="O9" s="18"/>
      <c r="P9" s="18"/>
      <c r="Q9" s="5"/>
      <c r="R9" s="18"/>
      <c r="S9" s="5"/>
      <c r="T9" s="18"/>
      <c r="U9" s="18"/>
      <c r="V9" s="5"/>
      <c r="W9" s="5"/>
      <c r="X9" s="18"/>
      <c r="Y9" s="5"/>
      <c r="Z9" s="18"/>
      <c r="AA9" s="18"/>
      <c r="AB9" s="18"/>
      <c r="AC9" s="18"/>
      <c r="AD9" s="18"/>
      <c r="AE9" s="18"/>
      <c r="AF9" s="5"/>
      <c r="AG9" s="5"/>
      <c r="AH9" s="5"/>
      <c r="AI9" s="18"/>
      <c r="AJ9" s="18"/>
      <c r="AK9" s="6"/>
      <c r="AL9" s="36"/>
      <c r="AM9" s="18"/>
      <c r="AN9" s="18"/>
      <c r="AO9" s="18"/>
      <c r="AP9" s="35" t="str">
        <f t="array" aca="1" ref="AP9" ca="1">IFERROR(INDEX($AI$16:$AI$1070,MATCH(0,COUNTIF($AP$5:$AP8,$AI$16:$AI$1070),0)),"")</f>
        <v/>
      </c>
      <c r="AQ9" s="7" t="str">
        <f t="shared" ca="1" si="0"/>
        <v/>
      </c>
      <c r="AR9" s="5"/>
      <c r="AS9" s="35" t="str">
        <f t="array" aca="1" ref="AS9" ca="1">IFERROR(INDEX($AJ$16:$AJ$1070,MATCH(0,COUNTIF($AS$5:$AS8,$AJ$16:$AJ$1070),0)),"")</f>
        <v/>
      </c>
      <c r="AT9" s="7" t="str">
        <f t="shared" ca="1" si="1"/>
        <v/>
      </c>
      <c r="AU9" s="18"/>
      <c r="AV9" s="35" t="str">
        <f t="array" aca="1" ref="AV9" ca="1">IFERROR(INDEX($T$16:$T$1070,MATCH(0,COUNTIF($AV$5:$AV8,$T$16:$T$1070),0)),"")</f>
        <v/>
      </c>
      <c r="AW9" s="7" t="str">
        <f t="shared" ca="1" si="2"/>
        <v/>
      </c>
      <c r="AX9" s="5"/>
      <c r="AY9" s="35" t="str">
        <f t="array" aca="1" ref="AY9" ca="1">IFERROR(INDEX($U$16:$U$1070,MATCH(0,COUNTIF($AY$5:$AY8,$U$16:$U$1070),0)),"")</f>
        <v/>
      </c>
      <c r="AZ9" s="7" t="str">
        <f t="shared" ca="1" si="3"/>
        <v/>
      </c>
      <c r="BA9" s="7"/>
      <c r="BB9" s="35">
        <v>4</v>
      </c>
      <c r="BC9" s="7">
        <f ca="1">SUMIF($AM$16:$AM$1070,$BB9,$F$16:$F$1201)</f>
        <v>0</v>
      </c>
    </row>
    <row r="10" spans="1:55" x14ac:dyDescent="0.3">
      <c r="H10" s="20" t="s">
        <v>599</v>
      </c>
      <c r="I10" s="8">
        <f ca="1">TODAY()</f>
        <v>45203</v>
      </c>
      <c r="K10" s="5"/>
      <c r="L10" s="18"/>
      <c r="M10" s="18"/>
      <c r="N10" s="18"/>
      <c r="O10" s="18"/>
      <c r="P10" s="18"/>
      <c r="Q10" s="5"/>
      <c r="R10" s="18"/>
      <c r="S10" s="5"/>
      <c r="T10" s="18"/>
      <c r="U10" s="18"/>
      <c r="V10" s="5"/>
      <c r="W10" s="9" t="s">
        <v>600</v>
      </c>
      <c r="X10" s="37" t="s">
        <v>601</v>
      </c>
      <c r="Y10" s="9" t="s">
        <v>602</v>
      </c>
      <c r="Z10" s="18"/>
      <c r="AA10" s="18"/>
      <c r="AB10" s="18"/>
      <c r="AC10" s="18"/>
      <c r="AD10" s="18"/>
      <c r="AE10" s="18"/>
      <c r="AF10" s="5"/>
      <c r="AG10" s="5"/>
      <c r="AH10" s="5"/>
      <c r="AI10" s="18"/>
      <c r="AJ10" s="18"/>
      <c r="AK10" s="6"/>
      <c r="AL10" s="36"/>
      <c r="AM10" s="18"/>
      <c r="AN10" s="18"/>
      <c r="AO10" s="18"/>
      <c r="AP10" s="35" t="str">
        <f t="array" aca="1" ref="AP10" ca="1">IFERROR(INDEX($AI$16:$AI$1070,MATCH(0,COUNTIF($AP$5:$AP9,$AI$16:$AI$1070),0)),"")</f>
        <v/>
      </c>
      <c r="AQ10" s="7" t="str">
        <f t="shared" ca="1" si="0"/>
        <v/>
      </c>
      <c r="AR10" s="5"/>
      <c r="AS10" s="35" t="str">
        <f t="array" aca="1" ref="AS10" ca="1">IFERROR(INDEX($AJ$16:$AJ$1070,MATCH(0,COUNTIF($AS$5:$AS9,$AJ$16:$AJ$1070),0)),"")</f>
        <v/>
      </c>
      <c r="AT10" s="7" t="str">
        <f t="shared" ca="1" si="1"/>
        <v/>
      </c>
      <c r="AU10" s="18"/>
      <c r="AV10" s="35" t="str">
        <f t="array" aca="1" ref="AV10" ca="1">IFERROR(INDEX($T$16:$T$1070,MATCH(0,COUNTIF($AV$5:$AV9,$T$16:$T$1070),0)),"")</f>
        <v/>
      </c>
      <c r="AW10" s="7" t="str">
        <f t="shared" ca="1" si="2"/>
        <v/>
      </c>
      <c r="AX10" s="5"/>
      <c r="AY10" s="35" t="str">
        <f t="array" aca="1" ref="AY10" ca="1">IFERROR(INDEX($U$16:$U$1070,MATCH(0,COUNTIF($AY$5:$AY9,$U$16:$U$1070),0)),"")</f>
        <v/>
      </c>
      <c r="AZ10" s="7" t="str">
        <f t="shared" ca="1" si="3"/>
        <v/>
      </c>
      <c r="BA10" s="7"/>
      <c r="BB10" s="35">
        <v>5</v>
      </c>
      <c r="BC10" s="7">
        <f ca="1">SUMIF($AM$16:$AM$1070,$BB10,$F$16:$F$1201)</f>
        <v>0</v>
      </c>
    </row>
    <row r="11" spans="1:55" ht="18" x14ac:dyDescent="0.35">
      <c r="B11" s="15"/>
      <c r="C11" s="15"/>
      <c r="E11" s="17" t="s">
        <v>656</v>
      </c>
      <c r="K11" s="38"/>
      <c r="L11" s="21"/>
      <c r="M11" s="21"/>
      <c r="N11" s="21"/>
      <c r="O11" s="21"/>
      <c r="W11" s="10" t="e">
        <f ca="1">SUMPRODUCT($W$16:$W$1067,$F$18:$F$1067)/SUM($F$18:$F$1067)</f>
        <v>#NAME?</v>
      </c>
      <c r="X11" s="10" t="e">
        <f ca="1">SUMPRODUCT(X16:X1067,$F$7:$F$1067)/SUM($F$7:$F$1067)</f>
        <v>#NAME?</v>
      </c>
      <c r="Y11" s="10" t="e">
        <f ca="1">SUMPRODUCT(Y16:Y1067,$F$7:$F$1067)/SUM($F$7:$F$1067)</f>
        <v>#NAME?</v>
      </c>
      <c r="Z11" s="18"/>
      <c r="AA11" s="18"/>
      <c r="AB11" s="18"/>
      <c r="AC11" s="18"/>
      <c r="AD11" s="18"/>
      <c r="AE11" s="18"/>
      <c r="AF11" s="5"/>
      <c r="AG11" s="5"/>
      <c r="AH11" s="5"/>
      <c r="AI11" s="18"/>
      <c r="AJ11" s="18"/>
      <c r="AK11" s="6"/>
      <c r="AL11" s="36"/>
      <c r="AM11" s="18"/>
      <c r="AN11" s="18"/>
      <c r="AO11" s="18"/>
      <c r="AP11" s="35" t="str">
        <f t="array" aca="1" ref="AP11" ca="1">IFERROR(INDEX($AI$16:$AI$1070,MATCH(0,COUNTIF($AP$5:$AP10,$AI$16:$AI$1070),0)),"")</f>
        <v/>
      </c>
      <c r="AQ11" s="7" t="str">
        <f t="shared" ca="1" si="0"/>
        <v/>
      </c>
      <c r="AR11" s="5"/>
      <c r="AS11" s="35" t="str">
        <f t="array" aca="1" ref="AS11" ca="1">IFERROR(INDEX($AJ$16:$AJ$1070,MATCH(0,COUNTIF($AS$5:$AS10,$AJ$16:$AJ$1070),0)),"")</f>
        <v/>
      </c>
      <c r="AT11" s="7" t="str">
        <f t="shared" ca="1" si="1"/>
        <v/>
      </c>
      <c r="AU11" s="18"/>
      <c r="AV11" s="35" t="str">
        <f t="array" aca="1" ref="AV11" ca="1">IFERROR(INDEX($T$16:$T$1070,MATCH(0,COUNTIF($AV$5:$AV10,$T$16:$T$1070),0)),"")</f>
        <v/>
      </c>
      <c r="AW11" s="7" t="str">
        <f t="shared" ca="1" si="2"/>
        <v/>
      </c>
      <c r="AX11" s="5"/>
      <c r="AY11" s="35" t="str">
        <f t="array" aca="1" ref="AY11" ca="1">IFERROR(INDEX($U$16:$U$1070,MATCH(0,COUNTIF($AY$5:$AY10,$U$16:$U$1070),0)),"")</f>
        <v/>
      </c>
      <c r="AZ11" s="7" t="str">
        <f t="shared" ca="1" si="3"/>
        <v/>
      </c>
      <c r="BA11" s="7"/>
      <c r="BB11" s="35">
        <v>6</v>
      </c>
      <c r="BC11" s="7">
        <f ca="1">SUMIF($AM$16:$AM$1070,$BB11,$F$16:$F$1201)</f>
        <v>0</v>
      </c>
    </row>
    <row r="12" spans="1:55" ht="18" x14ac:dyDescent="0.35">
      <c r="B12" s="15"/>
      <c r="C12" s="15"/>
      <c r="E12" s="63" t="str">
        <f>"Patrimonio : "&amp;'Cartera Med pensiones II'!$AS$53</f>
        <v>Patrimonio : 132534288.6</v>
      </c>
      <c r="K12" s="21"/>
      <c r="L12" s="22">
        <v>44927</v>
      </c>
      <c r="M12" s="23"/>
      <c r="W12" s="5"/>
      <c r="X12" s="18"/>
      <c r="Y12" s="39"/>
      <c r="Z12" s="18"/>
      <c r="AA12" s="18"/>
      <c r="AB12" s="18"/>
      <c r="AC12" s="18"/>
      <c r="AD12" s="18"/>
      <c r="AE12" s="18"/>
      <c r="AF12" s="5"/>
      <c r="AG12" s="5"/>
      <c r="AH12" s="5"/>
      <c r="AI12" s="18"/>
      <c r="AJ12" s="18"/>
      <c r="AK12" s="6"/>
      <c r="AL12" s="36"/>
      <c r="AM12" s="18"/>
      <c r="AN12" s="18"/>
      <c r="AO12" s="18"/>
      <c r="AP12" s="35" t="str">
        <f t="array" aca="1" ref="AP12" ca="1">IFERROR(INDEX($AI$16:$AI$1070,MATCH(0,COUNTIF($AP$5:$AP11,$AI$16:$AI$1070),0)),"")</f>
        <v/>
      </c>
      <c r="AQ12" s="7" t="str">
        <f t="shared" ca="1" si="0"/>
        <v/>
      </c>
      <c r="AR12" s="5"/>
      <c r="AS12" s="35" t="str">
        <f t="array" aca="1" ref="AS12" ca="1">IFERROR(INDEX($AJ$16:$AJ$1070,MATCH(0,COUNTIF($AS$5:$AS11,$AJ$16:$AJ$1070),0)),"")</f>
        <v/>
      </c>
      <c r="AT12" s="7" t="str">
        <f t="shared" ca="1" si="1"/>
        <v/>
      </c>
      <c r="AU12" s="18"/>
      <c r="AV12" s="35" t="str">
        <f t="array" aca="1" ref="AV12" ca="1">IFERROR(INDEX($T$16:$T$1070,MATCH(0,COUNTIF($AV$5:$AV11,$T$16:$T$1070),0)),"")</f>
        <v/>
      </c>
      <c r="AW12" s="7" t="str">
        <f t="shared" ca="1" si="2"/>
        <v/>
      </c>
      <c r="AX12" s="5"/>
      <c r="AY12" s="35" t="str">
        <f t="array" aca="1" ref="AY12" ca="1">IFERROR(INDEX($U$16:$U$1070,MATCH(0,COUNTIF($AY$5:$AY11,$U$16:$U$1070),0)),"")</f>
        <v/>
      </c>
      <c r="AZ12" s="7" t="str">
        <f t="shared" ca="1" si="3"/>
        <v/>
      </c>
      <c r="BA12" s="7"/>
      <c r="BB12" s="5"/>
      <c r="BC12" s="7"/>
    </row>
    <row r="13" spans="1:55" ht="17.25" thickBot="1" x14ac:dyDescent="0.35">
      <c r="B13" s="74" t="s">
        <v>94</v>
      </c>
      <c r="C13" t="s">
        <v>252</v>
      </c>
      <c r="D13" s="16"/>
      <c r="E13" s="64">
        <f>GETPIVOTDATA("Suma de nominal_dis",$B$15)</f>
        <v>100834936.54000001</v>
      </c>
      <c r="F13" s="65">
        <f>E13/124359856.42</f>
        <v>0.81083188291445607</v>
      </c>
      <c r="K13" s="21"/>
      <c r="L13" s="22">
        <f ca="1">WORKDAY(TODAY(),-1)</f>
        <v>45202</v>
      </c>
      <c r="M13" s="23"/>
      <c r="Q13" s="40"/>
      <c r="R13" s="41"/>
      <c r="S13" s="41"/>
      <c r="T13" s="41"/>
      <c r="U13" s="41"/>
      <c r="V13" s="66" t="s">
        <v>603</v>
      </c>
      <c r="W13" s="72" t="s">
        <v>604</v>
      </c>
      <c r="X13" s="60"/>
      <c r="Y13" s="72"/>
      <c r="Z13" s="60"/>
      <c r="AA13" s="60"/>
      <c r="AB13" s="60"/>
      <c r="AC13" s="60"/>
      <c r="AD13" s="60"/>
      <c r="AE13" s="60"/>
      <c r="AF13" s="72"/>
      <c r="AG13" s="72"/>
      <c r="AH13" s="72"/>
      <c r="AI13" s="60"/>
      <c r="AJ13" s="60"/>
      <c r="AK13" s="72"/>
      <c r="AL13" s="60"/>
      <c r="AM13" s="18"/>
      <c r="AN13" s="18"/>
      <c r="AO13" s="18"/>
      <c r="AP13" s="35" t="str">
        <f t="array" aca="1" ref="AP13" ca="1">IFERROR(INDEX($AI$16:$AI$1070,MATCH(0,COUNTIF($AP$5:$AP12,$AI$16:$AI$1070),0)),"")</f>
        <v/>
      </c>
      <c r="AQ13" s="7" t="str">
        <f t="shared" ca="1" si="0"/>
        <v/>
      </c>
      <c r="AR13" s="5"/>
      <c r="AS13" s="35" t="str">
        <f t="array" aca="1" ref="AS13" ca="1">IFERROR(INDEX($AJ$16:$AJ$1070,MATCH(0,COUNTIF($AS$5:$AS12,$AJ$16:$AJ$1070),0)),"")</f>
        <v/>
      </c>
      <c r="AT13" s="7" t="str">
        <f t="shared" ca="1" si="1"/>
        <v/>
      </c>
      <c r="AU13" s="18"/>
      <c r="AV13" s="35" t="str">
        <f t="array" aca="1" ref="AV13" ca="1">IFERROR(INDEX($T$16:$T$1070,MATCH(0,COUNTIF($AV$5:$AV12,$T$16:$T$1070),0)),"")</f>
        <v/>
      </c>
      <c r="AW13" s="7" t="str">
        <f t="shared" ca="1" si="2"/>
        <v/>
      </c>
      <c r="AX13" s="5"/>
      <c r="AY13" s="35" t="str">
        <f t="array" aca="1" ref="AY13" ca="1">IFERROR(INDEX($U$16:$U$1070,MATCH(0,COUNTIF($AY$5:$AY12,$U$16:$U$1070),0)),"")</f>
        <v/>
      </c>
      <c r="AZ13" s="7" t="str">
        <f t="shared" ca="1" si="3"/>
        <v/>
      </c>
      <c r="BA13" s="7"/>
      <c r="BB13" s="5"/>
      <c r="BC13" s="7"/>
    </row>
    <row r="14" spans="1:55" ht="19.5" thickTop="1" x14ac:dyDescent="0.35">
      <c r="B14" s="15"/>
      <c r="C14" s="15"/>
      <c r="D14" s="15"/>
      <c r="K14" s="21"/>
      <c r="L14" s="24" t="s">
        <v>605</v>
      </c>
      <c r="M14" s="25"/>
      <c r="N14" s="19"/>
      <c r="O14" s="42">
        <f ca="1">WORKDAY(TODAY(),0)</f>
        <v>45203</v>
      </c>
      <c r="P14" s="43">
        <f ca="1">WORKDAY(TODAY(),-1)</f>
        <v>45202</v>
      </c>
      <c r="Q14" s="44" t="s">
        <v>606</v>
      </c>
      <c r="R14" s="66" t="s">
        <v>607</v>
      </c>
      <c r="S14" s="66" t="s">
        <v>608</v>
      </c>
      <c r="T14" s="66" t="s">
        <v>609</v>
      </c>
      <c r="U14" s="66" t="s">
        <v>610</v>
      </c>
      <c r="V14" s="66" t="s">
        <v>611</v>
      </c>
      <c r="W14" s="60" t="s">
        <v>612</v>
      </c>
      <c r="X14" s="60" t="s">
        <v>613</v>
      </c>
      <c r="Y14" s="60" t="s">
        <v>614</v>
      </c>
      <c r="Z14" s="60" t="s">
        <v>615</v>
      </c>
      <c r="AA14" s="60" t="s">
        <v>616</v>
      </c>
      <c r="AB14" s="60" t="s">
        <v>617</v>
      </c>
      <c r="AC14" s="60" t="s">
        <v>614</v>
      </c>
      <c r="AD14" s="60" t="s">
        <v>618</v>
      </c>
      <c r="AE14" s="60" t="s">
        <v>619</v>
      </c>
      <c r="AF14" s="60" t="s">
        <v>620</v>
      </c>
      <c r="AG14" s="60" t="s">
        <v>621</v>
      </c>
      <c r="AH14" s="60" t="s">
        <v>622</v>
      </c>
      <c r="AI14" s="60" t="s">
        <v>623</v>
      </c>
      <c r="AJ14" s="60" t="s">
        <v>624</v>
      </c>
      <c r="AK14" s="60" t="s">
        <v>625</v>
      </c>
      <c r="AL14" s="60" t="s">
        <v>626</v>
      </c>
      <c r="AM14" s="5"/>
      <c r="AN14" s="5"/>
      <c r="AO14" s="5"/>
      <c r="AP14" s="35" t="str">
        <f t="array" aca="1" ref="AP14" ca="1">IFERROR(INDEX($AI$16:$AI$1070,MATCH(0,COUNTIF($AP$5:$AP13,$AI$16:$AI$1070),0)),"")</f>
        <v/>
      </c>
      <c r="AQ14" s="7" t="str">
        <f t="shared" ca="1" si="0"/>
        <v/>
      </c>
      <c r="AR14" s="5"/>
      <c r="AS14" s="35" t="str">
        <f t="array" aca="1" ref="AS14" ca="1">IFERROR(INDEX($AJ$16:$AJ$1070,MATCH(0,COUNTIF($AS$5:$AS13,$AJ$16:$AJ$1070),0)),"")</f>
        <v/>
      </c>
      <c r="AT14" s="7" t="str">
        <f t="shared" ca="1" si="1"/>
        <v/>
      </c>
      <c r="AU14" s="18"/>
      <c r="AV14" s="35" t="str">
        <f t="array" aca="1" ref="AV14" ca="1">IFERROR(INDEX($T$16:$T$1070,MATCH(0,COUNTIF($AV$5:$AV13,$T$16:$T$1070),0)),"")</f>
        <v/>
      </c>
      <c r="AW14" s="7" t="str">
        <f t="shared" ca="1" si="2"/>
        <v/>
      </c>
      <c r="AX14" s="5"/>
      <c r="AY14" s="35" t="str">
        <f t="array" aca="1" ref="AY14" ca="1">IFERROR(INDEX($U$16:$U$1070,MATCH(0,COUNTIF($AY$5:$AY13,$U$16:$U$1070),0)),"")</f>
        <v/>
      </c>
      <c r="AZ14" s="7" t="str">
        <f t="shared" ca="1" si="3"/>
        <v/>
      </c>
      <c r="BA14" s="5"/>
      <c r="BB14" s="18"/>
      <c r="BC14" s="7"/>
    </row>
    <row r="15" spans="1:55" ht="17.25" thickBot="1" x14ac:dyDescent="0.35">
      <c r="A15" s="14" t="s">
        <v>627</v>
      </c>
      <c r="B15" s="12" t="s">
        <v>628</v>
      </c>
      <c r="C15" t="s">
        <v>658</v>
      </c>
      <c r="D15" t="s">
        <v>657</v>
      </c>
      <c r="E15" t="s">
        <v>653</v>
      </c>
      <c r="F15" t="s">
        <v>654</v>
      </c>
      <c r="G15" t="s">
        <v>655</v>
      </c>
      <c r="H15" s="14" t="s">
        <v>653</v>
      </c>
      <c r="I15" s="14" t="s">
        <v>654</v>
      </c>
      <c r="J15" s="14" t="s">
        <v>655</v>
      </c>
      <c r="K15" s="26" t="s">
        <v>629</v>
      </c>
      <c r="L15" s="27" t="s">
        <v>630</v>
      </c>
      <c r="M15" s="28" t="s">
        <v>631</v>
      </c>
      <c r="N15" s="45" t="s">
        <v>632</v>
      </c>
      <c r="O15" s="46" t="s">
        <v>605</v>
      </c>
      <c r="P15" s="47" t="s">
        <v>633</v>
      </c>
      <c r="Q15" s="48" t="s">
        <v>634</v>
      </c>
      <c r="R15" s="48" t="s">
        <v>635</v>
      </c>
      <c r="S15" s="48" t="s">
        <v>636</v>
      </c>
      <c r="T15" s="48" t="s">
        <v>598</v>
      </c>
      <c r="U15" s="48" t="s">
        <v>596</v>
      </c>
      <c r="V15" s="48" t="s">
        <v>637</v>
      </c>
      <c r="W15" s="48" t="s">
        <v>638</v>
      </c>
      <c r="X15" s="48" t="s">
        <v>639</v>
      </c>
      <c r="Y15" s="48" t="s">
        <v>640</v>
      </c>
      <c r="Z15" s="48" t="s">
        <v>641</v>
      </c>
      <c r="AA15" s="48" t="s">
        <v>642</v>
      </c>
      <c r="AB15" s="48" t="s">
        <v>643</v>
      </c>
      <c r="AC15" s="48" t="s">
        <v>642</v>
      </c>
      <c r="AD15" s="48" t="s">
        <v>618</v>
      </c>
      <c r="AE15" s="48" t="s">
        <v>644</v>
      </c>
      <c r="AF15" s="48" t="s">
        <v>645</v>
      </c>
      <c r="AG15" s="48" t="s">
        <v>646</v>
      </c>
      <c r="AH15" s="48" t="s">
        <v>647</v>
      </c>
      <c r="AI15" s="48" t="s">
        <v>648</v>
      </c>
      <c r="AJ15" s="48" t="s">
        <v>649</v>
      </c>
      <c r="AK15" s="49" t="s">
        <v>650</v>
      </c>
      <c r="AL15" s="49" t="s">
        <v>651</v>
      </c>
      <c r="AM15" s="49" t="s">
        <v>597</v>
      </c>
      <c r="AN15" s="49" t="s">
        <v>951</v>
      </c>
      <c r="AO15" s="5"/>
      <c r="AP15" s="35" t="str">
        <f t="array" aca="1" ref="AP15" ca="1">IFERROR(INDEX($AI$16:$AI$1070,MATCH(0,COUNTIF($AP$5:$AP14,$AI$16:$AI$1070),0)),"")</f>
        <v/>
      </c>
      <c r="AQ15" s="7" t="str">
        <f t="shared" ca="1" si="0"/>
        <v/>
      </c>
      <c r="AR15" s="5"/>
      <c r="AS15" s="35" t="str">
        <f t="array" aca="1" ref="AS15" ca="1">IFERROR(INDEX($AJ$16:$AJ$1070,MATCH(0,COUNTIF($AS$5:$AS14,$AJ$16:$AJ$1070),0)),"")</f>
        <v/>
      </c>
      <c r="AT15" s="7" t="str">
        <f t="shared" ca="1" si="1"/>
        <v/>
      </c>
      <c r="AU15" s="18"/>
      <c r="AV15" s="35" t="str">
        <f t="array" aca="1" ref="AV15" ca="1">IFERROR(INDEX($T$16:$T$1070,MATCH(0,COUNTIF($AV$5:$AV14,$T$16:$T$1070),0)),"")</f>
        <v/>
      </c>
      <c r="AW15" s="7" t="str">
        <f t="shared" ca="1" si="2"/>
        <v/>
      </c>
      <c r="AX15" s="5"/>
      <c r="AY15" s="35" t="str">
        <f t="array" aca="1" ref="AY15" ca="1">IFERROR(INDEX($U$16:$U$1070,MATCH(0,COUNTIF($AY$5:$AY14,$U$16:$U$1070),0)),"")</f>
        <v/>
      </c>
      <c r="AZ15" s="7" t="str">
        <f t="shared" ca="1" si="3"/>
        <v/>
      </c>
      <c r="BA15" s="5"/>
      <c r="BB15" s="18"/>
      <c r="BC15" s="7"/>
    </row>
    <row r="16" spans="1:55" ht="17.25" hidden="1" thickTop="1" x14ac:dyDescent="0.3">
      <c r="A16" t="str">
        <f>IF(LEN(B16)=12,B16,"")</f>
        <v/>
      </c>
      <c r="B16" s="13" t="s">
        <v>579</v>
      </c>
      <c r="C16" s="73">
        <v>4498</v>
      </c>
      <c r="D16" s="73">
        <v>128</v>
      </c>
      <c r="E16" s="73">
        <v>600000</v>
      </c>
      <c r="F16" s="57">
        <v>0.46281685</v>
      </c>
      <c r="G16" s="58">
        <v>629512.19999999995</v>
      </c>
      <c r="H16">
        <f>GETPIVOTDATA("Suma de nominal_dis",B16,"nombre_instrumento",$B16)</f>
        <v>600000</v>
      </c>
      <c r="I16">
        <f>GETPIVOTDATA("Suma de porcentaje_contado",$B$15,"nombre_instrumento",B16)</f>
        <v>0.46281685</v>
      </c>
      <c r="J16">
        <f>GETPIVOTDATA("Suma de coste_ini_div",$B$15,"nombre_instrumento",B16)</f>
        <v>629512.19999999995</v>
      </c>
      <c r="K16" s="32">
        <f>IF(B16="","",J16*100/H16)</f>
        <v>104.91869999999999</v>
      </c>
      <c r="L16" s="29" t="e">
        <f ca="1">IF(B16="","",_xll.BDP(A16&amp;" Corp","INTERVAL_HIGH","START_DATE_OVERRIDE",TEXT($L$12,"AAAAMMDD"),"END_DATE_OVERRIDE",TEXT($L$13,"AAAAMMDD"),"MARKET_DATA_OVERRIDE",$L$14))</f>
        <v>#NAME?</v>
      </c>
      <c r="M16" s="30" t="e">
        <f ca="1">IF(B16="","",_xll.BDP($A16&amp;" Corp","INTERVAL_LOW","START_DATE_OVERRIDE",TEXT($L$12,"AAAAMMDD"),"END_DATE_OVERRIDE",TEXT($L$13,"AAAAMMDD"),"MARKET_DATA_OVERRIDE",$L$14))</f>
        <v>#NAME?</v>
      </c>
      <c r="N16" s="31" t="e">
        <f ca="1">IF($B16="","",_xll.BDP($A16&amp;" Corp",N$15))</f>
        <v>#NAME?</v>
      </c>
      <c r="O16" s="32" t="e">
        <f ca="1">IF($B16="","",_xll.BDP($A16&amp;" Corp",O$15))</f>
        <v>#NAME?</v>
      </c>
      <c r="P16" s="32" t="e">
        <f ca="1">IF($B16="","",_xll.BDP($A16&amp;" Corp",P$15))</f>
        <v>#NAME?</v>
      </c>
      <c r="Q16" s="30" t="e">
        <f ca="1">IF($B16="","",_xll.BDP($A16&amp;" Corp",Q$14))</f>
        <v>#NAME?</v>
      </c>
      <c r="R16" s="30" t="e">
        <f ca="1">IF($B16="","",_xll.BDP($A16&amp;" Corp",R$14))</f>
        <v>#NAME?</v>
      </c>
      <c r="S16" s="50" t="e">
        <f ca="1">IF($B16="","",_xll.BDP($A16&amp;" Corp",S$14))</f>
        <v>#NAME?</v>
      </c>
      <c r="T16" s="30" t="e">
        <f ca="1">IF($B16="","",_xll.BDP($A16&amp;" Corp",T$14))</f>
        <v>#NAME?</v>
      </c>
      <c r="U16" s="30" t="e">
        <f ca="1">IF($B16="","",_xll.BDP($A16&amp;" Corp",U$14))</f>
        <v>#NAME?</v>
      </c>
      <c r="V16" s="51" t="e">
        <f ca="1">IF($B16="","",IF($T16="VARIABLE",_xll.BDP($A16&amp;" Corp",V$13),_xll.BDP($A16&amp;" Corp",V$14)))</f>
        <v>#NAME?</v>
      </c>
      <c r="W16" s="30" t="e">
        <f ca="1">IF($B16="","",IF($T16="VARIABLE",_xll.BDP($A16&amp;" Corp",W$13),_xll.BDP($A16&amp;" Corp",W$14)))</f>
        <v>#NAME?</v>
      </c>
      <c r="X16" s="30" t="e">
        <f ca="1">IF($B16="","",_xll.BDP($A16&amp;" Corp",X$14))</f>
        <v>#NAME?</v>
      </c>
      <c r="Y16" s="33" t="e">
        <f ca="1">IF($B16="","",_xll.BDP($A16&amp;" Corp",Y$14))</f>
        <v>#NAME?</v>
      </c>
      <c r="Z16" s="52" t="e">
        <f ca="1">IF($B16="","",_xll.BDP($A16&amp;" Corp",Z$14))</f>
        <v>#NAME?</v>
      </c>
      <c r="AA16" s="53" t="e">
        <f ca="1">IF($B16="","",_xll.BDP($A16&amp;" Corp",AA$14))</f>
        <v>#NAME?</v>
      </c>
      <c r="AB16" s="54" t="e">
        <f ca="1">IF($B16="","",_xll.BDP($A16&amp;" Corp",AB$14))</f>
        <v>#NAME?</v>
      </c>
      <c r="AC16" s="54" t="e">
        <f ca="1">IF($B16="","",_xll.BDP($A16&amp;" Corp",AC$14))</f>
        <v>#NAME?</v>
      </c>
      <c r="AD16" s="55" t="e">
        <f ca="1">IF($B16="","",_xll.BDP($A16&amp;" Corp",AD$14))</f>
        <v>#NAME?</v>
      </c>
      <c r="AE16" s="56" t="e">
        <f ca="1">IF($B16="","",_xll.BDP($A16&amp;" Corp",AE$14))</f>
        <v>#NAME?</v>
      </c>
      <c r="AF16" s="29" t="e">
        <f ca="1">IF($B16="","",_xll.BDP($A16&amp;" Corp",AF$14))</f>
        <v>#NAME?</v>
      </c>
      <c r="AG16" s="33" t="e">
        <f ca="1">IF($B16="","",_xll.BDP($A16&amp;" Corp",AG$14))</f>
        <v>#NAME?</v>
      </c>
      <c r="AH16" s="30" t="e">
        <f ca="1">IF($B16="","",_xll.BDP($A16&amp;" Corp",AH$14))</f>
        <v>#NAME?</v>
      </c>
      <c r="AI16" s="30" t="e">
        <f ca="1">IF($B16="","",_xll.BDP($A16&amp;" Corp",AI$14))</f>
        <v>#NAME?</v>
      </c>
      <c r="AJ16" s="30" t="e">
        <f ca="1">IF($B16="","",_xll.BDP($A16&amp;" Corp",AJ$14))</f>
        <v>#NAME?</v>
      </c>
      <c r="AK16" s="11" t="e">
        <f ca="1">IF($B16="","",_xll.BDP($A16&amp;" Corp",AK$14))</f>
        <v>#NAME?</v>
      </c>
      <c r="AL16" s="11" t="e">
        <f ca="1">IF($B16="","",_xll.BDP($A16&amp;" Corp",AL$14))</f>
        <v>#NAME?</v>
      </c>
      <c r="AM16" s="11" t="e">
        <f ca="1">IF(V16="","",TRUNC((V16-TODAY())/365)+1)</f>
        <v>#NAME?</v>
      </c>
      <c r="AN16" s="5"/>
      <c r="AO16" s="5"/>
      <c r="AP16" s="35" t="str">
        <f t="array" aca="1" ref="AP16" ca="1">IFERROR(INDEX($AI$16:$AI$1070,MATCH(0,COUNTIF($AP$5:$AP15,$AI$16:$AI$1070),0)),"")</f>
        <v/>
      </c>
      <c r="AQ16" s="7" t="str">
        <f t="shared" ca="1" si="0"/>
        <v/>
      </c>
      <c r="AR16" s="5"/>
      <c r="AS16" s="35" t="str">
        <f t="array" aca="1" ref="AS16" ca="1">IFERROR(INDEX($AJ$16:$AJ$1070,MATCH(0,COUNTIF($AS$5:$AS15,$AJ$16:$AJ$1070),0)),"")</f>
        <v/>
      </c>
      <c r="AT16" s="7" t="str">
        <f t="shared" ca="1" si="1"/>
        <v/>
      </c>
      <c r="AU16" s="18"/>
      <c r="AV16" s="35" t="str">
        <f t="array" aca="1" ref="AV16" ca="1">IFERROR(INDEX($T$16:$T$1070,MATCH(0,COUNTIF($AV$5:$AV15,$T$16:$T$1070),0)),"")</f>
        <v/>
      </c>
      <c r="AW16" s="7" t="str">
        <f t="shared" ca="1" si="2"/>
        <v/>
      </c>
      <c r="AX16" s="5"/>
      <c r="AY16" s="35" t="str">
        <f t="array" aca="1" ref="AY16" ca="1">IFERROR(INDEX($U$16:$U$1070,MATCH(0,COUNTIF($AY$5:$AY15,$U$16:$U$1070),0)),"")</f>
        <v/>
      </c>
      <c r="AZ16" s="7" t="str">
        <f t="shared" ca="1" si="3"/>
        <v/>
      </c>
      <c r="BA16" s="5"/>
      <c r="BB16" s="18"/>
      <c r="BC16" s="7"/>
    </row>
    <row r="17" spans="1:40" ht="17.25" hidden="1" thickTop="1" x14ac:dyDescent="0.3">
      <c r="A17" t="str">
        <f t="shared" ref="A17:A80" si="4">IF(LEN(B17)=12,B17,"")</f>
        <v/>
      </c>
      <c r="B17" s="13" t="s">
        <v>447</v>
      </c>
      <c r="C17" s="73">
        <v>3089</v>
      </c>
      <c r="D17" s="73">
        <v>128</v>
      </c>
      <c r="E17" s="73">
        <v>100000</v>
      </c>
      <c r="F17" s="57">
        <v>8.5280469999999997E-2</v>
      </c>
      <c r="G17" s="58">
        <v>114232.67</v>
      </c>
      <c r="H17">
        <f t="shared" ref="H17:H80" si="5">GETPIVOTDATA("Suma de nominal_dis",B17,"nombre_instrumento",$B17)</f>
        <v>100000</v>
      </c>
      <c r="I17">
        <f t="shared" ref="I17:I80" si="6">GETPIVOTDATA("Suma de porcentaje_contado",$B$15,"nombre_instrumento",B17)</f>
        <v>8.5280469999999997E-2</v>
      </c>
      <c r="J17">
        <f t="shared" ref="J17:J80" si="7">GETPIVOTDATA("Suma de coste_ini_div",$B$15,"nombre_instrumento",B17)</f>
        <v>114232.67</v>
      </c>
      <c r="K17" s="32">
        <f t="shared" ref="K17:K80" si="8">IF(B17="","",J17*100/H17)</f>
        <v>114.23267</v>
      </c>
      <c r="L17" s="29" t="e">
        <f ca="1">IF(B17="","",_xll.BDP(A17&amp;" Corp","INTERVAL_HIGH","START_DATE_OVERRIDE",TEXT($L$12,"AAAAMMDD"),"END_DATE_OVERRIDE",TEXT($L$13,"AAAAMMDD"),"MARKET_DATA_OVERRIDE",$L$14))</f>
        <v>#NAME?</v>
      </c>
      <c r="M17" s="30" t="e">
        <f ca="1">IF(B17="","",_xll.BDP($A17&amp;" Corp","INTERVAL_LOW","START_DATE_OVERRIDE",TEXT($L$12,"AAAAMMDD"),"END_DATE_OVERRIDE",TEXT($L$13,"AAAAMMDD"),"MARKET_DATA_OVERRIDE",$L$14))</f>
        <v>#NAME?</v>
      </c>
      <c r="N17" s="31" t="e">
        <f ca="1">IF($B17="","",_xll.BDP($A17&amp;" Corp",N$15))</f>
        <v>#NAME?</v>
      </c>
      <c r="O17" s="32" t="e">
        <f ca="1">IF($B17="","",_xll.BDP($A17&amp;" Corp",O$15))</f>
        <v>#NAME?</v>
      </c>
      <c r="P17" s="32" t="e">
        <f ca="1">IF($B17="","",_xll.BDP($A17&amp;" Corp",P$15))</f>
        <v>#NAME?</v>
      </c>
      <c r="Q17" s="30" t="e">
        <f ca="1">IF($B17="","",_xll.BDP($A17&amp;" Corp",Q$14))</f>
        <v>#NAME?</v>
      </c>
      <c r="R17" s="30" t="e">
        <f ca="1">IF($B17="","",_xll.BDP($A17&amp;" Corp",R$14))</f>
        <v>#NAME?</v>
      </c>
      <c r="S17" s="50" t="e">
        <f ca="1">IF($B17="","",_xll.BDP($A17&amp;" Corp",S$14))</f>
        <v>#NAME?</v>
      </c>
      <c r="T17" s="30" t="e">
        <f ca="1">IF($B17="","",_xll.BDP($A17&amp;" Corp",T$14))</f>
        <v>#NAME?</v>
      </c>
      <c r="U17" s="30" t="e">
        <f ca="1">IF($B17="","",_xll.BDP($A17&amp;" Corp",U$14))</f>
        <v>#NAME?</v>
      </c>
      <c r="V17" s="51" t="e">
        <f ca="1">IF($B17="","",IF($T17="VARIABLE",_xll.BDP($A17&amp;" Corp",V$13),_xll.BDP($A17&amp;" Corp",V$14)))</f>
        <v>#NAME?</v>
      </c>
      <c r="W17" s="30" t="e">
        <f ca="1">IF($B17="","",IF($T17="VARIABLE",_xll.BDP($A17&amp;" Corp",W$13),_xll.BDP($A17&amp;" Corp",W$14)))</f>
        <v>#NAME?</v>
      </c>
      <c r="X17" s="30" t="e">
        <f ca="1">IF($B17="","",_xll.BDP($A17&amp;" Corp",X$14))</f>
        <v>#NAME?</v>
      </c>
      <c r="Y17" s="33" t="e">
        <f ca="1">IF($B17="","",_xll.BDP($A17&amp;" Corp",Y$14))</f>
        <v>#NAME?</v>
      </c>
      <c r="Z17" s="52" t="e">
        <f ca="1">IF($B17="","",_xll.BDP($A17&amp;" Corp",Z$14))</f>
        <v>#NAME?</v>
      </c>
      <c r="AA17" s="53" t="e">
        <f ca="1">IF($B17="","",_xll.BDP($A17&amp;" Corp",AA$14))</f>
        <v>#NAME?</v>
      </c>
      <c r="AB17" s="54" t="e">
        <f ca="1">IF($B17="","",_xll.BDP($A17&amp;" Corp",AB$14))</f>
        <v>#NAME?</v>
      </c>
      <c r="AC17" s="54" t="e">
        <f ca="1">IF($B17="","",_xll.BDP($A17&amp;" Corp",AC$14))</f>
        <v>#NAME?</v>
      </c>
      <c r="AD17" s="55" t="e">
        <f ca="1">IF($B17="","",_xll.BDP($A17&amp;" Corp",AD$14))</f>
        <v>#NAME?</v>
      </c>
      <c r="AE17" s="56" t="e">
        <f ca="1">IF($B17="","",_xll.BDP($A17&amp;" Corp",AE$14))</f>
        <v>#NAME?</v>
      </c>
      <c r="AF17" s="29" t="e">
        <f ca="1">IF($B17="","",_xll.BDP($A17&amp;" Corp",AF$14))</f>
        <v>#NAME?</v>
      </c>
      <c r="AG17" s="33" t="e">
        <f ca="1">IF($B17="","",_xll.BDP($A17&amp;" Corp",AG$14))</f>
        <v>#NAME?</v>
      </c>
      <c r="AH17" s="30" t="e">
        <f ca="1">IF($B17="","",_xll.BDP($A17&amp;" Corp",AH$14))</f>
        <v>#NAME?</v>
      </c>
      <c r="AI17" s="30" t="e">
        <f ca="1">IF($B17="","",_xll.BDP($A17&amp;" Corp",AI$14))</f>
        <v>#NAME?</v>
      </c>
      <c r="AJ17" s="30" t="e">
        <f ca="1">IF($B17="","",_xll.BDP($A17&amp;" Corp",AJ$14))</f>
        <v>#NAME?</v>
      </c>
      <c r="AK17" s="11" t="e">
        <f ca="1">IF($B17="","",_xll.BDP($A17&amp;" Corp",AK$14))</f>
        <v>#NAME?</v>
      </c>
      <c r="AL17" s="11" t="e">
        <f ca="1">IF($B17="","",_xll.BDP($A17&amp;" Corp",AL$14))</f>
        <v>#NAME?</v>
      </c>
      <c r="AM17" s="11" t="e">
        <f t="shared" ref="AM17:AM80" ca="1" si="9">IF(V17="","",TRUNC((V17-TODAY())/365)+1)</f>
        <v>#NAME?</v>
      </c>
    </row>
    <row r="18" spans="1:40" ht="17.25" thickTop="1" x14ac:dyDescent="0.3">
      <c r="A18" s="67" t="str">
        <f>IF(LEN(B18)=12,B18,"")</f>
        <v>BE6329443962</v>
      </c>
      <c r="B18" s="68" t="s">
        <v>323</v>
      </c>
      <c r="C18" s="75">
        <v>9362</v>
      </c>
      <c r="D18" s="75">
        <v>128</v>
      </c>
      <c r="E18" s="75">
        <v>200000</v>
      </c>
      <c r="F18" s="69">
        <v>0.14722307000000001</v>
      </c>
      <c r="G18" s="70">
        <v>201510</v>
      </c>
      <c r="H18" s="67">
        <f t="shared" si="5"/>
        <v>200000</v>
      </c>
      <c r="I18" s="67">
        <f t="shared" si="6"/>
        <v>0.14722307000000001</v>
      </c>
      <c r="J18" s="67">
        <f t="shared" si="7"/>
        <v>201510</v>
      </c>
      <c r="K18" s="71">
        <f t="shared" si="8"/>
        <v>100.755</v>
      </c>
      <c r="L18" s="29" t="e">
        <f ca="1">IF(B18="","",_xll.BDP(A18&amp;" Corp","INTERVAL_HIGH","START_DATE_OVERRIDE",TEXT($L$12,"AAAAMMDD"),"END_DATE_OVERRIDE",TEXT($L$13,"AAAAMMDD"),"MARKET_DATA_OVERRIDE",$L$14))</f>
        <v>#NAME?</v>
      </c>
      <c r="M18" s="30" t="e">
        <f ca="1">IF(B18="","",_xll.BDP($A18&amp;" Corp","INTERVAL_LOW","START_DATE_OVERRIDE",TEXT($L$12,"AAAAMMDD"),"END_DATE_OVERRIDE",TEXT($L$13,"AAAAMMDD"),"MARKET_DATA_OVERRIDE",$L$14))</f>
        <v>#NAME?</v>
      </c>
      <c r="N18" s="31" t="e">
        <f ca="1">IF($B18="","",_xll.BDP($A18&amp;" Corp",N$15))</f>
        <v>#NAME?</v>
      </c>
      <c r="O18" s="32" t="e">
        <f ca="1">IF($B18="","",_xll.BDP($A18&amp;" Corp",O$15))</f>
        <v>#NAME?</v>
      </c>
      <c r="P18" s="32" t="e">
        <f ca="1">IF($B18="","",_xll.BDP($A18&amp;" Corp",P$15))</f>
        <v>#NAME?</v>
      </c>
      <c r="Q18" s="30" t="e">
        <f ca="1">IF($B18="","",_xll.BDP($A18&amp;" Corp",Q$14))</f>
        <v>#NAME?</v>
      </c>
      <c r="R18" s="30" t="e">
        <f ca="1">IF($B18="","",_xll.BDP($A18&amp;" Corp",R$14))</f>
        <v>#NAME?</v>
      </c>
      <c r="S18" s="50" t="e">
        <f ca="1">IF($B18="","",_xll.BDP($A18&amp;" Corp",S$14))</f>
        <v>#NAME?</v>
      </c>
      <c r="T18" s="30" t="e">
        <f ca="1">IF($B18="","",_xll.BDP($A18&amp;" Corp",T$14))</f>
        <v>#NAME?</v>
      </c>
      <c r="U18" s="30" t="e">
        <f ca="1">IF($B18="","",_xll.BDP($A18&amp;" Corp",U$14))</f>
        <v>#NAME?</v>
      </c>
      <c r="V18" s="51" t="e">
        <f ca="1">IF($B18="","",IF($T18="VARIABLE",_xll.BDP($A18&amp;" Corp",V$13),_xll.BDP($A18&amp;" Corp",V$14)))</f>
        <v>#NAME?</v>
      </c>
      <c r="W18" s="30" t="e">
        <f ca="1">IF($B18="","",IF($T18="VARIABLE",_xll.BDP($A18&amp;" Corp",W$13),_xll.BDP($A18&amp;" Corp",W$14)))</f>
        <v>#NAME?</v>
      </c>
      <c r="X18" s="30" t="e">
        <f ca="1">IF($B18="","",_xll.BDP($A18&amp;" Corp",X$14))</f>
        <v>#NAME?</v>
      </c>
      <c r="Y18" s="33" t="e">
        <f ca="1">IF($B18="","",_xll.BDP($A18&amp;" Corp",Y$14))</f>
        <v>#NAME?</v>
      </c>
      <c r="Z18" s="52" t="e">
        <f ca="1">IF($B18="","",_xll.BDP($A18&amp;" Corp",Z$14))</f>
        <v>#NAME?</v>
      </c>
      <c r="AA18" s="53" t="e">
        <f ca="1">IF($B18="","",_xll.BDP($A18&amp;" Corp",AA$14))</f>
        <v>#NAME?</v>
      </c>
      <c r="AB18" s="54" t="e">
        <f ca="1">IF($B18="","",_xll.BDP($A18&amp;" Corp",AB$14))</f>
        <v>#NAME?</v>
      </c>
      <c r="AC18" s="54" t="e">
        <f ca="1">IF($B18="","",_xll.BDP($A18&amp;" Corp",AC$14))</f>
        <v>#NAME?</v>
      </c>
      <c r="AD18" s="55" t="e">
        <f ca="1">IF($B18="","",_xll.BDP($A18&amp;" Corp",AD$14))</f>
        <v>#NAME?</v>
      </c>
      <c r="AE18" s="56" t="e">
        <f ca="1">IF($B18="","",_xll.BDP($A18&amp;" Corp",AE$14))</f>
        <v>#NAME?</v>
      </c>
      <c r="AF18" s="29" t="e">
        <f ca="1">IF($B18="","",_xll.BDP($A18&amp;" Corp",AF$14))</f>
        <v>#NAME?</v>
      </c>
      <c r="AG18" s="33" t="e">
        <f ca="1">IF($B18="","",_xll.BDP($A18&amp;" Corp",AG$14))</f>
        <v>#NAME?</v>
      </c>
      <c r="AH18" s="30" t="e">
        <f ca="1">IF($B18="","",_xll.BDP($A18&amp;" Corp",AH$14))</f>
        <v>#NAME?</v>
      </c>
      <c r="AI18" s="30" t="e">
        <f ca="1">IF($B18="","",_xll.BDP($A18&amp;" Corp",AI$14))</f>
        <v>#NAME?</v>
      </c>
      <c r="AJ18" s="30" t="e">
        <f ca="1">IF($B18="","",_xll.BDP($A18&amp;" Corp",AJ$14))</f>
        <v>#NAME?</v>
      </c>
      <c r="AK18" s="11" t="e">
        <f ca="1">IF($B18="","",_xll.BDP($A18&amp;" Corp",AK$14))</f>
        <v>#NAME?</v>
      </c>
      <c r="AL18" s="11" t="e">
        <f ca="1">IF($B18="","",_xll.BDP($A18&amp;" Corp",AL$14))</f>
        <v>#NAME?</v>
      </c>
      <c r="AM18" s="11" t="e">
        <f t="shared" ca="1" si="9"/>
        <v>#NAME?</v>
      </c>
      <c r="AN18" s="57" t="e">
        <f ca="1">IF(ROUND(W18,0)=0,ROUND(W18,1), ROUND(W18,0))</f>
        <v>#NAME?</v>
      </c>
    </row>
    <row r="19" spans="1:40" hidden="1" x14ac:dyDescent="0.3">
      <c r="A19" t="str">
        <f t="shared" si="4"/>
        <v/>
      </c>
      <c r="B19" s="13" t="s">
        <v>491</v>
      </c>
      <c r="C19" s="73">
        <v>2869</v>
      </c>
      <c r="D19" s="73">
        <v>128</v>
      </c>
      <c r="E19" s="73">
        <v>100000</v>
      </c>
      <c r="F19" s="57">
        <v>0</v>
      </c>
      <c r="G19" s="58">
        <v>0</v>
      </c>
      <c r="H19">
        <f t="shared" si="5"/>
        <v>100000</v>
      </c>
      <c r="I19">
        <f t="shared" si="6"/>
        <v>0</v>
      </c>
      <c r="J19">
        <f t="shared" si="7"/>
        <v>0</v>
      </c>
      <c r="K19" s="32">
        <f t="shared" si="8"/>
        <v>0</v>
      </c>
      <c r="L19" s="29" t="e">
        <f ca="1">IF(B19="","",_xll.BDP(A19&amp;" Corp","INTERVAL_HIGH","START_DATE_OVERRIDE",TEXT($L$12,"AAAAMMDD"),"END_DATE_OVERRIDE",TEXT($L$13,"AAAAMMDD"),"MARKET_DATA_OVERRIDE",$L$14))</f>
        <v>#NAME?</v>
      </c>
      <c r="M19" s="30" t="e">
        <f ca="1">IF(B19="","",_xll.BDP($A19&amp;" Corp","INTERVAL_LOW","START_DATE_OVERRIDE",TEXT($L$12,"AAAAMMDD"),"END_DATE_OVERRIDE",TEXT($L$13,"AAAAMMDD"),"MARKET_DATA_OVERRIDE",$L$14))</f>
        <v>#NAME?</v>
      </c>
      <c r="N19" s="31" t="e">
        <f ca="1">IF($B19="","",_xll.BDP($A19&amp;" Corp",N$15))</f>
        <v>#NAME?</v>
      </c>
      <c r="O19" s="32" t="e">
        <f ca="1">IF($B19="","",_xll.BDP($A19&amp;" Corp",O$15))</f>
        <v>#NAME?</v>
      </c>
      <c r="P19" s="32" t="e">
        <f ca="1">IF($B19="","",_xll.BDP($A19&amp;" Corp",P$15))</f>
        <v>#NAME?</v>
      </c>
      <c r="Q19" s="30" t="e">
        <f ca="1">IF($B19="","",_xll.BDP($A19&amp;" Corp",Q$14))</f>
        <v>#NAME?</v>
      </c>
      <c r="R19" s="30" t="e">
        <f ca="1">IF($B19="","",_xll.BDP($A19&amp;" Corp",R$14))</f>
        <v>#NAME?</v>
      </c>
      <c r="S19" s="50" t="e">
        <f ca="1">IF($B19="","",_xll.BDP($A19&amp;" Corp",S$14))</f>
        <v>#NAME?</v>
      </c>
      <c r="T19" s="30" t="e">
        <f ca="1">IF($B19="","",_xll.BDP($A19&amp;" Corp",T$14))</f>
        <v>#NAME?</v>
      </c>
      <c r="U19" s="30" t="e">
        <f ca="1">IF($B19="","",_xll.BDP($A19&amp;" Corp",U$14))</f>
        <v>#NAME?</v>
      </c>
      <c r="V19" s="51" t="e">
        <f ca="1">IF($B19="","",IF($T19="VARIABLE",_xll.BDP($A19&amp;" Corp",V$13),_xll.BDP($A19&amp;" Corp",V$14)))</f>
        <v>#NAME?</v>
      </c>
      <c r="W19" s="30" t="e">
        <f ca="1">IF($B19="","",IF($T19="VARIABLE",_xll.BDP($A19&amp;" Corp",W$13),_xll.BDP($A19&amp;" Corp",W$14)))</f>
        <v>#NAME?</v>
      </c>
      <c r="X19" s="30" t="e">
        <f ca="1">IF($B19="","",_xll.BDP($A19&amp;" Corp",X$14))</f>
        <v>#NAME?</v>
      </c>
      <c r="Y19" s="33" t="e">
        <f ca="1">IF($B19="","",_xll.BDP($A19&amp;" Corp",Y$14))</f>
        <v>#NAME?</v>
      </c>
      <c r="Z19" s="52" t="e">
        <f ca="1">IF($B19="","",_xll.BDP($A19&amp;" Corp",Z$14))</f>
        <v>#NAME?</v>
      </c>
      <c r="AA19" s="53" t="e">
        <f ca="1">IF($B19="","",_xll.BDP($A19&amp;" Corp",AA$14))</f>
        <v>#NAME?</v>
      </c>
      <c r="AB19" s="54" t="e">
        <f ca="1">IF($B19="","",_xll.BDP($A19&amp;" Corp",AB$14))</f>
        <v>#NAME?</v>
      </c>
      <c r="AC19" s="54" t="e">
        <f ca="1">IF($B19="","",_xll.BDP($A19&amp;" Corp",AC$14))</f>
        <v>#NAME?</v>
      </c>
      <c r="AD19" s="55" t="e">
        <f ca="1">IF($B19="","",_xll.BDP($A19&amp;" Corp",AD$14))</f>
        <v>#NAME?</v>
      </c>
      <c r="AE19" s="56" t="e">
        <f ca="1">IF($B19="","",_xll.BDP($A19&amp;" Corp",AE$14))</f>
        <v>#NAME?</v>
      </c>
      <c r="AF19" s="29" t="e">
        <f ca="1">IF($B19="","",_xll.BDP($A19&amp;" Corp",AF$14))</f>
        <v>#NAME?</v>
      </c>
      <c r="AG19" s="33" t="e">
        <f ca="1">IF($B19="","",_xll.BDP($A19&amp;" Corp",AG$14))</f>
        <v>#NAME?</v>
      </c>
      <c r="AH19" s="30" t="e">
        <f ca="1">IF($B19="","",_xll.BDP($A19&amp;" Corp",AH$14))</f>
        <v>#NAME?</v>
      </c>
      <c r="AI19" s="30" t="e">
        <f ca="1">IF($B19="","",_xll.BDP($A19&amp;" Corp",AI$14))</f>
        <v>#NAME?</v>
      </c>
      <c r="AJ19" s="30" t="e">
        <f ca="1">IF($B19="","",_xll.BDP($A19&amp;" Corp",AJ$14))</f>
        <v>#NAME?</v>
      </c>
      <c r="AK19" s="11" t="e">
        <f ca="1">IF($B19="","",_xll.BDP($A19&amp;" Corp",AK$14))</f>
        <v>#NAME?</v>
      </c>
      <c r="AL19" s="11" t="e">
        <f ca="1">IF($B19="","",_xll.BDP($A19&amp;" Corp",AL$14))</f>
        <v>#NAME?</v>
      </c>
      <c r="AM19" s="11" t="e">
        <f t="shared" ca="1" si="9"/>
        <v>#NAME?</v>
      </c>
    </row>
    <row r="20" spans="1:40" hidden="1" x14ac:dyDescent="0.3">
      <c r="A20" t="str">
        <f t="shared" si="4"/>
        <v/>
      </c>
      <c r="B20" s="13" t="s">
        <v>321</v>
      </c>
      <c r="C20" s="73">
        <v>4611</v>
      </c>
      <c r="D20" s="73">
        <v>128</v>
      </c>
      <c r="E20" s="73">
        <v>522437.29</v>
      </c>
      <c r="F20" s="57">
        <v>0.45179999999999998</v>
      </c>
      <c r="G20" s="58">
        <v>590175</v>
      </c>
      <c r="H20">
        <f t="shared" si="5"/>
        <v>522437.29</v>
      </c>
      <c r="I20">
        <f t="shared" si="6"/>
        <v>0.45179999999999998</v>
      </c>
      <c r="J20">
        <f t="shared" si="7"/>
        <v>590175</v>
      </c>
      <c r="K20" s="32">
        <f t="shared" si="8"/>
        <v>112.96571115740993</v>
      </c>
      <c r="L20" s="29" t="e">
        <f ca="1">IF(B20="","",_xll.BDP(A20&amp;" Corp","INTERVAL_HIGH","START_DATE_OVERRIDE",TEXT($L$12,"AAAAMMDD"),"END_DATE_OVERRIDE",TEXT($L$13,"AAAAMMDD"),"MARKET_DATA_OVERRIDE",$L$14))</f>
        <v>#NAME?</v>
      </c>
      <c r="M20" s="30" t="e">
        <f ca="1">IF(B20="","",_xll.BDP($A20&amp;" Corp","INTERVAL_LOW","START_DATE_OVERRIDE",TEXT($L$12,"AAAAMMDD"),"END_DATE_OVERRIDE",TEXT($L$13,"AAAAMMDD"),"MARKET_DATA_OVERRIDE",$L$14))</f>
        <v>#NAME?</v>
      </c>
      <c r="N20" s="31" t="e">
        <f ca="1">IF($B20="","",_xll.BDP($A20&amp;" Corp",N$15))</f>
        <v>#NAME?</v>
      </c>
      <c r="O20" s="32" t="e">
        <f ca="1">IF($B20="","",_xll.BDP($A20&amp;" Corp",O$15))</f>
        <v>#NAME?</v>
      </c>
      <c r="P20" s="32" t="e">
        <f ca="1">IF($B20="","",_xll.BDP($A20&amp;" Corp",P$15))</f>
        <v>#NAME?</v>
      </c>
      <c r="Q20" s="30" t="e">
        <f ca="1">IF($B20="","",_xll.BDP($A20&amp;" Corp",Q$14))</f>
        <v>#NAME?</v>
      </c>
      <c r="R20" s="30" t="e">
        <f ca="1">IF($B20="","",_xll.BDP($A20&amp;" Corp",R$14))</f>
        <v>#NAME?</v>
      </c>
      <c r="S20" s="50" t="e">
        <f ca="1">IF($B20="","",_xll.BDP($A20&amp;" Corp",S$14))</f>
        <v>#NAME?</v>
      </c>
      <c r="T20" s="30" t="e">
        <f ca="1">IF($B20="","",_xll.BDP($A20&amp;" Corp",T$14))</f>
        <v>#NAME?</v>
      </c>
      <c r="U20" s="30" t="e">
        <f ca="1">IF($B20="","",_xll.BDP($A20&amp;" Corp",U$14))</f>
        <v>#NAME?</v>
      </c>
      <c r="V20" s="51" t="e">
        <f ca="1">IF($B20="","",IF($T20="VARIABLE",_xll.BDP($A20&amp;" Corp",V$13),_xll.BDP($A20&amp;" Corp",V$14)))</f>
        <v>#NAME?</v>
      </c>
      <c r="W20" s="30" t="e">
        <f ca="1">IF($B20="","",IF($T20="VARIABLE",_xll.BDP($A20&amp;" Corp",W$13),_xll.BDP($A20&amp;" Corp",W$14)))</f>
        <v>#NAME?</v>
      </c>
      <c r="X20" s="30" t="e">
        <f ca="1">IF($B20="","",_xll.BDP($A20&amp;" Corp",X$14))</f>
        <v>#NAME?</v>
      </c>
      <c r="Y20" s="33" t="e">
        <f ca="1">IF($B20="","",_xll.BDP($A20&amp;" Corp",Y$14))</f>
        <v>#NAME?</v>
      </c>
      <c r="Z20" s="52" t="e">
        <f ca="1">IF($B20="","",_xll.BDP($A20&amp;" Corp",Z$14))</f>
        <v>#NAME?</v>
      </c>
      <c r="AA20" s="53" t="e">
        <f ca="1">IF($B20="","",_xll.BDP($A20&amp;" Corp",AA$14))</f>
        <v>#NAME?</v>
      </c>
      <c r="AB20" s="54" t="e">
        <f ca="1">IF($B20="","",_xll.BDP($A20&amp;" Corp",AB$14))</f>
        <v>#NAME?</v>
      </c>
      <c r="AC20" s="54" t="e">
        <f ca="1">IF($B20="","",_xll.BDP($A20&amp;" Corp",AC$14))</f>
        <v>#NAME?</v>
      </c>
      <c r="AD20" s="55" t="e">
        <f ca="1">IF($B20="","",_xll.BDP($A20&amp;" Corp",AD$14))</f>
        <v>#NAME?</v>
      </c>
      <c r="AE20" s="56" t="e">
        <f ca="1">IF($B20="","",_xll.BDP($A20&amp;" Corp",AE$14))</f>
        <v>#NAME?</v>
      </c>
      <c r="AF20" s="29" t="e">
        <f ca="1">IF($B20="","",_xll.BDP($A20&amp;" Corp",AF$14))</f>
        <v>#NAME?</v>
      </c>
      <c r="AG20" s="33" t="e">
        <f ca="1">IF($B20="","",_xll.BDP($A20&amp;" Corp",AG$14))</f>
        <v>#NAME?</v>
      </c>
      <c r="AH20" s="30" t="e">
        <f ca="1">IF($B20="","",_xll.BDP($A20&amp;" Corp",AH$14))</f>
        <v>#NAME?</v>
      </c>
      <c r="AI20" s="30" t="e">
        <f ca="1">IF($B20="","",_xll.BDP($A20&amp;" Corp",AI$14))</f>
        <v>#NAME?</v>
      </c>
      <c r="AJ20" s="30" t="e">
        <f ca="1">IF($B20="","",_xll.BDP($A20&amp;" Corp",AJ$14))</f>
        <v>#NAME?</v>
      </c>
      <c r="AK20" s="11" t="e">
        <f ca="1">IF($B20="","",_xll.BDP($A20&amp;" Corp",AK$14))</f>
        <v>#NAME?</v>
      </c>
      <c r="AL20" s="11" t="e">
        <f ca="1">IF($B20="","",_xll.BDP($A20&amp;" Corp",AL$14))</f>
        <v>#NAME?</v>
      </c>
      <c r="AM20" s="11" t="e">
        <f t="shared" ca="1" si="9"/>
        <v>#NAME?</v>
      </c>
    </row>
    <row r="21" spans="1:40" x14ac:dyDescent="0.3">
      <c r="A21" s="67" t="str">
        <f t="shared" si="4"/>
        <v>DE000A254QA9</v>
      </c>
      <c r="B21" s="68" t="s">
        <v>574</v>
      </c>
      <c r="C21" s="75">
        <v>7286</v>
      </c>
      <c r="D21" s="75">
        <v>128</v>
      </c>
      <c r="E21" s="75">
        <v>900000</v>
      </c>
      <c r="F21" s="69">
        <v>0.64603666999999998</v>
      </c>
      <c r="G21" s="70">
        <v>900028.64</v>
      </c>
      <c r="H21" s="67">
        <f t="shared" si="5"/>
        <v>900000</v>
      </c>
      <c r="I21" s="67">
        <f t="shared" si="6"/>
        <v>0.64603666999999998</v>
      </c>
      <c r="J21" s="67">
        <f t="shared" si="7"/>
        <v>900028.64</v>
      </c>
      <c r="K21" s="71">
        <f t="shared" si="8"/>
        <v>100.00318222222222</v>
      </c>
      <c r="L21" s="29" t="e">
        <f ca="1">IF(B21="","",_xll.BDP(A21&amp;" Corp","INTERVAL_HIGH","START_DATE_OVERRIDE",TEXT($L$12,"AAAAMMDD"),"END_DATE_OVERRIDE",TEXT($L$13,"AAAAMMDD"),"MARKET_DATA_OVERRIDE",$L$14))</f>
        <v>#NAME?</v>
      </c>
      <c r="M21" s="30" t="e">
        <f ca="1">IF(B21="","",_xll.BDP($A21&amp;" Corp","INTERVAL_LOW","START_DATE_OVERRIDE",TEXT($L$12,"AAAAMMDD"),"END_DATE_OVERRIDE",TEXT($L$13,"AAAAMMDD"),"MARKET_DATA_OVERRIDE",$L$14))</f>
        <v>#NAME?</v>
      </c>
      <c r="N21" s="31" t="e">
        <f ca="1">IF($B21="","",_xll.BDP($A21&amp;" Corp",N$15))</f>
        <v>#NAME?</v>
      </c>
      <c r="O21" s="32" t="e">
        <f ca="1">IF($B21="","",_xll.BDP($A21&amp;" Corp",O$15))</f>
        <v>#NAME?</v>
      </c>
      <c r="P21" s="32" t="e">
        <f ca="1">IF($B21="","",_xll.BDP($A21&amp;" Corp",P$15))</f>
        <v>#NAME?</v>
      </c>
      <c r="Q21" s="30" t="e">
        <f ca="1">IF($B21="","",_xll.BDP($A21&amp;" Corp",Q$14))</f>
        <v>#NAME?</v>
      </c>
      <c r="R21" s="30" t="e">
        <f ca="1">IF($B21="","",_xll.BDP($A21&amp;" Corp",R$14))</f>
        <v>#NAME?</v>
      </c>
      <c r="S21" s="50" t="e">
        <f ca="1">IF($B21="","",_xll.BDP($A21&amp;" Corp",S$14))</f>
        <v>#NAME?</v>
      </c>
      <c r="T21" s="30" t="e">
        <f ca="1">IF($B21="","",_xll.BDP($A21&amp;" Corp",T$14))</f>
        <v>#NAME?</v>
      </c>
      <c r="U21" s="30" t="e">
        <f ca="1">IF($B21="","",_xll.BDP($A21&amp;" Corp",U$14))</f>
        <v>#NAME?</v>
      </c>
      <c r="V21" s="51" t="e">
        <f ca="1">IF($B21="","",IF($T21="VARIABLE",_xll.BDP($A21&amp;" Corp",V$13),_xll.BDP($A21&amp;" Corp",V$14)))</f>
        <v>#NAME?</v>
      </c>
      <c r="W21" s="30" t="e">
        <f ca="1">IF($B21="","",IF($T21="VARIABLE",_xll.BDP($A21&amp;" Corp",W$13),_xll.BDP($A21&amp;" Corp",W$14)))</f>
        <v>#NAME?</v>
      </c>
      <c r="X21" s="30" t="e">
        <f ca="1">IF($B21="","",_xll.BDP($A21&amp;" Corp",X$14))</f>
        <v>#NAME?</v>
      </c>
      <c r="Y21" s="33" t="e">
        <f ca="1">IF($B21="","",_xll.BDP($A21&amp;" Corp",Y$14))</f>
        <v>#NAME?</v>
      </c>
      <c r="Z21" s="52" t="e">
        <f ca="1">IF($B21="","",_xll.BDP($A21&amp;" Corp",Z$14))</f>
        <v>#NAME?</v>
      </c>
      <c r="AA21" s="53" t="e">
        <f ca="1">IF($B21="","",_xll.BDP($A21&amp;" Corp",AA$14))</f>
        <v>#NAME?</v>
      </c>
      <c r="AB21" s="54" t="e">
        <f ca="1">IF($B21="","",_xll.BDP($A21&amp;" Corp",AB$14))</f>
        <v>#NAME?</v>
      </c>
      <c r="AC21" s="54" t="e">
        <f ca="1">IF($B21="","",_xll.BDP($A21&amp;" Corp",AC$14))</f>
        <v>#NAME?</v>
      </c>
      <c r="AD21" s="55" t="e">
        <f ca="1">IF($B21="","",_xll.BDP($A21&amp;" Corp",AD$14))</f>
        <v>#NAME?</v>
      </c>
      <c r="AE21" s="56" t="e">
        <f ca="1">IF($B21="","",_xll.BDP($A21&amp;" Corp",AE$14))</f>
        <v>#NAME?</v>
      </c>
      <c r="AF21" s="29" t="e">
        <f ca="1">IF($B21="","",_xll.BDP($A21&amp;" Corp",AF$14))</f>
        <v>#NAME?</v>
      </c>
      <c r="AG21" s="33" t="e">
        <f ca="1">IF($B21="","",_xll.BDP($A21&amp;" Corp",AG$14))</f>
        <v>#NAME?</v>
      </c>
      <c r="AH21" s="30" t="e">
        <f ca="1">IF($B21="","",_xll.BDP($A21&amp;" Corp",AH$14))</f>
        <v>#NAME?</v>
      </c>
      <c r="AI21" s="30" t="e">
        <f ca="1">IF($B21="","",_xll.BDP($A21&amp;" Corp",AI$14))</f>
        <v>#NAME?</v>
      </c>
      <c r="AJ21" s="30" t="e">
        <f ca="1">IF($B21="","",_xll.BDP($A21&amp;" Corp",AJ$14))</f>
        <v>#NAME?</v>
      </c>
      <c r="AK21" s="11" t="e">
        <f ca="1">IF($B21="","",_xll.BDP($A21&amp;" Corp",AK$14))</f>
        <v>#NAME?</v>
      </c>
      <c r="AL21" s="11" t="e">
        <f ca="1">IF($B21="","",_xll.BDP($A21&amp;" Corp",AL$14))</f>
        <v>#NAME?</v>
      </c>
      <c r="AM21" s="11" t="e">
        <f t="shared" ca="1" si="9"/>
        <v>#NAME?</v>
      </c>
      <c r="AN21" s="57" t="e">
        <f t="shared" ref="AN21:AN22" ca="1" si="10">IF(ROUND(W21,0)=0,ROUND(W21,1), ROUND(W21,0))</f>
        <v>#NAME?</v>
      </c>
    </row>
    <row r="22" spans="1:40" x14ac:dyDescent="0.3">
      <c r="A22" s="67" t="str">
        <f t="shared" si="4"/>
        <v>DE000BU0E022</v>
      </c>
      <c r="B22" s="68" t="s">
        <v>592</v>
      </c>
      <c r="C22" s="75">
        <v>10473</v>
      </c>
      <c r="D22" s="75">
        <v>128</v>
      </c>
      <c r="E22" s="75">
        <v>3000000</v>
      </c>
      <c r="F22" s="69">
        <v>2.3919625999999998</v>
      </c>
      <c r="G22" s="70">
        <v>2922630</v>
      </c>
      <c r="H22" s="67">
        <f t="shared" si="5"/>
        <v>3000000</v>
      </c>
      <c r="I22" s="67">
        <f t="shared" si="6"/>
        <v>2.3919625999999998</v>
      </c>
      <c r="J22" s="67">
        <f t="shared" si="7"/>
        <v>2922630</v>
      </c>
      <c r="K22" s="71">
        <f t="shared" si="8"/>
        <v>97.421000000000006</v>
      </c>
      <c r="L22" s="29" t="e">
        <f ca="1">IF(B22="","",_xll.BDP(A22&amp;" Corp","INTERVAL_HIGH","START_DATE_OVERRIDE",TEXT($L$12,"AAAAMMDD"),"END_DATE_OVERRIDE",TEXT($L$13,"AAAAMMDD"),"MARKET_DATA_OVERRIDE",$L$14))</f>
        <v>#NAME?</v>
      </c>
      <c r="M22" s="30" t="e">
        <f ca="1">IF(B22="","",_xll.BDP($A22&amp;" Corp","INTERVAL_LOW","START_DATE_OVERRIDE",TEXT($L$12,"AAAAMMDD"),"END_DATE_OVERRIDE",TEXT($L$13,"AAAAMMDD"),"MARKET_DATA_OVERRIDE",$L$14))</f>
        <v>#NAME?</v>
      </c>
      <c r="N22" s="31" t="e">
        <f ca="1">IF($B22="","",_xll.BDP($A22&amp;" Corp",N$15))</f>
        <v>#NAME?</v>
      </c>
      <c r="O22" s="32" t="e">
        <f ca="1">IF($B22="","",_xll.BDP($A22&amp;" Corp",O$15))</f>
        <v>#NAME?</v>
      </c>
      <c r="P22" s="32" t="e">
        <f ca="1">IF($B22="","",_xll.BDP($A22&amp;" Corp",P$15))</f>
        <v>#NAME?</v>
      </c>
      <c r="Q22" s="30" t="e">
        <f ca="1">IF($B22="","",_xll.BDP($A22&amp;" Corp",Q$14))</f>
        <v>#NAME?</v>
      </c>
      <c r="R22" s="30" t="e">
        <f ca="1">IF($B22="","",_xll.BDP($A22&amp;" Corp",R$14))</f>
        <v>#NAME?</v>
      </c>
      <c r="S22" s="50" t="e">
        <f ca="1">IF($B22="","",_xll.BDP($A22&amp;" Corp",S$14))</f>
        <v>#NAME?</v>
      </c>
      <c r="T22" s="30" t="e">
        <f ca="1">IF($B22="","",_xll.BDP($A22&amp;" Corp",T$14))</f>
        <v>#NAME?</v>
      </c>
      <c r="U22" s="30" t="e">
        <f ca="1">IF($B22="","",_xll.BDP($A22&amp;" Corp",U$14))</f>
        <v>#NAME?</v>
      </c>
      <c r="V22" s="51" t="e">
        <f ca="1">IF($B22="","",IF($T22="VARIABLE",_xll.BDP($A22&amp;" Corp",V$13),_xll.BDP($A22&amp;" Corp",V$14)))</f>
        <v>#NAME?</v>
      </c>
      <c r="W22" s="30" t="e">
        <f ca="1">IF($B22="","",IF($T22="VARIABLE",_xll.BDP($A22&amp;" Corp",W$13),_xll.BDP($A22&amp;" Corp",W$14)))</f>
        <v>#NAME?</v>
      </c>
      <c r="X22" s="30" t="e">
        <f ca="1">IF($B22="","",_xll.BDP($A22&amp;" Corp",X$14))</f>
        <v>#NAME?</v>
      </c>
      <c r="Y22" s="33" t="e">
        <f ca="1">IF($B22="","",_xll.BDP($A22&amp;" Corp",Y$14))</f>
        <v>#NAME?</v>
      </c>
      <c r="Z22" s="52" t="e">
        <f ca="1">IF($B22="","",_xll.BDP($A22&amp;" Corp",Z$14))</f>
        <v>#NAME?</v>
      </c>
      <c r="AA22" s="53" t="e">
        <f ca="1">IF($B22="","",_xll.BDP($A22&amp;" Corp",AA$14))</f>
        <v>#NAME?</v>
      </c>
      <c r="AB22" s="54" t="e">
        <f ca="1">IF($B22="","",_xll.BDP($A22&amp;" Corp",AB$14))</f>
        <v>#NAME?</v>
      </c>
      <c r="AC22" s="54" t="e">
        <f ca="1">IF($B22="","",_xll.BDP($A22&amp;" Corp",AC$14))</f>
        <v>#NAME?</v>
      </c>
      <c r="AD22" s="55" t="e">
        <f ca="1">IF($B22="","",_xll.BDP($A22&amp;" Corp",AD$14))</f>
        <v>#NAME?</v>
      </c>
      <c r="AE22" s="56" t="e">
        <f ca="1">IF($B22="","",_xll.BDP($A22&amp;" Corp",AE$14))</f>
        <v>#NAME?</v>
      </c>
      <c r="AF22" s="29" t="e">
        <f ca="1">IF($B22="","",_xll.BDP($A22&amp;" Corp",AF$14))</f>
        <v>#NAME?</v>
      </c>
      <c r="AG22" s="33" t="e">
        <f ca="1">IF($B22="","",_xll.BDP($A22&amp;" Corp",AG$14))</f>
        <v>#NAME?</v>
      </c>
      <c r="AH22" s="30" t="e">
        <f ca="1">IF($B22="","",_xll.BDP($A22&amp;" Corp",AH$14))</f>
        <v>#NAME?</v>
      </c>
      <c r="AI22" s="30" t="e">
        <f ca="1">IF($B22="","",_xll.BDP($A22&amp;" Corp",AI$14))</f>
        <v>#NAME?</v>
      </c>
      <c r="AJ22" s="30" t="e">
        <f ca="1">IF($B22="","",_xll.BDP($A22&amp;" Corp",AJ$14))</f>
        <v>#NAME?</v>
      </c>
      <c r="AK22" s="11" t="e">
        <f ca="1">IF($B22="","",_xll.BDP($A22&amp;" Corp",AK$14))</f>
        <v>#NAME?</v>
      </c>
      <c r="AL22" s="11" t="e">
        <f ca="1">IF($B22="","",_xll.BDP($A22&amp;" Corp",AL$14))</f>
        <v>#NAME?</v>
      </c>
      <c r="AM22" s="11" t="e">
        <f t="shared" ca="1" si="9"/>
        <v>#NAME?</v>
      </c>
      <c r="AN22" s="57" t="e">
        <f t="shared" ca="1" si="10"/>
        <v>#NAME?</v>
      </c>
    </row>
    <row r="23" spans="1:40" hidden="1" x14ac:dyDescent="0.3">
      <c r="A23" t="str">
        <f t="shared" si="4"/>
        <v/>
      </c>
      <c r="B23" s="13" t="s">
        <v>336</v>
      </c>
      <c r="C23" s="73">
        <v>4482</v>
      </c>
      <c r="D23" s="73">
        <v>128</v>
      </c>
      <c r="E23" s="73">
        <v>149000</v>
      </c>
      <c r="F23" s="57">
        <v>0.11903721</v>
      </c>
      <c r="G23" s="58">
        <v>155092.60999999999</v>
      </c>
      <c r="H23">
        <f t="shared" si="5"/>
        <v>149000</v>
      </c>
      <c r="I23">
        <f t="shared" si="6"/>
        <v>0.11903721</v>
      </c>
      <c r="J23">
        <f t="shared" si="7"/>
        <v>155092.60999999999</v>
      </c>
      <c r="K23" s="32">
        <f t="shared" si="8"/>
        <v>104.08899999999998</v>
      </c>
      <c r="L23" s="29" t="e">
        <f ca="1">IF(B23="","",_xll.BDP(A23&amp;" Corp","INTERVAL_HIGH","START_DATE_OVERRIDE",TEXT($L$12,"AAAAMMDD"),"END_DATE_OVERRIDE",TEXT($L$13,"AAAAMMDD"),"MARKET_DATA_OVERRIDE",$L$14))</f>
        <v>#NAME?</v>
      </c>
      <c r="M23" s="30" t="e">
        <f ca="1">IF(B23="","",_xll.BDP($A23&amp;" Corp","INTERVAL_LOW","START_DATE_OVERRIDE",TEXT($L$12,"AAAAMMDD"),"END_DATE_OVERRIDE",TEXT($L$13,"AAAAMMDD"),"MARKET_DATA_OVERRIDE",$L$14))</f>
        <v>#NAME?</v>
      </c>
      <c r="N23" s="31" t="e">
        <f ca="1">IF($B23="","",_xll.BDP($A23&amp;" Corp",N$15))</f>
        <v>#NAME?</v>
      </c>
      <c r="O23" s="32" t="e">
        <f ca="1">IF($B23="","",_xll.BDP($A23&amp;" Corp",O$15))</f>
        <v>#NAME?</v>
      </c>
      <c r="P23" s="32" t="e">
        <f ca="1">IF($B23="","",_xll.BDP($A23&amp;" Corp",P$15))</f>
        <v>#NAME?</v>
      </c>
      <c r="Q23" s="30" t="e">
        <f ca="1">IF($B23="","",_xll.BDP($A23&amp;" Corp",Q$14))</f>
        <v>#NAME?</v>
      </c>
      <c r="R23" s="30" t="e">
        <f ca="1">IF($B23="","",_xll.BDP($A23&amp;" Corp",R$14))</f>
        <v>#NAME?</v>
      </c>
      <c r="S23" s="50" t="e">
        <f ca="1">IF($B23="","",_xll.BDP($A23&amp;" Corp",S$14))</f>
        <v>#NAME?</v>
      </c>
      <c r="T23" s="30" t="e">
        <f ca="1">IF($B23="","",_xll.BDP($A23&amp;" Corp",T$14))</f>
        <v>#NAME?</v>
      </c>
      <c r="U23" s="30" t="e">
        <f ca="1">IF($B23="","",_xll.BDP($A23&amp;" Corp",U$14))</f>
        <v>#NAME?</v>
      </c>
      <c r="V23" s="51" t="e">
        <f ca="1">IF($B23="","",IF($T23="VARIABLE",_xll.BDP($A23&amp;" Corp",V$13),_xll.BDP($A23&amp;" Corp",V$14)))</f>
        <v>#NAME?</v>
      </c>
      <c r="W23" s="30" t="e">
        <f ca="1">IF($B23="","",IF($T23="VARIABLE",_xll.BDP($A23&amp;" Corp",W$13),_xll.BDP($A23&amp;" Corp",W$14)))</f>
        <v>#NAME?</v>
      </c>
      <c r="X23" s="30" t="e">
        <f ca="1">IF($B23="","",_xll.BDP($A23&amp;" Corp",X$14))</f>
        <v>#NAME?</v>
      </c>
      <c r="Y23" s="33" t="e">
        <f ca="1">IF($B23="","",_xll.BDP($A23&amp;" Corp",Y$14))</f>
        <v>#NAME?</v>
      </c>
      <c r="Z23" s="52" t="e">
        <f ca="1">IF($B23="","",_xll.BDP($A23&amp;" Corp",Z$14))</f>
        <v>#NAME?</v>
      </c>
      <c r="AA23" s="53" t="e">
        <f ca="1">IF($B23="","",_xll.BDP($A23&amp;" Corp",AA$14))</f>
        <v>#NAME?</v>
      </c>
      <c r="AB23" s="54" t="e">
        <f ca="1">IF($B23="","",_xll.BDP($A23&amp;" Corp",AB$14))</f>
        <v>#NAME?</v>
      </c>
      <c r="AC23" s="54" t="e">
        <f ca="1">IF($B23="","",_xll.BDP($A23&amp;" Corp",AC$14))</f>
        <v>#NAME?</v>
      </c>
      <c r="AD23" s="55" t="e">
        <f ca="1">IF($B23="","",_xll.BDP($A23&amp;" Corp",AD$14))</f>
        <v>#NAME?</v>
      </c>
      <c r="AE23" s="56" t="e">
        <f ca="1">IF($B23="","",_xll.BDP($A23&amp;" Corp",AE$14))</f>
        <v>#NAME?</v>
      </c>
      <c r="AF23" s="29" t="e">
        <f ca="1">IF($B23="","",_xll.BDP($A23&amp;" Corp",AF$14))</f>
        <v>#NAME?</v>
      </c>
      <c r="AG23" s="33" t="e">
        <f ca="1">IF($B23="","",_xll.BDP($A23&amp;" Corp",AG$14))</f>
        <v>#NAME?</v>
      </c>
      <c r="AH23" s="30" t="e">
        <f ca="1">IF($B23="","",_xll.BDP($A23&amp;" Corp",AH$14))</f>
        <v>#NAME?</v>
      </c>
      <c r="AI23" s="30" t="e">
        <f ca="1">IF($B23="","",_xll.BDP($A23&amp;" Corp",AI$14))</f>
        <v>#NAME?</v>
      </c>
      <c r="AJ23" s="30" t="e">
        <f ca="1">IF($B23="","",_xll.BDP($A23&amp;" Corp",AJ$14))</f>
        <v>#NAME?</v>
      </c>
      <c r="AK23" s="11" t="e">
        <f ca="1">IF($B23="","",_xll.BDP($A23&amp;" Corp",AK$14))</f>
        <v>#NAME?</v>
      </c>
      <c r="AL23" s="11" t="e">
        <f ca="1">IF($B23="","",_xll.BDP($A23&amp;" Corp",AL$14))</f>
        <v>#NAME?</v>
      </c>
      <c r="AM23" s="11" t="e">
        <f t="shared" ca="1" si="9"/>
        <v>#NAME?</v>
      </c>
    </row>
    <row r="24" spans="1:40" x14ac:dyDescent="0.3">
      <c r="A24" s="67" t="str">
        <f t="shared" si="4"/>
        <v>ES00000128P8</v>
      </c>
      <c r="B24" s="68" t="s">
        <v>493</v>
      </c>
      <c r="C24" s="75">
        <v>9792</v>
      </c>
      <c r="D24" s="75">
        <v>128</v>
      </c>
      <c r="E24" s="75">
        <v>700000</v>
      </c>
      <c r="F24" s="69">
        <v>0.53263654000000005</v>
      </c>
      <c r="G24" s="70">
        <v>680127</v>
      </c>
      <c r="H24" s="67">
        <f t="shared" si="5"/>
        <v>700000</v>
      </c>
      <c r="I24" s="67">
        <f t="shared" si="6"/>
        <v>0.53263654000000005</v>
      </c>
      <c r="J24" s="67">
        <f t="shared" si="7"/>
        <v>680127</v>
      </c>
      <c r="K24" s="71">
        <f t="shared" si="8"/>
        <v>97.161000000000001</v>
      </c>
      <c r="L24" s="29" t="e">
        <f ca="1">IF(B24="","",_xll.BDP(A24&amp;" Corp","INTERVAL_HIGH","START_DATE_OVERRIDE",TEXT($L$12,"AAAAMMDD"),"END_DATE_OVERRIDE",TEXT($L$13,"AAAAMMDD"),"MARKET_DATA_OVERRIDE",$L$14))</f>
        <v>#NAME?</v>
      </c>
      <c r="M24" s="30" t="e">
        <f ca="1">IF(B24="","",_xll.BDP($A24&amp;" Corp","INTERVAL_LOW","START_DATE_OVERRIDE",TEXT($L$12,"AAAAMMDD"),"END_DATE_OVERRIDE",TEXT($L$13,"AAAAMMDD"),"MARKET_DATA_OVERRIDE",$L$14))</f>
        <v>#NAME?</v>
      </c>
      <c r="N24" s="31" t="e">
        <f ca="1">IF($B24="","",_xll.BDP($A24&amp;" Corp",N$15))</f>
        <v>#NAME?</v>
      </c>
      <c r="O24" s="32" t="e">
        <f ca="1">IF($B24="","",_xll.BDP($A24&amp;" Corp",O$15))</f>
        <v>#NAME?</v>
      </c>
      <c r="P24" s="32" t="e">
        <f ca="1">IF($B24="","",_xll.BDP($A24&amp;" Corp",P$15))</f>
        <v>#NAME?</v>
      </c>
      <c r="Q24" s="30" t="e">
        <f ca="1">IF($B24="","",_xll.BDP($A24&amp;" Corp",Q$14))</f>
        <v>#NAME?</v>
      </c>
      <c r="R24" s="30" t="e">
        <f ca="1">IF($B24="","",_xll.BDP($A24&amp;" Corp",R$14))</f>
        <v>#NAME?</v>
      </c>
      <c r="S24" s="50" t="e">
        <f ca="1">IF($B24="","",_xll.BDP($A24&amp;" Corp",S$14))</f>
        <v>#NAME?</v>
      </c>
      <c r="T24" s="30" t="e">
        <f ca="1">IF($B24="","",_xll.BDP($A24&amp;" Corp",T$14))</f>
        <v>#NAME?</v>
      </c>
      <c r="U24" s="30" t="e">
        <f ca="1">IF($B24="","",_xll.BDP($A24&amp;" Corp",U$14))</f>
        <v>#NAME?</v>
      </c>
      <c r="V24" s="51" t="e">
        <f ca="1">IF($B24="","",IF($T24="VARIABLE",_xll.BDP($A24&amp;" Corp",V$13),_xll.BDP($A24&amp;" Corp",V$14)))</f>
        <v>#NAME?</v>
      </c>
      <c r="W24" s="30" t="e">
        <f ca="1">IF($B24="","",IF($T24="VARIABLE",_xll.BDP($A24&amp;" Corp",W$13),_xll.BDP($A24&amp;" Corp",W$14)))</f>
        <v>#NAME?</v>
      </c>
      <c r="X24" s="30" t="e">
        <f ca="1">IF($B24="","",_xll.BDP($A24&amp;" Corp",X$14))</f>
        <v>#NAME?</v>
      </c>
      <c r="Y24" s="33" t="e">
        <f ca="1">IF($B24="","",_xll.BDP($A24&amp;" Corp",Y$14))</f>
        <v>#NAME?</v>
      </c>
      <c r="Z24" s="52" t="e">
        <f ca="1">IF($B24="","",_xll.BDP($A24&amp;" Corp",Z$14))</f>
        <v>#NAME?</v>
      </c>
      <c r="AA24" s="53" t="e">
        <f ca="1">IF($B24="","",_xll.BDP($A24&amp;" Corp",AA$14))</f>
        <v>#NAME?</v>
      </c>
      <c r="AB24" s="54" t="e">
        <f ca="1">IF($B24="","",_xll.BDP($A24&amp;" Corp",AB$14))</f>
        <v>#NAME?</v>
      </c>
      <c r="AC24" s="54" t="e">
        <f ca="1">IF($B24="","",_xll.BDP($A24&amp;" Corp",AC$14))</f>
        <v>#NAME?</v>
      </c>
      <c r="AD24" s="55" t="e">
        <f ca="1">IF($B24="","",_xll.BDP($A24&amp;" Corp",AD$14))</f>
        <v>#NAME?</v>
      </c>
      <c r="AE24" s="56" t="e">
        <f ca="1">IF($B24="","",_xll.BDP($A24&amp;" Corp",AE$14))</f>
        <v>#NAME?</v>
      </c>
      <c r="AF24" s="29" t="e">
        <f ca="1">IF($B24="","",_xll.BDP($A24&amp;" Corp",AF$14))</f>
        <v>#NAME?</v>
      </c>
      <c r="AG24" s="33" t="e">
        <f ca="1">IF($B24="","",_xll.BDP($A24&amp;" Corp",AG$14))</f>
        <v>#NAME?</v>
      </c>
      <c r="AH24" s="30" t="e">
        <f ca="1">IF($B24="","",_xll.BDP($A24&amp;" Corp",AH$14))</f>
        <v>#NAME?</v>
      </c>
      <c r="AI24" s="30" t="e">
        <f ca="1">IF($B24="","",_xll.BDP($A24&amp;" Corp",AI$14))</f>
        <v>#NAME?</v>
      </c>
      <c r="AJ24" s="30" t="e">
        <f ca="1">IF($B24="","",_xll.BDP($A24&amp;" Corp",AJ$14))</f>
        <v>#NAME?</v>
      </c>
      <c r="AK24" s="11" t="e">
        <f ca="1">IF($B24="","",_xll.BDP($A24&amp;" Corp",AK$14))</f>
        <v>#NAME?</v>
      </c>
      <c r="AL24" s="11" t="e">
        <f ca="1">IF($B24="","",_xll.BDP($A24&amp;" Corp",AL$14))</f>
        <v>#NAME?</v>
      </c>
      <c r="AM24" s="11" t="e">
        <f t="shared" ca="1" si="9"/>
        <v>#NAME?</v>
      </c>
      <c r="AN24" s="57" t="e">
        <f t="shared" ref="AN24:AN41" ca="1" si="11">IF(ROUND(W24,0)=0,ROUND(W24,1), ROUND(W24,0))</f>
        <v>#NAME?</v>
      </c>
    </row>
    <row r="25" spans="1:40" x14ac:dyDescent="0.3">
      <c r="A25" s="67" t="str">
        <f t="shared" si="4"/>
        <v>ES0000012G34</v>
      </c>
      <c r="B25" s="68" t="s">
        <v>498</v>
      </c>
      <c r="C25" s="75">
        <v>7495</v>
      </c>
      <c r="D25" s="75">
        <v>128</v>
      </c>
      <c r="E25" s="75">
        <v>900000</v>
      </c>
      <c r="F25" s="69">
        <v>0.62693725</v>
      </c>
      <c r="G25" s="70">
        <v>975264</v>
      </c>
      <c r="H25" s="67">
        <f t="shared" si="5"/>
        <v>900000</v>
      </c>
      <c r="I25" s="67">
        <f t="shared" si="6"/>
        <v>0.62693725</v>
      </c>
      <c r="J25" s="67">
        <f t="shared" si="7"/>
        <v>975264</v>
      </c>
      <c r="K25" s="71">
        <f t="shared" si="8"/>
        <v>108.36266666666667</v>
      </c>
      <c r="L25" s="29" t="e">
        <f ca="1">IF(B25="","",_xll.BDP(A25&amp;" Corp","INTERVAL_HIGH","START_DATE_OVERRIDE",TEXT($L$12,"AAAAMMDD"),"END_DATE_OVERRIDE",TEXT($L$13,"AAAAMMDD"),"MARKET_DATA_OVERRIDE",$L$14))</f>
        <v>#NAME?</v>
      </c>
      <c r="M25" s="30" t="e">
        <f ca="1">IF(B25="","",_xll.BDP($A25&amp;" Corp","INTERVAL_LOW","START_DATE_OVERRIDE",TEXT($L$12,"AAAAMMDD"),"END_DATE_OVERRIDE",TEXT($L$13,"AAAAMMDD"),"MARKET_DATA_OVERRIDE",$L$14))</f>
        <v>#NAME?</v>
      </c>
      <c r="N25" s="31" t="e">
        <f ca="1">IF($B25="","",_xll.BDP($A25&amp;" Corp",N$15))</f>
        <v>#NAME?</v>
      </c>
      <c r="O25" s="32" t="e">
        <f ca="1">IF($B25="","",_xll.BDP($A25&amp;" Corp",O$15))</f>
        <v>#NAME?</v>
      </c>
      <c r="P25" s="32" t="e">
        <f ca="1">IF($B25="","",_xll.BDP($A25&amp;" Corp",P$15))</f>
        <v>#NAME?</v>
      </c>
      <c r="Q25" s="30" t="e">
        <f ca="1">IF($B25="","",_xll.BDP($A25&amp;" Corp",Q$14))</f>
        <v>#NAME?</v>
      </c>
      <c r="R25" s="30" t="e">
        <f ca="1">IF($B25="","",_xll.BDP($A25&amp;" Corp",R$14))</f>
        <v>#NAME?</v>
      </c>
      <c r="S25" s="50" t="e">
        <f ca="1">IF($B25="","",_xll.BDP($A25&amp;" Corp",S$14))</f>
        <v>#NAME?</v>
      </c>
      <c r="T25" s="30" t="e">
        <f ca="1">IF($B25="","",_xll.BDP($A25&amp;" Corp",T$14))</f>
        <v>#NAME?</v>
      </c>
      <c r="U25" s="30" t="e">
        <f ca="1">IF($B25="","",_xll.BDP($A25&amp;" Corp",U$14))</f>
        <v>#NAME?</v>
      </c>
      <c r="V25" s="51" t="e">
        <f ca="1">IF($B25="","",IF($T25="VARIABLE",_xll.BDP($A25&amp;" Corp",V$13),_xll.BDP($A25&amp;" Corp",V$14)))</f>
        <v>#NAME?</v>
      </c>
      <c r="W25" s="30" t="e">
        <f ca="1">IF($B25="","",IF($T25="VARIABLE",_xll.BDP($A25&amp;" Corp",W$13),_xll.BDP($A25&amp;" Corp",W$14)))</f>
        <v>#NAME?</v>
      </c>
      <c r="X25" s="30" t="e">
        <f ca="1">IF($B25="","",_xll.BDP($A25&amp;" Corp",X$14))</f>
        <v>#NAME?</v>
      </c>
      <c r="Y25" s="33" t="e">
        <f ca="1">IF($B25="","",_xll.BDP($A25&amp;" Corp",Y$14))</f>
        <v>#NAME?</v>
      </c>
      <c r="Z25" s="52" t="e">
        <f ca="1">IF($B25="","",_xll.BDP($A25&amp;" Corp",Z$14))</f>
        <v>#NAME?</v>
      </c>
      <c r="AA25" s="53" t="e">
        <f ca="1">IF($B25="","",_xll.BDP($A25&amp;" Corp",AA$14))</f>
        <v>#NAME?</v>
      </c>
      <c r="AB25" s="54" t="e">
        <f ca="1">IF($B25="","",_xll.BDP($A25&amp;" Corp",AB$14))</f>
        <v>#NAME?</v>
      </c>
      <c r="AC25" s="54" t="e">
        <f ca="1">IF($B25="","",_xll.BDP($A25&amp;" Corp",AC$14))</f>
        <v>#NAME?</v>
      </c>
      <c r="AD25" s="55" t="e">
        <f ca="1">IF($B25="","",_xll.BDP($A25&amp;" Corp",AD$14))</f>
        <v>#NAME?</v>
      </c>
      <c r="AE25" s="56" t="e">
        <f ca="1">IF($B25="","",_xll.BDP($A25&amp;" Corp",AE$14))</f>
        <v>#NAME?</v>
      </c>
      <c r="AF25" s="29" t="e">
        <f ca="1">IF($B25="","",_xll.BDP($A25&amp;" Corp",AF$14))</f>
        <v>#NAME?</v>
      </c>
      <c r="AG25" s="33" t="e">
        <f ca="1">IF($B25="","",_xll.BDP($A25&amp;" Corp",AG$14))</f>
        <v>#NAME?</v>
      </c>
      <c r="AH25" s="30" t="e">
        <f ca="1">IF($B25="","",_xll.BDP($A25&amp;" Corp",AH$14))</f>
        <v>#NAME?</v>
      </c>
      <c r="AI25" s="30" t="e">
        <f ca="1">IF($B25="","",_xll.BDP($A25&amp;" Corp",AI$14))</f>
        <v>#NAME?</v>
      </c>
      <c r="AJ25" s="30" t="e">
        <f ca="1">IF($B25="","",_xll.BDP($A25&amp;" Corp",AJ$14))</f>
        <v>#NAME?</v>
      </c>
      <c r="AK25" s="11" t="e">
        <f ca="1">IF($B25="","",_xll.BDP($A25&amp;" Corp",AK$14))</f>
        <v>#NAME?</v>
      </c>
      <c r="AL25" s="11" t="e">
        <f ca="1">IF($B25="","",_xll.BDP($A25&amp;" Corp",AL$14))</f>
        <v>#NAME?</v>
      </c>
      <c r="AM25" s="11" t="e">
        <f t="shared" ca="1" si="9"/>
        <v>#NAME?</v>
      </c>
      <c r="AN25" s="57" t="e">
        <f t="shared" ca="1" si="11"/>
        <v>#NAME?</v>
      </c>
    </row>
    <row r="26" spans="1:40" x14ac:dyDescent="0.3">
      <c r="A26" s="67" t="str">
        <f t="shared" si="4"/>
        <v>ES0000012H41</v>
      </c>
      <c r="B26" s="68" t="s">
        <v>500</v>
      </c>
      <c r="C26" s="75">
        <v>8786</v>
      </c>
      <c r="D26" s="75">
        <v>128</v>
      </c>
      <c r="E26" s="75">
        <v>1100000</v>
      </c>
      <c r="F26" s="69">
        <v>0.67952493000000003</v>
      </c>
      <c r="G26" s="70">
        <v>1084441.42</v>
      </c>
      <c r="H26" s="67">
        <f t="shared" si="5"/>
        <v>1100000</v>
      </c>
      <c r="I26" s="67">
        <f t="shared" si="6"/>
        <v>0.67952493000000003</v>
      </c>
      <c r="J26" s="67">
        <f t="shared" si="7"/>
        <v>1084441.42</v>
      </c>
      <c r="K26" s="71">
        <f t="shared" si="8"/>
        <v>98.585583636363637</v>
      </c>
      <c r="L26" s="29" t="e">
        <f ca="1">IF(B26="","",_xll.BDP(A26&amp;" Corp","INTERVAL_HIGH","START_DATE_OVERRIDE",TEXT($L$12,"AAAAMMDD"),"END_DATE_OVERRIDE",TEXT($L$13,"AAAAMMDD"),"MARKET_DATA_OVERRIDE",$L$14))</f>
        <v>#NAME?</v>
      </c>
      <c r="M26" s="30" t="e">
        <f ca="1">IF(B26="","",_xll.BDP($A26&amp;" Corp","INTERVAL_LOW","START_DATE_OVERRIDE",TEXT($L$12,"AAAAMMDD"),"END_DATE_OVERRIDE",TEXT($L$13,"AAAAMMDD"),"MARKET_DATA_OVERRIDE",$L$14))</f>
        <v>#NAME?</v>
      </c>
      <c r="N26" s="31" t="e">
        <f ca="1">IF($B26="","",_xll.BDP($A26&amp;" Corp",N$15))</f>
        <v>#NAME?</v>
      </c>
      <c r="O26" s="32" t="e">
        <f ca="1">IF($B26="","",_xll.BDP($A26&amp;" Corp",O$15))</f>
        <v>#NAME?</v>
      </c>
      <c r="P26" s="32" t="e">
        <f ca="1">IF($B26="","",_xll.BDP($A26&amp;" Corp",P$15))</f>
        <v>#NAME?</v>
      </c>
      <c r="Q26" s="30" t="e">
        <f ca="1">IF($B26="","",_xll.BDP($A26&amp;" Corp",Q$14))</f>
        <v>#NAME?</v>
      </c>
      <c r="R26" s="30" t="e">
        <f ca="1">IF($B26="","",_xll.BDP($A26&amp;" Corp",R$14))</f>
        <v>#NAME?</v>
      </c>
      <c r="S26" s="50" t="e">
        <f ca="1">IF($B26="","",_xll.BDP($A26&amp;" Corp",S$14))</f>
        <v>#NAME?</v>
      </c>
      <c r="T26" s="30" t="e">
        <f ca="1">IF($B26="","",_xll.BDP($A26&amp;" Corp",T$14))</f>
        <v>#NAME?</v>
      </c>
      <c r="U26" s="30" t="e">
        <f ca="1">IF($B26="","",_xll.BDP($A26&amp;" Corp",U$14))</f>
        <v>#NAME?</v>
      </c>
      <c r="V26" s="51" t="e">
        <f ca="1">IF($B26="","",IF($T26="VARIABLE",_xll.BDP($A26&amp;" Corp",V$13),_xll.BDP($A26&amp;" Corp",V$14)))</f>
        <v>#NAME?</v>
      </c>
      <c r="W26" s="30" t="e">
        <f ca="1">IF($B26="","",IF($T26="VARIABLE",_xll.BDP($A26&amp;" Corp",W$13),_xll.BDP($A26&amp;" Corp",W$14)))</f>
        <v>#NAME?</v>
      </c>
      <c r="X26" s="30" t="e">
        <f ca="1">IF($B26="","",_xll.BDP($A26&amp;" Corp",X$14))</f>
        <v>#NAME?</v>
      </c>
      <c r="Y26" s="33" t="e">
        <f ca="1">IF($B26="","",_xll.BDP($A26&amp;" Corp",Y$14))</f>
        <v>#NAME?</v>
      </c>
      <c r="Z26" s="52" t="e">
        <f ca="1">IF($B26="","",_xll.BDP($A26&amp;" Corp",Z$14))</f>
        <v>#NAME?</v>
      </c>
      <c r="AA26" s="53" t="e">
        <f ca="1">IF($B26="","",_xll.BDP($A26&amp;" Corp",AA$14))</f>
        <v>#NAME?</v>
      </c>
      <c r="AB26" s="54" t="e">
        <f ca="1">IF($B26="","",_xll.BDP($A26&amp;" Corp",AB$14))</f>
        <v>#NAME?</v>
      </c>
      <c r="AC26" s="54" t="e">
        <f ca="1">IF($B26="","",_xll.BDP($A26&amp;" Corp",AC$14))</f>
        <v>#NAME?</v>
      </c>
      <c r="AD26" s="55" t="e">
        <f ca="1">IF($B26="","",_xll.BDP($A26&amp;" Corp",AD$14))</f>
        <v>#NAME?</v>
      </c>
      <c r="AE26" s="56" t="e">
        <f ca="1">IF($B26="","",_xll.BDP($A26&amp;" Corp",AE$14))</f>
        <v>#NAME?</v>
      </c>
      <c r="AF26" s="29" t="e">
        <f ca="1">IF($B26="","",_xll.BDP($A26&amp;" Corp",AF$14))</f>
        <v>#NAME?</v>
      </c>
      <c r="AG26" s="33" t="e">
        <f ca="1">IF($B26="","",_xll.BDP($A26&amp;" Corp",AG$14))</f>
        <v>#NAME?</v>
      </c>
      <c r="AH26" s="30" t="e">
        <f ca="1">IF($B26="","",_xll.BDP($A26&amp;" Corp",AH$14))</f>
        <v>#NAME?</v>
      </c>
      <c r="AI26" s="30" t="e">
        <f ca="1">IF($B26="","",_xll.BDP($A26&amp;" Corp",AI$14))</f>
        <v>#NAME?</v>
      </c>
      <c r="AJ26" s="30" t="e">
        <f ca="1">IF($B26="","",_xll.BDP($A26&amp;" Corp",AJ$14))</f>
        <v>#NAME?</v>
      </c>
      <c r="AK26" s="11" t="e">
        <f ca="1">IF($B26="","",_xll.BDP($A26&amp;" Corp",AK$14))</f>
        <v>#NAME?</v>
      </c>
      <c r="AL26" s="11" t="e">
        <f ca="1">IF($B26="","",_xll.BDP($A26&amp;" Corp",AL$14))</f>
        <v>#NAME?</v>
      </c>
      <c r="AM26" s="11" t="e">
        <f t="shared" ca="1" si="9"/>
        <v>#NAME?</v>
      </c>
      <c r="AN26" s="57" t="e">
        <f t="shared" ca="1" si="11"/>
        <v>#NAME?</v>
      </c>
    </row>
    <row r="27" spans="1:40" x14ac:dyDescent="0.3">
      <c r="A27" s="67" t="str">
        <f t="shared" si="4"/>
        <v>ES0000012I32</v>
      </c>
      <c r="B27" s="68" t="s">
        <v>502</v>
      </c>
      <c r="C27" s="75">
        <v>9676</v>
      </c>
      <c r="D27" s="75">
        <v>128</v>
      </c>
      <c r="E27" s="75">
        <v>400000</v>
      </c>
      <c r="F27" s="69">
        <v>0.25222223999999999</v>
      </c>
      <c r="G27" s="70">
        <v>406268</v>
      </c>
      <c r="H27" s="67">
        <f t="shared" si="5"/>
        <v>400000</v>
      </c>
      <c r="I27" s="67">
        <f t="shared" si="6"/>
        <v>0.25222223999999999</v>
      </c>
      <c r="J27" s="67">
        <f t="shared" si="7"/>
        <v>406268</v>
      </c>
      <c r="K27" s="71">
        <f t="shared" si="8"/>
        <v>101.56699999999999</v>
      </c>
      <c r="L27" s="29" t="e">
        <f ca="1">IF(B27="","",_xll.BDP(A27&amp;" Corp","INTERVAL_HIGH","START_DATE_OVERRIDE",TEXT($L$12,"AAAAMMDD"),"END_DATE_OVERRIDE",TEXT($L$13,"AAAAMMDD"),"MARKET_DATA_OVERRIDE",$L$14))</f>
        <v>#NAME?</v>
      </c>
      <c r="M27" s="30" t="e">
        <f ca="1">IF(B27="","",_xll.BDP($A27&amp;" Corp","INTERVAL_LOW","START_DATE_OVERRIDE",TEXT($L$12,"AAAAMMDD"),"END_DATE_OVERRIDE",TEXT($L$13,"AAAAMMDD"),"MARKET_DATA_OVERRIDE",$L$14))</f>
        <v>#NAME?</v>
      </c>
      <c r="N27" s="31" t="e">
        <f ca="1">IF($B27="","",_xll.BDP($A27&amp;" Corp",N$15))</f>
        <v>#NAME?</v>
      </c>
      <c r="O27" s="32" t="e">
        <f ca="1">IF($B27="","",_xll.BDP($A27&amp;" Corp",O$15))</f>
        <v>#NAME?</v>
      </c>
      <c r="P27" s="32" t="e">
        <f ca="1">IF($B27="","",_xll.BDP($A27&amp;" Corp",P$15))</f>
        <v>#NAME?</v>
      </c>
      <c r="Q27" s="30" t="e">
        <f ca="1">IF($B27="","",_xll.BDP($A27&amp;" Corp",Q$14))</f>
        <v>#NAME?</v>
      </c>
      <c r="R27" s="30" t="e">
        <f ca="1">IF($B27="","",_xll.BDP($A27&amp;" Corp",R$14))</f>
        <v>#NAME?</v>
      </c>
      <c r="S27" s="50" t="e">
        <f ca="1">IF($B27="","",_xll.BDP($A27&amp;" Corp",S$14))</f>
        <v>#NAME?</v>
      </c>
      <c r="T27" s="30" t="e">
        <f ca="1">IF($B27="","",_xll.BDP($A27&amp;" Corp",T$14))</f>
        <v>#NAME?</v>
      </c>
      <c r="U27" s="30" t="e">
        <f ca="1">IF($B27="","",_xll.BDP($A27&amp;" Corp",U$14))</f>
        <v>#NAME?</v>
      </c>
      <c r="V27" s="51" t="e">
        <f ca="1">IF($B27="","",IF($T27="VARIABLE",_xll.BDP($A27&amp;" Corp",V$13),_xll.BDP($A27&amp;" Corp",V$14)))</f>
        <v>#NAME?</v>
      </c>
      <c r="W27" s="30" t="e">
        <f ca="1">IF($B27="","",IF($T27="VARIABLE",_xll.BDP($A27&amp;" Corp",W$13),_xll.BDP($A27&amp;" Corp",W$14)))</f>
        <v>#NAME?</v>
      </c>
      <c r="X27" s="30" t="e">
        <f ca="1">IF($B27="","",_xll.BDP($A27&amp;" Corp",X$14))</f>
        <v>#NAME?</v>
      </c>
      <c r="Y27" s="33" t="e">
        <f ca="1">IF($B27="","",_xll.BDP($A27&amp;" Corp",Y$14))</f>
        <v>#NAME?</v>
      </c>
      <c r="Z27" s="52" t="e">
        <f ca="1">IF($B27="","",_xll.BDP($A27&amp;" Corp",Z$14))</f>
        <v>#NAME?</v>
      </c>
      <c r="AA27" s="53" t="e">
        <f ca="1">IF($B27="","",_xll.BDP($A27&amp;" Corp",AA$14))</f>
        <v>#NAME?</v>
      </c>
      <c r="AB27" s="54" t="e">
        <f ca="1">IF($B27="","",_xll.BDP($A27&amp;" Corp",AB$14))</f>
        <v>#NAME?</v>
      </c>
      <c r="AC27" s="54" t="e">
        <f ca="1">IF($B27="","",_xll.BDP($A27&amp;" Corp",AC$14))</f>
        <v>#NAME?</v>
      </c>
      <c r="AD27" s="55" t="e">
        <f ca="1">IF($B27="","",_xll.BDP($A27&amp;" Corp",AD$14))</f>
        <v>#NAME?</v>
      </c>
      <c r="AE27" s="56" t="e">
        <f ca="1">IF($B27="","",_xll.BDP($A27&amp;" Corp",AE$14))</f>
        <v>#NAME?</v>
      </c>
      <c r="AF27" s="29" t="e">
        <f ca="1">IF($B27="","",_xll.BDP($A27&amp;" Corp",AF$14))</f>
        <v>#NAME?</v>
      </c>
      <c r="AG27" s="33" t="e">
        <f ca="1">IF($B27="","",_xll.BDP($A27&amp;" Corp",AG$14))</f>
        <v>#NAME?</v>
      </c>
      <c r="AH27" s="30" t="e">
        <f ca="1">IF($B27="","",_xll.BDP($A27&amp;" Corp",AH$14))</f>
        <v>#NAME?</v>
      </c>
      <c r="AI27" s="30" t="e">
        <f ca="1">IF($B27="","",_xll.BDP($A27&amp;" Corp",AI$14))</f>
        <v>#NAME?</v>
      </c>
      <c r="AJ27" s="30" t="e">
        <f ca="1">IF($B27="","",_xll.BDP($A27&amp;" Corp",AJ$14))</f>
        <v>#NAME?</v>
      </c>
      <c r="AK27" s="11" t="e">
        <f ca="1">IF($B27="","",_xll.BDP($A27&amp;" Corp",AK$14))</f>
        <v>#NAME?</v>
      </c>
      <c r="AL27" s="11" t="e">
        <f ca="1">IF($B27="","",_xll.BDP($A27&amp;" Corp",AL$14))</f>
        <v>#NAME?</v>
      </c>
      <c r="AM27" s="11" t="e">
        <f t="shared" ca="1" si="9"/>
        <v>#NAME?</v>
      </c>
      <c r="AN27" s="57" t="e">
        <f t="shared" ca="1" si="11"/>
        <v>#NAME?</v>
      </c>
    </row>
    <row r="28" spans="1:40" x14ac:dyDescent="0.3">
      <c r="A28" s="67" t="str">
        <f t="shared" si="4"/>
        <v>ES0000012K20</v>
      </c>
      <c r="B28" s="68" t="s">
        <v>504</v>
      </c>
      <c r="C28" s="75">
        <v>9709</v>
      </c>
      <c r="D28" s="75">
        <v>128</v>
      </c>
      <c r="E28" s="75">
        <v>800000</v>
      </c>
      <c r="F28" s="69">
        <v>0.50345572999999999</v>
      </c>
      <c r="G28" s="70">
        <v>688561</v>
      </c>
      <c r="H28" s="67">
        <f t="shared" si="5"/>
        <v>800000</v>
      </c>
      <c r="I28" s="67">
        <f t="shared" si="6"/>
        <v>0.50345572999999999</v>
      </c>
      <c r="J28" s="67">
        <f t="shared" si="7"/>
        <v>688561</v>
      </c>
      <c r="K28" s="71">
        <f t="shared" si="8"/>
        <v>86.070125000000004</v>
      </c>
      <c r="L28" s="29" t="e">
        <f ca="1">IF(B28="","",_xll.BDP(A28&amp;" Corp","INTERVAL_HIGH","START_DATE_OVERRIDE",TEXT($L$12,"AAAAMMDD"),"END_DATE_OVERRIDE",TEXT($L$13,"AAAAMMDD"),"MARKET_DATA_OVERRIDE",$L$14))</f>
        <v>#NAME?</v>
      </c>
      <c r="M28" s="30" t="e">
        <f ca="1">IF(B28="","",_xll.BDP($A28&amp;" Corp","INTERVAL_LOW","START_DATE_OVERRIDE",TEXT($L$12,"AAAAMMDD"),"END_DATE_OVERRIDE",TEXT($L$13,"AAAAMMDD"),"MARKET_DATA_OVERRIDE",$L$14))</f>
        <v>#NAME?</v>
      </c>
      <c r="N28" s="31" t="e">
        <f ca="1">IF($B28="","",_xll.BDP($A28&amp;" Corp",N$15))</f>
        <v>#NAME?</v>
      </c>
      <c r="O28" s="32" t="e">
        <f ca="1">IF($B28="","",_xll.BDP($A28&amp;" Corp",O$15))</f>
        <v>#NAME?</v>
      </c>
      <c r="P28" s="32" t="e">
        <f ca="1">IF($B28="","",_xll.BDP($A28&amp;" Corp",P$15))</f>
        <v>#NAME?</v>
      </c>
      <c r="Q28" s="30" t="e">
        <f ca="1">IF($B28="","",_xll.BDP($A28&amp;" Corp",Q$14))</f>
        <v>#NAME?</v>
      </c>
      <c r="R28" s="30" t="e">
        <f ca="1">IF($B28="","",_xll.BDP($A28&amp;" Corp",R$14))</f>
        <v>#NAME?</v>
      </c>
      <c r="S28" s="50" t="e">
        <f ca="1">IF($B28="","",_xll.BDP($A28&amp;" Corp",S$14))</f>
        <v>#NAME?</v>
      </c>
      <c r="T28" s="30" t="e">
        <f ca="1">IF($B28="","",_xll.BDP($A28&amp;" Corp",T$14))</f>
        <v>#NAME?</v>
      </c>
      <c r="U28" s="30" t="e">
        <f ca="1">IF($B28="","",_xll.BDP($A28&amp;" Corp",U$14))</f>
        <v>#NAME?</v>
      </c>
      <c r="V28" s="51" t="e">
        <f ca="1">IF($B28="","",IF($T28="VARIABLE",_xll.BDP($A28&amp;" Corp",V$13),_xll.BDP($A28&amp;" Corp",V$14)))</f>
        <v>#NAME?</v>
      </c>
      <c r="W28" s="30" t="e">
        <f ca="1">IF($B28="","",IF($T28="VARIABLE",_xll.BDP($A28&amp;" Corp",W$13),_xll.BDP($A28&amp;" Corp",W$14)))</f>
        <v>#NAME?</v>
      </c>
      <c r="X28" s="30" t="e">
        <f ca="1">IF($B28="","",_xll.BDP($A28&amp;" Corp",X$14))</f>
        <v>#NAME?</v>
      </c>
      <c r="Y28" s="33" t="e">
        <f ca="1">IF($B28="","",_xll.BDP($A28&amp;" Corp",Y$14))</f>
        <v>#NAME?</v>
      </c>
      <c r="Z28" s="52" t="e">
        <f ca="1">IF($B28="","",_xll.BDP($A28&amp;" Corp",Z$14))</f>
        <v>#NAME?</v>
      </c>
      <c r="AA28" s="53" t="e">
        <f ca="1">IF($B28="","",_xll.BDP($A28&amp;" Corp",AA$14))</f>
        <v>#NAME?</v>
      </c>
      <c r="AB28" s="54" t="e">
        <f ca="1">IF($B28="","",_xll.BDP($A28&amp;" Corp",AB$14))</f>
        <v>#NAME?</v>
      </c>
      <c r="AC28" s="54" t="e">
        <f ca="1">IF($B28="","",_xll.BDP($A28&amp;" Corp",AC$14))</f>
        <v>#NAME?</v>
      </c>
      <c r="AD28" s="55" t="e">
        <f ca="1">IF($B28="","",_xll.BDP($A28&amp;" Corp",AD$14))</f>
        <v>#NAME?</v>
      </c>
      <c r="AE28" s="56" t="e">
        <f ca="1">IF($B28="","",_xll.BDP($A28&amp;" Corp",AE$14))</f>
        <v>#NAME?</v>
      </c>
      <c r="AF28" s="29" t="e">
        <f ca="1">IF($B28="","",_xll.BDP($A28&amp;" Corp",AF$14))</f>
        <v>#NAME?</v>
      </c>
      <c r="AG28" s="33" t="e">
        <f ca="1">IF($B28="","",_xll.BDP($A28&amp;" Corp",AG$14))</f>
        <v>#NAME?</v>
      </c>
      <c r="AH28" s="30" t="e">
        <f ca="1">IF($B28="","",_xll.BDP($A28&amp;" Corp",AH$14))</f>
        <v>#NAME?</v>
      </c>
      <c r="AI28" s="30" t="e">
        <f ca="1">IF($B28="","",_xll.BDP($A28&amp;" Corp",AI$14))</f>
        <v>#NAME?</v>
      </c>
      <c r="AJ28" s="30" t="e">
        <f ca="1">IF($B28="","",_xll.BDP($A28&amp;" Corp",AJ$14))</f>
        <v>#NAME?</v>
      </c>
      <c r="AK28" s="11" t="e">
        <f ca="1">IF($B28="","",_xll.BDP($A28&amp;" Corp",AK$14))</f>
        <v>#NAME?</v>
      </c>
      <c r="AL28" s="11" t="e">
        <f ca="1">IF($B28="","",_xll.BDP($A28&amp;" Corp",AL$14))</f>
        <v>#NAME?</v>
      </c>
      <c r="AM28" s="11" t="e">
        <f t="shared" ca="1" si="9"/>
        <v>#NAME?</v>
      </c>
      <c r="AN28" s="57" t="e">
        <f t="shared" ca="1" si="11"/>
        <v>#NAME?</v>
      </c>
    </row>
    <row r="29" spans="1:40" x14ac:dyDescent="0.3">
      <c r="A29" s="67" t="str">
        <f t="shared" si="4"/>
        <v>ES0000012K38</v>
      </c>
      <c r="B29" s="68" t="s">
        <v>506</v>
      </c>
      <c r="C29" s="75">
        <v>10174</v>
      </c>
      <c r="D29" s="75">
        <v>128</v>
      </c>
      <c r="E29" s="75">
        <v>200000</v>
      </c>
      <c r="F29" s="69">
        <v>0.15260034</v>
      </c>
      <c r="G29" s="70">
        <v>188018</v>
      </c>
      <c r="H29" s="67">
        <f t="shared" si="5"/>
        <v>200000</v>
      </c>
      <c r="I29" s="67">
        <f t="shared" si="6"/>
        <v>0.15260034</v>
      </c>
      <c r="J29" s="67">
        <f t="shared" si="7"/>
        <v>188018</v>
      </c>
      <c r="K29" s="71">
        <f t="shared" si="8"/>
        <v>94.009</v>
      </c>
      <c r="L29" s="29" t="e">
        <f ca="1">IF(B29="","",_xll.BDP(A29&amp;" Corp","INTERVAL_HIGH","START_DATE_OVERRIDE",TEXT($L$12,"AAAAMMDD"),"END_DATE_OVERRIDE",TEXT($L$13,"AAAAMMDD"),"MARKET_DATA_OVERRIDE",$L$14))</f>
        <v>#NAME?</v>
      </c>
      <c r="M29" s="30" t="e">
        <f ca="1">IF(B29="","",_xll.BDP($A29&amp;" Corp","INTERVAL_LOW","START_DATE_OVERRIDE",TEXT($L$12,"AAAAMMDD"),"END_DATE_OVERRIDE",TEXT($L$13,"AAAAMMDD"),"MARKET_DATA_OVERRIDE",$L$14))</f>
        <v>#NAME?</v>
      </c>
      <c r="N29" s="31" t="e">
        <f ca="1">IF($B29="","",_xll.BDP($A29&amp;" Corp",N$15))</f>
        <v>#NAME?</v>
      </c>
      <c r="O29" s="32" t="e">
        <f ca="1">IF($B29="","",_xll.BDP($A29&amp;" Corp",O$15))</f>
        <v>#NAME?</v>
      </c>
      <c r="P29" s="32" t="e">
        <f ca="1">IF($B29="","",_xll.BDP($A29&amp;" Corp",P$15))</f>
        <v>#NAME?</v>
      </c>
      <c r="Q29" s="30" t="e">
        <f ca="1">IF($B29="","",_xll.BDP($A29&amp;" Corp",Q$14))</f>
        <v>#NAME?</v>
      </c>
      <c r="R29" s="30" t="e">
        <f ca="1">IF($B29="","",_xll.BDP($A29&amp;" Corp",R$14))</f>
        <v>#NAME?</v>
      </c>
      <c r="S29" s="50" t="e">
        <f ca="1">IF($B29="","",_xll.BDP($A29&amp;" Corp",S$14))</f>
        <v>#NAME?</v>
      </c>
      <c r="T29" s="30" t="e">
        <f ca="1">IF($B29="","",_xll.BDP($A29&amp;" Corp",T$14))</f>
        <v>#NAME?</v>
      </c>
      <c r="U29" s="30" t="e">
        <f ca="1">IF($B29="","",_xll.BDP($A29&amp;" Corp",U$14))</f>
        <v>#NAME?</v>
      </c>
      <c r="V29" s="51" t="e">
        <f ca="1">IF($B29="","",IF($T29="VARIABLE",_xll.BDP($A29&amp;" Corp",V$13),_xll.BDP($A29&amp;" Corp",V$14)))</f>
        <v>#NAME?</v>
      </c>
      <c r="W29" s="30" t="e">
        <f ca="1">IF($B29="","",IF($T29="VARIABLE",_xll.BDP($A29&amp;" Corp",W$13),_xll.BDP($A29&amp;" Corp",W$14)))</f>
        <v>#NAME?</v>
      </c>
      <c r="X29" s="30" t="e">
        <f ca="1">IF($B29="","",_xll.BDP($A29&amp;" Corp",X$14))</f>
        <v>#NAME?</v>
      </c>
      <c r="Y29" s="33" t="e">
        <f ca="1">IF($B29="","",_xll.BDP($A29&amp;" Corp",Y$14))</f>
        <v>#NAME?</v>
      </c>
      <c r="Z29" s="52" t="e">
        <f ca="1">IF($B29="","",_xll.BDP($A29&amp;" Corp",Z$14))</f>
        <v>#NAME?</v>
      </c>
      <c r="AA29" s="53" t="e">
        <f ca="1">IF($B29="","",_xll.BDP($A29&amp;" Corp",AA$14))</f>
        <v>#NAME?</v>
      </c>
      <c r="AB29" s="54" t="e">
        <f ca="1">IF($B29="","",_xll.BDP($A29&amp;" Corp",AB$14))</f>
        <v>#NAME?</v>
      </c>
      <c r="AC29" s="54" t="e">
        <f ca="1">IF($B29="","",_xll.BDP($A29&amp;" Corp",AC$14))</f>
        <v>#NAME?</v>
      </c>
      <c r="AD29" s="55" t="e">
        <f ca="1">IF($B29="","",_xll.BDP($A29&amp;" Corp",AD$14))</f>
        <v>#NAME?</v>
      </c>
      <c r="AE29" s="56" t="e">
        <f ca="1">IF($B29="","",_xll.BDP($A29&amp;" Corp",AE$14))</f>
        <v>#NAME?</v>
      </c>
      <c r="AF29" s="29" t="e">
        <f ca="1">IF($B29="","",_xll.BDP($A29&amp;" Corp",AF$14))</f>
        <v>#NAME?</v>
      </c>
      <c r="AG29" s="33" t="e">
        <f ca="1">IF($B29="","",_xll.BDP($A29&amp;" Corp",AG$14))</f>
        <v>#NAME?</v>
      </c>
      <c r="AH29" s="30" t="e">
        <f ca="1">IF($B29="","",_xll.BDP($A29&amp;" Corp",AH$14))</f>
        <v>#NAME?</v>
      </c>
      <c r="AI29" s="30" t="e">
        <f ca="1">IF($B29="","",_xll.BDP($A29&amp;" Corp",AI$14))</f>
        <v>#NAME?</v>
      </c>
      <c r="AJ29" s="30" t="e">
        <f ca="1">IF($B29="","",_xll.BDP($A29&amp;" Corp",AJ$14))</f>
        <v>#NAME?</v>
      </c>
      <c r="AK29" s="11" t="e">
        <f ca="1">IF($B29="","",_xll.BDP($A29&amp;" Corp",AK$14))</f>
        <v>#NAME?</v>
      </c>
      <c r="AL29" s="11" t="e">
        <f ca="1">IF($B29="","",_xll.BDP($A29&amp;" Corp",AL$14))</f>
        <v>#NAME?</v>
      </c>
      <c r="AM29" s="11" t="e">
        <f t="shared" ca="1" si="9"/>
        <v>#NAME?</v>
      </c>
      <c r="AN29" s="57" t="e">
        <f t="shared" ca="1" si="11"/>
        <v>#NAME?</v>
      </c>
    </row>
    <row r="30" spans="1:40" x14ac:dyDescent="0.3">
      <c r="A30" s="67" t="str">
        <f t="shared" si="4"/>
        <v>ES0213307061</v>
      </c>
      <c r="B30" s="68" t="s">
        <v>343</v>
      </c>
      <c r="C30" s="75">
        <v>7225</v>
      </c>
      <c r="D30" s="75">
        <v>128</v>
      </c>
      <c r="E30" s="75">
        <v>500000</v>
      </c>
      <c r="F30" s="69">
        <v>0.36902992000000001</v>
      </c>
      <c r="G30" s="70">
        <v>491323.75</v>
      </c>
      <c r="H30" s="67">
        <f t="shared" si="5"/>
        <v>500000</v>
      </c>
      <c r="I30" s="67">
        <f t="shared" si="6"/>
        <v>0.36902992000000001</v>
      </c>
      <c r="J30" s="67">
        <f t="shared" si="7"/>
        <v>491323.75</v>
      </c>
      <c r="K30" s="71">
        <f t="shared" si="8"/>
        <v>98.264750000000006</v>
      </c>
      <c r="L30" s="29" t="e">
        <f ca="1">IF(B30="","",_xll.BDP(A30&amp;" Corp","INTERVAL_HIGH","START_DATE_OVERRIDE",TEXT($L$12,"AAAAMMDD"),"END_DATE_OVERRIDE",TEXT($L$13,"AAAAMMDD"),"MARKET_DATA_OVERRIDE",$L$14))</f>
        <v>#NAME?</v>
      </c>
      <c r="M30" s="30" t="e">
        <f ca="1">IF(B30="","",_xll.BDP($A30&amp;" Corp","INTERVAL_LOW","START_DATE_OVERRIDE",TEXT($L$12,"AAAAMMDD"),"END_DATE_OVERRIDE",TEXT($L$13,"AAAAMMDD"),"MARKET_DATA_OVERRIDE",$L$14))</f>
        <v>#NAME?</v>
      </c>
      <c r="N30" s="31" t="e">
        <f ca="1">IF($B30="","",_xll.BDP($A30&amp;" Corp",N$15))</f>
        <v>#NAME?</v>
      </c>
      <c r="O30" s="32" t="e">
        <f ca="1">IF($B30="","",_xll.BDP($A30&amp;" Corp",O$15))</f>
        <v>#NAME?</v>
      </c>
      <c r="P30" s="32" t="e">
        <f ca="1">IF($B30="","",_xll.BDP($A30&amp;" Corp",P$15))</f>
        <v>#NAME?</v>
      </c>
      <c r="Q30" s="30" t="e">
        <f ca="1">IF($B30="","",_xll.BDP($A30&amp;" Corp",Q$14))</f>
        <v>#NAME?</v>
      </c>
      <c r="R30" s="30" t="e">
        <f ca="1">IF($B30="","",_xll.BDP($A30&amp;" Corp",R$14))</f>
        <v>#NAME?</v>
      </c>
      <c r="S30" s="50" t="e">
        <f ca="1">IF($B30="","",_xll.BDP($A30&amp;" Corp",S$14))</f>
        <v>#NAME?</v>
      </c>
      <c r="T30" s="30" t="e">
        <f ca="1">IF($B30="","",_xll.BDP($A30&amp;" Corp",T$14))</f>
        <v>#NAME?</v>
      </c>
      <c r="U30" s="30" t="e">
        <f ca="1">IF($B30="","",_xll.BDP($A30&amp;" Corp",U$14))</f>
        <v>#NAME?</v>
      </c>
      <c r="V30" s="51" t="e">
        <f ca="1">IF($B30="","",IF($T30="VARIABLE",_xll.BDP($A30&amp;" Corp",V$13),_xll.BDP($A30&amp;" Corp",V$14)))</f>
        <v>#NAME?</v>
      </c>
      <c r="W30" s="30" t="e">
        <f ca="1">IF($B30="","",IF($T30="VARIABLE",_xll.BDP($A30&amp;" Corp",W$13),_xll.BDP($A30&amp;" Corp",W$14)))</f>
        <v>#NAME?</v>
      </c>
      <c r="X30" s="30" t="e">
        <f ca="1">IF($B30="","",_xll.BDP($A30&amp;" Corp",X$14))</f>
        <v>#NAME?</v>
      </c>
      <c r="Y30" s="33" t="e">
        <f ca="1">IF($B30="","",_xll.BDP($A30&amp;" Corp",Y$14))</f>
        <v>#NAME?</v>
      </c>
      <c r="Z30" s="52" t="e">
        <f ca="1">IF($B30="","",_xll.BDP($A30&amp;" Corp",Z$14))</f>
        <v>#NAME?</v>
      </c>
      <c r="AA30" s="53" t="e">
        <f ca="1">IF($B30="","",_xll.BDP($A30&amp;" Corp",AA$14))</f>
        <v>#NAME?</v>
      </c>
      <c r="AB30" s="54" t="e">
        <f ca="1">IF($B30="","",_xll.BDP($A30&amp;" Corp",AB$14))</f>
        <v>#NAME?</v>
      </c>
      <c r="AC30" s="54" t="e">
        <f ca="1">IF($B30="","",_xll.BDP($A30&amp;" Corp",AC$14))</f>
        <v>#NAME?</v>
      </c>
      <c r="AD30" s="55" t="e">
        <f ca="1">IF($B30="","",_xll.BDP($A30&amp;" Corp",AD$14))</f>
        <v>#NAME?</v>
      </c>
      <c r="AE30" s="56" t="e">
        <f ca="1">IF($B30="","",_xll.BDP($A30&amp;" Corp",AE$14))</f>
        <v>#NAME?</v>
      </c>
      <c r="AF30" s="29" t="e">
        <f ca="1">IF($B30="","",_xll.BDP($A30&amp;" Corp",AF$14))</f>
        <v>#NAME?</v>
      </c>
      <c r="AG30" s="33" t="e">
        <f ca="1">IF($B30="","",_xll.BDP($A30&amp;" Corp",AG$14))</f>
        <v>#NAME?</v>
      </c>
      <c r="AH30" s="30" t="e">
        <f ca="1">IF($B30="","",_xll.BDP($A30&amp;" Corp",AH$14))</f>
        <v>#NAME?</v>
      </c>
      <c r="AI30" s="30" t="e">
        <f ca="1">IF($B30="","",_xll.BDP($A30&amp;" Corp",AI$14))</f>
        <v>#NAME?</v>
      </c>
      <c r="AJ30" s="30" t="e">
        <f ca="1">IF($B30="","",_xll.BDP($A30&amp;" Corp",AJ$14))</f>
        <v>#NAME?</v>
      </c>
      <c r="AK30" s="11" t="e">
        <f ca="1">IF($B30="","",_xll.BDP($A30&amp;" Corp",AK$14))</f>
        <v>#NAME?</v>
      </c>
      <c r="AL30" s="11" t="e">
        <f ca="1">IF($B30="","",_xll.BDP($A30&amp;" Corp",AL$14))</f>
        <v>#NAME?</v>
      </c>
      <c r="AM30" s="11" t="e">
        <f t="shared" ca="1" si="9"/>
        <v>#NAME?</v>
      </c>
      <c r="AN30" s="57" t="e">
        <f t="shared" ca="1" si="11"/>
        <v>#NAME?</v>
      </c>
    </row>
    <row r="31" spans="1:40" x14ac:dyDescent="0.3">
      <c r="A31" s="67" t="str">
        <f t="shared" si="4"/>
        <v>ES0213679HN2</v>
      </c>
      <c r="B31" s="68" t="s">
        <v>346</v>
      </c>
      <c r="C31" s="75">
        <v>7063</v>
      </c>
      <c r="D31" s="75">
        <v>128</v>
      </c>
      <c r="E31" s="75">
        <v>300000</v>
      </c>
      <c r="F31" s="69">
        <v>0.22168315999999999</v>
      </c>
      <c r="G31" s="70">
        <v>300996</v>
      </c>
      <c r="H31" s="67">
        <f t="shared" si="5"/>
        <v>300000</v>
      </c>
      <c r="I31" s="67">
        <f t="shared" si="6"/>
        <v>0.22168315999999999</v>
      </c>
      <c r="J31" s="67">
        <f t="shared" si="7"/>
        <v>300996</v>
      </c>
      <c r="K31" s="71">
        <f t="shared" si="8"/>
        <v>100.33199999999999</v>
      </c>
      <c r="L31" s="29" t="e">
        <f ca="1">IF(B31="","",_xll.BDP(A31&amp;" Corp","INTERVAL_HIGH","START_DATE_OVERRIDE",TEXT($L$12,"AAAAMMDD"),"END_DATE_OVERRIDE",TEXT($L$13,"AAAAMMDD"),"MARKET_DATA_OVERRIDE",$L$14))</f>
        <v>#NAME?</v>
      </c>
      <c r="M31" s="30" t="e">
        <f ca="1">IF(B31="","",_xll.BDP($A31&amp;" Corp","INTERVAL_LOW","START_DATE_OVERRIDE",TEXT($L$12,"AAAAMMDD"),"END_DATE_OVERRIDE",TEXT($L$13,"AAAAMMDD"),"MARKET_DATA_OVERRIDE",$L$14))</f>
        <v>#NAME?</v>
      </c>
      <c r="N31" s="31" t="e">
        <f ca="1">IF($B31="","",_xll.BDP($A31&amp;" Corp",N$15))</f>
        <v>#NAME?</v>
      </c>
      <c r="O31" s="32" t="e">
        <f ca="1">IF($B31="","",_xll.BDP($A31&amp;" Corp",O$15))</f>
        <v>#NAME?</v>
      </c>
      <c r="P31" s="32" t="e">
        <f ca="1">IF($B31="","",_xll.BDP($A31&amp;" Corp",P$15))</f>
        <v>#NAME?</v>
      </c>
      <c r="Q31" s="30" t="e">
        <f ca="1">IF($B31="","",_xll.BDP($A31&amp;" Corp",Q$14))</f>
        <v>#NAME?</v>
      </c>
      <c r="R31" s="30" t="e">
        <f ca="1">IF($B31="","",_xll.BDP($A31&amp;" Corp",R$14))</f>
        <v>#NAME?</v>
      </c>
      <c r="S31" s="50" t="e">
        <f ca="1">IF($B31="","",_xll.BDP($A31&amp;" Corp",S$14))</f>
        <v>#NAME?</v>
      </c>
      <c r="T31" s="30" t="e">
        <f ca="1">IF($B31="","",_xll.BDP($A31&amp;" Corp",T$14))</f>
        <v>#NAME?</v>
      </c>
      <c r="U31" s="30" t="e">
        <f ca="1">IF($B31="","",_xll.BDP($A31&amp;" Corp",U$14))</f>
        <v>#NAME?</v>
      </c>
      <c r="V31" s="51" t="e">
        <f ca="1">IF($B31="","",IF($T31="VARIABLE",_xll.BDP($A31&amp;" Corp",V$13),_xll.BDP($A31&amp;" Corp",V$14)))</f>
        <v>#NAME?</v>
      </c>
      <c r="W31" s="30" t="e">
        <f ca="1">IF($B31="","",IF($T31="VARIABLE",_xll.BDP($A31&amp;" Corp",W$13),_xll.BDP($A31&amp;" Corp",W$14)))</f>
        <v>#NAME?</v>
      </c>
      <c r="X31" s="30" t="e">
        <f ca="1">IF($B31="","",_xll.BDP($A31&amp;" Corp",X$14))</f>
        <v>#NAME?</v>
      </c>
      <c r="Y31" s="33" t="e">
        <f ca="1">IF($B31="","",_xll.BDP($A31&amp;" Corp",Y$14))</f>
        <v>#NAME?</v>
      </c>
      <c r="Z31" s="52" t="e">
        <f ca="1">IF($B31="","",_xll.BDP($A31&amp;" Corp",Z$14))</f>
        <v>#NAME?</v>
      </c>
      <c r="AA31" s="53" t="e">
        <f ca="1">IF($B31="","",_xll.BDP($A31&amp;" Corp",AA$14))</f>
        <v>#NAME?</v>
      </c>
      <c r="AB31" s="54" t="e">
        <f ca="1">IF($B31="","",_xll.BDP($A31&amp;" Corp",AB$14))</f>
        <v>#NAME?</v>
      </c>
      <c r="AC31" s="54" t="e">
        <f ca="1">IF($B31="","",_xll.BDP($A31&amp;" Corp",AC$14))</f>
        <v>#NAME?</v>
      </c>
      <c r="AD31" s="55" t="e">
        <f ca="1">IF($B31="","",_xll.BDP($A31&amp;" Corp",AD$14))</f>
        <v>#NAME?</v>
      </c>
      <c r="AE31" s="56" t="e">
        <f ca="1">IF($B31="","",_xll.BDP($A31&amp;" Corp",AE$14))</f>
        <v>#NAME?</v>
      </c>
      <c r="AF31" s="29" t="e">
        <f ca="1">IF($B31="","",_xll.BDP($A31&amp;" Corp",AF$14))</f>
        <v>#NAME?</v>
      </c>
      <c r="AG31" s="33" t="e">
        <f ca="1">IF($B31="","",_xll.BDP($A31&amp;" Corp",AG$14))</f>
        <v>#NAME?</v>
      </c>
      <c r="AH31" s="30" t="e">
        <f ca="1">IF($B31="","",_xll.BDP($A31&amp;" Corp",AH$14))</f>
        <v>#NAME?</v>
      </c>
      <c r="AI31" s="30" t="e">
        <f ca="1">IF($B31="","",_xll.BDP($A31&amp;" Corp",AI$14))</f>
        <v>#NAME?</v>
      </c>
      <c r="AJ31" s="30" t="e">
        <f ca="1">IF($B31="","",_xll.BDP($A31&amp;" Corp",AJ$14))</f>
        <v>#NAME?</v>
      </c>
      <c r="AK31" s="11" t="e">
        <f ca="1">IF($B31="","",_xll.BDP($A31&amp;" Corp",AK$14))</f>
        <v>#NAME?</v>
      </c>
      <c r="AL31" s="11" t="e">
        <f ca="1">IF($B31="","",_xll.BDP($A31&amp;" Corp",AL$14))</f>
        <v>#NAME?</v>
      </c>
      <c r="AM31" s="11" t="e">
        <f t="shared" ca="1" si="9"/>
        <v>#NAME?</v>
      </c>
      <c r="AN31" s="57" t="e">
        <f t="shared" ca="1" si="11"/>
        <v>#NAME?</v>
      </c>
    </row>
    <row r="32" spans="1:40" x14ac:dyDescent="0.3">
      <c r="A32" s="67" t="str">
        <f t="shared" si="4"/>
        <v>ES0265936015</v>
      </c>
      <c r="B32" s="68" t="s">
        <v>348</v>
      </c>
      <c r="C32" s="75">
        <v>7177</v>
      </c>
      <c r="D32" s="75">
        <v>128</v>
      </c>
      <c r="E32" s="75">
        <v>200000</v>
      </c>
      <c r="F32" s="69">
        <v>0.15899895999999999</v>
      </c>
      <c r="G32" s="70">
        <v>202743</v>
      </c>
      <c r="H32" s="67">
        <f t="shared" si="5"/>
        <v>200000</v>
      </c>
      <c r="I32" s="67">
        <f t="shared" si="6"/>
        <v>0.15899895999999999</v>
      </c>
      <c r="J32" s="67">
        <f t="shared" si="7"/>
        <v>202743</v>
      </c>
      <c r="K32" s="71">
        <f t="shared" si="8"/>
        <v>101.3715</v>
      </c>
      <c r="L32" s="29" t="e">
        <f ca="1">IF(B32="","",_xll.BDP(A32&amp;" Corp","INTERVAL_HIGH","START_DATE_OVERRIDE",TEXT($L$12,"AAAAMMDD"),"END_DATE_OVERRIDE",TEXT($L$13,"AAAAMMDD"),"MARKET_DATA_OVERRIDE",$L$14))</f>
        <v>#NAME?</v>
      </c>
      <c r="M32" s="30" t="e">
        <f ca="1">IF(B32="","",_xll.BDP($A32&amp;" Corp","INTERVAL_LOW","START_DATE_OVERRIDE",TEXT($L$12,"AAAAMMDD"),"END_DATE_OVERRIDE",TEXT($L$13,"AAAAMMDD"),"MARKET_DATA_OVERRIDE",$L$14))</f>
        <v>#NAME?</v>
      </c>
      <c r="N32" s="31" t="e">
        <f ca="1">IF($B32="","",_xll.BDP($A32&amp;" Corp",N$15))</f>
        <v>#NAME?</v>
      </c>
      <c r="O32" s="32" t="e">
        <f ca="1">IF($B32="","",_xll.BDP($A32&amp;" Corp",O$15))</f>
        <v>#NAME?</v>
      </c>
      <c r="P32" s="32" t="e">
        <f ca="1">IF($B32="","",_xll.BDP($A32&amp;" Corp",P$15))</f>
        <v>#NAME?</v>
      </c>
      <c r="Q32" s="30" t="e">
        <f ca="1">IF($B32="","",_xll.BDP($A32&amp;" Corp",Q$14))</f>
        <v>#NAME?</v>
      </c>
      <c r="R32" s="30" t="e">
        <f ca="1">IF($B32="","",_xll.BDP($A32&amp;" Corp",R$14))</f>
        <v>#NAME?</v>
      </c>
      <c r="S32" s="50" t="e">
        <f ca="1">IF($B32="","",_xll.BDP($A32&amp;" Corp",S$14))</f>
        <v>#NAME?</v>
      </c>
      <c r="T32" s="30" t="e">
        <f ca="1">IF($B32="","",_xll.BDP($A32&amp;" Corp",T$14))</f>
        <v>#NAME?</v>
      </c>
      <c r="U32" s="30" t="e">
        <f ca="1">IF($B32="","",_xll.BDP($A32&amp;" Corp",U$14))</f>
        <v>#NAME?</v>
      </c>
      <c r="V32" s="51" t="e">
        <f ca="1">IF($B32="","",IF($T32="VARIABLE",_xll.BDP($A32&amp;" Corp",V$13),_xll.BDP($A32&amp;" Corp",V$14)))</f>
        <v>#NAME?</v>
      </c>
      <c r="W32" s="30" t="e">
        <f ca="1">IF($B32="","",IF($T32="VARIABLE",_xll.BDP($A32&amp;" Corp",W$13),_xll.BDP($A32&amp;" Corp",W$14)))</f>
        <v>#NAME?</v>
      </c>
      <c r="X32" s="30" t="e">
        <f ca="1">IF($B32="","",_xll.BDP($A32&amp;" Corp",X$14))</f>
        <v>#NAME?</v>
      </c>
      <c r="Y32" s="33" t="e">
        <f ca="1">IF($B32="","",_xll.BDP($A32&amp;" Corp",Y$14))</f>
        <v>#NAME?</v>
      </c>
      <c r="Z32" s="52" t="e">
        <f ca="1">IF($B32="","",_xll.BDP($A32&amp;" Corp",Z$14))</f>
        <v>#NAME?</v>
      </c>
      <c r="AA32" s="53" t="e">
        <f ca="1">IF($B32="","",_xll.BDP($A32&amp;" Corp",AA$14))</f>
        <v>#NAME?</v>
      </c>
      <c r="AB32" s="54" t="e">
        <f ca="1">IF($B32="","",_xll.BDP($A32&amp;" Corp",AB$14))</f>
        <v>#NAME?</v>
      </c>
      <c r="AC32" s="54" t="e">
        <f ca="1">IF($B32="","",_xll.BDP($A32&amp;" Corp",AC$14))</f>
        <v>#NAME?</v>
      </c>
      <c r="AD32" s="55" t="e">
        <f ca="1">IF($B32="","",_xll.BDP($A32&amp;" Corp",AD$14))</f>
        <v>#NAME?</v>
      </c>
      <c r="AE32" s="56" t="e">
        <f ca="1">IF($B32="","",_xll.BDP($A32&amp;" Corp",AE$14))</f>
        <v>#NAME?</v>
      </c>
      <c r="AF32" s="29" t="e">
        <f ca="1">IF($B32="","",_xll.BDP($A32&amp;" Corp",AF$14))</f>
        <v>#NAME?</v>
      </c>
      <c r="AG32" s="33" t="e">
        <f ca="1">IF($B32="","",_xll.BDP($A32&amp;" Corp",AG$14))</f>
        <v>#NAME?</v>
      </c>
      <c r="AH32" s="30" t="e">
        <f ca="1">IF($B32="","",_xll.BDP($A32&amp;" Corp",AH$14))</f>
        <v>#NAME?</v>
      </c>
      <c r="AI32" s="30" t="e">
        <f ca="1">IF($B32="","",_xll.BDP($A32&amp;" Corp",AI$14))</f>
        <v>#NAME?</v>
      </c>
      <c r="AJ32" s="30" t="e">
        <f ca="1">IF($B32="","",_xll.BDP($A32&amp;" Corp",AJ$14))</f>
        <v>#NAME?</v>
      </c>
      <c r="AK32" s="11" t="e">
        <f ca="1">IF($B32="","",_xll.BDP($A32&amp;" Corp",AK$14))</f>
        <v>#NAME?</v>
      </c>
      <c r="AL32" s="11" t="e">
        <f ca="1">IF($B32="","",_xll.BDP($A32&amp;" Corp",AL$14))</f>
        <v>#NAME?</v>
      </c>
      <c r="AM32" s="11" t="e">
        <f t="shared" ca="1" si="9"/>
        <v>#NAME?</v>
      </c>
      <c r="AN32" s="57" t="e">
        <f t="shared" ca="1" si="11"/>
        <v>#NAME?</v>
      </c>
    </row>
    <row r="33" spans="1:40" x14ac:dyDescent="0.3">
      <c r="A33" s="67" t="str">
        <f t="shared" si="4"/>
        <v>ES0265936023</v>
      </c>
      <c r="B33" s="68" t="s">
        <v>350</v>
      </c>
      <c r="C33" s="75">
        <v>9463</v>
      </c>
      <c r="D33" s="75">
        <v>128</v>
      </c>
      <c r="E33" s="75">
        <v>200000</v>
      </c>
      <c r="F33" s="69">
        <v>0.14056036999999999</v>
      </c>
      <c r="G33" s="70">
        <v>199962</v>
      </c>
      <c r="H33" s="67">
        <f t="shared" si="5"/>
        <v>200000</v>
      </c>
      <c r="I33" s="67">
        <f t="shared" si="6"/>
        <v>0.14056036999999999</v>
      </c>
      <c r="J33" s="67">
        <f t="shared" si="7"/>
        <v>199962</v>
      </c>
      <c r="K33" s="71">
        <f t="shared" si="8"/>
        <v>99.980999999999995</v>
      </c>
      <c r="L33" s="29" t="e">
        <f ca="1">IF(B33="","",_xll.BDP(A33&amp;" Corp","INTERVAL_HIGH","START_DATE_OVERRIDE",TEXT($L$12,"AAAAMMDD"),"END_DATE_OVERRIDE",TEXT($L$13,"AAAAMMDD"),"MARKET_DATA_OVERRIDE",$L$14))</f>
        <v>#NAME?</v>
      </c>
      <c r="M33" s="30" t="e">
        <f ca="1">IF(B33="","",_xll.BDP($A33&amp;" Corp","INTERVAL_LOW","START_DATE_OVERRIDE",TEXT($L$12,"AAAAMMDD"),"END_DATE_OVERRIDE",TEXT($L$13,"AAAAMMDD"),"MARKET_DATA_OVERRIDE",$L$14))</f>
        <v>#NAME?</v>
      </c>
      <c r="N33" s="31" t="e">
        <f ca="1">IF($B33="","",_xll.BDP($A33&amp;" Corp",N$15))</f>
        <v>#NAME?</v>
      </c>
      <c r="O33" s="32" t="e">
        <f ca="1">IF($B33="","",_xll.BDP($A33&amp;" Corp",O$15))</f>
        <v>#NAME?</v>
      </c>
      <c r="P33" s="32" t="e">
        <f ca="1">IF($B33="","",_xll.BDP($A33&amp;" Corp",P$15))</f>
        <v>#NAME?</v>
      </c>
      <c r="Q33" s="30" t="e">
        <f ca="1">IF($B33="","",_xll.BDP($A33&amp;" Corp",Q$14))</f>
        <v>#NAME?</v>
      </c>
      <c r="R33" s="30" t="e">
        <f ca="1">IF($B33="","",_xll.BDP($A33&amp;" Corp",R$14))</f>
        <v>#NAME?</v>
      </c>
      <c r="S33" s="50" t="e">
        <f ca="1">IF($B33="","",_xll.BDP($A33&amp;" Corp",S$14))</f>
        <v>#NAME?</v>
      </c>
      <c r="T33" s="30" t="e">
        <f ca="1">IF($B33="","",_xll.BDP($A33&amp;" Corp",T$14))</f>
        <v>#NAME?</v>
      </c>
      <c r="U33" s="30" t="e">
        <f ca="1">IF($B33="","",_xll.BDP($A33&amp;" Corp",U$14))</f>
        <v>#NAME?</v>
      </c>
      <c r="V33" s="51" t="e">
        <f ca="1">IF($B33="","",IF($T33="VARIABLE",_xll.BDP($A33&amp;" Corp",V$13),_xll.BDP($A33&amp;" Corp",V$14)))</f>
        <v>#NAME?</v>
      </c>
      <c r="W33" s="30" t="e">
        <f ca="1">IF($B33="","",IF($T33="VARIABLE",_xll.BDP($A33&amp;" Corp",W$13),_xll.BDP($A33&amp;" Corp",W$14)))</f>
        <v>#NAME?</v>
      </c>
      <c r="X33" s="30" t="e">
        <f ca="1">IF($B33="","",_xll.BDP($A33&amp;" Corp",X$14))</f>
        <v>#NAME?</v>
      </c>
      <c r="Y33" s="33" t="e">
        <f ca="1">IF($B33="","",_xll.BDP($A33&amp;" Corp",Y$14))</f>
        <v>#NAME?</v>
      </c>
      <c r="Z33" s="52" t="e">
        <f ca="1">IF($B33="","",_xll.BDP($A33&amp;" Corp",Z$14))</f>
        <v>#NAME?</v>
      </c>
      <c r="AA33" s="53" t="e">
        <f ca="1">IF($B33="","",_xll.BDP($A33&amp;" Corp",AA$14))</f>
        <v>#NAME?</v>
      </c>
      <c r="AB33" s="54" t="e">
        <f ca="1">IF($B33="","",_xll.BDP($A33&amp;" Corp",AB$14))</f>
        <v>#NAME?</v>
      </c>
      <c r="AC33" s="54" t="e">
        <f ca="1">IF($B33="","",_xll.BDP($A33&amp;" Corp",AC$14))</f>
        <v>#NAME?</v>
      </c>
      <c r="AD33" s="55" t="e">
        <f ca="1">IF($B33="","",_xll.BDP($A33&amp;" Corp",AD$14))</f>
        <v>#NAME?</v>
      </c>
      <c r="AE33" s="56" t="e">
        <f ca="1">IF($B33="","",_xll.BDP($A33&amp;" Corp",AE$14))</f>
        <v>#NAME?</v>
      </c>
      <c r="AF33" s="29" t="e">
        <f ca="1">IF($B33="","",_xll.BDP($A33&amp;" Corp",AF$14))</f>
        <v>#NAME?</v>
      </c>
      <c r="AG33" s="33" t="e">
        <f ca="1">IF($B33="","",_xll.BDP($A33&amp;" Corp",AG$14))</f>
        <v>#NAME?</v>
      </c>
      <c r="AH33" s="30" t="e">
        <f ca="1">IF($B33="","",_xll.BDP($A33&amp;" Corp",AH$14))</f>
        <v>#NAME?</v>
      </c>
      <c r="AI33" s="30" t="e">
        <f ca="1">IF($B33="","",_xll.BDP($A33&amp;" Corp",AI$14))</f>
        <v>#NAME?</v>
      </c>
      <c r="AJ33" s="30" t="e">
        <f ca="1">IF($B33="","",_xll.BDP($A33&amp;" Corp",AJ$14))</f>
        <v>#NAME?</v>
      </c>
      <c r="AK33" s="11" t="e">
        <f ca="1">IF($B33="","",_xll.BDP($A33&amp;" Corp",AK$14))</f>
        <v>#NAME?</v>
      </c>
      <c r="AL33" s="11" t="e">
        <f ca="1">IF($B33="","",_xll.BDP($A33&amp;" Corp",AL$14))</f>
        <v>#NAME?</v>
      </c>
      <c r="AM33" s="11" t="e">
        <f t="shared" ca="1" si="9"/>
        <v>#NAME?</v>
      </c>
      <c r="AN33" s="57" t="e">
        <f t="shared" ca="1" si="11"/>
        <v>#NAME?</v>
      </c>
    </row>
    <row r="34" spans="1:40" x14ac:dyDescent="0.3">
      <c r="A34" s="67" t="str">
        <f t="shared" si="4"/>
        <v>ES0312342019</v>
      </c>
      <c r="B34" s="68" t="s">
        <v>425</v>
      </c>
      <c r="C34" s="75">
        <v>10297</v>
      </c>
      <c r="D34" s="75">
        <v>128</v>
      </c>
      <c r="E34" s="75">
        <v>1000000</v>
      </c>
      <c r="F34" s="69">
        <v>0.81031936000000004</v>
      </c>
      <c r="G34" s="70">
        <v>1009980</v>
      </c>
      <c r="H34" s="67">
        <f t="shared" si="5"/>
        <v>1000000</v>
      </c>
      <c r="I34" s="67">
        <f t="shared" si="6"/>
        <v>0.81031936000000004</v>
      </c>
      <c r="J34" s="67">
        <f t="shared" si="7"/>
        <v>1009980</v>
      </c>
      <c r="K34" s="71">
        <f t="shared" si="8"/>
        <v>100.998</v>
      </c>
      <c r="L34" s="29" t="e">
        <f ca="1">IF(B34="","",_xll.BDP(A34&amp;" Corp","INTERVAL_HIGH","START_DATE_OVERRIDE",TEXT($L$12,"AAAAMMDD"),"END_DATE_OVERRIDE",TEXT($L$13,"AAAAMMDD"),"MARKET_DATA_OVERRIDE",$L$14))</f>
        <v>#NAME?</v>
      </c>
      <c r="M34" s="30" t="e">
        <f ca="1">IF(B34="","",_xll.BDP($A34&amp;" Corp","INTERVAL_LOW","START_DATE_OVERRIDE",TEXT($L$12,"AAAAMMDD"),"END_DATE_OVERRIDE",TEXT($L$13,"AAAAMMDD"),"MARKET_DATA_OVERRIDE",$L$14))</f>
        <v>#NAME?</v>
      </c>
      <c r="N34" s="31" t="e">
        <f ca="1">IF($B34="","",_xll.BDP($A34&amp;" Corp",N$15))</f>
        <v>#NAME?</v>
      </c>
      <c r="O34" s="32" t="e">
        <f ca="1">IF($B34="","",_xll.BDP($A34&amp;" Corp",O$15))</f>
        <v>#NAME?</v>
      </c>
      <c r="P34" s="32" t="e">
        <f ca="1">IF($B34="","",_xll.BDP($A34&amp;" Corp",P$15))</f>
        <v>#NAME?</v>
      </c>
      <c r="Q34" s="30" t="e">
        <f ca="1">IF($B34="","",_xll.BDP($A34&amp;" Corp",Q$14))</f>
        <v>#NAME?</v>
      </c>
      <c r="R34" s="30" t="e">
        <f ca="1">IF($B34="","",_xll.BDP($A34&amp;" Corp",R$14))</f>
        <v>#NAME?</v>
      </c>
      <c r="S34" s="50" t="e">
        <f ca="1">IF($B34="","",_xll.BDP($A34&amp;" Corp",S$14))</f>
        <v>#NAME?</v>
      </c>
      <c r="T34" s="30" t="e">
        <f ca="1">IF($B34="","",_xll.BDP($A34&amp;" Corp",T$14))</f>
        <v>#NAME?</v>
      </c>
      <c r="U34" s="30" t="e">
        <f ca="1">IF($B34="","",_xll.BDP($A34&amp;" Corp",U$14))</f>
        <v>#NAME?</v>
      </c>
      <c r="V34" s="51" t="e">
        <f ca="1">IF($B34="","",IF($T34="VARIABLE",_xll.BDP($A34&amp;" Corp",V$13),_xll.BDP($A34&amp;" Corp",V$14)))</f>
        <v>#NAME?</v>
      </c>
      <c r="W34" s="30" t="e">
        <f ca="1">IF($B34="","",IF($T34="VARIABLE",_xll.BDP($A34&amp;" Corp",W$13),_xll.BDP($A34&amp;" Corp",W$14)))</f>
        <v>#NAME?</v>
      </c>
      <c r="X34" s="30" t="e">
        <f ca="1">IF($B34="","",_xll.BDP($A34&amp;" Corp",X$14))</f>
        <v>#NAME?</v>
      </c>
      <c r="Y34" s="33" t="e">
        <f ca="1">IF($B34="","",_xll.BDP($A34&amp;" Corp",Y$14))</f>
        <v>#NAME?</v>
      </c>
      <c r="Z34" s="52" t="e">
        <f ca="1">IF($B34="","",_xll.BDP($A34&amp;" Corp",Z$14))</f>
        <v>#NAME?</v>
      </c>
      <c r="AA34" s="53" t="e">
        <f ca="1">IF($B34="","",_xll.BDP($A34&amp;" Corp",AA$14))</f>
        <v>#NAME?</v>
      </c>
      <c r="AB34" s="54" t="e">
        <f ca="1">IF($B34="","",_xll.BDP($A34&amp;" Corp",AB$14))</f>
        <v>#NAME?</v>
      </c>
      <c r="AC34" s="54" t="e">
        <f ca="1">IF($B34="","",_xll.BDP($A34&amp;" Corp",AC$14))</f>
        <v>#NAME?</v>
      </c>
      <c r="AD34" s="55" t="e">
        <f ca="1">IF($B34="","",_xll.BDP($A34&amp;" Corp",AD$14))</f>
        <v>#NAME?</v>
      </c>
      <c r="AE34" s="56" t="e">
        <f ca="1">IF($B34="","",_xll.BDP($A34&amp;" Corp",AE$14))</f>
        <v>#NAME?</v>
      </c>
      <c r="AF34" s="29" t="e">
        <f ca="1">IF($B34="","",_xll.BDP($A34&amp;" Corp",AF$14))</f>
        <v>#NAME?</v>
      </c>
      <c r="AG34" s="33" t="e">
        <f ca="1">IF($B34="","",_xll.BDP($A34&amp;" Corp",AG$14))</f>
        <v>#NAME?</v>
      </c>
      <c r="AH34" s="30" t="e">
        <f ca="1">IF($B34="","",_xll.BDP($A34&amp;" Corp",AH$14))</f>
        <v>#NAME?</v>
      </c>
      <c r="AI34" s="30" t="e">
        <f ca="1">IF($B34="","",_xll.BDP($A34&amp;" Corp",AI$14))</f>
        <v>#NAME?</v>
      </c>
      <c r="AJ34" s="30" t="e">
        <f ca="1">IF($B34="","",_xll.BDP($A34&amp;" Corp",AJ$14))</f>
        <v>#NAME?</v>
      </c>
      <c r="AK34" s="11" t="e">
        <f ca="1">IF($B34="","",_xll.BDP($A34&amp;" Corp",AK$14))</f>
        <v>#NAME?</v>
      </c>
      <c r="AL34" s="11" t="e">
        <f ca="1">IF($B34="","",_xll.BDP($A34&amp;" Corp",AL$14))</f>
        <v>#NAME?</v>
      </c>
      <c r="AM34" s="11" t="e">
        <f t="shared" ca="1" si="9"/>
        <v>#NAME?</v>
      </c>
      <c r="AN34" s="57" t="e">
        <f t="shared" ca="1" si="11"/>
        <v>#NAME?</v>
      </c>
    </row>
    <row r="35" spans="1:40" x14ac:dyDescent="0.3">
      <c r="A35" s="67" t="str">
        <f t="shared" si="4"/>
        <v>ES0317046003</v>
      </c>
      <c r="B35" s="68" t="s">
        <v>426</v>
      </c>
      <c r="C35" s="75">
        <v>10295</v>
      </c>
      <c r="D35" s="75">
        <v>128</v>
      </c>
      <c r="E35" s="75">
        <v>1500000</v>
      </c>
      <c r="F35" s="69">
        <v>1.2245767700000001</v>
      </c>
      <c r="G35" s="70">
        <v>1502220</v>
      </c>
      <c r="H35" s="67">
        <f t="shared" si="5"/>
        <v>1500000</v>
      </c>
      <c r="I35" s="67">
        <f t="shared" si="6"/>
        <v>1.2245767700000001</v>
      </c>
      <c r="J35" s="67">
        <f t="shared" si="7"/>
        <v>1502220</v>
      </c>
      <c r="K35" s="71">
        <f t="shared" si="8"/>
        <v>100.148</v>
      </c>
      <c r="L35" s="29" t="e">
        <f ca="1">IF(B35="","",_xll.BDP(A35&amp;" Corp","INTERVAL_HIGH","START_DATE_OVERRIDE",TEXT($L$12,"AAAAMMDD"),"END_DATE_OVERRIDE",TEXT($L$13,"AAAAMMDD"),"MARKET_DATA_OVERRIDE",$L$14))</f>
        <v>#NAME?</v>
      </c>
      <c r="M35" s="30" t="e">
        <f ca="1">IF(B35="","",_xll.BDP($A35&amp;" Corp","INTERVAL_LOW","START_DATE_OVERRIDE",TEXT($L$12,"AAAAMMDD"),"END_DATE_OVERRIDE",TEXT($L$13,"AAAAMMDD"),"MARKET_DATA_OVERRIDE",$L$14))</f>
        <v>#NAME?</v>
      </c>
      <c r="N35" s="31" t="e">
        <f ca="1">IF($B35="","",_xll.BDP($A35&amp;" Corp",N$15))</f>
        <v>#NAME?</v>
      </c>
      <c r="O35" s="32" t="e">
        <f ca="1">IF($B35="","",_xll.BDP($A35&amp;" Corp",O$15))</f>
        <v>#NAME?</v>
      </c>
      <c r="P35" s="32" t="e">
        <f ca="1">IF($B35="","",_xll.BDP($A35&amp;" Corp",P$15))</f>
        <v>#NAME?</v>
      </c>
      <c r="Q35" s="30" t="e">
        <f ca="1">IF($B35="","",_xll.BDP($A35&amp;" Corp",Q$14))</f>
        <v>#NAME?</v>
      </c>
      <c r="R35" s="30" t="e">
        <f ca="1">IF($B35="","",_xll.BDP($A35&amp;" Corp",R$14))</f>
        <v>#NAME?</v>
      </c>
      <c r="S35" s="50" t="e">
        <f ca="1">IF($B35="","",_xll.BDP($A35&amp;" Corp",S$14))</f>
        <v>#NAME?</v>
      </c>
      <c r="T35" s="30" t="e">
        <f ca="1">IF($B35="","",_xll.BDP($A35&amp;" Corp",T$14))</f>
        <v>#NAME?</v>
      </c>
      <c r="U35" s="30" t="e">
        <f ca="1">IF($B35="","",_xll.BDP($A35&amp;" Corp",U$14))</f>
        <v>#NAME?</v>
      </c>
      <c r="V35" s="51" t="e">
        <f ca="1">IF($B35="","",IF($T35="VARIABLE",_xll.BDP($A35&amp;" Corp",V$13),_xll.BDP($A35&amp;" Corp",V$14)))</f>
        <v>#NAME?</v>
      </c>
      <c r="W35" s="30" t="e">
        <f ca="1">IF($B35="","",IF($T35="VARIABLE",_xll.BDP($A35&amp;" Corp",W$13),_xll.BDP($A35&amp;" Corp",W$14)))</f>
        <v>#NAME?</v>
      </c>
      <c r="X35" s="30" t="e">
        <f ca="1">IF($B35="","",_xll.BDP($A35&amp;" Corp",X$14))</f>
        <v>#NAME?</v>
      </c>
      <c r="Y35" s="33" t="e">
        <f ca="1">IF($B35="","",_xll.BDP($A35&amp;" Corp",Y$14))</f>
        <v>#NAME?</v>
      </c>
      <c r="Z35" s="52" t="e">
        <f ca="1">IF($B35="","",_xll.BDP($A35&amp;" Corp",Z$14))</f>
        <v>#NAME?</v>
      </c>
      <c r="AA35" s="53" t="e">
        <f ca="1">IF($B35="","",_xll.BDP($A35&amp;" Corp",AA$14))</f>
        <v>#NAME?</v>
      </c>
      <c r="AB35" s="54" t="e">
        <f ca="1">IF($B35="","",_xll.BDP($A35&amp;" Corp",AB$14))</f>
        <v>#NAME?</v>
      </c>
      <c r="AC35" s="54" t="e">
        <f ca="1">IF($B35="","",_xll.BDP($A35&amp;" Corp",AC$14))</f>
        <v>#NAME?</v>
      </c>
      <c r="AD35" s="55" t="e">
        <f ca="1">IF($B35="","",_xll.BDP($A35&amp;" Corp",AD$14))</f>
        <v>#NAME?</v>
      </c>
      <c r="AE35" s="56" t="e">
        <f ca="1">IF($B35="","",_xll.BDP($A35&amp;" Corp",AE$14))</f>
        <v>#NAME?</v>
      </c>
      <c r="AF35" s="29" t="e">
        <f ca="1">IF($B35="","",_xll.BDP($A35&amp;" Corp",AF$14))</f>
        <v>#NAME?</v>
      </c>
      <c r="AG35" s="33" t="e">
        <f ca="1">IF($B35="","",_xll.BDP($A35&amp;" Corp",AG$14))</f>
        <v>#NAME?</v>
      </c>
      <c r="AH35" s="30" t="e">
        <f ca="1">IF($B35="","",_xll.BDP($A35&amp;" Corp",AH$14))</f>
        <v>#NAME?</v>
      </c>
      <c r="AI35" s="30" t="e">
        <f ca="1">IF($B35="","",_xll.BDP($A35&amp;" Corp",AI$14))</f>
        <v>#NAME?</v>
      </c>
      <c r="AJ35" s="30" t="e">
        <f ca="1">IF($B35="","",_xll.BDP($A35&amp;" Corp",AJ$14))</f>
        <v>#NAME?</v>
      </c>
      <c r="AK35" s="11" t="e">
        <f ca="1">IF($B35="","",_xll.BDP($A35&amp;" Corp",AK$14))</f>
        <v>#NAME?</v>
      </c>
      <c r="AL35" s="11" t="e">
        <f ca="1">IF($B35="","",_xll.BDP($A35&amp;" Corp",AL$14))</f>
        <v>#NAME?</v>
      </c>
      <c r="AM35" s="11" t="e">
        <f t="shared" ca="1" si="9"/>
        <v>#NAME?</v>
      </c>
      <c r="AN35" s="57" t="e">
        <f t="shared" ca="1" si="11"/>
        <v>#NAME?</v>
      </c>
    </row>
    <row r="36" spans="1:40" x14ac:dyDescent="0.3">
      <c r="A36" s="67" t="str">
        <f t="shared" si="4"/>
        <v>ES0344251006</v>
      </c>
      <c r="B36" s="68" t="s">
        <v>352</v>
      </c>
      <c r="C36" s="75">
        <v>10030</v>
      </c>
      <c r="D36" s="75">
        <v>128</v>
      </c>
      <c r="E36" s="75">
        <v>1200000</v>
      </c>
      <c r="F36" s="69">
        <v>0.97108428999999996</v>
      </c>
      <c r="G36" s="70">
        <v>1182408</v>
      </c>
      <c r="H36" s="67">
        <f t="shared" si="5"/>
        <v>1200000</v>
      </c>
      <c r="I36" s="67">
        <f t="shared" si="6"/>
        <v>0.97108428999999996</v>
      </c>
      <c r="J36" s="67">
        <f t="shared" si="7"/>
        <v>1182408</v>
      </c>
      <c r="K36" s="71">
        <f t="shared" si="8"/>
        <v>98.534000000000006</v>
      </c>
      <c r="L36" s="29" t="e">
        <f ca="1">IF(B36="","",_xll.BDP(A36&amp;" Corp","INTERVAL_HIGH","START_DATE_OVERRIDE",TEXT($L$12,"AAAAMMDD"),"END_DATE_OVERRIDE",TEXT($L$13,"AAAAMMDD"),"MARKET_DATA_OVERRIDE",$L$14))</f>
        <v>#NAME?</v>
      </c>
      <c r="M36" s="30" t="e">
        <f ca="1">IF(B36="","",_xll.BDP($A36&amp;" Corp","INTERVAL_LOW","START_DATE_OVERRIDE",TEXT($L$12,"AAAAMMDD"),"END_DATE_OVERRIDE",TEXT($L$13,"AAAAMMDD"),"MARKET_DATA_OVERRIDE",$L$14))</f>
        <v>#NAME?</v>
      </c>
      <c r="N36" s="31" t="e">
        <f ca="1">IF($B36="","",_xll.BDP($A36&amp;" Corp",N$15))</f>
        <v>#NAME?</v>
      </c>
      <c r="O36" s="32" t="e">
        <f ca="1">IF($B36="","",_xll.BDP($A36&amp;" Corp",O$15))</f>
        <v>#NAME?</v>
      </c>
      <c r="P36" s="32" t="e">
        <f ca="1">IF($B36="","",_xll.BDP($A36&amp;" Corp",P$15))</f>
        <v>#NAME?</v>
      </c>
      <c r="Q36" s="30" t="e">
        <f ca="1">IF($B36="","",_xll.BDP($A36&amp;" Corp",Q$14))</f>
        <v>#NAME?</v>
      </c>
      <c r="R36" s="30" t="e">
        <f ca="1">IF($B36="","",_xll.BDP($A36&amp;" Corp",R$14))</f>
        <v>#NAME?</v>
      </c>
      <c r="S36" s="50" t="e">
        <f ca="1">IF($B36="","",_xll.BDP($A36&amp;" Corp",S$14))</f>
        <v>#NAME?</v>
      </c>
      <c r="T36" s="30" t="e">
        <f ca="1">IF($B36="","",_xll.BDP($A36&amp;" Corp",T$14))</f>
        <v>#NAME?</v>
      </c>
      <c r="U36" s="30" t="e">
        <f ca="1">IF($B36="","",_xll.BDP($A36&amp;" Corp",U$14))</f>
        <v>#NAME?</v>
      </c>
      <c r="V36" s="51" t="e">
        <f ca="1">IF($B36="","",IF($T36="VARIABLE",_xll.BDP($A36&amp;" Corp",V$13),_xll.BDP($A36&amp;" Corp",V$14)))</f>
        <v>#NAME?</v>
      </c>
      <c r="W36" s="30" t="e">
        <f ca="1">IF($B36="","",IF($T36="VARIABLE",_xll.BDP($A36&amp;" Corp",W$13),_xll.BDP($A36&amp;" Corp",W$14)))</f>
        <v>#NAME?</v>
      </c>
      <c r="X36" s="30" t="e">
        <f ca="1">IF($B36="","",_xll.BDP($A36&amp;" Corp",X$14))</f>
        <v>#NAME?</v>
      </c>
      <c r="Y36" s="33" t="e">
        <f ca="1">IF($B36="","",_xll.BDP($A36&amp;" Corp",Y$14))</f>
        <v>#NAME?</v>
      </c>
      <c r="Z36" s="52" t="e">
        <f ca="1">IF($B36="","",_xll.BDP($A36&amp;" Corp",Z$14))</f>
        <v>#NAME?</v>
      </c>
      <c r="AA36" s="53" t="e">
        <f ca="1">IF($B36="","",_xll.BDP($A36&amp;" Corp",AA$14))</f>
        <v>#NAME?</v>
      </c>
      <c r="AB36" s="54" t="e">
        <f ca="1">IF($B36="","",_xll.BDP($A36&amp;" Corp",AB$14))</f>
        <v>#NAME?</v>
      </c>
      <c r="AC36" s="54" t="e">
        <f ca="1">IF($B36="","",_xll.BDP($A36&amp;" Corp",AC$14))</f>
        <v>#NAME?</v>
      </c>
      <c r="AD36" s="55" t="e">
        <f ca="1">IF($B36="","",_xll.BDP($A36&amp;" Corp",AD$14))</f>
        <v>#NAME?</v>
      </c>
      <c r="AE36" s="56" t="e">
        <f ca="1">IF($B36="","",_xll.BDP($A36&amp;" Corp",AE$14))</f>
        <v>#NAME?</v>
      </c>
      <c r="AF36" s="29" t="e">
        <f ca="1">IF($B36="","",_xll.BDP($A36&amp;" Corp",AF$14))</f>
        <v>#NAME?</v>
      </c>
      <c r="AG36" s="33" t="e">
        <f ca="1">IF($B36="","",_xll.BDP($A36&amp;" Corp",AG$14))</f>
        <v>#NAME?</v>
      </c>
      <c r="AH36" s="30" t="e">
        <f ca="1">IF($B36="","",_xll.BDP($A36&amp;" Corp",AH$14))</f>
        <v>#NAME?</v>
      </c>
      <c r="AI36" s="30" t="e">
        <f ca="1">IF($B36="","",_xll.BDP($A36&amp;" Corp",AI$14))</f>
        <v>#NAME?</v>
      </c>
      <c r="AJ36" s="30" t="e">
        <f ca="1">IF($B36="","",_xll.BDP($A36&amp;" Corp",AJ$14))</f>
        <v>#NAME?</v>
      </c>
      <c r="AK36" s="11" t="e">
        <f ca="1">IF($B36="","",_xll.BDP($A36&amp;" Corp",AK$14))</f>
        <v>#NAME?</v>
      </c>
      <c r="AL36" s="11" t="e">
        <f ca="1">IF($B36="","",_xll.BDP($A36&amp;" Corp",AL$14))</f>
        <v>#NAME?</v>
      </c>
      <c r="AM36" s="11" t="e">
        <f t="shared" ca="1" si="9"/>
        <v>#NAME?</v>
      </c>
      <c r="AN36" s="57" t="e">
        <f t="shared" ca="1" si="11"/>
        <v>#NAME?</v>
      </c>
    </row>
    <row r="37" spans="1:40" x14ac:dyDescent="0.3">
      <c r="A37" s="67" t="str">
        <f t="shared" si="4"/>
        <v>ES0380907040</v>
      </c>
      <c r="B37" s="68" t="s">
        <v>354</v>
      </c>
      <c r="C37" s="75">
        <v>9700</v>
      </c>
      <c r="D37" s="75">
        <v>128</v>
      </c>
      <c r="E37" s="75">
        <v>100000</v>
      </c>
      <c r="F37" s="69">
        <v>7.4497750000000001E-2</v>
      </c>
      <c r="G37" s="70">
        <v>99733</v>
      </c>
      <c r="H37" s="67">
        <f t="shared" si="5"/>
        <v>100000</v>
      </c>
      <c r="I37" s="67">
        <f t="shared" si="6"/>
        <v>7.4497750000000001E-2</v>
      </c>
      <c r="J37" s="67">
        <f t="shared" si="7"/>
        <v>99733</v>
      </c>
      <c r="K37" s="71">
        <f t="shared" si="8"/>
        <v>99.733000000000004</v>
      </c>
      <c r="L37" s="29" t="e">
        <f ca="1">IF(B37="","",_xll.BDP(A37&amp;" Corp","INTERVAL_HIGH","START_DATE_OVERRIDE",TEXT($L$12,"AAAAMMDD"),"END_DATE_OVERRIDE",TEXT($L$13,"AAAAMMDD"),"MARKET_DATA_OVERRIDE",$L$14))</f>
        <v>#NAME?</v>
      </c>
      <c r="M37" s="30" t="e">
        <f ca="1">IF(B37="","",_xll.BDP($A37&amp;" Corp","INTERVAL_LOW","START_DATE_OVERRIDE",TEXT($L$12,"AAAAMMDD"),"END_DATE_OVERRIDE",TEXT($L$13,"AAAAMMDD"),"MARKET_DATA_OVERRIDE",$L$14))</f>
        <v>#NAME?</v>
      </c>
      <c r="N37" s="31" t="e">
        <f ca="1">IF($B37="","",_xll.BDP($A37&amp;" Corp",N$15))</f>
        <v>#NAME?</v>
      </c>
      <c r="O37" s="32" t="e">
        <f ca="1">IF($B37="","",_xll.BDP($A37&amp;" Corp",O$15))</f>
        <v>#NAME?</v>
      </c>
      <c r="P37" s="32" t="e">
        <f ca="1">IF($B37="","",_xll.BDP($A37&amp;" Corp",P$15))</f>
        <v>#NAME?</v>
      </c>
      <c r="Q37" s="30" t="e">
        <f ca="1">IF($B37="","",_xll.BDP($A37&amp;" Corp",Q$14))</f>
        <v>#NAME?</v>
      </c>
      <c r="R37" s="30" t="e">
        <f ca="1">IF($B37="","",_xll.BDP($A37&amp;" Corp",R$14))</f>
        <v>#NAME?</v>
      </c>
      <c r="S37" s="50" t="e">
        <f ca="1">IF($B37="","",_xll.BDP($A37&amp;" Corp",S$14))</f>
        <v>#NAME?</v>
      </c>
      <c r="T37" s="30" t="e">
        <f ca="1">IF($B37="","",_xll.BDP($A37&amp;" Corp",T$14))</f>
        <v>#NAME?</v>
      </c>
      <c r="U37" s="30" t="e">
        <f ca="1">IF($B37="","",_xll.BDP($A37&amp;" Corp",U$14))</f>
        <v>#NAME?</v>
      </c>
      <c r="V37" s="51" t="e">
        <f ca="1">IF($B37="","",IF($T37="VARIABLE",_xll.BDP($A37&amp;" Corp",V$13),_xll.BDP($A37&amp;" Corp",V$14)))</f>
        <v>#NAME?</v>
      </c>
      <c r="W37" s="30" t="e">
        <f ca="1">IF($B37="","",IF($T37="VARIABLE",_xll.BDP($A37&amp;" Corp",W$13),_xll.BDP($A37&amp;" Corp",W$14)))</f>
        <v>#NAME?</v>
      </c>
      <c r="X37" s="30" t="e">
        <f ca="1">IF($B37="","",_xll.BDP($A37&amp;" Corp",X$14))</f>
        <v>#NAME?</v>
      </c>
      <c r="Y37" s="33" t="e">
        <f ca="1">IF($B37="","",_xll.BDP($A37&amp;" Corp",Y$14))</f>
        <v>#NAME?</v>
      </c>
      <c r="Z37" s="52" t="e">
        <f ca="1">IF($B37="","",_xll.BDP($A37&amp;" Corp",Z$14))</f>
        <v>#NAME?</v>
      </c>
      <c r="AA37" s="53" t="e">
        <f ca="1">IF($B37="","",_xll.BDP($A37&amp;" Corp",AA$14))</f>
        <v>#NAME?</v>
      </c>
      <c r="AB37" s="54" t="e">
        <f ca="1">IF($B37="","",_xll.BDP($A37&amp;" Corp",AB$14))</f>
        <v>#NAME?</v>
      </c>
      <c r="AC37" s="54" t="e">
        <f ca="1">IF($B37="","",_xll.BDP($A37&amp;" Corp",AC$14))</f>
        <v>#NAME?</v>
      </c>
      <c r="AD37" s="55" t="e">
        <f ca="1">IF($B37="","",_xll.BDP($A37&amp;" Corp",AD$14))</f>
        <v>#NAME?</v>
      </c>
      <c r="AE37" s="56" t="e">
        <f ca="1">IF($B37="","",_xll.BDP($A37&amp;" Corp",AE$14))</f>
        <v>#NAME?</v>
      </c>
      <c r="AF37" s="29" t="e">
        <f ca="1">IF($B37="","",_xll.BDP($A37&amp;" Corp",AF$14))</f>
        <v>#NAME?</v>
      </c>
      <c r="AG37" s="33" t="e">
        <f ca="1">IF($B37="","",_xll.BDP($A37&amp;" Corp",AG$14))</f>
        <v>#NAME?</v>
      </c>
      <c r="AH37" s="30" t="e">
        <f ca="1">IF($B37="","",_xll.BDP($A37&amp;" Corp",AH$14))</f>
        <v>#NAME?</v>
      </c>
      <c r="AI37" s="30" t="e">
        <f ca="1">IF($B37="","",_xll.BDP($A37&amp;" Corp",AI$14))</f>
        <v>#NAME?</v>
      </c>
      <c r="AJ37" s="30" t="e">
        <f ca="1">IF($B37="","",_xll.BDP($A37&amp;" Corp",AJ$14))</f>
        <v>#NAME?</v>
      </c>
      <c r="AK37" s="11" t="e">
        <f ca="1">IF($B37="","",_xll.BDP($A37&amp;" Corp",AK$14))</f>
        <v>#NAME?</v>
      </c>
      <c r="AL37" s="11" t="e">
        <f ca="1">IF($B37="","",_xll.BDP($A37&amp;" Corp",AL$14))</f>
        <v>#NAME?</v>
      </c>
      <c r="AM37" s="11" t="e">
        <f t="shared" ca="1" si="9"/>
        <v>#NAME?</v>
      </c>
      <c r="AN37" s="57" t="e">
        <f t="shared" ca="1" si="11"/>
        <v>#NAME?</v>
      </c>
    </row>
    <row r="38" spans="1:40" x14ac:dyDescent="0.3">
      <c r="A38" s="67" t="str">
        <f t="shared" si="4"/>
        <v>ES0413679525</v>
      </c>
      <c r="B38" s="68" t="s">
        <v>356</v>
      </c>
      <c r="C38" s="75">
        <v>10243</v>
      </c>
      <c r="D38" s="75">
        <v>128</v>
      </c>
      <c r="E38" s="75">
        <v>200000</v>
      </c>
      <c r="F38" s="69">
        <v>0.15769072000000001</v>
      </c>
      <c r="G38" s="70">
        <v>194100</v>
      </c>
      <c r="H38" s="67">
        <f t="shared" si="5"/>
        <v>200000</v>
      </c>
      <c r="I38" s="67">
        <f t="shared" si="6"/>
        <v>0.15769072000000001</v>
      </c>
      <c r="J38" s="67">
        <f t="shared" si="7"/>
        <v>194100</v>
      </c>
      <c r="K38" s="71">
        <f t="shared" si="8"/>
        <v>97.05</v>
      </c>
      <c r="L38" s="29" t="e">
        <f ca="1">IF(B38="","",_xll.BDP(A38&amp;" Corp","INTERVAL_HIGH","START_DATE_OVERRIDE",TEXT($L$12,"AAAAMMDD"),"END_DATE_OVERRIDE",TEXT($L$13,"AAAAMMDD"),"MARKET_DATA_OVERRIDE",$L$14))</f>
        <v>#NAME?</v>
      </c>
      <c r="M38" s="30" t="e">
        <f ca="1">IF(B38="","",_xll.BDP($A38&amp;" Corp","INTERVAL_LOW","START_DATE_OVERRIDE",TEXT($L$12,"AAAAMMDD"),"END_DATE_OVERRIDE",TEXT($L$13,"AAAAMMDD"),"MARKET_DATA_OVERRIDE",$L$14))</f>
        <v>#NAME?</v>
      </c>
      <c r="N38" s="31" t="e">
        <f ca="1">IF($B38="","",_xll.BDP($A38&amp;" Corp",N$15))</f>
        <v>#NAME?</v>
      </c>
      <c r="O38" s="32" t="e">
        <f ca="1">IF($B38="","",_xll.BDP($A38&amp;" Corp",O$15))</f>
        <v>#NAME?</v>
      </c>
      <c r="P38" s="32" t="e">
        <f ca="1">IF($B38="","",_xll.BDP($A38&amp;" Corp",P$15))</f>
        <v>#NAME?</v>
      </c>
      <c r="Q38" s="30" t="e">
        <f ca="1">IF($B38="","",_xll.BDP($A38&amp;" Corp",Q$14))</f>
        <v>#NAME?</v>
      </c>
      <c r="R38" s="30" t="e">
        <f ca="1">IF($B38="","",_xll.BDP($A38&amp;" Corp",R$14))</f>
        <v>#NAME?</v>
      </c>
      <c r="S38" s="50" t="e">
        <f ca="1">IF($B38="","",_xll.BDP($A38&amp;" Corp",S$14))</f>
        <v>#NAME?</v>
      </c>
      <c r="T38" s="30" t="e">
        <f ca="1">IF($B38="","",_xll.BDP($A38&amp;" Corp",T$14))</f>
        <v>#NAME?</v>
      </c>
      <c r="U38" s="30" t="e">
        <f ca="1">IF($B38="","",_xll.BDP($A38&amp;" Corp",U$14))</f>
        <v>#NAME?</v>
      </c>
      <c r="V38" s="51" t="e">
        <f ca="1">IF($B38="","",IF($T38="VARIABLE",_xll.BDP($A38&amp;" Corp",V$13),_xll.BDP($A38&amp;" Corp",V$14)))</f>
        <v>#NAME?</v>
      </c>
      <c r="W38" s="30" t="e">
        <f ca="1">IF($B38="","",IF($T38="VARIABLE",_xll.BDP($A38&amp;" Corp",W$13),_xll.BDP($A38&amp;" Corp",W$14)))</f>
        <v>#NAME?</v>
      </c>
      <c r="X38" s="30" t="e">
        <f ca="1">IF($B38="","",_xll.BDP($A38&amp;" Corp",X$14))</f>
        <v>#NAME?</v>
      </c>
      <c r="Y38" s="33" t="e">
        <f ca="1">IF($B38="","",_xll.BDP($A38&amp;" Corp",Y$14))</f>
        <v>#NAME?</v>
      </c>
      <c r="Z38" s="52" t="e">
        <f ca="1">IF($B38="","",_xll.BDP($A38&amp;" Corp",Z$14))</f>
        <v>#NAME?</v>
      </c>
      <c r="AA38" s="53" t="e">
        <f ca="1">IF($B38="","",_xll.BDP($A38&amp;" Corp",AA$14))</f>
        <v>#NAME?</v>
      </c>
      <c r="AB38" s="54" t="e">
        <f ca="1">IF($B38="","",_xll.BDP($A38&amp;" Corp",AB$14))</f>
        <v>#NAME?</v>
      </c>
      <c r="AC38" s="54" t="e">
        <f ca="1">IF($B38="","",_xll.BDP($A38&amp;" Corp",AC$14))</f>
        <v>#NAME?</v>
      </c>
      <c r="AD38" s="55" t="e">
        <f ca="1">IF($B38="","",_xll.BDP($A38&amp;" Corp",AD$14))</f>
        <v>#NAME?</v>
      </c>
      <c r="AE38" s="56" t="e">
        <f ca="1">IF($B38="","",_xll.BDP($A38&amp;" Corp",AE$14))</f>
        <v>#NAME?</v>
      </c>
      <c r="AF38" s="29" t="e">
        <f ca="1">IF($B38="","",_xll.BDP($A38&amp;" Corp",AF$14))</f>
        <v>#NAME?</v>
      </c>
      <c r="AG38" s="33" t="e">
        <f ca="1">IF($B38="","",_xll.BDP($A38&amp;" Corp",AG$14))</f>
        <v>#NAME?</v>
      </c>
      <c r="AH38" s="30" t="e">
        <f ca="1">IF($B38="","",_xll.BDP($A38&amp;" Corp",AH$14))</f>
        <v>#NAME?</v>
      </c>
      <c r="AI38" s="30" t="e">
        <f ca="1">IF($B38="","",_xll.BDP($A38&amp;" Corp",AI$14))</f>
        <v>#NAME?</v>
      </c>
      <c r="AJ38" s="30" t="e">
        <f ca="1">IF($B38="","",_xll.BDP($A38&amp;" Corp",AJ$14))</f>
        <v>#NAME?</v>
      </c>
      <c r="AK38" s="11" t="e">
        <f ca="1">IF($B38="","",_xll.BDP($A38&amp;" Corp",AK$14))</f>
        <v>#NAME?</v>
      </c>
      <c r="AL38" s="11" t="e">
        <f ca="1">IF($B38="","",_xll.BDP($A38&amp;" Corp",AL$14))</f>
        <v>#NAME?</v>
      </c>
      <c r="AM38" s="11" t="e">
        <f t="shared" ca="1" si="9"/>
        <v>#NAME?</v>
      </c>
      <c r="AN38" s="57" t="e">
        <f t="shared" ca="1" si="11"/>
        <v>#NAME?</v>
      </c>
    </row>
    <row r="39" spans="1:40" x14ac:dyDescent="0.3">
      <c r="A39" s="67" t="str">
        <f t="shared" si="4"/>
        <v>ES0840609004</v>
      </c>
      <c r="B39" s="68" t="s">
        <v>358</v>
      </c>
      <c r="C39" s="75">
        <v>7432</v>
      </c>
      <c r="D39" s="75">
        <v>128</v>
      </c>
      <c r="E39" s="75">
        <v>200000</v>
      </c>
      <c r="F39" s="69">
        <v>0.16118540000000001</v>
      </c>
      <c r="G39" s="70">
        <v>183084</v>
      </c>
      <c r="H39" s="67">
        <f t="shared" si="5"/>
        <v>200000</v>
      </c>
      <c r="I39" s="67">
        <f t="shared" si="6"/>
        <v>0.16118540000000001</v>
      </c>
      <c r="J39" s="67">
        <f t="shared" si="7"/>
        <v>183084</v>
      </c>
      <c r="K39" s="71">
        <f t="shared" si="8"/>
        <v>91.542000000000002</v>
      </c>
      <c r="L39" s="29" t="e">
        <f ca="1">IF(B39="","",_xll.BDP(A39&amp;" Corp","INTERVAL_HIGH","START_DATE_OVERRIDE",TEXT($L$12,"AAAAMMDD"),"END_DATE_OVERRIDE",TEXT($L$13,"AAAAMMDD"),"MARKET_DATA_OVERRIDE",$L$14))</f>
        <v>#NAME?</v>
      </c>
      <c r="M39" s="30" t="e">
        <f ca="1">IF(B39="","",_xll.BDP($A39&amp;" Corp","INTERVAL_LOW","START_DATE_OVERRIDE",TEXT($L$12,"AAAAMMDD"),"END_DATE_OVERRIDE",TEXT($L$13,"AAAAMMDD"),"MARKET_DATA_OVERRIDE",$L$14))</f>
        <v>#NAME?</v>
      </c>
      <c r="N39" s="31" t="e">
        <f ca="1">IF($B39="","",_xll.BDP($A39&amp;" Corp",N$15))</f>
        <v>#NAME?</v>
      </c>
      <c r="O39" s="32" t="e">
        <f ca="1">IF($B39="","",_xll.BDP($A39&amp;" Corp",O$15))</f>
        <v>#NAME?</v>
      </c>
      <c r="P39" s="32" t="e">
        <f ca="1">IF($B39="","",_xll.BDP($A39&amp;" Corp",P$15))</f>
        <v>#NAME?</v>
      </c>
      <c r="Q39" s="30" t="e">
        <f ca="1">IF($B39="","",_xll.BDP($A39&amp;" Corp",Q$14))</f>
        <v>#NAME?</v>
      </c>
      <c r="R39" s="30" t="e">
        <f ca="1">IF($B39="","",_xll.BDP($A39&amp;" Corp",R$14))</f>
        <v>#NAME?</v>
      </c>
      <c r="S39" s="50" t="e">
        <f ca="1">IF($B39="","",_xll.BDP($A39&amp;" Corp",S$14))</f>
        <v>#NAME?</v>
      </c>
      <c r="T39" s="30" t="e">
        <f ca="1">IF($B39="","",_xll.BDP($A39&amp;" Corp",T$14))</f>
        <v>#NAME?</v>
      </c>
      <c r="U39" s="30" t="e">
        <f ca="1">IF($B39="","",_xll.BDP($A39&amp;" Corp",U$14))</f>
        <v>#NAME?</v>
      </c>
      <c r="V39" s="51" t="e">
        <f ca="1">IF($B39="","",IF($T39="VARIABLE",_xll.BDP($A39&amp;" Corp",V$13),_xll.BDP($A39&amp;" Corp",V$14)))</f>
        <v>#NAME?</v>
      </c>
      <c r="W39" s="30" t="e">
        <f ca="1">IF($B39="","",IF($T39="VARIABLE",_xll.BDP($A39&amp;" Corp",W$13),_xll.BDP($A39&amp;" Corp",W$14)))</f>
        <v>#NAME?</v>
      </c>
      <c r="X39" s="30" t="e">
        <f ca="1">IF($B39="","",_xll.BDP($A39&amp;" Corp",X$14))</f>
        <v>#NAME?</v>
      </c>
      <c r="Y39" s="33" t="e">
        <f ca="1">IF($B39="","",_xll.BDP($A39&amp;" Corp",Y$14))</f>
        <v>#NAME?</v>
      </c>
      <c r="Z39" s="52" t="e">
        <f ca="1">IF($B39="","",_xll.BDP($A39&amp;" Corp",Z$14))</f>
        <v>#NAME?</v>
      </c>
      <c r="AA39" s="53" t="e">
        <f ca="1">IF($B39="","",_xll.BDP($A39&amp;" Corp",AA$14))</f>
        <v>#NAME?</v>
      </c>
      <c r="AB39" s="54" t="e">
        <f ca="1">IF($B39="","",_xll.BDP($A39&amp;" Corp",AB$14))</f>
        <v>#NAME?</v>
      </c>
      <c r="AC39" s="54" t="e">
        <f ca="1">IF($B39="","",_xll.BDP($A39&amp;" Corp",AC$14))</f>
        <v>#NAME?</v>
      </c>
      <c r="AD39" s="55" t="e">
        <f ca="1">IF($B39="","",_xll.BDP($A39&amp;" Corp",AD$14))</f>
        <v>#NAME?</v>
      </c>
      <c r="AE39" s="56" t="e">
        <f ca="1">IF($B39="","",_xll.BDP($A39&amp;" Corp",AE$14))</f>
        <v>#NAME?</v>
      </c>
      <c r="AF39" s="29" t="e">
        <f ca="1">IF($B39="","",_xll.BDP($A39&amp;" Corp",AF$14))</f>
        <v>#NAME?</v>
      </c>
      <c r="AG39" s="33" t="e">
        <f ca="1">IF($B39="","",_xll.BDP($A39&amp;" Corp",AG$14))</f>
        <v>#NAME?</v>
      </c>
      <c r="AH39" s="30" t="e">
        <f ca="1">IF($B39="","",_xll.BDP($A39&amp;" Corp",AH$14))</f>
        <v>#NAME?</v>
      </c>
      <c r="AI39" s="30" t="e">
        <f ca="1">IF($B39="","",_xll.BDP($A39&amp;" Corp",AI$14))</f>
        <v>#NAME?</v>
      </c>
      <c r="AJ39" s="30" t="e">
        <f ca="1">IF($B39="","",_xll.BDP($A39&amp;" Corp",AJ$14))</f>
        <v>#NAME?</v>
      </c>
      <c r="AK39" s="11" t="e">
        <f ca="1">IF($B39="","",_xll.BDP($A39&amp;" Corp",AK$14))</f>
        <v>#NAME?</v>
      </c>
      <c r="AL39" s="11" t="e">
        <f ca="1">IF($B39="","",_xll.BDP($A39&amp;" Corp",AL$14))</f>
        <v>#NAME?</v>
      </c>
      <c r="AM39" s="11" t="e">
        <f t="shared" ca="1" si="9"/>
        <v>#NAME?</v>
      </c>
      <c r="AN39" s="57" t="e">
        <f t="shared" ca="1" si="11"/>
        <v>#NAME?</v>
      </c>
    </row>
    <row r="40" spans="1:40" x14ac:dyDescent="0.3">
      <c r="A40" s="67" t="str">
        <f t="shared" si="4"/>
        <v>ES0865936019</v>
      </c>
      <c r="B40" s="68" t="s">
        <v>360</v>
      </c>
      <c r="C40" s="75">
        <v>8758</v>
      </c>
      <c r="D40" s="75">
        <v>128</v>
      </c>
      <c r="E40" s="75">
        <v>200000</v>
      </c>
      <c r="F40" s="69">
        <v>0.14679512</v>
      </c>
      <c r="G40" s="70">
        <v>199994</v>
      </c>
      <c r="H40" s="67">
        <f t="shared" si="5"/>
        <v>200000</v>
      </c>
      <c r="I40" s="67">
        <f t="shared" si="6"/>
        <v>0.14679512</v>
      </c>
      <c r="J40" s="67">
        <f t="shared" si="7"/>
        <v>199994</v>
      </c>
      <c r="K40" s="71">
        <f t="shared" si="8"/>
        <v>99.997</v>
      </c>
      <c r="L40" s="29" t="e">
        <f ca="1">IF(B40="","",_xll.BDP(A40&amp;" Corp","INTERVAL_HIGH","START_DATE_OVERRIDE",TEXT($L$12,"AAAAMMDD"),"END_DATE_OVERRIDE",TEXT($L$13,"AAAAMMDD"),"MARKET_DATA_OVERRIDE",$L$14))</f>
        <v>#NAME?</v>
      </c>
      <c r="M40" s="30" t="e">
        <f ca="1">IF(B40="","",_xll.BDP($A40&amp;" Corp","INTERVAL_LOW","START_DATE_OVERRIDE",TEXT($L$12,"AAAAMMDD"),"END_DATE_OVERRIDE",TEXT($L$13,"AAAAMMDD"),"MARKET_DATA_OVERRIDE",$L$14))</f>
        <v>#NAME?</v>
      </c>
      <c r="N40" s="31" t="e">
        <f ca="1">IF($B40="","",_xll.BDP($A40&amp;" Corp",N$15))</f>
        <v>#NAME?</v>
      </c>
      <c r="O40" s="32" t="e">
        <f ca="1">IF($B40="","",_xll.BDP($A40&amp;" Corp",O$15))</f>
        <v>#NAME?</v>
      </c>
      <c r="P40" s="32" t="e">
        <f ca="1">IF($B40="","",_xll.BDP($A40&amp;" Corp",P$15))</f>
        <v>#NAME?</v>
      </c>
      <c r="Q40" s="30" t="e">
        <f ca="1">IF($B40="","",_xll.BDP($A40&amp;" Corp",Q$14))</f>
        <v>#NAME?</v>
      </c>
      <c r="R40" s="30" t="e">
        <f ca="1">IF($B40="","",_xll.BDP($A40&amp;" Corp",R$14))</f>
        <v>#NAME?</v>
      </c>
      <c r="S40" s="50" t="e">
        <f ca="1">IF($B40="","",_xll.BDP($A40&amp;" Corp",S$14))</f>
        <v>#NAME?</v>
      </c>
      <c r="T40" s="30" t="e">
        <f ca="1">IF($B40="","",_xll.BDP($A40&amp;" Corp",T$14))</f>
        <v>#NAME?</v>
      </c>
      <c r="U40" s="30" t="e">
        <f ca="1">IF($B40="","",_xll.BDP($A40&amp;" Corp",U$14))</f>
        <v>#NAME?</v>
      </c>
      <c r="V40" s="51" t="e">
        <f ca="1">IF($B40="","",IF($T40="VARIABLE",_xll.BDP($A40&amp;" Corp",V$13),_xll.BDP($A40&amp;" Corp",V$14)))</f>
        <v>#NAME?</v>
      </c>
      <c r="W40" s="30" t="e">
        <f ca="1">IF($B40="","",IF($T40="VARIABLE",_xll.BDP($A40&amp;" Corp",W$13),_xll.BDP($A40&amp;" Corp",W$14)))</f>
        <v>#NAME?</v>
      </c>
      <c r="X40" s="30" t="e">
        <f ca="1">IF($B40="","",_xll.BDP($A40&amp;" Corp",X$14))</f>
        <v>#NAME?</v>
      </c>
      <c r="Y40" s="33" t="e">
        <f ca="1">IF($B40="","",_xll.BDP($A40&amp;" Corp",Y$14))</f>
        <v>#NAME?</v>
      </c>
      <c r="Z40" s="52" t="e">
        <f ca="1">IF($B40="","",_xll.BDP($A40&amp;" Corp",Z$14))</f>
        <v>#NAME?</v>
      </c>
      <c r="AA40" s="53" t="e">
        <f ca="1">IF($B40="","",_xll.BDP($A40&amp;" Corp",AA$14))</f>
        <v>#NAME?</v>
      </c>
      <c r="AB40" s="54" t="e">
        <f ca="1">IF($B40="","",_xll.BDP($A40&amp;" Corp",AB$14))</f>
        <v>#NAME?</v>
      </c>
      <c r="AC40" s="54" t="e">
        <f ca="1">IF($B40="","",_xll.BDP($A40&amp;" Corp",AC$14))</f>
        <v>#NAME?</v>
      </c>
      <c r="AD40" s="55" t="e">
        <f ca="1">IF($B40="","",_xll.BDP($A40&amp;" Corp",AD$14))</f>
        <v>#NAME?</v>
      </c>
      <c r="AE40" s="56" t="e">
        <f ca="1">IF($B40="","",_xll.BDP($A40&amp;" Corp",AE$14))</f>
        <v>#NAME?</v>
      </c>
      <c r="AF40" s="29" t="e">
        <f ca="1">IF($B40="","",_xll.BDP($A40&amp;" Corp",AF$14))</f>
        <v>#NAME?</v>
      </c>
      <c r="AG40" s="33" t="e">
        <f ca="1">IF($B40="","",_xll.BDP($A40&amp;" Corp",AG$14))</f>
        <v>#NAME?</v>
      </c>
      <c r="AH40" s="30" t="e">
        <f ca="1">IF($B40="","",_xll.BDP($A40&amp;" Corp",AH$14))</f>
        <v>#NAME?</v>
      </c>
      <c r="AI40" s="30" t="e">
        <f ca="1">IF($B40="","",_xll.BDP($A40&amp;" Corp",AI$14))</f>
        <v>#NAME?</v>
      </c>
      <c r="AJ40" s="30" t="e">
        <f ca="1">IF($B40="","",_xll.BDP($A40&amp;" Corp",AJ$14))</f>
        <v>#NAME?</v>
      </c>
      <c r="AK40" s="11" t="e">
        <f ca="1">IF($B40="","",_xll.BDP($A40&amp;" Corp",AK$14))</f>
        <v>#NAME?</v>
      </c>
      <c r="AL40" s="11" t="e">
        <f ca="1">IF($B40="","",_xll.BDP($A40&amp;" Corp",AL$14))</f>
        <v>#NAME?</v>
      </c>
      <c r="AM40" s="11" t="e">
        <f t="shared" ca="1" si="9"/>
        <v>#NAME?</v>
      </c>
      <c r="AN40" s="57" t="e">
        <f t="shared" ca="1" si="11"/>
        <v>#NAME?</v>
      </c>
    </row>
    <row r="41" spans="1:40" x14ac:dyDescent="0.3">
      <c r="A41" s="67" t="str">
        <f t="shared" si="4"/>
        <v/>
      </c>
      <c r="B41" s="68" t="s">
        <v>362</v>
      </c>
      <c r="C41" s="75">
        <v>2907</v>
      </c>
      <c r="D41" s="75">
        <v>128</v>
      </c>
      <c r="E41" s="75">
        <v>1000000</v>
      </c>
      <c r="F41" s="69">
        <v>0</v>
      </c>
      <c r="G41" s="70">
        <v>71880</v>
      </c>
      <c r="H41" s="67">
        <f t="shared" si="5"/>
        <v>1000000</v>
      </c>
      <c r="I41" s="67">
        <f t="shared" si="6"/>
        <v>0</v>
      </c>
      <c r="J41" s="67">
        <f t="shared" si="7"/>
        <v>71880</v>
      </c>
      <c r="K41" s="71">
        <f t="shared" si="8"/>
        <v>7.1879999999999997</v>
      </c>
      <c r="L41" s="29" t="e">
        <f ca="1">IF(B41="","",_xll.BDP(A41&amp;" Corp","INTERVAL_HIGH","START_DATE_OVERRIDE",TEXT($L$12,"AAAAMMDD"),"END_DATE_OVERRIDE",TEXT($L$13,"AAAAMMDD"),"MARKET_DATA_OVERRIDE",$L$14))</f>
        <v>#NAME?</v>
      </c>
      <c r="M41" s="30" t="e">
        <f ca="1">IF(B41="","",_xll.BDP($A41&amp;" Corp","INTERVAL_LOW","START_DATE_OVERRIDE",TEXT($L$12,"AAAAMMDD"),"END_DATE_OVERRIDE",TEXT($L$13,"AAAAMMDD"),"MARKET_DATA_OVERRIDE",$L$14))</f>
        <v>#NAME?</v>
      </c>
      <c r="N41" s="31" t="e">
        <f ca="1">IF($B41="","",_xll.BDP($A41&amp;" Corp",N$15))</f>
        <v>#NAME?</v>
      </c>
      <c r="O41" s="32" t="e">
        <f ca="1">IF($B41="","",_xll.BDP($A41&amp;" Corp",O$15))</f>
        <v>#NAME?</v>
      </c>
      <c r="P41" s="32" t="e">
        <f ca="1">IF($B41="","",_xll.BDP($A41&amp;" Corp",P$15))</f>
        <v>#NAME?</v>
      </c>
      <c r="Q41" s="30" t="e">
        <f ca="1">IF($B41="","",_xll.BDP($A41&amp;" Corp",Q$14))</f>
        <v>#NAME?</v>
      </c>
      <c r="R41" s="30" t="e">
        <f ca="1">IF($B41="","",_xll.BDP($A41&amp;" Corp",R$14))</f>
        <v>#NAME?</v>
      </c>
      <c r="S41" s="50" t="e">
        <f ca="1">IF($B41="","",_xll.BDP($A41&amp;" Corp",S$14))</f>
        <v>#NAME?</v>
      </c>
      <c r="T41" s="30" t="e">
        <f ca="1">IF($B41="","",_xll.BDP($A41&amp;" Corp",T$14))</f>
        <v>#NAME?</v>
      </c>
      <c r="U41" s="30" t="e">
        <f ca="1">IF($B41="","",_xll.BDP($A41&amp;" Corp",U$14))</f>
        <v>#NAME?</v>
      </c>
      <c r="V41" s="51" t="e">
        <f ca="1">IF($B41="","",IF($T41="VARIABLE",_xll.BDP($A41&amp;" Corp",V$13),_xll.BDP($A41&amp;" Corp",V$14)))</f>
        <v>#NAME?</v>
      </c>
      <c r="W41" s="30" t="e">
        <f ca="1">IF($B41="","",IF($T41="VARIABLE",_xll.BDP($A41&amp;" Corp",W$13),_xll.BDP($A41&amp;" Corp",W$14)))</f>
        <v>#NAME?</v>
      </c>
      <c r="X41" s="30" t="e">
        <f ca="1">IF($B41="","",_xll.BDP($A41&amp;" Corp",X$14))</f>
        <v>#NAME?</v>
      </c>
      <c r="Y41" s="33" t="e">
        <f ca="1">IF($B41="","",_xll.BDP($A41&amp;" Corp",Y$14))</f>
        <v>#NAME?</v>
      </c>
      <c r="Z41" s="52" t="e">
        <f ca="1">IF($B41="","",_xll.BDP($A41&amp;" Corp",Z$14))</f>
        <v>#NAME?</v>
      </c>
      <c r="AA41" s="53" t="e">
        <f ca="1">IF($B41="","",_xll.BDP($A41&amp;" Corp",AA$14))</f>
        <v>#NAME?</v>
      </c>
      <c r="AB41" s="54" t="e">
        <f ca="1">IF($B41="","",_xll.BDP($A41&amp;" Corp",AB$14))</f>
        <v>#NAME?</v>
      </c>
      <c r="AC41" s="54" t="e">
        <f ca="1">IF($B41="","",_xll.BDP($A41&amp;" Corp",AC$14))</f>
        <v>#NAME?</v>
      </c>
      <c r="AD41" s="55" t="e">
        <f ca="1">IF($B41="","",_xll.BDP($A41&amp;" Corp",AD$14))</f>
        <v>#NAME?</v>
      </c>
      <c r="AE41" s="56" t="e">
        <f ca="1">IF($B41="","",_xll.BDP($A41&amp;" Corp",AE$14))</f>
        <v>#NAME?</v>
      </c>
      <c r="AF41" s="29" t="e">
        <f ca="1">IF($B41="","",_xll.BDP($A41&amp;" Corp",AF$14))</f>
        <v>#NAME?</v>
      </c>
      <c r="AG41" s="33" t="e">
        <f ca="1">IF($B41="","",_xll.BDP($A41&amp;" Corp",AG$14))</f>
        <v>#NAME?</v>
      </c>
      <c r="AH41" s="30" t="e">
        <f ca="1">IF($B41="","",_xll.BDP($A41&amp;" Corp",AH$14))</f>
        <v>#NAME?</v>
      </c>
      <c r="AI41" s="30" t="e">
        <f ca="1">IF($B41="","",_xll.BDP($A41&amp;" Corp",AI$14))</f>
        <v>#NAME?</v>
      </c>
      <c r="AJ41" s="30" t="e">
        <f ca="1">IF($B41="","",_xll.BDP($A41&amp;" Corp",AJ$14))</f>
        <v>#NAME?</v>
      </c>
      <c r="AK41" s="11" t="e">
        <f ca="1">IF($B41="","",_xll.BDP($A41&amp;" Corp",AK$14))</f>
        <v>#NAME?</v>
      </c>
      <c r="AL41" s="11" t="e">
        <f ca="1">IF($B41="","",_xll.BDP($A41&amp;" Corp",AL$14))</f>
        <v>#NAME?</v>
      </c>
      <c r="AM41" s="11" t="e">
        <f t="shared" ca="1" si="9"/>
        <v>#NAME?</v>
      </c>
      <c r="AN41" s="57" t="e">
        <f t="shared" ca="1" si="11"/>
        <v>#NAME?</v>
      </c>
    </row>
    <row r="42" spans="1:40" hidden="1" x14ac:dyDescent="0.3">
      <c r="A42" t="str">
        <f t="shared" si="4"/>
        <v>EU000A3K4DJ5</v>
      </c>
      <c r="B42" s="13" t="s">
        <v>595</v>
      </c>
      <c r="C42" s="73">
        <v>10183</v>
      </c>
      <c r="D42" s="73">
        <v>128</v>
      </c>
      <c r="E42" s="73">
        <v>2000000</v>
      </c>
      <c r="F42" s="57">
        <v>1.54510901</v>
      </c>
      <c r="G42" s="58">
        <v>1904990</v>
      </c>
      <c r="H42">
        <f t="shared" si="5"/>
        <v>2000000</v>
      </c>
      <c r="I42">
        <f t="shared" si="6"/>
        <v>1.54510901</v>
      </c>
      <c r="J42">
        <f t="shared" si="7"/>
        <v>1904990</v>
      </c>
      <c r="K42" s="32">
        <f t="shared" si="8"/>
        <v>95.249499999999998</v>
      </c>
      <c r="L42" s="29" t="e">
        <f ca="1">IF(B42="","",_xll.BDP(A42&amp;" Corp","INTERVAL_HIGH","START_DATE_OVERRIDE",TEXT($L$12,"AAAAMMDD"),"END_DATE_OVERRIDE",TEXT($L$13,"AAAAMMDD"),"MARKET_DATA_OVERRIDE",$L$14))</f>
        <v>#NAME?</v>
      </c>
      <c r="M42" s="30" t="e">
        <f ca="1">IF(B42="","",_xll.BDP($A42&amp;" Corp","INTERVAL_LOW","START_DATE_OVERRIDE",TEXT($L$12,"AAAAMMDD"),"END_DATE_OVERRIDE",TEXT($L$13,"AAAAMMDD"),"MARKET_DATA_OVERRIDE",$L$14))</f>
        <v>#NAME?</v>
      </c>
      <c r="N42" s="31" t="e">
        <f ca="1">IF($B42="","",_xll.BDP($A42&amp;" Corp",N$15))</f>
        <v>#NAME?</v>
      </c>
      <c r="O42" s="32" t="e">
        <f ca="1">IF($B42="","",_xll.BDP($A42&amp;" Corp",O$15))</f>
        <v>#NAME?</v>
      </c>
      <c r="P42" s="32" t="e">
        <f ca="1">IF($B42="","",_xll.BDP($A42&amp;" Corp",P$15))</f>
        <v>#NAME?</v>
      </c>
      <c r="Q42" s="30" t="e">
        <f ca="1">IF($B42="","",_xll.BDP($A42&amp;" Corp",Q$14))</f>
        <v>#NAME?</v>
      </c>
      <c r="R42" s="30" t="e">
        <f ca="1">IF($B42="","",_xll.BDP($A42&amp;" Corp",R$14))</f>
        <v>#NAME?</v>
      </c>
      <c r="S42" s="50" t="e">
        <f ca="1">IF($B42="","",_xll.BDP($A42&amp;" Corp",S$14))</f>
        <v>#NAME?</v>
      </c>
      <c r="T42" s="30" t="e">
        <f ca="1">IF($B42="","",_xll.BDP($A42&amp;" Corp",T$14))</f>
        <v>#NAME?</v>
      </c>
      <c r="U42" s="30" t="e">
        <f ca="1">IF($B42="","",_xll.BDP($A42&amp;" Corp",U$14))</f>
        <v>#NAME?</v>
      </c>
      <c r="V42" s="51" t="e">
        <f ca="1">IF($B42="","",IF($T42="VARIABLE",_xll.BDP($A42&amp;" Corp",V$13),_xll.BDP($A42&amp;" Corp",V$14)))</f>
        <v>#NAME?</v>
      </c>
      <c r="W42" s="30" t="e">
        <f ca="1">IF($B42="","",IF($T42="VARIABLE",_xll.BDP($A42&amp;" Corp",W$13),_xll.BDP($A42&amp;" Corp",W$14)))</f>
        <v>#NAME?</v>
      </c>
      <c r="X42" s="30" t="e">
        <f ca="1">IF($B42="","",_xll.BDP($A42&amp;" Corp",X$14))</f>
        <v>#NAME?</v>
      </c>
      <c r="Y42" s="33" t="e">
        <f ca="1">IF($B42="","",_xll.BDP($A42&amp;" Corp",Y$14))</f>
        <v>#NAME?</v>
      </c>
      <c r="Z42" s="52" t="e">
        <f ca="1">IF($B42="","",_xll.BDP($A42&amp;" Corp",Z$14))</f>
        <v>#NAME?</v>
      </c>
      <c r="AA42" s="53" t="e">
        <f ca="1">IF($B42="","",_xll.BDP($A42&amp;" Corp",AA$14))</f>
        <v>#NAME?</v>
      </c>
      <c r="AB42" s="54" t="e">
        <f ca="1">IF($B42="","",_xll.BDP($A42&amp;" Corp",AB$14))</f>
        <v>#NAME?</v>
      </c>
      <c r="AC42" s="54" t="e">
        <f ca="1">IF($B42="","",_xll.BDP($A42&amp;" Corp",AC$14))</f>
        <v>#NAME?</v>
      </c>
      <c r="AD42" s="55" t="e">
        <f ca="1">IF($B42="","",_xll.BDP($A42&amp;" Corp",AD$14))</f>
        <v>#NAME?</v>
      </c>
      <c r="AE42" s="56" t="e">
        <f ca="1">IF($B42="","",_xll.BDP($A42&amp;" Corp",AE$14))</f>
        <v>#NAME?</v>
      </c>
      <c r="AF42" s="29" t="e">
        <f ca="1">IF($B42="","",_xll.BDP($A42&amp;" Corp",AF$14))</f>
        <v>#NAME?</v>
      </c>
      <c r="AG42" s="33" t="e">
        <f ca="1">IF($B42="","",_xll.BDP($A42&amp;" Corp",AG$14))</f>
        <v>#NAME?</v>
      </c>
      <c r="AH42" s="30" t="e">
        <f ca="1">IF($B42="","",_xll.BDP($A42&amp;" Corp",AH$14))</f>
        <v>#NAME?</v>
      </c>
      <c r="AI42" s="30" t="e">
        <f ca="1">IF($B42="","",_xll.BDP($A42&amp;" Corp",AI$14))</f>
        <v>#NAME?</v>
      </c>
      <c r="AJ42" s="30" t="e">
        <f ca="1">IF($B42="","",_xll.BDP($A42&amp;" Corp",AJ$14))</f>
        <v>#NAME?</v>
      </c>
      <c r="AK42" s="11" t="e">
        <f ca="1">IF($B42="","",_xll.BDP($A42&amp;" Corp",AK$14))</f>
        <v>#NAME?</v>
      </c>
      <c r="AL42" s="11" t="e">
        <f ca="1">IF($B42="","",_xll.BDP($A42&amp;" Corp",AL$14))</f>
        <v>#NAME?</v>
      </c>
      <c r="AM42" s="11" t="e">
        <f t="shared" ca="1" si="9"/>
        <v>#NAME?</v>
      </c>
    </row>
    <row r="43" spans="1:40" x14ac:dyDescent="0.3">
      <c r="A43" s="67" t="str">
        <f t="shared" si="4"/>
        <v>FR0010804500</v>
      </c>
      <c r="B43" s="68" t="s">
        <v>581</v>
      </c>
      <c r="C43" s="75">
        <v>4612</v>
      </c>
      <c r="D43" s="75">
        <v>128</v>
      </c>
      <c r="E43" s="75">
        <v>450000</v>
      </c>
      <c r="F43" s="69">
        <v>0.36653238999999999</v>
      </c>
      <c r="G43" s="70">
        <v>506481.83</v>
      </c>
      <c r="H43" s="67">
        <f t="shared" si="5"/>
        <v>450000</v>
      </c>
      <c r="I43" s="67">
        <f t="shared" si="6"/>
        <v>0.36653238999999999</v>
      </c>
      <c r="J43" s="67">
        <f t="shared" si="7"/>
        <v>506481.83</v>
      </c>
      <c r="K43" s="71">
        <f t="shared" si="8"/>
        <v>112.55151777777778</v>
      </c>
      <c r="L43" s="29" t="e">
        <f ca="1">IF(B43="","",_xll.BDP(A43&amp;" Corp","INTERVAL_HIGH","START_DATE_OVERRIDE",TEXT($L$12,"AAAAMMDD"),"END_DATE_OVERRIDE",TEXT($L$13,"AAAAMMDD"),"MARKET_DATA_OVERRIDE",$L$14))</f>
        <v>#NAME?</v>
      </c>
      <c r="M43" s="30" t="e">
        <f ca="1">IF(B43="","",_xll.BDP($A43&amp;" Corp","INTERVAL_LOW","START_DATE_OVERRIDE",TEXT($L$12,"AAAAMMDD"),"END_DATE_OVERRIDE",TEXT($L$13,"AAAAMMDD"),"MARKET_DATA_OVERRIDE",$L$14))</f>
        <v>#NAME?</v>
      </c>
      <c r="N43" s="31" t="e">
        <f ca="1">IF($B43="","",_xll.BDP($A43&amp;" Corp",N$15))</f>
        <v>#NAME?</v>
      </c>
      <c r="O43" s="32" t="e">
        <f ca="1">IF($B43="","",_xll.BDP($A43&amp;" Corp",O$15))</f>
        <v>#NAME?</v>
      </c>
      <c r="P43" s="32" t="e">
        <f ca="1">IF($B43="","",_xll.BDP($A43&amp;" Corp",P$15))</f>
        <v>#NAME?</v>
      </c>
      <c r="Q43" s="30" t="e">
        <f ca="1">IF($B43="","",_xll.BDP($A43&amp;" Corp",Q$14))</f>
        <v>#NAME?</v>
      </c>
      <c r="R43" s="30" t="e">
        <f ca="1">IF($B43="","",_xll.BDP($A43&amp;" Corp",R$14))</f>
        <v>#NAME?</v>
      </c>
      <c r="S43" s="50" t="e">
        <f ca="1">IF($B43="","",_xll.BDP($A43&amp;" Corp",S$14))</f>
        <v>#NAME?</v>
      </c>
      <c r="T43" s="30" t="e">
        <f ca="1">IF($B43="","",_xll.BDP($A43&amp;" Corp",T$14))</f>
        <v>#NAME?</v>
      </c>
      <c r="U43" s="30" t="e">
        <f ca="1">IF($B43="","",_xll.BDP($A43&amp;" Corp",U$14))</f>
        <v>#NAME?</v>
      </c>
      <c r="V43" s="51" t="e">
        <f ca="1">IF($B43="","",IF($T43="VARIABLE",_xll.BDP($A43&amp;" Corp",V$13),_xll.BDP($A43&amp;" Corp",V$14)))</f>
        <v>#NAME?</v>
      </c>
      <c r="W43" s="30" t="e">
        <f ca="1">IF($B43="","",IF($T43="VARIABLE",_xll.BDP($A43&amp;" Corp",W$13),_xll.BDP($A43&amp;" Corp",W$14)))</f>
        <v>#NAME?</v>
      </c>
      <c r="X43" s="30" t="e">
        <f ca="1">IF($B43="","",_xll.BDP($A43&amp;" Corp",X$14))</f>
        <v>#NAME?</v>
      </c>
      <c r="Y43" s="33" t="e">
        <f ca="1">IF($B43="","",_xll.BDP($A43&amp;" Corp",Y$14))</f>
        <v>#NAME?</v>
      </c>
      <c r="Z43" s="52" t="e">
        <f ca="1">IF($B43="","",_xll.BDP($A43&amp;" Corp",Z$14))</f>
        <v>#NAME?</v>
      </c>
      <c r="AA43" s="53" t="e">
        <f ca="1">IF($B43="","",_xll.BDP($A43&amp;" Corp",AA$14))</f>
        <v>#NAME?</v>
      </c>
      <c r="AB43" s="54" t="e">
        <f ca="1">IF($B43="","",_xll.BDP($A43&amp;" Corp",AB$14))</f>
        <v>#NAME?</v>
      </c>
      <c r="AC43" s="54" t="e">
        <f ca="1">IF($B43="","",_xll.BDP($A43&amp;" Corp",AC$14))</f>
        <v>#NAME?</v>
      </c>
      <c r="AD43" s="55" t="e">
        <f ca="1">IF($B43="","",_xll.BDP($A43&amp;" Corp",AD$14))</f>
        <v>#NAME?</v>
      </c>
      <c r="AE43" s="56" t="e">
        <f ca="1">IF($B43="","",_xll.BDP($A43&amp;" Corp",AE$14))</f>
        <v>#NAME?</v>
      </c>
      <c r="AF43" s="29" t="e">
        <f ca="1">IF($B43="","",_xll.BDP($A43&amp;" Corp",AF$14))</f>
        <v>#NAME?</v>
      </c>
      <c r="AG43" s="33" t="e">
        <f ca="1">IF($B43="","",_xll.BDP($A43&amp;" Corp",AG$14))</f>
        <v>#NAME?</v>
      </c>
      <c r="AH43" s="30" t="e">
        <f ca="1">IF($B43="","",_xll.BDP($A43&amp;" Corp",AH$14))</f>
        <v>#NAME?</v>
      </c>
      <c r="AI43" s="30" t="e">
        <f ca="1">IF($B43="","",_xll.BDP($A43&amp;" Corp",AI$14))</f>
        <v>#NAME?</v>
      </c>
      <c r="AJ43" s="30" t="e">
        <f ca="1">IF($B43="","",_xll.BDP($A43&amp;" Corp",AJ$14))</f>
        <v>#NAME?</v>
      </c>
      <c r="AK43" s="11" t="e">
        <f ca="1">IF($B43="","",_xll.BDP($A43&amp;" Corp",AK$14))</f>
        <v>#NAME?</v>
      </c>
      <c r="AL43" s="11" t="e">
        <f ca="1">IF($B43="","",_xll.BDP($A43&amp;" Corp",AL$14))</f>
        <v>#NAME?</v>
      </c>
      <c r="AM43" s="11" t="e">
        <f t="shared" ca="1" si="9"/>
        <v>#NAME?</v>
      </c>
      <c r="AN43" s="57" t="e">
        <f t="shared" ref="AN43:AN63" ca="1" si="12">IF(ROUND(W43,0)=0,ROUND(W43,1), ROUND(W43,0))</f>
        <v>#NAME?</v>
      </c>
    </row>
    <row r="44" spans="1:40" x14ac:dyDescent="0.3">
      <c r="A44" s="67" t="str">
        <f t="shared" si="4"/>
        <v>FR0013144201</v>
      </c>
      <c r="B44" s="68" t="s">
        <v>258</v>
      </c>
      <c r="C44" s="75">
        <v>2008</v>
      </c>
      <c r="D44" s="75">
        <v>128</v>
      </c>
      <c r="E44" s="75">
        <v>100000</v>
      </c>
      <c r="F44" s="69">
        <v>7.7866820000000003E-2</v>
      </c>
      <c r="G44" s="70">
        <v>105040.5</v>
      </c>
      <c r="H44" s="67">
        <f t="shared" si="5"/>
        <v>100000</v>
      </c>
      <c r="I44" s="67">
        <f t="shared" si="6"/>
        <v>7.7866820000000003E-2</v>
      </c>
      <c r="J44" s="67">
        <f t="shared" si="7"/>
        <v>105040.5</v>
      </c>
      <c r="K44" s="71">
        <f t="shared" si="8"/>
        <v>105.04049999999999</v>
      </c>
      <c r="L44" s="29" t="e">
        <f ca="1">IF(B44="","",_xll.BDP(A44&amp;" Corp","INTERVAL_HIGH","START_DATE_OVERRIDE",TEXT($L$12,"AAAAMMDD"),"END_DATE_OVERRIDE",TEXT($L$13,"AAAAMMDD"),"MARKET_DATA_OVERRIDE",$L$14))</f>
        <v>#NAME?</v>
      </c>
      <c r="M44" s="30" t="e">
        <f ca="1">IF(B44="","",_xll.BDP($A44&amp;" Corp","INTERVAL_LOW","START_DATE_OVERRIDE",TEXT($L$12,"AAAAMMDD"),"END_DATE_OVERRIDE",TEXT($L$13,"AAAAMMDD"),"MARKET_DATA_OVERRIDE",$L$14))</f>
        <v>#NAME?</v>
      </c>
      <c r="N44" s="31" t="e">
        <f ca="1">IF($B44="","",_xll.BDP($A44&amp;" Corp",N$15))</f>
        <v>#NAME?</v>
      </c>
      <c r="O44" s="32" t="e">
        <f ca="1">IF($B44="","",_xll.BDP($A44&amp;" Corp",O$15))</f>
        <v>#NAME?</v>
      </c>
      <c r="P44" s="32" t="e">
        <f ca="1">IF($B44="","",_xll.BDP($A44&amp;" Corp",P$15))</f>
        <v>#NAME?</v>
      </c>
      <c r="Q44" s="30" t="e">
        <f ca="1">IF($B44="","",_xll.BDP($A44&amp;" Corp",Q$14))</f>
        <v>#NAME?</v>
      </c>
      <c r="R44" s="30" t="e">
        <f ca="1">IF($B44="","",_xll.BDP($A44&amp;" Corp",R$14))</f>
        <v>#NAME?</v>
      </c>
      <c r="S44" s="50" t="e">
        <f ca="1">IF($B44="","",_xll.BDP($A44&amp;" Corp",S$14))</f>
        <v>#NAME?</v>
      </c>
      <c r="T44" s="30" t="e">
        <f ca="1">IF($B44="","",_xll.BDP($A44&amp;" Corp",T$14))</f>
        <v>#NAME?</v>
      </c>
      <c r="U44" s="30" t="e">
        <f ca="1">IF($B44="","",_xll.BDP($A44&amp;" Corp",U$14))</f>
        <v>#NAME?</v>
      </c>
      <c r="V44" s="51" t="e">
        <f ca="1">IF($B44="","",IF($T44="VARIABLE",_xll.BDP($A44&amp;" Corp",V$13),_xll.BDP($A44&amp;" Corp",V$14)))</f>
        <v>#NAME?</v>
      </c>
      <c r="W44" s="30" t="e">
        <f ca="1">IF($B44="","",IF($T44="VARIABLE",_xll.BDP($A44&amp;" Corp",W$13),_xll.BDP($A44&amp;" Corp",W$14)))</f>
        <v>#NAME?</v>
      </c>
      <c r="X44" s="30" t="e">
        <f ca="1">IF($B44="","",_xll.BDP($A44&amp;" Corp",X$14))</f>
        <v>#NAME?</v>
      </c>
      <c r="Y44" s="33" t="e">
        <f ca="1">IF($B44="","",_xll.BDP($A44&amp;" Corp",Y$14))</f>
        <v>#NAME?</v>
      </c>
      <c r="Z44" s="52" t="e">
        <f ca="1">IF($B44="","",_xll.BDP($A44&amp;" Corp",Z$14))</f>
        <v>#NAME?</v>
      </c>
      <c r="AA44" s="53" t="e">
        <f ca="1">IF($B44="","",_xll.BDP($A44&amp;" Corp",AA$14))</f>
        <v>#NAME?</v>
      </c>
      <c r="AB44" s="54" t="e">
        <f ca="1">IF($B44="","",_xll.BDP($A44&amp;" Corp",AB$14))</f>
        <v>#NAME?</v>
      </c>
      <c r="AC44" s="54" t="e">
        <f ca="1">IF($B44="","",_xll.BDP($A44&amp;" Corp",AC$14))</f>
        <v>#NAME?</v>
      </c>
      <c r="AD44" s="55" t="e">
        <f ca="1">IF($B44="","",_xll.BDP($A44&amp;" Corp",AD$14))</f>
        <v>#NAME?</v>
      </c>
      <c r="AE44" s="56" t="e">
        <f ca="1">IF($B44="","",_xll.BDP($A44&amp;" Corp",AE$14))</f>
        <v>#NAME?</v>
      </c>
      <c r="AF44" s="29" t="e">
        <f ca="1">IF($B44="","",_xll.BDP($A44&amp;" Corp",AF$14))</f>
        <v>#NAME?</v>
      </c>
      <c r="AG44" s="33" t="e">
        <f ca="1">IF($B44="","",_xll.BDP($A44&amp;" Corp",AG$14))</f>
        <v>#NAME?</v>
      </c>
      <c r="AH44" s="30" t="e">
        <f ca="1">IF($B44="","",_xll.BDP($A44&amp;" Corp",AH$14))</f>
        <v>#NAME?</v>
      </c>
      <c r="AI44" s="30" t="e">
        <f ca="1">IF($B44="","",_xll.BDP($A44&amp;" Corp",AI$14))</f>
        <v>#NAME?</v>
      </c>
      <c r="AJ44" s="30" t="e">
        <f ca="1">IF($B44="","",_xll.BDP($A44&amp;" Corp",AJ$14))</f>
        <v>#NAME?</v>
      </c>
      <c r="AK44" s="11" t="e">
        <f ca="1">IF($B44="","",_xll.BDP($A44&amp;" Corp",AK$14))</f>
        <v>#NAME?</v>
      </c>
      <c r="AL44" s="11" t="e">
        <f ca="1">IF($B44="","",_xll.BDP($A44&amp;" Corp",AL$14))</f>
        <v>#NAME?</v>
      </c>
      <c r="AM44" s="11" t="e">
        <f t="shared" ca="1" si="9"/>
        <v>#NAME?</v>
      </c>
      <c r="AN44" s="57" t="e">
        <f t="shared" ca="1" si="12"/>
        <v>#NAME?</v>
      </c>
    </row>
    <row r="45" spans="1:40" x14ac:dyDescent="0.3">
      <c r="A45" s="67" t="str">
        <f t="shared" si="4"/>
        <v>FR0013322146</v>
      </c>
      <c r="B45" s="68" t="s">
        <v>297</v>
      </c>
      <c r="C45" s="75">
        <v>9788</v>
      </c>
      <c r="D45" s="75">
        <v>128</v>
      </c>
      <c r="E45" s="75">
        <v>100000</v>
      </c>
      <c r="F45" s="69">
        <v>8.100657E-2</v>
      </c>
      <c r="G45" s="70">
        <v>99810</v>
      </c>
      <c r="H45" s="67">
        <f t="shared" si="5"/>
        <v>100000</v>
      </c>
      <c r="I45" s="67">
        <f t="shared" si="6"/>
        <v>8.100657E-2</v>
      </c>
      <c r="J45" s="67">
        <f t="shared" si="7"/>
        <v>99810</v>
      </c>
      <c r="K45" s="71">
        <f t="shared" si="8"/>
        <v>99.81</v>
      </c>
      <c r="L45" s="29" t="e">
        <f ca="1">IF(B45="","",_xll.BDP(A45&amp;" Corp","INTERVAL_HIGH","START_DATE_OVERRIDE",TEXT($L$12,"AAAAMMDD"),"END_DATE_OVERRIDE",TEXT($L$13,"AAAAMMDD"),"MARKET_DATA_OVERRIDE",$L$14))</f>
        <v>#NAME?</v>
      </c>
      <c r="M45" s="30" t="e">
        <f ca="1">IF(B45="","",_xll.BDP($A45&amp;" Corp","INTERVAL_LOW","START_DATE_OVERRIDE",TEXT($L$12,"AAAAMMDD"),"END_DATE_OVERRIDE",TEXT($L$13,"AAAAMMDD"),"MARKET_DATA_OVERRIDE",$L$14))</f>
        <v>#NAME?</v>
      </c>
      <c r="N45" s="31" t="e">
        <f ca="1">IF($B45="","",_xll.BDP($A45&amp;" Corp",N$15))</f>
        <v>#NAME?</v>
      </c>
      <c r="O45" s="32" t="e">
        <f ca="1">IF($B45="","",_xll.BDP($A45&amp;" Corp",O$15))</f>
        <v>#NAME?</v>
      </c>
      <c r="P45" s="32" t="e">
        <f ca="1">IF($B45="","",_xll.BDP($A45&amp;" Corp",P$15))</f>
        <v>#NAME?</v>
      </c>
      <c r="Q45" s="30" t="e">
        <f ca="1">IF($B45="","",_xll.BDP($A45&amp;" Corp",Q$14))</f>
        <v>#NAME?</v>
      </c>
      <c r="R45" s="30" t="e">
        <f ca="1">IF($B45="","",_xll.BDP($A45&amp;" Corp",R$14))</f>
        <v>#NAME?</v>
      </c>
      <c r="S45" s="50" t="e">
        <f ca="1">IF($B45="","",_xll.BDP($A45&amp;" Corp",S$14))</f>
        <v>#NAME?</v>
      </c>
      <c r="T45" s="30" t="e">
        <f ca="1">IF($B45="","",_xll.BDP($A45&amp;" Corp",T$14))</f>
        <v>#NAME?</v>
      </c>
      <c r="U45" s="30" t="e">
        <f ca="1">IF($B45="","",_xll.BDP($A45&amp;" Corp",U$14))</f>
        <v>#NAME?</v>
      </c>
      <c r="V45" s="51" t="e">
        <f ca="1">IF($B45="","",IF($T45="VARIABLE",_xll.BDP($A45&amp;" Corp",V$13),_xll.BDP($A45&amp;" Corp",V$14)))</f>
        <v>#NAME?</v>
      </c>
      <c r="W45" s="30" t="e">
        <f ca="1">IF($B45="","",IF($T45="VARIABLE",_xll.BDP($A45&amp;" Corp",W$13),_xll.BDP($A45&amp;" Corp",W$14)))</f>
        <v>#NAME?</v>
      </c>
      <c r="X45" s="30" t="e">
        <f ca="1">IF($B45="","",_xll.BDP($A45&amp;" Corp",X$14))</f>
        <v>#NAME?</v>
      </c>
      <c r="Y45" s="33" t="e">
        <f ca="1">IF($B45="","",_xll.BDP($A45&amp;" Corp",Y$14))</f>
        <v>#NAME?</v>
      </c>
      <c r="Z45" s="52" t="e">
        <f ca="1">IF($B45="","",_xll.BDP($A45&amp;" Corp",Z$14))</f>
        <v>#NAME?</v>
      </c>
      <c r="AA45" s="53" t="e">
        <f ca="1">IF($B45="","",_xll.BDP($A45&amp;" Corp",AA$14))</f>
        <v>#NAME?</v>
      </c>
      <c r="AB45" s="54" t="e">
        <f ca="1">IF($B45="","",_xll.BDP($A45&amp;" Corp",AB$14))</f>
        <v>#NAME?</v>
      </c>
      <c r="AC45" s="54" t="e">
        <f ca="1">IF($B45="","",_xll.BDP($A45&amp;" Corp",AC$14))</f>
        <v>#NAME?</v>
      </c>
      <c r="AD45" s="55" t="e">
        <f ca="1">IF($B45="","",_xll.BDP($A45&amp;" Corp",AD$14))</f>
        <v>#NAME?</v>
      </c>
      <c r="AE45" s="56" t="e">
        <f ca="1">IF($B45="","",_xll.BDP($A45&amp;" Corp",AE$14))</f>
        <v>#NAME?</v>
      </c>
      <c r="AF45" s="29" t="e">
        <f ca="1">IF($B45="","",_xll.BDP($A45&amp;" Corp",AF$14))</f>
        <v>#NAME?</v>
      </c>
      <c r="AG45" s="33" t="e">
        <f ca="1">IF($B45="","",_xll.BDP($A45&amp;" Corp",AG$14))</f>
        <v>#NAME?</v>
      </c>
      <c r="AH45" s="30" t="e">
        <f ca="1">IF($B45="","",_xll.BDP($A45&amp;" Corp",AH$14))</f>
        <v>#NAME?</v>
      </c>
      <c r="AI45" s="30" t="e">
        <f ca="1">IF($B45="","",_xll.BDP($A45&amp;" Corp",AI$14))</f>
        <v>#NAME?</v>
      </c>
      <c r="AJ45" s="30" t="e">
        <f ca="1">IF($B45="","",_xll.BDP($A45&amp;" Corp",AJ$14))</f>
        <v>#NAME?</v>
      </c>
      <c r="AK45" s="11" t="e">
        <f ca="1">IF($B45="","",_xll.BDP($A45&amp;" Corp",AK$14))</f>
        <v>#NAME?</v>
      </c>
      <c r="AL45" s="11" t="e">
        <f ca="1">IF($B45="","",_xll.BDP($A45&amp;" Corp",AL$14))</f>
        <v>#NAME?</v>
      </c>
      <c r="AM45" s="11" t="e">
        <f t="shared" ca="1" si="9"/>
        <v>#NAME?</v>
      </c>
      <c r="AN45" s="57" t="e">
        <f t="shared" ca="1" si="12"/>
        <v>#NAME?</v>
      </c>
    </row>
    <row r="46" spans="1:40" x14ac:dyDescent="0.3">
      <c r="A46" s="67" t="str">
        <f t="shared" si="4"/>
        <v>FR0013329315</v>
      </c>
      <c r="B46" s="68" t="s">
        <v>299</v>
      </c>
      <c r="C46" s="75">
        <v>9074</v>
      </c>
      <c r="D46" s="75">
        <v>128</v>
      </c>
      <c r="E46" s="75">
        <v>300000</v>
      </c>
      <c r="F46" s="69">
        <v>0.23896395000000001</v>
      </c>
      <c r="G46" s="70">
        <v>299533</v>
      </c>
      <c r="H46" s="67">
        <f t="shared" si="5"/>
        <v>300000</v>
      </c>
      <c r="I46" s="67">
        <f t="shared" si="6"/>
        <v>0.23896395000000001</v>
      </c>
      <c r="J46" s="67">
        <f t="shared" si="7"/>
        <v>299533</v>
      </c>
      <c r="K46" s="71">
        <f t="shared" si="8"/>
        <v>99.844333333333338</v>
      </c>
      <c r="L46" s="29" t="e">
        <f ca="1">IF(B46="","",_xll.BDP(A46&amp;" Corp","INTERVAL_HIGH","START_DATE_OVERRIDE",TEXT($L$12,"AAAAMMDD"),"END_DATE_OVERRIDE",TEXT($L$13,"AAAAMMDD"),"MARKET_DATA_OVERRIDE",$L$14))</f>
        <v>#NAME?</v>
      </c>
      <c r="M46" s="30" t="e">
        <f ca="1">IF(B46="","",_xll.BDP($A46&amp;" Corp","INTERVAL_LOW","START_DATE_OVERRIDE",TEXT($L$12,"AAAAMMDD"),"END_DATE_OVERRIDE",TEXT($L$13,"AAAAMMDD"),"MARKET_DATA_OVERRIDE",$L$14))</f>
        <v>#NAME?</v>
      </c>
      <c r="N46" s="31" t="e">
        <f ca="1">IF($B46="","",_xll.BDP($A46&amp;" Corp",N$15))</f>
        <v>#NAME?</v>
      </c>
      <c r="O46" s="32" t="e">
        <f ca="1">IF($B46="","",_xll.BDP($A46&amp;" Corp",O$15))</f>
        <v>#NAME?</v>
      </c>
      <c r="P46" s="32" t="e">
        <f ca="1">IF($B46="","",_xll.BDP($A46&amp;" Corp",P$15))</f>
        <v>#NAME?</v>
      </c>
      <c r="Q46" s="30" t="e">
        <f ca="1">IF($B46="","",_xll.BDP($A46&amp;" Corp",Q$14))</f>
        <v>#NAME?</v>
      </c>
      <c r="R46" s="30" t="e">
        <f ca="1">IF($B46="","",_xll.BDP($A46&amp;" Corp",R$14))</f>
        <v>#NAME?</v>
      </c>
      <c r="S46" s="50" t="e">
        <f ca="1">IF($B46="","",_xll.BDP($A46&amp;" Corp",S$14))</f>
        <v>#NAME?</v>
      </c>
      <c r="T46" s="30" t="e">
        <f ca="1">IF($B46="","",_xll.BDP($A46&amp;" Corp",T$14))</f>
        <v>#NAME?</v>
      </c>
      <c r="U46" s="30" t="e">
        <f ca="1">IF($B46="","",_xll.BDP($A46&amp;" Corp",U$14))</f>
        <v>#NAME?</v>
      </c>
      <c r="V46" s="51" t="e">
        <f ca="1">IF($B46="","",IF($T46="VARIABLE",_xll.BDP($A46&amp;" Corp",V$13),_xll.BDP($A46&amp;" Corp",V$14)))</f>
        <v>#NAME?</v>
      </c>
      <c r="W46" s="30" t="e">
        <f ca="1">IF($B46="","",IF($T46="VARIABLE",_xll.BDP($A46&amp;" Corp",W$13),_xll.BDP($A46&amp;" Corp",W$14)))</f>
        <v>#NAME?</v>
      </c>
      <c r="X46" s="30" t="e">
        <f ca="1">IF($B46="","",_xll.BDP($A46&amp;" Corp",X$14))</f>
        <v>#NAME?</v>
      </c>
      <c r="Y46" s="33" t="e">
        <f ca="1">IF($B46="","",_xll.BDP($A46&amp;" Corp",Y$14))</f>
        <v>#NAME?</v>
      </c>
      <c r="Z46" s="52" t="e">
        <f ca="1">IF($B46="","",_xll.BDP($A46&amp;" Corp",Z$14))</f>
        <v>#NAME?</v>
      </c>
      <c r="AA46" s="53" t="e">
        <f ca="1">IF($B46="","",_xll.BDP($A46&amp;" Corp",AA$14))</f>
        <v>#NAME?</v>
      </c>
      <c r="AB46" s="54" t="e">
        <f ca="1">IF($B46="","",_xll.BDP($A46&amp;" Corp",AB$14))</f>
        <v>#NAME?</v>
      </c>
      <c r="AC46" s="54" t="e">
        <f ca="1">IF($B46="","",_xll.BDP($A46&amp;" Corp",AC$14))</f>
        <v>#NAME?</v>
      </c>
      <c r="AD46" s="55" t="e">
        <f ca="1">IF($B46="","",_xll.BDP($A46&amp;" Corp",AD$14))</f>
        <v>#NAME?</v>
      </c>
      <c r="AE46" s="56" t="e">
        <f ca="1">IF($B46="","",_xll.BDP($A46&amp;" Corp",AE$14))</f>
        <v>#NAME?</v>
      </c>
      <c r="AF46" s="29" t="e">
        <f ca="1">IF($B46="","",_xll.BDP($A46&amp;" Corp",AF$14))</f>
        <v>#NAME?</v>
      </c>
      <c r="AG46" s="33" t="e">
        <f ca="1">IF($B46="","",_xll.BDP($A46&amp;" Corp",AG$14))</f>
        <v>#NAME?</v>
      </c>
      <c r="AH46" s="30" t="e">
        <f ca="1">IF($B46="","",_xll.BDP($A46&amp;" Corp",AH$14))</f>
        <v>#NAME?</v>
      </c>
      <c r="AI46" s="30" t="e">
        <f ca="1">IF($B46="","",_xll.BDP($A46&amp;" Corp",AI$14))</f>
        <v>#NAME?</v>
      </c>
      <c r="AJ46" s="30" t="e">
        <f ca="1">IF($B46="","",_xll.BDP($A46&amp;" Corp",AJ$14))</f>
        <v>#NAME?</v>
      </c>
      <c r="AK46" s="11" t="e">
        <f ca="1">IF($B46="","",_xll.BDP($A46&amp;" Corp",AK$14))</f>
        <v>#NAME?</v>
      </c>
      <c r="AL46" s="11" t="e">
        <f ca="1">IF($B46="","",_xll.BDP($A46&amp;" Corp",AL$14))</f>
        <v>#NAME?</v>
      </c>
      <c r="AM46" s="11" t="e">
        <f t="shared" ca="1" si="9"/>
        <v>#NAME?</v>
      </c>
      <c r="AN46" s="57" t="e">
        <f t="shared" ca="1" si="12"/>
        <v>#NAME?</v>
      </c>
    </row>
    <row r="47" spans="1:40" x14ac:dyDescent="0.3">
      <c r="A47" s="67" t="str">
        <f t="shared" si="4"/>
        <v>FR0013342334</v>
      </c>
      <c r="B47" s="68" t="s">
        <v>303</v>
      </c>
      <c r="C47" s="75">
        <v>9241</v>
      </c>
      <c r="D47" s="75">
        <v>128</v>
      </c>
      <c r="E47" s="75">
        <v>300000</v>
      </c>
      <c r="F47" s="69">
        <v>0.23276284</v>
      </c>
      <c r="G47" s="70">
        <v>308510</v>
      </c>
      <c r="H47" s="67">
        <f t="shared" si="5"/>
        <v>300000</v>
      </c>
      <c r="I47" s="67">
        <f t="shared" si="6"/>
        <v>0.23276284</v>
      </c>
      <c r="J47" s="67">
        <f t="shared" si="7"/>
        <v>308510</v>
      </c>
      <c r="K47" s="71">
        <f t="shared" si="8"/>
        <v>102.83666666666667</v>
      </c>
      <c r="L47" s="29" t="e">
        <f ca="1">IF(B47="","",_xll.BDP(A47&amp;" Corp","INTERVAL_HIGH","START_DATE_OVERRIDE",TEXT($L$12,"AAAAMMDD"),"END_DATE_OVERRIDE",TEXT($L$13,"AAAAMMDD"),"MARKET_DATA_OVERRIDE",$L$14))</f>
        <v>#NAME?</v>
      </c>
      <c r="M47" s="30" t="e">
        <f ca="1">IF(B47="","",_xll.BDP($A47&amp;" Corp","INTERVAL_LOW","START_DATE_OVERRIDE",TEXT($L$12,"AAAAMMDD"),"END_DATE_OVERRIDE",TEXT($L$13,"AAAAMMDD"),"MARKET_DATA_OVERRIDE",$L$14))</f>
        <v>#NAME?</v>
      </c>
      <c r="N47" s="31" t="e">
        <f ca="1">IF($B47="","",_xll.BDP($A47&amp;" Corp",N$15))</f>
        <v>#NAME?</v>
      </c>
      <c r="O47" s="32" t="e">
        <f ca="1">IF($B47="","",_xll.BDP($A47&amp;" Corp",O$15))</f>
        <v>#NAME?</v>
      </c>
      <c r="P47" s="32" t="e">
        <f ca="1">IF($B47="","",_xll.BDP($A47&amp;" Corp",P$15))</f>
        <v>#NAME?</v>
      </c>
      <c r="Q47" s="30" t="e">
        <f ca="1">IF($B47="","",_xll.BDP($A47&amp;" Corp",Q$14))</f>
        <v>#NAME?</v>
      </c>
      <c r="R47" s="30" t="e">
        <f ca="1">IF($B47="","",_xll.BDP($A47&amp;" Corp",R$14))</f>
        <v>#NAME?</v>
      </c>
      <c r="S47" s="50" t="e">
        <f ca="1">IF($B47="","",_xll.BDP($A47&amp;" Corp",S$14))</f>
        <v>#NAME?</v>
      </c>
      <c r="T47" s="30" t="e">
        <f ca="1">IF($B47="","",_xll.BDP($A47&amp;" Corp",T$14))</f>
        <v>#NAME?</v>
      </c>
      <c r="U47" s="30" t="e">
        <f ca="1">IF($B47="","",_xll.BDP($A47&amp;" Corp",U$14))</f>
        <v>#NAME?</v>
      </c>
      <c r="V47" s="51" t="e">
        <f ca="1">IF($B47="","",IF($T47="VARIABLE",_xll.BDP($A47&amp;" Corp",V$13),_xll.BDP($A47&amp;" Corp",V$14)))</f>
        <v>#NAME?</v>
      </c>
      <c r="W47" s="30" t="e">
        <f ca="1">IF($B47="","",IF($T47="VARIABLE",_xll.BDP($A47&amp;" Corp",W$13),_xll.BDP($A47&amp;" Corp",W$14)))</f>
        <v>#NAME?</v>
      </c>
      <c r="X47" s="30" t="e">
        <f ca="1">IF($B47="","",_xll.BDP($A47&amp;" Corp",X$14))</f>
        <v>#NAME?</v>
      </c>
      <c r="Y47" s="33" t="e">
        <f ca="1">IF($B47="","",_xll.BDP($A47&amp;" Corp",Y$14))</f>
        <v>#NAME?</v>
      </c>
      <c r="Z47" s="52" t="e">
        <f ca="1">IF($B47="","",_xll.BDP($A47&amp;" Corp",Z$14))</f>
        <v>#NAME?</v>
      </c>
      <c r="AA47" s="53" t="e">
        <f ca="1">IF($B47="","",_xll.BDP($A47&amp;" Corp",AA$14))</f>
        <v>#NAME?</v>
      </c>
      <c r="AB47" s="54" t="e">
        <f ca="1">IF($B47="","",_xll.BDP($A47&amp;" Corp",AB$14))</f>
        <v>#NAME?</v>
      </c>
      <c r="AC47" s="54" t="e">
        <f ca="1">IF($B47="","",_xll.BDP($A47&amp;" Corp",AC$14))</f>
        <v>#NAME?</v>
      </c>
      <c r="AD47" s="55" t="e">
        <f ca="1">IF($B47="","",_xll.BDP($A47&amp;" Corp",AD$14))</f>
        <v>#NAME?</v>
      </c>
      <c r="AE47" s="56" t="e">
        <f ca="1">IF($B47="","",_xll.BDP($A47&amp;" Corp",AE$14))</f>
        <v>#NAME?</v>
      </c>
      <c r="AF47" s="29" t="e">
        <f ca="1">IF($B47="","",_xll.BDP($A47&amp;" Corp",AF$14))</f>
        <v>#NAME?</v>
      </c>
      <c r="AG47" s="33" t="e">
        <f ca="1">IF($B47="","",_xll.BDP($A47&amp;" Corp",AG$14))</f>
        <v>#NAME?</v>
      </c>
      <c r="AH47" s="30" t="e">
        <f ca="1">IF($B47="","",_xll.BDP($A47&amp;" Corp",AH$14))</f>
        <v>#NAME?</v>
      </c>
      <c r="AI47" s="30" t="e">
        <f ca="1">IF($B47="","",_xll.BDP($A47&amp;" Corp",AI$14))</f>
        <v>#NAME?</v>
      </c>
      <c r="AJ47" s="30" t="e">
        <f ca="1">IF($B47="","",_xll.BDP($A47&amp;" Corp",AJ$14))</f>
        <v>#NAME?</v>
      </c>
      <c r="AK47" s="11" t="e">
        <f ca="1">IF($B47="","",_xll.BDP($A47&amp;" Corp",AK$14))</f>
        <v>#NAME?</v>
      </c>
      <c r="AL47" s="11" t="e">
        <f ca="1">IF($B47="","",_xll.BDP($A47&amp;" Corp",AL$14))</f>
        <v>#NAME?</v>
      </c>
      <c r="AM47" s="11" t="e">
        <f t="shared" ca="1" si="9"/>
        <v>#NAME?</v>
      </c>
      <c r="AN47" s="57" t="e">
        <f t="shared" ca="1" si="12"/>
        <v>#NAME?</v>
      </c>
    </row>
    <row r="48" spans="1:40" x14ac:dyDescent="0.3">
      <c r="A48" s="67" t="str">
        <f t="shared" si="4"/>
        <v>FR0013409265</v>
      </c>
      <c r="B48" s="68" t="s">
        <v>458</v>
      </c>
      <c r="C48" s="75">
        <v>7106</v>
      </c>
      <c r="D48" s="75">
        <v>128</v>
      </c>
      <c r="E48" s="75">
        <v>300000</v>
      </c>
      <c r="F48" s="69">
        <v>0.16202105</v>
      </c>
      <c r="G48" s="70">
        <v>303015</v>
      </c>
      <c r="H48" s="67">
        <f t="shared" si="5"/>
        <v>300000</v>
      </c>
      <c r="I48" s="67">
        <f t="shared" si="6"/>
        <v>0.16202105</v>
      </c>
      <c r="J48" s="67">
        <f t="shared" si="7"/>
        <v>303015</v>
      </c>
      <c r="K48" s="71">
        <f t="shared" si="8"/>
        <v>101.005</v>
      </c>
      <c r="L48" s="29" t="e">
        <f ca="1">IF(B48="","",_xll.BDP(A48&amp;" Corp","INTERVAL_HIGH","START_DATE_OVERRIDE",TEXT($L$12,"AAAAMMDD"),"END_DATE_OVERRIDE",TEXT($L$13,"AAAAMMDD"),"MARKET_DATA_OVERRIDE",$L$14))</f>
        <v>#NAME?</v>
      </c>
      <c r="M48" s="30" t="e">
        <f ca="1">IF(B48="","",_xll.BDP($A48&amp;" Corp","INTERVAL_LOW","START_DATE_OVERRIDE",TEXT($L$12,"AAAAMMDD"),"END_DATE_OVERRIDE",TEXT($L$13,"AAAAMMDD"),"MARKET_DATA_OVERRIDE",$L$14))</f>
        <v>#NAME?</v>
      </c>
      <c r="N48" s="31" t="e">
        <f ca="1">IF($B48="","",_xll.BDP($A48&amp;" Corp",N$15))</f>
        <v>#NAME?</v>
      </c>
      <c r="O48" s="32" t="e">
        <f ca="1">IF($B48="","",_xll.BDP($A48&amp;" Corp",O$15))</f>
        <v>#NAME?</v>
      </c>
      <c r="P48" s="32" t="e">
        <f ca="1">IF($B48="","",_xll.BDP($A48&amp;" Corp",P$15))</f>
        <v>#NAME?</v>
      </c>
      <c r="Q48" s="30" t="e">
        <f ca="1">IF($B48="","",_xll.BDP($A48&amp;" Corp",Q$14))</f>
        <v>#NAME?</v>
      </c>
      <c r="R48" s="30" t="e">
        <f ca="1">IF($B48="","",_xll.BDP($A48&amp;" Corp",R$14))</f>
        <v>#NAME?</v>
      </c>
      <c r="S48" s="50" t="e">
        <f ca="1">IF($B48="","",_xll.BDP($A48&amp;" Corp",S$14))</f>
        <v>#NAME?</v>
      </c>
      <c r="T48" s="30" t="e">
        <f ca="1">IF($B48="","",_xll.BDP($A48&amp;" Corp",T$14))</f>
        <v>#NAME?</v>
      </c>
      <c r="U48" s="30" t="e">
        <f ca="1">IF($B48="","",_xll.BDP($A48&amp;" Corp",U$14))</f>
        <v>#NAME?</v>
      </c>
      <c r="V48" s="51" t="e">
        <f ca="1">IF($B48="","",IF($T48="VARIABLE",_xll.BDP($A48&amp;" Corp",V$13),_xll.BDP($A48&amp;" Corp",V$14)))</f>
        <v>#NAME?</v>
      </c>
      <c r="W48" s="30" t="e">
        <f ca="1">IF($B48="","",IF($T48="VARIABLE",_xll.BDP($A48&amp;" Corp",W$13),_xll.BDP($A48&amp;" Corp",W$14)))</f>
        <v>#NAME?</v>
      </c>
      <c r="X48" s="30" t="e">
        <f ca="1">IF($B48="","",_xll.BDP($A48&amp;" Corp",X$14))</f>
        <v>#NAME?</v>
      </c>
      <c r="Y48" s="33" t="e">
        <f ca="1">IF($B48="","",_xll.BDP($A48&amp;" Corp",Y$14))</f>
        <v>#NAME?</v>
      </c>
      <c r="Z48" s="52" t="e">
        <f ca="1">IF($B48="","",_xll.BDP($A48&amp;" Corp",Z$14))</f>
        <v>#NAME?</v>
      </c>
      <c r="AA48" s="53" t="e">
        <f ca="1">IF($B48="","",_xll.BDP($A48&amp;" Corp",AA$14))</f>
        <v>#NAME?</v>
      </c>
      <c r="AB48" s="54" t="e">
        <f ca="1">IF($B48="","",_xll.BDP($A48&amp;" Corp",AB$14))</f>
        <v>#NAME?</v>
      </c>
      <c r="AC48" s="54" t="e">
        <f ca="1">IF($B48="","",_xll.BDP($A48&amp;" Corp",AC$14))</f>
        <v>#NAME?</v>
      </c>
      <c r="AD48" s="55" t="e">
        <f ca="1">IF($B48="","",_xll.BDP($A48&amp;" Corp",AD$14))</f>
        <v>#NAME?</v>
      </c>
      <c r="AE48" s="56" t="e">
        <f ca="1">IF($B48="","",_xll.BDP($A48&amp;" Corp",AE$14))</f>
        <v>#NAME?</v>
      </c>
      <c r="AF48" s="29" t="e">
        <f ca="1">IF($B48="","",_xll.BDP($A48&amp;" Corp",AF$14))</f>
        <v>#NAME?</v>
      </c>
      <c r="AG48" s="33" t="e">
        <f ca="1">IF($B48="","",_xll.BDP($A48&amp;" Corp",AG$14))</f>
        <v>#NAME?</v>
      </c>
      <c r="AH48" s="30" t="e">
        <f ca="1">IF($B48="","",_xll.BDP($A48&amp;" Corp",AH$14))</f>
        <v>#NAME?</v>
      </c>
      <c r="AI48" s="30" t="e">
        <f ca="1">IF($B48="","",_xll.BDP($A48&amp;" Corp",AI$14))</f>
        <v>#NAME?</v>
      </c>
      <c r="AJ48" s="30" t="e">
        <f ca="1">IF($B48="","",_xll.BDP($A48&amp;" Corp",AJ$14))</f>
        <v>#NAME?</v>
      </c>
      <c r="AK48" s="11" t="e">
        <f ca="1">IF($B48="","",_xll.BDP($A48&amp;" Corp",AK$14))</f>
        <v>#NAME?</v>
      </c>
      <c r="AL48" s="11" t="e">
        <f ca="1">IF($B48="","",_xll.BDP($A48&amp;" Corp",AL$14))</f>
        <v>#NAME?</v>
      </c>
      <c r="AM48" s="11" t="e">
        <f t="shared" ca="1" si="9"/>
        <v>#NAME?</v>
      </c>
      <c r="AN48" s="57" t="e">
        <f t="shared" ca="1" si="12"/>
        <v>#NAME?</v>
      </c>
    </row>
    <row r="49" spans="1:40" x14ac:dyDescent="0.3">
      <c r="A49" s="67" t="str">
        <f t="shared" si="4"/>
        <v>FR0013414919</v>
      </c>
      <c r="B49" s="68" t="s">
        <v>583</v>
      </c>
      <c r="C49" s="75">
        <v>8458</v>
      </c>
      <c r="D49" s="75">
        <v>128</v>
      </c>
      <c r="E49" s="75">
        <v>100000</v>
      </c>
      <c r="F49" s="69">
        <v>7.9396030000000006E-2</v>
      </c>
      <c r="G49" s="70">
        <v>106857</v>
      </c>
      <c r="H49" s="67">
        <f t="shared" si="5"/>
        <v>100000</v>
      </c>
      <c r="I49" s="67">
        <f t="shared" si="6"/>
        <v>7.9396030000000006E-2</v>
      </c>
      <c r="J49" s="67">
        <f t="shared" si="7"/>
        <v>106857</v>
      </c>
      <c r="K49" s="71">
        <f t="shared" si="8"/>
        <v>106.857</v>
      </c>
      <c r="L49" s="29" t="e">
        <f ca="1">IF(B49="","",_xll.BDP(A49&amp;" Corp","INTERVAL_HIGH","START_DATE_OVERRIDE",TEXT($L$12,"AAAAMMDD"),"END_DATE_OVERRIDE",TEXT($L$13,"AAAAMMDD"),"MARKET_DATA_OVERRIDE",$L$14))</f>
        <v>#NAME?</v>
      </c>
      <c r="M49" s="30" t="e">
        <f ca="1">IF(B49="","",_xll.BDP($A49&amp;" Corp","INTERVAL_LOW","START_DATE_OVERRIDE",TEXT($L$12,"AAAAMMDD"),"END_DATE_OVERRIDE",TEXT($L$13,"AAAAMMDD"),"MARKET_DATA_OVERRIDE",$L$14))</f>
        <v>#NAME?</v>
      </c>
      <c r="N49" s="31" t="e">
        <f ca="1">IF($B49="","",_xll.BDP($A49&amp;" Corp",N$15))</f>
        <v>#NAME?</v>
      </c>
      <c r="O49" s="32" t="e">
        <f ca="1">IF($B49="","",_xll.BDP($A49&amp;" Corp",O$15))</f>
        <v>#NAME?</v>
      </c>
      <c r="P49" s="32" t="e">
        <f ca="1">IF($B49="","",_xll.BDP($A49&amp;" Corp",P$15))</f>
        <v>#NAME?</v>
      </c>
      <c r="Q49" s="30" t="e">
        <f ca="1">IF($B49="","",_xll.BDP($A49&amp;" Corp",Q$14))</f>
        <v>#NAME?</v>
      </c>
      <c r="R49" s="30" t="e">
        <f ca="1">IF($B49="","",_xll.BDP($A49&amp;" Corp",R$14))</f>
        <v>#NAME?</v>
      </c>
      <c r="S49" s="50" t="e">
        <f ca="1">IF($B49="","",_xll.BDP($A49&amp;" Corp",S$14))</f>
        <v>#NAME?</v>
      </c>
      <c r="T49" s="30" t="e">
        <f ca="1">IF($B49="","",_xll.BDP($A49&amp;" Corp",T$14))</f>
        <v>#NAME?</v>
      </c>
      <c r="U49" s="30" t="e">
        <f ca="1">IF($B49="","",_xll.BDP($A49&amp;" Corp",U$14))</f>
        <v>#NAME?</v>
      </c>
      <c r="V49" s="51" t="e">
        <f ca="1">IF($B49="","",IF($T49="VARIABLE",_xll.BDP($A49&amp;" Corp",V$13),_xll.BDP($A49&amp;" Corp",V$14)))</f>
        <v>#NAME?</v>
      </c>
      <c r="W49" s="30" t="e">
        <f ca="1">IF($B49="","",IF($T49="VARIABLE",_xll.BDP($A49&amp;" Corp",W$13),_xll.BDP($A49&amp;" Corp",W$14)))</f>
        <v>#NAME?</v>
      </c>
      <c r="X49" s="30" t="e">
        <f ca="1">IF($B49="","",_xll.BDP($A49&amp;" Corp",X$14))</f>
        <v>#NAME?</v>
      </c>
      <c r="Y49" s="33" t="e">
        <f ca="1">IF($B49="","",_xll.BDP($A49&amp;" Corp",Y$14))</f>
        <v>#NAME?</v>
      </c>
      <c r="Z49" s="52" t="e">
        <f ca="1">IF($B49="","",_xll.BDP($A49&amp;" Corp",Z$14))</f>
        <v>#NAME?</v>
      </c>
      <c r="AA49" s="53" t="e">
        <f ca="1">IF($B49="","",_xll.BDP($A49&amp;" Corp",AA$14))</f>
        <v>#NAME?</v>
      </c>
      <c r="AB49" s="54" t="e">
        <f ca="1">IF($B49="","",_xll.BDP($A49&amp;" Corp",AB$14))</f>
        <v>#NAME?</v>
      </c>
      <c r="AC49" s="54" t="e">
        <f ca="1">IF($B49="","",_xll.BDP($A49&amp;" Corp",AC$14))</f>
        <v>#NAME?</v>
      </c>
      <c r="AD49" s="55" t="e">
        <f ca="1">IF($B49="","",_xll.BDP($A49&amp;" Corp",AD$14))</f>
        <v>#NAME?</v>
      </c>
      <c r="AE49" s="56" t="e">
        <f ca="1">IF($B49="","",_xll.BDP($A49&amp;" Corp",AE$14))</f>
        <v>#NAME?</v>
      </c>
      <c r="AF49" s="29" t="e">
        <f ca="1">IF($B49="","",_xll.BDP($A49&amp;" Corp",AF$14))</f>
        <v>#NAME?</v>
      </c>
      <c r="AG49" s="33" t="e">
        <f ca="1">IF($B49="","",_xll.BDP($A49&amp;" Corp",AG$14))</f>
        <v>#NAME?</v>
      </c>
      <c r="AH49" s="30" t="e">
        <f ca="1">IF($B49="","",_xll.BDP($A49&amp;" Corp",AH$14))</f>
        <v>#NAME?</v>
      </c>
      <c r="AI49" s="30" t="e">
        <f ca="1">IF($B49="","",_xll.BDP($A49&amp;" Corp",AI$14))</f>
        <v>#NAME?</v>
      </c>
      <c r="AJ49" s="30" t="e">
        <f ca="1">IF($B49="","",_xll.BDP($A49&amp;" Corp",AJ$14))</f>
        <v>#NAME?</v>
      </c>
      <c r="AK49" s="11" t="e">
        <f ca="1">IF($B49="","",_xll.BDP($A49&amp;" Corp",AK$14))</f>
        <v>#NAME?</v>
      </c>
      <c r="AL49" s="11" t="e">
        <f ca="1">IF($B49="","",_xll.BDP($A49&amp;" Corp",AL$14))</f>
        <v>#NAME?</v>
      </c>
      <c r="AM49" s="11" t="e">
        <f t="shared" ca="1" si="9"/>
        <v>#NAME?</v>
      </c>
      <c r="AN49" s="57" t="e">
        <f t="shared" ca="1" si="12"/>
        <v>#NAME?</v>
      </c>
    </row>
    <row r="50" spans="1:40" x14ac:dyDescent="0.3">
      <c r="A50" s="67" t="str">
        <f t="shared" si="4"/>
        <v>FR0013462728</v>
      </c>
      <c r="B50" s="68" t="s">
        <v>460</v>
      </c>
      <c r="C50" s="75">
        <v>7256</v>
      </c>
      <c r="D50" s="75">
        <v>128</v>
      </c>
      <c r="E50" s="75">
        <v>400000</v>
      </c>
      <c r="F50" s="69">
        <v>0.30144284999999998</v>
      </c>
      <c r="G50" s="70">
        <v>398540.44</v>
      </c>
      <c r="H50" s="67">
        <f t="shared" si="5"/>
        <v>400000</v>
      </c>
      <c r="I50" s="67">
        <f t="shared" si="6"/>
        <v>0.30144284999999998</v>
      </c>
      <c r="J50" s="67">
        <f t="shared" si="7"/>
        <v>398540.44</v>
      </c>
      <c r="K50" s="71">
        <f t="shared" si="8"/>
        <v>99.635109999999997</v>
      </c>
      <c r="L50" s="29" t="e">
        <f ca="1">IF(B50="","",_xll.BDP(A50&amp;" Corp","INTERVAL_HIGH","START_DATE_OVERRIDE",TEXT($L$12,"AAAAMMDD"),"END_DATE_OVERRIDE",TEXT($L$13,"AAAAMMDD"),"MARKET_DATA_OVERRIDE",$L$14))</f>
        <v>#NAME?</v>
      </c>
      <c r="M50" s="30" t="e">
        <f ca="1">IF(B50="","",_xll.BDP($A50&amp;" Corp","INTERVAL_LOW","START_DATE_OVERRIDE",TEXT($L$12,"AAAAMMDD"),"END_DATE_OVERRIDE",TEXT($L$13,"AAAAMMDD"),"MARKET_DATA_OVERRIDE",$L$14))</f>
        <v>#NAME?</v>
      </c>
      <c r="N50" s="31" t="e">
        <f ca="1">IF($B50="","",_xll.BDP($A50&amp;" Corp",N$15))</f>
        <v>#NAME?</v>
      </c>
      <c r="O50" s="32" t="e">
        <f ca="1">IF($B50="","",_xll.BDP($A50&amp;" Corp",O$15))</f>
        <v>#NAME?</v>
      </c>
      <c r="P50" s="32" t="e">
        <f ca="1">IF($B50="","",_xll.BDP($A50&amp;" Corp",P$15))</f>
        <v>#NAME?</v>
      </c>
      <c r="Q50" s="30" t="e">
        <f ca="1">IF($B50="","",_xll.BDP($A50&amp;" Corp",Q$14))</f>
        <v>#NAME?</v>
      </c>
      <c r="R50" s="30" t="e">
        <f ca="1">IF($B50="","",_xll.BDP($A50&amp;" Corp",R$14))</f>
        <v>#NAME?</v>
      </c>
      <c r="S50" s="50" t="e">
        <f ca="1">IF($B50="","",_xll.BDP($A50&amp;" Corp",S$14))</f>
        <v>#NAME?</v>
      </c>
      <c r="T50" s="30" t="e">
        <f ca="1">IF($B50="","",_xll.BDP($A50&amp;" Corp",T$14))</f>
        <v>#NAME?</v>
      </c>
      <c r="U50" s="30" t="e">
        <f ca="1">IF($B50="","",_xll.BDP($A50&amp;" Corp",U$14))</f>
        <v>#NAME?</v>
      </c>
      <c r="V50" s="51" t="e">
        <f ca="1">IF($B50="","",IF($T50="VARIABLE",_xll.BDP($A50&amp;" Corp",V$13),_xll.BDP($A50&amp;" Corp",V$14)))</f>
        <v>#NAME?</v>
      </c>
      <c r="W50" s="30" t="e">
        <f ca="1">IF($B50="","",IF($T50="VARIABLE",_xll.BDP($A50&amp;" Corp",W$13),_xll.BDP($A50&amp;" Corp",W$14)))</f>
        <v>#NAME?</v>
      </c>
      <c r="X50" s="30" t="e">
        <f ca="1">IF($B50="","",_xll.BDP($A50&amp;" Corp",X$14))</f>
        <v>#NAME?</v>
      </c>
      <c r="Y50" s="33" t="e">
        <f ca="1">IF($B50="","",_xll.BDP($A50&amp;" Corp",Y$14))</f>
        <v>#NAME?</v>
      </c>
      <c r="Z50" s="52" t="e">
        <f ca="1">IF($B50="","",_xll.BDP($A50&amp;" Corp",Z$14))</f>
        <v>#NAME?</v>
      </c>
      <c r="AA50" s="53" t="e">
        <f ca="1">IF($B50="","",_xll.BDP($A50&amp;" Corp",AA$14))</f>
        <v>#NAME?</v>
      </c>
      <c r="AB50" s="54" t="e">
        <f ca="1">IF($B50="","",_xll.BDP($A50&amp;" Corp",AB$14))</f>
        <v>#NAME?</v>
      </c>
      <c r="AC50" s="54" t="e">
        <f ca="1">IF($B50="","",_xll.BDP($A50&amp;" Corp",AC$14))</f>
        <v>#NAME?</v>
      </c>
      <c r="AD50" s="55" t="e">
        <f ca="1">IF($B50="","",_xll.BDP($A50&amp;" Corp",AD$14))</f>
        <v>#NAME?</v>
      </c>
      <c r="AE50" s="56" t="e">
        <f ca="1">IF($B50="","",_xll.BDP($A50&amp;" Corp",AE$14))</f>
        <v>#NAME?</v>
      </c>
      <c r="AF50" s="29" t="e">
        <f ca="1">IF($B50="","",_xll.BDP($A50&amp;" Corp",AF$14))</f>
        <v>#NAME?</v>
      </c>
      <c r="AG50" s="33" t="e">
        <f ca="1">IF($B50="","",_xll.BDP($A50&amp;" Corp",AG$14))</f>
        <v>#NAME?</v>
      </c>
      <c r="AH50" s="30" t="e">
        <f ca="1">IF($B50="","",_xll.BDP($A50&amp;" Corp",AH$14))</f>
        <v>#NAME?</v>
      </c>
      <c r="AI50" s="30" t="e">
        <f ca="1">IF($B50="","",_xll.BDP($A50&amp;" Corp",AI$14))</f>
        <v>#NAME?</v>
      </c>
      <c r="AJ50" s="30" t="e">
        <f ca="1">IF($B50="","",_xll.BDP($A50&amp;" Corp",AJ$14))</f>
        <v>#NAME?</v>
      </c>
      <c r="AK50" s="11" t="e">
        <f ca="1">IF($B50="","",_xll.BDP($A50&amp;" Corp",AK$14))</f>
        <v>#NAME?</v>
      </c>
      <c r="AL50" s="11" t="e">
        <f ca="1">IF($B50="","",_xll.BDP($A50&amp;" Corp",AL$14))</f>
        <v>#NAME?</v>
      </c>
      <c r="AM50" s="11" t="e">
        <f t="shared" ca="1" si="9"/>
        <v>#NAME?</v>
      </c>
      <c r="AN50" s="57" t="e">
        <f t="shared" ca="1" si="12"/>
        <v>#NAME?</v>
      </c>
    </row>
    <row r="51" spans="1:40" x14ac:dyDescent="0.3">
      <c r="A51" s="67" t="str">
        <f t="shared" si="4"/>
        <v>FR0014008JQ4</v>
      </c>
      <c r="B51" s="68" t="s">
        <v>433</v>
      </c>
      <c r="C51" s="75">
        <v>9800</v>
      </c>
      <c r="D51" s="75">
        <v>128</v>
      </c>
      <c r="E51" s="75">
        <v>100000</v>
      </c>
      <c r="F51" s="69">
        <v>6.9130800000000006E-2</v>
      </c>
      <c r="G51" s="70">
        <v>98919</v>
      </c>
      <c r="H51" s="67">
        <f t="shared" si="5"/>
        <v>100000</v>
      </c>
      <c r="I51" s="67">
        <f t="shared" si="6"/>
        <v>6.9130800000000006E-2</v>
      </c>
      <c r="J51" s="67">
        <f t="shared" si="7"/>
        <v>98919</v>
      </c>
      <c r="K51" s="71">
        <f t="shared" si="8"/>
        <v>98.918999999999997</v>
      </c>
      <c r="L51" s="29" t="e">
        <f ca="1">IF(B51="","",_xll.BDP(A51&amp;" Corp","INTERVAL_HIGH","START_DATE_OVERRIDE",TEXT($L$12,"AAAAMMDD"),"END_DATE_OVERRIDE",TEXT($L$13,"AAAAMMDD"),"MARKET_DATA_OVERRIDE",$L$14))</f>
        <v>#NAME?</v>
      </c>
      <c r="M51" s="30" t="e">
        <f ca="1">IF(B51="","",_xll.BDP($A51&amp;" Corp","INTERVAL_LOW","START_DATE_OVERRIDE",TEXT($L$12,"AAAAMMDD"),"END_DATE_OVERRIDE",TEXT($L$13,"AAAAMMDD"),"MARKET_DATA_OVERRIDE",$L$14))</f>
        <v>#NAME?</v>
      </c>
      <c r="N51" s="31" t="e">
        <f ca="1">IF($B51="","",_xll.BDP($A51&amp;" Corp",N$15))</f>
        <v>#NAME?</v>
      </c>
      <c r="O51" s="32" t="e">
        <f ca="1">IF($B51="","",_xll.BDP($A51&amp;" Corp",O$15))</f>
        <v>#NAME?</v>
      </c>
      <c r="P51" s="32" t="e">
        <f ca="1">IF($B51="","",_xll.BDP($A51&amp;" Corp",P$15))</f>
        <v>#NAME?</v>
      </c>
      <c r="Q51" s="30" t="e">
        <f ca="1">IF($B51="","",_xll.BDP($A51&amp;" Corp",Q$14))</f>
        <v>#NAME?</v>
      </c>
      <c r="R51" s="30" t="e">
        <f ca="1">IF($B51="","",_xll.BDP($A51&amp;" Corp",R$14))</f>
        <v>#NAME?</v>
      </c>
      <c r="S51" s="50" t="e">
        <f ca="1">IF($B51="","",_xll.BDP($A51&amp;" Corp",S$14))</f>
        <v>#NAME?</v>
      </c>
      <c r="T51" s="30" t="e">
        <f ca="1">IF($B51="","",_xll.BDP($A51&amp;" Corp",T$14))</f>
        <v>#NAME?</v>
      </c>
      <c r="U51" s="30" t="e">
        <f ca="1">IF($B51="","",_xll.BDP($A51&amp;" Corp",U$14))</f>
        <v>#NAME?</v>
      </c>
      <c r="V51" s="51" t="e">
        <f ca="1">IF($B51="","",IF($T51="VARIABLE",_xll.BDP($A51&amp;" Corp",V$13),_xll.BDP($A51&amp;" Corp",V$14)))</f>
        <v>#NAME?</v>
      </c>
      <c r="W51" s="30" t="e">
        <f ca="1">IF($B51="","",IF($T51="VARIABLE",_xll.BDP($A51&amp;" Corp",W$13),_xll.BDP($A51&amp;" Corp",W$14)))</f>
        <v>#NAME?</v>
      </c>
      <c r="X51" s="30" t="e">
        <f ca="1">IF($B51="","",_xll.BDP($A51&amp;" Corp",X$14))</f>
        <v>#NAME?</v>
      </c>
      <c r="Y51" s="33" t="e">
        <f ca="1">IF($B51="","",_xll.BDP($A51&amp;" Corp",Y$14))</f>
        <v>#NAME?</v>
      </c>
      <c r="Z51" s="52" t="e">
        <f ca="1">IF($B51="","",_xll.BDP($A51&amp;" Corp",Z$14))</f>
        <v>#NAME?</v>
      </c>
      <c r="AA51" s="53" t="e">
        <f ca="1">IF($B51="","",_xll.BDP($A51&amp;" Corp",AA$14))</f>
        <v>#NAME?</v>
      </c>
      <c r="AB51" s="54" t="e">
        <f ca="1">IF($B51="","",_xll.BDP($A51&amp;" Corp",AB$14))</f>
        <v>#NAME?</v>
      </c>
      <c r="AC51" s="54" t="e">
        <f ca="1">IF($B51="","",_xll.BDP($A51&amp;" Corp",AC$14))</f>
        <v>#NAME?</v>
      </c>
      <c r="AD51" s="55" t="e">
        <f ca="1">IF($B51="","",_xll.BDP($A51&amp;" Corp",AD$14))</f>
        <v>#NAME?</v>
      </c>
      <c r="AE51" s="56" t="e">
        <f ca="1">IF($B51="","",_xll.BDP($A51&amp;" Corp",AE$14))</f>
        <v>#NAME?</v>
      </c>
      <c r="AF51" s="29" t="e">
        <f ca="1">IF($B51="","",_xll.BDP($A51&amp;" Corp",AF$14))</f>
        <v>#NAME?</v>
      </c>
      <c r="AG51" s="33" t="e">
        <f ca="1">IF($B51="","",_xll.BDP($A51&amp;" Corp",AG$14))</f>
        <v>#NAME?</v>
      </c>
      <c r="AH51" s="30" t="e">
        <f ca="1">IF($B51="","",_xll.BDP($A51&amp;" Corp",AH$14))</f>
        <v>#NAME?</v>
      </c>
      <c r="AI51" s="30" t="e">
        <f ca="1">IF($B51="","",_xll.BDP($A51&amp;" Corp",AI$14))</f>
        <v>#NAME?</v>
      </c>
      <c r="AJ51" s="30" t="e">
        <f ca="1">IF($B51="","",_xll.BDP($A51&amp;" Corp",AJ$14))</f>
        <v>#NAME?</v>
      </c>
      <c r="AK51" s="11" t="e">
        <f ca="1">IF($B51="","",_xll.BDP($A51&amp;" Corp",AK$14))</f>
        <v>#NAME?</v>
      </c>
      <c r="AL51" s="11" t="e">
        <f ca="1">IF($B51="","",_xll.BDP($A51&amp;" Corp",AL$14))</f>
        <v>#NAME?</v>
      </c>
      <c r="AM51" s="11" t="e">
        <f t="shared" ca="1" si="9"/>
        <v>#NAME?</v>
      </c>
      <c r="AN51" s="57" t="e">
        <f t="shared" ca="1" si="12"/>
        <v>#NAME?</v>
      </c>
    </row>
    <row r="52" spans="1:40" x14ac:dyDescent="0.3">
      <c r="A52" s="67" t="str">
        <f t="shared" si="4"/>
        <v>IT0001174611</v>
      </c>
      <c r="B52" s="68" t="s">
        <v>508</v>
      </c>
      <c r="C52" s="75">
        <v>2641</v>
      </c>
      <c r="D52" s="75">
        <v>128</v>
      </c>
      <c r="E52" s="75">
        <v>100000</v>
      </c>
      <c r="F52" s="69">
        <v>9.0574089999999996E-2</v>
      </c>
      <c r="G52" s="70">
        <v>134478</v>
      </c>
      <c r="H52" s="67">
        <f t="shared" si="5"/>
        <v>100000</v>
      </c>
      <c r="I52" s="67">
        <f t="shared" si="6"/>
        <v>9.0574089999999996E-2</v>
      </c>
      <c r="J52" s="67">
        <f t="shared" si="7"/>
        <v>134478</v>
      </c>
      <c r="K52" s="71">
        <f t="shared" si="8"/>
        <v>134.47800000000001</v>
      </c>
      <c r="L52" s="29" t="e">
        <f ca="1">IF(B52="","",_xll.BDP(A52&amp;" Corp","INTERVAL_HIGH","START_DATE_OVERRIDE",TEXT($L$12,"AAAAMMDD"),"END_DATE_OVERRIDE",TEXT($L$13,"AAAAMMDD"),"MARKET_DATA_OVERRIDE",$L$14))</f>
        <v>#NAME?</v>
      </c>
      <c r="M52" s="30" t="e">
        <f ca="1">IF(B52="","",_xll.BDP($A52&amp;" Corp","INTERVAL_LOW","START_DATE_OVERRIDE",TEXT($L$12,"AAAAMMDD"),"END_DATE_OVERRIDE",TEXT($L$13,"AAAAMMDD"),"MARKET_DATA_OVERRIDE",$L$14))</f>
        <v>#NAME?</v>
      </c>
      <c r="N52" s="31" t="e">
        <f ca="1">IF($B52="","",_xll.BDP($A52&amp;" Corp",N$15))</f>
        <v>#NAME?</v>
      </c>
      <c r="O52" s="32" t="e">
        <f ca="1">IF($B52="","",_xll.BDP($A52&amp;" Corp",O$15))</f>
        <v>#NAME?</v>
      </c>
      <c r="P52" s="32" t="e">
        <f ca="1">IF($B52="","",_xll.BDP($A52&amp;" Corp",P$15))</f>
        <v>#NAME?</v>
      </c>
      <c r="Q52" s="30" t="e">
        <f ca="1">IF($B52="","",_xll.BDP($A52&amp;" Corp",Q$14))</f>
        <v>#NAME?</v>
      </c>
      <c r="R52" s="30" t="e">
        <f ca="1">IF($B52="","",_xll.BDP($A52&amp;" Corp",R$14))</f>
        <v>#NAME?</v>
      </c>
      <c r="S52" s="50" t="e">
        <f ca="1">IF($B52="","",_xll.BDP($A52&amp;" Corp",S$14))</f>
        <v>#NAME?</v>
      </c>
      <c r="T52" s="30" t="e">
        <f ca="1">IF($B52="","",_xll.BDP($A52&amp;" Corp",T$14))</f>
        <v>#NAME?</v>
      </c>
      <c r="U52" s="30" t="e">
        <f ca="1">IF($B52="","",_xll.BDP($A52&amp;" Corp",U$14))</f>
        <v>#NAME?</v>
      </c>
      <c r="V52" s="51" t="e">
        <f ca="1">IF($B52="","",IF($T52="VARIABLE",_xll.BDP($A52&amp;" Corp",V$13),_xll.BDP($A52&amp;" Corp",V$14)))</f>
        <v>#NAME?</v>
      </c>
      <c r="W52" s="30" t="e">
        <f ca="1">IF($B52="","",IF($T52="VARIABLE",_xll.BDP($A52&amp;" Corp",W$13),_xll.BDP($A52&amp;" Corp",W$14)))</f>
        <v>#NAME?</v>
      </c>
      <c r="X52" s="30" t="e">
        <f ca="1">IF($B52="","",_xll.BDP($A52&amp;" Corp",X$14))</f>
        <v>#NAME?</v>
      </c>
      <c r="Y52" s="33" t="e">
        <f ca="1">IF($B52="","",_xll.BDP($A52&amp;" Corp",Y$14))</f>
        <v>#NAME?</v>
      </c>
      <c r="Z52" s="52" t="e">
        <f ca="1">IF($B52="","",_xll.BDP($A52&amp;" Corp",Z$14))</f>
        <v>#NAME?</v>
      </c>
      <c r="AA52" s="53" t="e">
        <f ca="1">IF($B52="","",_xll.BDP($A52&amp;" Corp",AA$14))</f>
        <v>#NAME?</v>
      </c>
      <c r="AB52" s="54" t="e">
        <f ca="1">IF($B52="","",_xll.BDP($A52&amp;" Corp",AB$14))</f>
        <v>#NAME?</v>
      </c>
      <c r="AC52" s="54" t="e">
        <f ca="1">IF($B52="","",_xll.BDP($A52&amp;" Corp",AC$14))</f>
        <v>#NAME?</v>
      </c>
      <c r="AD52" s="55" t="e">
        <f ca="1">IF($B52="","",_xll.BDP($A52&amp;" Corp",AD$14))</f>
        <v>#NAME?</v>
      </c>
      <c r="AE52" s="56" t="e">
        <f ca="1">IF($B52="","",_xll.BDP($A52&amp;" Corp",AE$14))</f>
        <v>#NAME?</v>
      </c>
      <c r="AF52" s="29" t="e">
        <f ca="1">IF($B52="","",_xll.BDP($A52&amp;" Corp",AF$14))</f>
        <v>#NAME?</v>
      </c>
      <c r="AG52" s="33" t="e">
        <f ca="1">IF($B52="","",_xll.BDP($A52&amp;" Corp",AG$14))</f>
        <v>#NAME?</v>
      </c>
      <c r="AH52" s="30" t="e">
        <f ca="1">IF($B52="","",_xll.BDP($A52&amp;" Corp",AH$14))</f>
        <v>#NAME?</v>
      </c>
      <c r="AI52" s="30" t="e">
        <f ca="1">IF($B52="","",_xll.BDP($A52&amp;" Corp",AI$14))</f>
        <v>#NAME?</v>
      </c>
      <c r="AJ52" s="30" t="e">
        <f ca="1">IF($B52="","",_xll.BDP($A52&amp;" Corp",AJ$14))</f>
        <v>#NAME?</v>
      </c>
      <c r="AK52" s="11" t="e">
        <f ca="1">IF($B52="","",_xll.BDP($A52&amp;" Corp",AK$14))</f>
        <v>#NAME?</v>
      </c>
      <c r="AL52" s="11" t="e">
        <f ca="1">IF($B52="","",_xll.BDP($A52&amp;" Corp",AL$14))</f>
        <v>#NAME?</v>
      </c>
      <c r="AM52" s="11" t="e">
        <f t="shared" ca="1" si="9"/>
        <v>#NAME?</v>
      </c>
      <c r="AN52" s="57" t="e">
        <f t="shared" ca="1" si="12"/>
        <v>#NAME?</v>
      </c>
    </row>
    <row r="53" spans="1:40" x14ac:dyDescent="0.3">
      <c r="A53" s="67" t="str">
        <f t="shared" si="4"/>
        <v>IT0005413171</v>
      </c>
      <c r="B53" s="68" t="s">
        <v>510</v>
      </c>
      <c r="C53" s="75">
        <v>8375</v>
      </c>
      <c r="D53" s="75">
        <v>128</v>
      </c>
      <c r="E53" s="75">
        <v>1200000</v>
      </c>
      <c r="F53" s="69">
        <v>0.81112315000000001</v>
      </c>
      <c r="G53" s="70">
        <v>1305783.33</v>
      </c>
      <c r="H53" s="67">
        <f t="shared" si="5"/>
        <v>1200000</v>
      </c>
      <c r="I53" s="67">
        <f t="shared" si="6"/>
        <v>0.81112315000000001</v>
      </c>
      <c r="J53" s="67">
        <f t="shared" si="7"/>
        <v>1305783.33</v>
      </c>
      <c r="K53" s="71">
        <f t="shared" si="8"/>
        <v>108.81527749999999</v>
      </c>
      <c r="L53" s="29" t="e">
        <f ca="1">IF(B53="","",_xll.BDP(A53&amp;" Corp","INTERVAL_HIGH","START_DATE_OVERRIDE",TEXT($L$12,"AAAAMMDD"),"END_DATE_OVERRIDE",TEXT($L$13,"AAAAMMDD"),"MARKET_DATA_OVERRIDE",$L$14))</f>
        <v>#NAME?</v>
      </c>
      <c r="M53" s="30" t="e">
        <f ca="1">IF(B53="","",_xll.BDP($A53&amp;" Corp","INTERVAL_LOW","START_DATE_OVERRIDE",TEXT($L$12,"AAAAMMDD"),"END_DATE_OVERRIDE",TEXT($L$13,"AAAAMMDD"),"MARKET_DATA_OVERRIDE",$L$14))</f>
        <v>#NAME?</v>
      </c>
      <c r="N53" s="31" t="e">
        <f ca="1">IF($B53="","",_xll.BDP($A53&amp;" Corp",N$15))</f>
        <v>#NAME?</v>
      </c>
      <c r="O53" s="32" t="e">
        <f ca="1">IF($B53="","",_xll.BDP($A53&amp;" Corp",O$15))</f>
        <v>#NAME?</v>
      </c>
      <c r="P53" s="32" t="e">
        <f ca="1">IF($B53="","",_xll.BDP($A53&amp;" Corp",P$15))</f>
        <v>#NAME?</v>
      </c>
      <c r="Q53" s="30" t="e">
        <f ca="1">IF($B53="","",_xll.BDP($A53&amp;" Corp",Q$14))</f>
        <v>#NAME?</v>
      </c>
      <c r="R53" s="30" t="e">
        <f ca="1">IF($B53="","",_xll.BDP($A53&amp;" Corp",R$14))</f>
        <v>#NAME?</v>
      </c>
      <c r="S53" s="50" t="e">
        <f ca="1">IF($B53="","",_xll.BDP($A53&amp;" Corp",S$14))</f>
        <v>#NAME?</v>
      </c>
      <c r="T53" s="30" t="e">
        <f ca="1">IF($B53="","",_xll.BDP($A53&amp;" Corp",T$14))</f>
        <v>#NAME?</v>
      </c>
      <c r="U53" s="30" t="e">
        <f ca="1">IF($B53="","",_xll.BDP($A53&amp;" Corp",U$14))</f>
        <v>#NAME?</v>
      </c>
      <c r="V53" s="51" t="e">
        <f ca="1">IF($B53="","",IF($T53="VARIABLE",_xll.BDP($A53&amp;" Corp",V$13),_xll.BDP($A53&amp;" Corp",V$14)))</f>
        <v>#NAME?</v>
      </c>
      <c r="W53" s="30" t="e">
        <f ca="1">IF($B53="","",IF($T53="VARIABLE",_xll.BDP($A53&amp;" Corp",W$13),_xll.BDP($A53&amp;" Corp",W$14)))</f>
        <v>#NAME?</v>
      </c>
      <c r="X53" s="30" t="e">
        <f ca="1">IF($B53="","",_xll.BDP($A53&amp;" Corp",X$14))</f>
        <v>#NAME?</v>
      </c>
      <c r="Y53" s="33" t="e">
        <f ca="1">IF($B53="","",_xll.BDP($A53&amp;" Corp",Y$14))</f>
        <v>#NAME?</v>
      </c>
      <c r="Z53" s="52" t="e">
        <f ca="1">IF($B53="","",_xll.BDP($A53&amp;" Corp",Z$14))</f>
        <v>#NAME?</v>
      </c>
      <c r="AA53" s="53" t="e">
        <f ca="1">IF($B53="","",_xll.BDP($A53&amp;" Corp",AA$14))</f>
        <v>#NAME?</v>
      </c>
      <c r="AB53" s="54" t="e">
        <f ca="1">IF($B53="","",_xll.BDP($A53&amp;" Corp",AB$14))</f>
        <v>#NAME?</v>
      </c>
      <c r="AC53" s="54" t="e">
        <f ca="1">IF($B53="","",_xll.BDP($A53&amp;" Corp",AC$14))</f>
        <v>#NAME?</v>
      </c>
      <c r="AD53" s="55" t="e">
        <f ca="1">IF($B53="","",_xll.BDP($A53&amp;" Corp",AD$14))</f>
        <v>#NAME?</v>
      </c>
      <c r="AE53" s="56" t="e">
        <f ca="1">IF($B53="","",_xll.BDP($A53&amp;" Corp",AE$14))</f>
        <v>#NAME?</v>
      </c>
      <c r="AF53" s="29" t="e">
        <f ca="1">IF($B53="","",_xll.BDP($A53&amp;" Corp",AF$14))</f>
        <v>#NAME?</v>
      </c>
      <c r="AG53" s="33" t="e">
        <f ca="1">IF($B53="","",_xll.BDP($A53&amp;" Corp",AG$14))</f>
        <v>#NAME?</v>
      </c>
      <c r="AH53" s="30" t="e">
        <f ca="1">IF($B53="","",_xll.BDP($A53&amp;" Corp",AH$14))</f>
        <v>#NAME?</v>
      </c>
      <c r="AI53" s="30" t="e">
        <f ca="1">IF($B53="","",_xll.BDP($A53&amp;" Corp",AI$14))</f>
        <v>#NAME?</v>
      </c>
      <c r="AJ53" s="30" t="e">
        <f ca="1">IF($B53="","",_xll.BDP($A53&amp;" Corp",AJ$14))</f>
        <v>#NAME?</v>
      </c>
      <c r="AK53" s="11" t="e">
        <f ca="1">IF($B53="","",_xll.BDP($A53&amp;" Corp",AK$14))</f>
        <v>#NAME?</v>
      </c>
      <c r="AL53" s="11" t="e">
        <f ca="1">IF($B53="","",_xll.BDP($A53&amp;" Corp",AL$14))</f>
        <v>#NAME?</v>
      </c>
      <c r="AM53" s="11" t="e">
        <f t="shared" ca="1" si="9"/>
        <v>#NAME?</v>
      </c>
      <c r="AN53" s="57" t="e">
        <f t="shared" ca="1" si="12"/>
        <v>#NAME?</v>
      </c>
    </row>
    <row r="54" spans="1:40" x14ac:dyDescent="0.3">
      <c r="A54" s="67" t="str">
        <f t="shared" si="4"/>
        <v>IT0005422891</v>
      </c>
      <c r="B54" s="68" t="s">
        <v>512</v>
      </c>
      <c r="C54" s="75">
        <v>8823</v>
      </c>
      <c r="D54" s="75">
        <v>128</v>
      </c>
      <c r="E54" s="75">
        <v>100000</v>
      </c>
      <c r="F54" s="69">
        <v>6.2735440000000003E-2</v>
      </c>
      <c r="G54" s="70">
        <v>101441</v>
      </c>
      <c r="H54" s="67">
        <f t="shared" si="5"/>
        <v>100000</v>
      </c>
      <c r="I54" s="67">
        <f t="shared" si="6"/>
        <v>6.2735440000000003E-2</v>
      </c>
      <c r="J54" s="67">
        <f t="shared" si="7"/>
        <v>101441</v>
      </c>
      <c r="K54" s="71">
        <f t="shared" si="8"/>
        <v>101.441</v>
      </c>
      <c r="L54" s="29" t="e">
        <f ca="1">IF(B54="","",_xll.BDP(A54&amp;" Corp","INTERVAL_HIGH","START_DATE_OVERRIDE",TEXT($L$12,"AAAAMMDD"),"END_DATE_OVERRIDE",TEXT($L$13,"AAAAMMDD"),"MARKET_DATA_OVERRIDE",$L$14))</f>
        <v>#NAME?</v>
      </c>
      <c r="M54" s="30" t="e">
        <f ca="1">IF(B54="","",_xll.BDP($A54&amp;" Corp","INTERVAL_LOW","START_DATE_OVERRIDE",TEXT($L$12,"AAAAMMDD"),"END_DATE_OVERRIDE",TEXT($L$13,"AAAAMMDD"),"MARKET_DATA_OVERRIDE",$L$14))</f>
        <v>#NAME?</v>
      </c>
      <c r="N54" s="31" t="e">
        <f ca="1">IF($B54="","",_xll.BDP($A54&amp;" Corp",N$15))</f>
        <v>#NAME?</v>
      </c>
      <c r="O54" s="32" t="e">
        <f ca="1">IF($B54="","",_xll.BDP($A54&amp;" Corp",O$15))</f>
        <v>#NAME?</v>
      </c>
      <c r="P54" s="32" t="e">
        <f ca="1">IF($B54="","",_xll.BDP($A54&amp;" Corp",P$15))</f>
        <v>#NAME?</v>
      </c>
      <c r="Q54" s="30" t="e">
        <f ca="1">IF($B54="","",_xll.BDP($A54&amp;" Corp",Q$14))</f>
        <v>#NAME?</v>
      </c>
      <c r="R54" s="30" t="e">
        <f ca="1">IF($B54="","",_xll.BDP($A54&amp;" Corp",R$14))</f>
        <v>#NAME?</v>
      </c>
      <c r="S54" s="50" t="e">
        <f ca="1">IF($B54="","",_xll.BDP($A54&amp;" Corp",S$14))</f>
        <v>#NAME?</v>
      </c>
      <c r="T54" s="30" t="e">
        <f ca="1">IF($B54="","",_xll.BDP($A54&amp;" Corp",T$14))</f>
        <v>#NAME?</v>
      </c>
      <c r="U54" s="30" t="e">
        <f ca="1">IF($B54="","",_xll.BDP($A54&amp;" Corp",U$14))</f>
        <v>#NAME?</v>
      </c>
      <c r="V54" s="51" t="e">
        <f ca="1">IF($B54="","",IF($T54="VARIABLE",_xll.BDP($A54&amp;" Corp",V$13),_xll.BDP($A54&amp;" Corp",V$14)))</f>
        <v>#NAME?</v>
      </c>
      <c r="W54" s="30" t="e">
        <f ca="1">IF($B54="","",IF($T54="VARIABLE",_xll.BDP($A54&amp;" Corp",W$13),_xll.BDP($A54&amp;" Corp",W$14)))</f>
        <v>#NAME?</v>
      </c>
      <c r="X54" s="30" t="e">
        <f ca="1">IF($B54="","",_xll.BDP($A54&amp;" Corp",X$14))</f>
        <v>#NAME?</v>
      </c>
      <c r="Y54" s="33" t="e">
        <f ca="1">IF($B54="","",_xll.BDP($A54&amp;" Corp",Y$14))</f>
        <v>#NAME?</v>
      </c>
      <c r="Z54" s="52" t="e">
        <f ca="1">IF($B54="","",_xll.BDP($A54&amp;" Corp",Z$14))</f>
        <v>#NAME?</v>
      </c>
      <c r="AA54" s="53" t="e">
        <f ca="1">IF($B54="","",_xll.BDP($A54&amp;" Corp",AA$14))</f>
        <v>#NAME?</v>
      </c>
      <c r="AB54" s="54" t="e">
        <f ca="1">IF($B54="","",_xll.BDP($A54&amp;" Corp",AB$14))</f>
        <v>#NAME?</v>
      </c>
      <c r="AC54" s="54" t="e">
        <f ca="1">IF($B54="","",_xll.BDP($A54&amp;" Corp",AC$14))</f>
        <v>#NAME?</v>
      </c>
      <c r="AD54" s="55" t="e">
        <f ca="1">IF($B54="","",_xll.BDP($A54&amp;" Corp",AD$14))</f>
        <v>#NAME?</v>
      </c>
      <c r="AE54" s="56" t="e">
        <f ca="1">IF($B54="","",_xll.BDP($A54&amp;" Corp",AE$14))</f>
        <v>#NAME?</v>
      </c>
      <c r="AF54" s="29" t="e">
        <f ca="1">IF($B54="","",_xll.BDP($A54&amp;" Corp",AF$14))</f>
        <v>#NAME?</v>
      </c>
      <c r="AG54" s="33" t="e">
        <f ca="1">IF($B54="","",_xll.BDP($A54&amp;" Corp",AG$14))</f>
        <v>#NAME?</v>
      </c>
      <c r="AH54" s="30" t="e">
        <f ca="1">IF($B54="","",_xll.BDP($A54&amp;" Corp",AH$14))</f>
        <v>#NAME?</v>
      </c>
      <c r="AI54" s="30" t="e">
        <f ca="1">IF($B54="","",_xll.BDP($A54&amp;" Corp",AI$14))</f>
        <v>#NAME?</v>
      </c>
      <c r="AJ54" s="30" t="e">
        <f ca="1">IF($B54="","",_xll.BDP($A54&amp;" Corp",AJ$14))</f>
        <v>#NAME?</v>
      </c>
      <c r="AK54" s="11" t="e">
        <f ca="1">IF($B54="","",_xll.BDP($A54&amp;" Corp",AK$14))</f>
        <v>#NAME?</v>
      </c>
      <c r="AL54" s="11" t="e">
        <f ca="1">IF($B54="","",_xll.BDP($A54&amp;" Corp",AL$14))</f>
        <v>#NAME?</v>
      </c>
      <c r="AM54" s="11" t="e">
        <f t="shared" ca="1" si="9"/>
        <v>#NAME?</v>
      </c>
      <c r="AN54" s="57" t="e">
        <f t="shared" ca="1" si="12"/>
        <v>#NAME?</v>
      </c>
    </row>
    <row r="55" spans="1:40" x14ac:dyDescent="0.3">
      <c r="A55" s="67" t="str">
        <f t="shared" si="4"/>
        <v>PTBCPBOM0062</v>
      </c>
      <c r="B55" s="68" t="s">
        <v>364</v>
      </c>
      <c r="C55" s="75">
        <v>10212</v>
      </c>
      <c r="D55" s="75">
        <v>128</v>
      </c>
      <c r="E55" s="75">
        <v>100000</v>
      </c>
      <c r="F55" s="69">
        <v>9.0061950000000002E-2</v>
      </c>
      <c r="G55" s="70">
        <v>100960</v>
      </c>
      <c r="H55" s="67">
        <f t="shared" si="5"/>
        <v>100000</v>
      </c>
      <c r="I55" s="67">
        <f t="shared" si="6"/>
        <v>9.0061950000000002E-2</v>
      </c>
      <c r="J55" s="67">
        <f t="shared" si="7"/>
        <v>100960</v>
      </c>
      <c r="K55" s="71">
        <f t="shared" si="8"/>
        <v>100.96</v>
      </c>
      <c r="L55" s="29" t="e">
        <f ca="1">IF(B55="","",_xll.BDP(A55&amp;" Corp","INTERVAL_HIGH","START_DATE_OVERRIDE",TEXT($L$12,"AAAAMMDD"),"END_DATE_OVERRIDE",TEXT($L$13,"AAAAMMDD"),"MARKET_DATA_OVERRIDE",$L$14))</f>
        <v>#NAME?</v>
      </c>
      <c r="M55" s="30" t="e">
        <f ca="1">IF(B55="","",_xll.BDP($A55&amp;" Corp","INTERVAL_LOW","START_DATE_OVERRIDE",TEXT($L$12,"AAAAMMDD"),"END_DATE_OVERRIDE",TEXT($L$13,"AAAAMMDD"),"MARKET_DATA_OVERRIDE",$L$14))</f>
        <v>#NAME?</v>
      </c>
      <c r="N55" s="31" t="e">
        <f ca="1">IF($B55="","",_xll.BDP($A55&amp;" Corp",N$15))</f>
        <v>#NAME?</v>
      </c>
      <c r="O55" s="32" t="e">
        <f ca="1">IF($B55="","",_xll.BDP($A55&amp;" Corp",O$15))</f>
        <v>#NAME?</v>
      </c>
      <c r="P55" s="32" t="e">
        <f ca="1">IF($B55="","",_xll.BDP($A55&amp;" Corp",P$15))</f>
        <v>#NAME?</v>
      </c>
      <c r="Q55" s="30" t="e">
        <f ca="1">IF($B55="","",_xll.BDP($A55&amp;" Corp",Q$14))</f>
        <v>#NAME?</v>
      </c>
      <c r="R55" s="30" t="e">
        <f ca="1">IF($B55="","",_xll.BDP($A55&amp;" Corp",R$14))</f>
        <v>#NAME?</v>
      </c>
      <c r="S55" s="50" t="e">
        <f ca="1">IF($B55="","",_xll.BDP($A55&amp;" Corp",S$14))</f>
        <v>#NAME?</v>
      </c>
      <c r="T55" s="30" t="e">
        <f ca="1">IF($B55="","",_xll.BDP($A55&amp;" Corp",T$14))</f>
        <v>#NAME?</v>
      </c>
      <c r="U55" s="30" t="e">
        <f ca="1">IF($B55="","",_xll.BDP($A55&amp;" Corp",U$14))</f>
        <v>#NAME?</v>
      </c>
      <c r="V55" s="51" t="e">
        <f ca="1">IF($B55="","",IF($T55="VARIABLE",_xll.BDP($A55&amp;" Corp",V$13),_xll.BDP($A55&amp;" Corp",V$14)))</f>
        <v>#NAME?</v>
      </c>
      <c r="W55" s="30" t="e">
        <f ca="1">IF($B55="","",IF($T55="VARIABLE",_xll.BDP($A55&amp;" Corp",W$13),_xll.BDP($A55&amp;" Corp",W$14)))</f>
        <v>#NAME?</v>
      </c>
      <c r="X55" s="30" t="e">
        <f ca="1">IF($B55="","",_xll.BDP($A55&amp;" Corp",X$14))</f>
        <v>#NAME?</v>
      </c>
      <c r="Y55" s="33" t="e">
        <f ca="1">IF($B55="","",_xll.BDP($A55&amp;" Corp",Y$14))</f>
        <v>#NAME?</v>
      </c>
      <c r="Z55" s="52" t="e">
        <f ca="1">IF($B55="","",_xll.BDP($A55&amp;" Corp",Z$14))</f>
        <v>#NAME?</v>
      </c>
      <c r="AA55" s="53" t="e">
        <f ca="1">IF($B55="","",_xll.BDP($A55&amp;" Corp",AA$14))</f>
        <v>#NAME?</v>
      </c>
      <c r="AB55" s="54" t="e">
        <f ca="1">IF($B55="","",_xll.BDP($A55&amp;" Corp",AB$14))</f>
        <v>#NAME?</v>
      </c>
      <c r="AC55" s="54" t="e">
        <f ca="1">IF($B55="","",_xll.BDP($A55&amp;" Corp",AC$14))</f>
        <v>#NAME?</v>
      </c>
      <c r="AD55" s="55" t="e">
        <f ca="1">IF($B55="","",_xll.BDP($A55&amp;" Corp",AD$14))</f>
        <v>#NAME?</v>
      </c>
      <c r="AE55" s="56" t="e">
        <f ca="1">IF($B55="","",_xll.BDP($A55&amp;" Corp",AE$14))</f>
        <v>#NAME?</v>
      </c>
      <c r="AF55" s="29" t="e">
        <f ca="1">IF($B55="","",_xll.BDP($A55&amp;" Corp",AF$14))</f>
        <v>#NAME?</v>
      </c>
      <c r="AG55" s="33" t="e">
        <f ca="1">IF($B55="","",_xll.BDP($A55&amp;" Corp",AG$14))</f>
        <v>#NAME?</v>
      </c>
      <c r="AH55" s="30" t="e">
        <f ca="1">IF($B55="","",_xll.BDP($A55&amp;" Corp",AH$14))</f>
        <v>#NAME?</v>
      </c>
      <c r="AI55" s="30" t="e">
        <f ca="1">IF($B55="","",_xll.BDP($A55&amp;" Corp",AI$14))</f>
        <v>#NAME?</v>
      </c>
      <c r="AJ55" s="30" t="e">
        <f ca="1">IF($B55="","",_xll.BDP($A55&amp;" Corp",AJ$14))</f>
        <v>#NAME?</v>
      </c>
      <c r="AK55" s="11" t="e">
        <f ca="1">IF($B55="","",_xll.BDP($A55&amp;" Corp",AK$14))</f>
        <v>#NAME?</v>
      </c>
      <c r="AL55" s="11" t="e">
        <f ca="1">IF($B55="","",_xll.BDP($A55&amp;" Corp",AL$14))</f>
        <v>#NAME?</v>
      </c>
      <c r="AM55" s="11" t="e">
        <f t="shared" ca="1" si="9"/>
        <v>#NAME?</v>
      </c>
      <c r="AN55" s="57" t="e">
        <f t="shared" ca="1" si="12"/>
        <v>#NAME?</v>
      </c>
    </row>
    <row r="56" spans="1:40" x14ac:dyDescent="0.3">
      <c r="A56" s="67" t="str">
        <f t="shared" si="4"/>
        <v>PTBCPHOM0066</v>
      </c>
      <c r="B56" s="68" t="s">
        <v>366</v>
      </c>
      <c r="C56" s="75">
        <v>8882</v>
      </c>
      <c r="D56" s="75">
        <v>128</v>
      </c>
      <c r="E56" s="75">
        <v>300000</v>
      </c>
      <c r="F56" s="69">
        <v>0.21989982999999999</v>
      </c>
      <c r="G56" s="70">
        <v>267727.33</v>
      </c>
      <c r="H56" s="67">
        <f t="shared" si="5"/>
        <v>300000</v>
      </c>
      <c r="I56" s="67">
        <f t="shared" si="6"/>
        <v>0.21989982999999999</v>
      </c>
      <c r="J56" s="67">
        <f t="shared" si="7"/>
        <v>267727.33</v>
      </c>
      <c r="K56" s="71">
        <f t="shared" si="8"/>
        <v>89.242443333333327</v>
      </c>
      <c r="L56" s="29" t="e">
        <f ca="1">IF(B56="","",_xll.BDP(A56&amp;" Corp","INTERVAL_HIGH","START_DATE_OVERRIDE",TEXT($L$12,"AAAAMMDD"),"END_DATE_OVERRIDE",TEXT($L$13,"AAAAMMDD"),"MARKET_DATA_OVERRIDE",$L$14))</f>
        <v>#NAME?</v>
      </c>
      <c r="M56" s="30" t="e">
        <f ca="1">IF(B56="","",_xll.BDP($A56&amp;" Corp","INTERVAL_LOW","START_DATE_OVERRIDE",TEXT($L$12,"AAAAMMDD"),"END_DATE_OVERRIDE",TEXT($L$13,"AAAAMMDD"),"MARKET_DATA_OVERRIDE",$L$14))</f>
        <v>#NAME?</v>
      </c>
      <c r="N56" s="31" t="e">
        <f ca="1">IF($B56="","",_xll.BDP($A56&amp;" Corp",N$15))</f>
        <v>#NAME?</v>
      </c>
      <c r="O56" s="32" t="e">
        <f ca="1">IF($B56="","",_xll.BDP($A56&amp;" Corp",O$15))</f>
        <v>#NAME?</v>
      </c>
      <c r="P56" s="32" t="e">
        <f ca="1">IF($B56="","",_xll.BDP($A56&amp;" Corp",P$15))</f>
        <v>#NAME?</v>
      </c>
      <c r="Q56" s="30" t="e">
        <f ca="1">IF($B56="","",_xll.BDP($A56&amp;" Corp",Q$14))</f>
        <v>#NAME?</v>
      </c>
      <c r="R56" s="30" t="e">
        <f ca="1">IF($B56="","",_xll.BDP($A56&amp;" Corp",R$14))</f>
        <v>#NAME?</v>
      </c>
      <c r="S56" s="50" t="e">
        <f ca="1">IF($B56="","",_xll.BDP($A56&amp;" Corp",S$14))</f>
        <v>#NAME?</v>
      </c>
      <c r="T56" s="30" t="e">
        <f ca="1">IF($B56="","",_xll.BDP($A56&amp;" Corp",T$14))</f>
        <v>#NAME?</v>
      </c>
      <c r="U56" s="30" t="e">
        <f ca="1">IF($B56="","",_xll.BDP($A56&amp;" Corp",U$14))</f>
        <v>#NAME?</v>
      </c>
      <c r="V56" s="51" t="e">
        <f ca="1">IF($B56="","",IF($T56="VARIABLE",_xll.BDP($A56&amp;" Corp",V$13),_xll.BDP($A56&amp;" Corp",V$14)))</f>
        <v>#NAME?</v>
      </c>
      <c r="W56" s="30" t="e">
        <f ca="1">IF($B56="","",IF($T56="VARIABLE",_xll.BDP($A56&amp;" Corp",W$13),_xll.BDP($A56&amp;" Corp",W$14)))</f>
        <v>#NAME?</v>
      </c>
      <c r="X56" s="30" t="e">
        <f ca="1">IF($B56="","",_xll.BDP($A56&amp;" Corp",X$14))</f>
        <v>#NAME?</v>
      </c>
      <c r="Y56" s="33" t="e">
        <f ca="1">IF($B56="","",_xll.BDP($A56&amp;" Corp",Y$14))</f>
        <v>#NAME?</v>
      </c>
      <c r="Z56" s="52" t="e">
        <f ca="1">IF($B56="","",_xll.BDP($A56&amp;" Corp",Z$14))</f>
        <v>#NAME?</v>
      </c>
      <c r="AA56" s="53" t="e">
        <f ca="1">IF($B56="","",_xll.BDP($A56&amp;" Corp",AA$14))</f>
        <v>#NAME?</v>
      </c>
      <c r="AB56" s="54" t="e">
        <f ca="1">IF($B56="","",_xll.BDP($A56&amp;" Corp",AB$14))</f>
        <v>#NAME?</v>
      </c>
      <c r="AC56" s="54" t="e">
        <f ca="1">IF($B56="","",_xll.BDP($A56&amp;" Corp",AC$14))</f>
        <v>#NAME?</v>
      </c>
      <c r="AD56" s="55" t="e">
        <f ca="1">IF($B56="","",_xll.BDP($A56&amp;" Corp",AD$14))</f>
        <v>#NAME?</v>
      </c>
      <c r="AE56" s="56" t="e">
        <f ca="1">IF($B56="","",_xll.BDP($A56&amp;" Corp",AE$14))</f>
        <v>#NAME?</v>
      </c>
      <c r="AF56" s="29" t="e">
        <f ca="1">IF($B56="","",_xll.BDP($A56&amp;" Corp",AF$14))</f>
        <v>#NAME?</v>
      </c>
      <c r="AG56" s="33" t="e">
        <f ca="1">IF($B56="","",_xll.BDP($A56&amp;" Corp",AG$14))</f>
        <v>#NAME?</v>
      </c>
      <c r="AH56" s="30" t="e">
        <f ca="1">IF($B56="","",_xll.BDP($A56&amp;" Corp",AH$14))</f>
        <v>#NAME?</v>
      </c>
      <c r="AI56" s="30" t="e">
        <f ca="1">IF($B56="","",_xll.BDP($A56&amp;" Corp",AI$14))</f>
        <v>#NAME?</v>
      </c>
      <c r="AJ56" s="30" t="e">
        <f ca="1">IF($B56="","",_xll.BDP($A56&amp;" Corp",AJ$14))</f>
        <v>#NAME?</v>
      </c>
      <c r="AK56" s="11" t="e">
        <f ca="1">IF($B56="","",_xll.BDP($A56&amp;" Corp",AK$14))</f>
        <v>#NAME?</v>
      </c>
      <c r="AL56" s="11" t="e">
        <f ca="1">IF($B56="","",_xll.BDP($A56&amp;" Corp",AL$14))</f>
        <v>#NAME?</v>
      </c>
      <c r="AM56" s="11" t="e">
        <f t="shared" ca="1" si="9"/>
        <v>#NAME?</v>
      </c>
      <c r="AN56" s="57" t="e">
        <f t="shared" ca="1" si="12"/>
        <v>#NAME?</v>
      </c>
    </row>
    <row r="57" spans="1:40" x14ac:dyDescent="0.3">
      <c r="A57" s="67" t="str">
        <f t="shared" si="4"/>
        <v>PTBEQJOM0012</v>
      </c>
      <c r="B57" s="68" t="s">
        <v>368</v>
      </c>
      <c r="C57" s="75">
        <v>2910</v>
      </c>
      <c r="D57" s="75">
        <v>128</v>
      </c>
      <c r="E57" s="75">
        <v>100000</v>
      </c>
      <c r="F57" s="69">
        <v>0</v>
      </c>
      <c r="G57" s="70">
        <v>0</v>
      </c>
      <c r="H57" s="67">
        <f t="shared" si="5"/>
        <v>100000</v>
      </c>
      <c r="I57" s="67">
        <f t="shared" si="6"/>
        <v>0</v>
      </c>
      <c r="J57" s="67">
        <f t="shared" si="7"/>
        <v>0</v>
      </c>
      <c r="K57" s="71">
        <f t="shared" si="8"/>
        <v>0</v>
      </c>
      <c r="L57" s="29" t="e">
        <f ca="1">IF(B57="","",_xll.BDP(A57&amp;" Corp","INTERVAL_HIGH","START_DATE_OVERRIDE",TEXT($L$12,"AAAAMMDD"),"END_DATE_OVERRIDE",TEXT($L$13,"AAAAMMDD"),"MARKET_DATA_OVERRIDE",$L$14))</f>
        <v>#NAME?</v>
      </c>
      <c r="M57" s="30" t="e">
        <f ca="1">IF(B57="","",_xll.BDP($A57&amp;" Corp","INTERVAL_LOW","START_DATE_OVERRIDE",TEXT($L$12,"AAAAMMDD"),"END_DATE_OVERRIDE",TEXT($L$13,"AAAAMMDD"),"MARKET_DATA_OVERRIDE",$L$14))</f>
        <v>#NAME?</v>
      </c>
      <c r="N57" s="31" t="e">
        <f ca="1">IF($B57="","",_xll.BDP($A57&amp;" Corp",N$15))</f>
        <v>#NAME?</v>
      </c>
      <c r="O57" s="32" t="e">
        <f ca="1">IF($B57="","",_xll.BDP($A57&amp;" Corp",O$15))</f>
        <v>#NAME?</v>
      </c>
      <c r="P57" s="32" t="e">
        <f ca="1">IF($B57="","",_xll.BDP($A57&amp;" Corp",P$15))</f>
        <v>#NAME?</v>
      </c>
      <c r="Q57" s="30" t="e">
        <f ca="1">IF($B57="","",_xll.BDP($A57&amp;" Corp",Q$14))</f>
        <v>#NAME?</v>
      </c>
      <c r="R57" s="30" t="e">
        <f ca="1">IF($B57="","",_xll.BDP($A57&amp;" Corp",R$14))</f>
        <v>#NAME?</v>
      </c>
      <c r="S57" s="50" t="e">
        <f ca="1">IF($B57="","",_xll.BDP($A57&amp;" Corp",S$14))</f>
        <v>#NAME?</v>
      </c>
      <c r="T57" s="30" t="e">
        <f ca="1">IF($B57="","",_xll.BDP($A57&amp;" Corp",T$14))</f>
        <v>#NAME?</v>
      </c>
      <c r="U57" s="30" t="e">
        <f ca="1">IF($B57="","",_xll.BDP($A57&amp;" Corp",U$14))</f>
        <v>#NAME?</v>
      </c>
      <c r="V57" s="51" t="e">
        <f ca="1">IF($B57="","",IF($T57="VARIABLE",_xll.BDP($A57&amp;" Corp",V$13),_xll.BDP($A57&amp;" Corp",V$14)))</f>
        <v>#NAME?</v>
      </c>
      <c r="W57" s="30" t="e">
        <f ca="1">IF($B57="","",IF($T57="VARIABLE",_xll.BDP($A57&amp;" Corp",W$13),_xll.BDP($A57&amp;" Corp",W$14)))</f>
        <v>#NAME?</v>
      </c>
      <c r="X57" s="30" t="e">
        <f ca="1">IF($B57="","",_xll.BDP($A57&amp;" Corp",X$14))</f>
        <v>#NAME?</v>
      </c>
      <c r="Y57" s="33" t="e">
        <f ca="1">IF($B57="","",_xll.BDP($A57&amp;" Corp",Y$14))</f>
        <v>#NAME?</v>
      </c>
      <c r="Z57" s="52" t="e">
        <f ca="1">IF($B57="","",_xll.BDP($A57&amp;" Corp",Z$14))</f>
        <v>#NAME?</v>
      </c>
      <c r="AA57" s="53" t="e">
        <f ca="1">IF($B57="","",_xll.BDP($A57&amp;" Corp",AA$14))</f>
        <v>#NAME?</v>
      </c>
      <c r="AB57" s="54" t="e">
        <f ca="1">IF($B57="","",_xll.BDP($A57&amp;" Corp",AB$14))</f>
        <v>#NAME?</v>
      </c>
      <c r="AC57" s="54" t="e">
        <f ca="1">IF($B57="","",_xll.BDP($A57&amp;" Corp",AC$14))</f>
        <v>#NAME?</v>
      </c>
      <c r="AD57" s="55" t="e">
        <f ca="1">IF($B57="","",_xll.BDP($A57&amp;" Corp",AD$14))</f>
        <v>#NAME?</v>
      </c>
      <c r="AE57" s="56" t="e">
        <f ca="1">IF($B57="","",_xll.BDP($A57&amp;" Corp",AE$14))</f>
        <v>#NAME?</v>
      </c>
      <c r="AF57" s="29" t="e">
        <f ca="1">IF($B57="","",_xll.BDP($A57&amp;" Corp",AF$14))</f>
        <v>#NAME?</v>
      </c>
      <c r="AG57" s="33" t="e">
        <f ca="1">IF($B57="","",_xll.BDP($A57&amp;" Corp",AG$14))</f>
        <v>#NAME?</v>
      </c>
      <c r="AH57" s="30" t="e">
        <f ca="1">IF($B57="","",_xll.BDP($A57&amp;" Corp",AH$14))</f>
        <v>#NAME?</v>
      </c>
      <c r="AI57" s="30" t="e">
        <f ca="1">IF($B57="","",_xll.BDP($A57&amp;" Corp",AI$14))</f>
        <v>#NAME?</v>
      </c>
      <c r="AJ57" s="30" t="e">
        <f ca="1">IF($B57="","",_xll.BDP($A57&amp;" Corp",AJ$14))</f>
        <v>#NAME?</v>
      </c>
      <c r="AK57" s="11" t="e">
        <f ca="1">IF($B57="","",_xll.BDP($A57&amp;" Corp",AK$14))</f>
        <v>#NAME?</v>
      </c>
      <c r="AL57" s="11" t="e">
        <f ca="1">IF($B57="","",_xll.BDP($A57&amp;" Corp",AL$14))</f>
        <v>#NAME?</v>
      </c>
      <c r="AM57" s="11" t="e">
        <f t="shared" ca="1" si="9"/>
        <v>#NAME?</v>
      </c>
      <c r="AN57" s="57" t="e">
        <f t="shared" ca="1" si="12"/>
        <v>#NAME?</v>
      </c>
    </row>
    <row r="58" spans="1:40" x14ac:dyDescent="0.3">
      <c r="A58" s="67" t="str">
        <f t="shared" si="4"/>
        <v>PTCCCAOM0000</v>
      </c>
      <c r="B58" s="68" t="s">
        <v>428</v>
      </c>
      <c r="C58" s="75">
        <v>9585</v>
      </c>
      <c r="D58" s="75">
        <v>128</v>
      </c>
      <c r="E58" s="75">
        <v>300000</v>
      </c>
      <c r="F58" s="69">
        <v>0.22574195</v>
      </c>
      <c r="G58" s="70">
        <v>300573</v>
      </c>
      <c r="H58" s="67">
        <f t="shared" si="5"/>
        <v>300000</v>
      </c>
      <c r="I58" s="67">
        <f t="shared" si="6"/>
        <v>0.22574195</v>
      </c>
      <c r="J58" s="67">
        <f t="shared" si="7"/>
        <v>300573</v>
      </c>
      <c r="K58" s="71">
        <f t="shared" si="8"/>
        <v>100.191</v>
      </c>
      <c r="L58" s="29" t="e">
        <f ca="1">IF(B58="","",_xll.BDP(A58&amp;" Corp","INTERVAL_HIGH","START_DATE_OVERRIDE",TEXT($L$12,"AAAAMMDD"),"END_DATE_OVERRIDE",TEXT($L$13,"AAAAMMDD"),"MARKET_DATA_OVERRIDE",$L$14))</f>
        <v>#NAME?</v>
      </c>
      <c r="M58" s="30" t="e">
        <f ca="1">IF(B58="","",_xll.BDP($A58&amp;" Corp","INTERVAL_LOW","START_DATE_OVERRIDE",TEXT($L$12,"AAAAMMDD"),"END_DATE_OVERRIDE",TEXT($L$13,"AAAAMMDD"),"MARKET_DATA_OVERRIDE",$L$14))</f>
        <v>#NAME?</v>
      </c>
      <c r="N58" s="31" t="e">
        <f ca="1">IF($B58="","",_xll.BDP($A58&amp;" Corp",N$15))</f>
        <v>#NAME?</v>
      </c>
      <c r="O58" s="32" t="e">
        <f ca="1">IF($B58="","",_xll.BDP($A58&amp;" Corp",O$15))</f>
        <v>#NAME?</v>
      </c>
      <c r="P58" s="32" t="e">
        <f ca="1">IF($B58="","",_xll.BDP($A58&amp;" Corp",P$15))</f>
        <v>#NAME?</v>
      </c>
      <c r="Q58" s="30" t="e">
        <f ca="1">IF($B58="","",_xll.BDP($A58&amp;" Corp",Q$14))</f>
        <v>#NAME?</v>
      </c>
      <c r="R58" s="30" t="e">
        <f ca="1">IF($B58="","",_xll.BDP($A58&amp;" Corp",R$14))</f>
        <v>#NAME?</v>
      </c>
      <c r="S58" s="50" t="e">
        <f ca="1">IF($B58="","",_xll.BDP($A58&amp;" Corp",S$14))</f>
        <v>#NAME?</v>
      </c>
      <c r="T58" s="30" t="e">
        <f ca="1">IF($B58="","",_xll.BDP($A58&amp;" Corp",T$14))</f>
        <v>#NAME?</v>
      </c>
      <c r="U58" s="30" t="e">
        <f ca="1">IF($B58="","",_xll.BDP($A58&amp;" Corp",U$14))</f>
        <v>#NAME?</v>
      </c>
      <c r="V58" s="51" t="e">
        <f ca="1">IF($B58="","",IF($T58="VARIABLE",_xll.BDP($A58&amp;" Corp",V$13),_xll.BDP($A58&amp;" Corp",V$14)))</f>
        <v>#NAME?</v>
      </c>
      <c r="W58" s="30" t="e">
        <f ca="1">IF($B58="","",IF($T58="VARIABLE",_xll.BDP($A58&amp;" Corp",W$13),_xll.BDP($A58&amp;" Corp",W$14)))</f>
        <v>#NAME?</v>
      </c>
      <c r="X58" s="30" t="e">
        <f ca="1">IF($B58="","",_xll.BDP($A58&amp;" Corp",X$14))</f>
        <v>#NAME?</v>
      </c>
      <c r="Y58" s="33" t="e">
        <f ca="1">IF($B58="","",_xll.BDP($A58&amp;" Corp",Y$14))</f>
        <v>#NAME?</v>
      </c>
      <c r="Z58" s="52" t="e">
        <f ca="1">IF($B58="","",_xll.BDP($A58&amp;" Corp",Z$14))</f>
        <v>#NAME?</v>
      </c>
      <c r="AA58" s="53" t="e">
        <f ca="1">IF($B58="","",_xll.BDP($A58&amp;" Corp",AA$14))</f>
        <v>#NAME?</v>
      </c>
      <c r="AB58" s="54" t="e">
        <f ca="1">IF($B58="","",_xll.BDP($A58&amp;" Corp",AB$14))</f>
        <v>#NAME?</v>
      </c>
      <c r="AC58" s="54" t="e">
        <f ca="1">IF($B58="","",_xll.BDP($A58&amp;" Corp",AC$14))</f>
        <v>#NAME?</v>
      </c>
      <c r="AD58" s="55" t="e">
        <f ca="1">IF($B58="","",_xll.BDP($A58&amp;" Corp",AD$14))</f>
        <v>#NAME?</v>
      </c>
      <c r="AE58" s="56" t="e">
        <f ca="1">IF($B58="","",_xll.BDP($A58&amp;" Corp",AE$14))</f>
        <v>#NAME?</v>
      </c>
      <c r="AF58" s="29" t="e">
        <f ca="1">IF($B58="","",_xll.BDP($A58&amp;" Corp",AF$14))</f>
        <v>#NAME?</v>
      </c>
      <c r="AG58" s="33" t="e">
        <f ca="1">IF($B58="","",_xll.BDP($A58&amp;" Corp",AG$14))</f>
        <v>#NAME?</v>
      </c>
      <c r="AH58" s="30" t="e">
        <f ca="1">IF($B58="","",_xll.BDP($A58&amp;" Corp",AH$14))</f>
        <v>#NAME?</v>
      </c>
      <c r="AI58" s="30" t="e">
        <f ca="1">IF($B58="","",_xll.BDP($A58&amp;" Corp",AI$14))</f>
        <v>#NAME?</v>
      </c>
      <c r="AJ58" s="30" t="e">
        <f ca="1">IF($B58="","",_xll.BDP($A58&amp;" Corp",AJ$14))</f>
        <v>#NAME?</v>
      </c>
      <c r="AK58" s="11" t="e">
        <f ca="1">IF($B58="","",_xll.BDP($A58&amp;" Corp",AK$14))</f>
        <v>#NAME?</v>
      </c>
      <c r="AL58" s="11" t="e">
        <f ca="1">IF($B58="","",_xll.BDP($A58&amp;" Corp",AL$14))</f>
        <v>#NAME?</v>
      </c>
      <c r="AM58" s="11" t="e">
        <f t="shared" ca="1" si="9"/>
        <v>#NAME?</v>
      </c>
      <c r="AN58" s="57" t="e">
        <f t="shared" ca="1" si="12"/>
        <v>#NAME?</v>
      </c>
    </row>
    <row r="59" spans="1:40" x14ac:dyDescent="0.3">
      <c r="A59" s="67" t="str">
        <f t="shared" si="4"/>
        <v>PTCGDMOM0027</v>
      </c>
      <c r="B59" s="68" t="s">
        <v>370</v>
      </c>
      <c r="C59" s="75">
        <v>7245</v>
      </c>
      <c r="D59" s="75">
        <v>128</v>
      </c>
      <c r="E59" s="75">
        <v>1300000</v>
      </c>
      <c r="F59" s="69">
        <v>1.0262164499999999</v>
      </c>
      <c r="G59" s="70">
        <v>1272511</v>
      </c>
      <c r="H59" s="67">
        <f t="shared" si="5"/>
        <v>1300000</v>
      </c>
      <c r="I59" s="67">
        <f t="shared" si="6"/>
        <v>1.0262164499999999</v>
      </c>
      <c r="J59" s="67">
        <f t="shared" si="7"/>
        <v>1272511</v>
      </c>
      <c r="K59" s="71">
        <f t="shared" si="8"/>
        <v>97.885461538461541</v>
      </c>
      <c r="L59" s="29" t="e">
        <f ca="1">IF(B59="","",_xll.BDP(A59&amp;" Corp","INTERVAL_HIGH","START_DATE_OVERRIDE",TEXT($L$12,"AAAAMMDD"),"END_DATE_OVERRIDE",TEXT($L$13,"AAAAMMDD"),"MARKET_DATA_OVERRIDE",$L$14))</f>
        <v>#NAME?</v>
      </c>
      <c r="M59" s="30" t="e">
        <f ca="1">IF(B59="","",_xll.BDP($A59&amp;" Corp","INTERVAL_LOW","START_DATE_OVERRIDE",TEXT($L$12,"AAAAMMDD"),"END_DATE_OVERRIDE",TEXT($L$13,"AAAAMMDD"),"MARKET_DATA_OVERRIDE",$L$14))</f>
        <v>#NAME?</v>
      </c>
      <c r="N59" s="31" t="e">
        <f ca="1">IF($B59="","",_xll.BDP($A59&amp;" Corp",N$15))</f>
        <v>#NAME?</v>
      </c>
      <c r="O59" s="32" t="e">
        <f ca="1">IF($B59="","",_xll.BDP($A59&amp;" Corp",O$15))</f>
        <v>#NAME?</v>
      </c>
      <c r="P59" s="32" t="e">
        <f ca="1">IF($B59="","",_xll.BDP($A59&amp;" Corp",P$15))</f>
        <v>#NAME?</v>
      </c>
      <c r="Q59" s="30" t="e">
        <f ca="1">IF($B59="","",_xll.BDP($A59&amp;" Corp",Q$14))</f>
        <v>#NAME?</v>
      </c>
      <c r="R59" s="30" t="e">
        <f ca="1">IF($B59="","",_xll.BDP($A59&amp;" Corp",R$14))</f>
        <v>#NAME?</v>
      </c>
      <c r="S59" s="50" t="e">
        <f ca="1">IF($B59="","",_xll.BDP($A59&amp;" Corp",S$14))</f>
        <v>#NAME?</v>
      </c>
      <c r="T59" s="30" t="e">
        <f ca="1">IF($B59="","",_xll.BDP($A59&amp;" Corp",T$14))</f>
        <v>#NAME?</v>
      </c>
      <c r="U59" s="30" t="e">
        <f ca="1">IF($B59="","",_xll.BDP($A59&amp;" Corp",U$14))</f>
        <v>#NAME?</v>
      </c>
      <c r="V59" s="51" t="e">
        <f ca="1">IF($B59="","",IF($T59="VARIABLE",_xll.BDP($A59&amp;" Corp",V$13),_xll.BDP($A59&amp;" Corp",V$14)))</f>
        <v>#NAME?</v>
      </c>
      <c r="W59" s="30" t="e">
        <f ca="1">IF($B59="","",IF($T59="VARIABLE",_xll.BDP($A59&amp;" Corp",W$13),_xll.BDP($A59&amp;" Corp",W$14)))</f>
        <v>#NAME?</v>
      </c>
      <c r="X59" s="30" t="e">
        <f ca="1">IF($B59="","",_xll.BDP($A59&amp;" Corp",X$14))</f>
        <v>#NAME?</v>
      </c>
      <c r="Y59" s="33" t="e">
        <f ca="1">IF($B59="","",_xll.BDP($A59&amp;" Corp",Y$14))</f>
        <v>#NAME?</v>
      </c>
      <c r="Z59" s="52" t="e">
        <f ca="1">IF($B59="","",_xll.BDP($A59&amp;" Corp",Z$14))</f>
        <v>#NAME?</v>
      </c>
      <c r="AA59" s="53" t="e">
        <f ca="1">IF($B59="","",_xll.BDP($A59&amp;" Corp",AA$14))</f>
        <v>#NAME?</v>
      </c>
      <c r="AB59" s="54" t="e">
        <f ca="1">IF($B59="","",_xll.BDP($A59&amp;" Corp",AB$14))</f>
        <v>#NAME?</v>
      </c>
      <c r="AC59" s="54" t="e">
        <f ca="1">IF($B59="","",_xll.BDP($A59&amp;" Corp",AC$14))</f>
        <v>#NAME?</v>
      </c>
      <c r="AD59" s="55" t="e">
        <f ca="1">IF($B59="","",_xll.BDP($A59&amp;" Corp",AD$14))</f>
        <v>#NAME?</v>
      </c>
      <c r="AE59" s="56" t="e">
        <f ca="1">IF($B59="","",_xll.BDP($A59&amp;" Corp",AE$14))</f>
        <v>#NAME?</v>
      </c>
      <c r="AF59" s="29" t="e">
        <f ca="1">IF($B59="","",_xll.BDP($A59&amp;" Corp",AF$14))</f>
        <v>#NAME?</v>
      </c>
      <c r="AG59" s="33" t="e">
        <f ca="1">IF($B59="","",_xll.BDP($A59&amp;" Corp",AG$14))</f>
        <v>#NAME?</v>
      </c>
      <c r="AH59" s="30" t="e">
        <f ca="1">IF($B59="","",_xll.BDP($A59&amp;" Corp",AH$14))</f>
        <v>#NAME?</v>
      </c>
      <c r="AI59" s="30" t="e">
        <f ca="1">IF($B59="","",_xll.BDP($A59&amp;" Corp",AI$14))</f>
        <v>#NAME?</v>
      </c>
      <c r="AJ59" s="30" t="e">
        <f ca="1">IF($B59="","",_xll.BDP($A59&amp;" Corp",AJ$14))</f>
        <v>#NAME?</v>
      </c>
      <c r="AK59" s="11" t="e">
        <f ca="1">IF($B59="","",_xll.BDP($A59&amp;" Corp",AK$14))</f>
        <v>#NAME?</v>
      </c>
      <c r="AL59" s="11" t="e">
        <f ca="1">IF($B59="","",_xll.BDP($A59&amp;" Corp",AL$14))</f>
        <v>#NAME?</v>
      </c>
      <c r="AM59" s="11" t="e">
        <f t="shared" ca="1" si="9"/>
        <v>#NAME?</v>
      </c>
      <c r="AN59" s="57" t="e">
        <f t="shared" ca="1" si="12"/>
        <v>#NAME?</v>
      </c>
    </row>
    <row r="60" spans="1:40" x14ac:dyDescent="0.3">
      <c r="A60" s="67" t="str">
        <f t="shared" si="4"/>
        <v>PTFIDBOM0009</v>
      </c>
      <c r="B60" s="68" t="s">
        <v>450</v>
      </c>
      <c r="C60" s="75">
        <v>9571</v>
      </c>
      <c r="D60" s="75">
        <v>128</v>
      </c>
      <c r="E60" s="75">
        <v>100000</v>
      </c>
      <c r="F60" s="69">
        <v>7.0282819999999996E-2</v>
      </c>
      <c r="G60" s="70">
        <v>103038.25</v>
      </c>
      <c r="H60" s="67">
        <f t="shared" si="5"/>
        <v>100000</v>
      </c>
      <c r="I60" s="67">
        <f t="shared" si="6"/>
        <v>7.0282819999999996E-2</v>
      </c>
      <c r="J60" s="67">
        <f t="shared" si="7"/>
        <v>103038.25</v>
      </c>
      <c r="K60" s="71">
        <f t="shared" si="8"/>
        <v>103.03825000000001</v>
      </c>
      <c r="L60" s="29" t="e">
        <f ca="1">IF(B60="","",_xll.BDP(A60&amp;" Corp","INTERVAL_HIGH","START_DATE_OVERRIDE",TEXT($L$12,"AAAAMMDD"),"END_DATE_OVERRIDE",TEXT($L$13,"AAAAMMDD"),"MARKET_DATA_OVERRIDE",$L$14))</f>
        <v>#NAME?</v>
      </c>
      <c r="M60" s="30" t="e">
        <f ca="1">IF(B60="","",_xll.BDP($A60&amp;" Corp","INTERVAL_LOW","START_DATE_OVERRIDE",TEXT($L$12,"AAAAMMDD"),"END_DATE_OVERRIDE",TEXT($L$13,"AAAAMMDD"),"MARKET_DATA_OVERRIDE",$L$14))</f>
        <v>#NAME?</v>
      </c>
      <c r="N60" s="31" t="e">
        <f ca="1">IF($B60="","",_xll.BDP($A60&amp;" Corp",N$15))</f>
        <v>#NAME?</v>
      </c>
      <c r="O60" s="32" t="e">
        <f ca="1">IF($B60="","",_xll.BDP($A60&amp;" Corp",O$15))</f>
        <v>#NAME?</v>
      </c>
      <c r="P60" s="32" t="e">
        <f ca="1">IF($B60="","",_xll.BDP($A60&amp;" Corp",P$15))</f>
        <v>#NAME?</v>
      </c>
      <c r="Q60" s="30" t="e">
        <f ca="1">IF($B60="","",_xll.BDP($A60&amp;" Corp",Q$14))</f>
        <v>#NAME?</v>
      </c>
      <c r="R60" s="30" t="e">
        <f ca="1">IF($B60="","",_xll.BDP($A60&amp;" Corp",R$14))</f>
        <v>#NAME?</v>
      </c>
      <c r="S60" s="50" t="e">
        <f ca="1">IF($B60="","",_xll.BDP($A60&amp;" Corp",S$14))</f>
        <v>#NAME?</v>
      </c>
      <c r="T60" s="30" t="e">
        <f ca="1">IF($B60="","",_xll.BDP($A60&amp;" Corp",T$14))</f>
        <v>#NAME?</v>
      </c>
      <c r="U60" s="30" t="e">
        <f ca="1">IF($B60="","",_xll.BDP($A60&amp;" Corp",U$14))</f>
        <v>#NAME?</v>
      </c>
      <c r="V60" s="51" t="e">
        <f ca="1">IF($B60="","",IF($T60="VARIABLE",_xll.BDP($A60&amp;" Corp",V$13),_xll.BDP($A60&amp;" Corp",V$14)))</f>
        <v>#NAME?</v>
      </c>
      <c r="W60" s="30" t="e">
        <f ca="1">IF($B60="","",IF($T60="VARIABLE",_xll.BDP($A60&amp;" Corp",W$13),_xll.BDP($A60&amp;" Corp",W$14)))</f>
        <v>#NAME?</v>
      </c>
      <c r="X60" s="30" t="e">
        <f ca="1">IF($B60="","",_xll.BDP($A60&amp;" Corp",X$14))</f>
        <v>#NAME?</v>
      </c>
      <c r="Y60" s="33" t="e">
        <f ca="1">IF($B60="","",_xll.BDP($A60&amp;" Corp",Y$14))</f>
        <v>#NAME?</v>
      </c>
      <c r="Z60" s="52" t="e">
        <f ca="1">IF($B60="","",_xll.BDP($A60&amp;" Corp",Z$14))</f>
        <v>#NAME?</v>
      </c>
      <c r="AA60" s="53" t="e">
        <f ca="1">IF($B60="","",_xll.BDP($A60&amp;" Corp",AA$14))</f>
        <v>#NAME?</v>
      </c>
      <c r="AB60" s="54" t="e">
        <f ca="1">IF($B60="","",_xll.BDP($A60&amp;" Corp",AB$14))</f>
        <v>#NAME?</v>
      </c>
      <c r="AC60" s="54" t="e">
        <f ca="1">IF($B60="","",_xll.BDP($A60&amp;" Corp",AC$14))</f>
        <v>#NAME?</v>
      </c>
      <c r="AD60" s="55" t="e">
        <f ca="1">IF($B60="","",_xll.BDP($A60&amp;" Corp",AD$14))</f>
        <v>#NAME?</v>
      </c>
      <c r="AE60" s="56" t="e">
        <f ca="1">IF($B60="","",_xll.BDP($A60&amp;" Corp",AE$14))</f>
        <v>#NAME?</v>
      </c>
      <c r="AF60" s="29" t="e">
        <f ca="1">IF($B60="","",_xll.BDP($A60&amp;" Corp",AF$14))</f>
        <v>#NAME?</v>
      </c>
      <c r="AG60" s="33" t="e">
        <f ca="1">IF($B60="","",_xll.BDP($A60&amp;" Corp",AG$14))</f>
        <v>#NAME?</v>
      </c>
      <c r="AH60" s="30" t="e">
        <f ca="1">IF($B60="","",_xll.BDP($A60&amp;" Corp",AH$14))</f>
        <v>#NAME?</v>
      </c>
      <c r="AI60" s="30" t="e">
        <f ca="1">IF($B60="","",_xll.BDP($A60&amp;" Corp",AI$14))</f>
        <v>#NAME?</v>
      </c>
      <c r="AJ60" s="30" t="e">
        <f ca="1">IF($B60="","",_xll.BDP($A60&amp;" Corp",AJ$14))</f>
        <v>#NAME?</v>
      </c>
      <c r="AK60" s="11" t="e">
        <f ca="1">IF($B60="","",_xll.BDP($A60&amp;" Corp",AK$14))</f>
        <v>#NAME?</v>
      </c>
      <c r="AL60" s="11" t="e">
        <f ca="1">IF($B60="","",_xll.BDP($A60&amp;" Corp",AL$14))</f>
        <v>#NAME?</v>
      </c>
      <c r="AM60" s="11" t="e">
        <f t="shared" ca="1" si="9"/>
        <v>#NAME?</v>
      </c>
      <c r="AN60" s="57" t="e">
        <f t="shared" ca="1" si="12"/>
        <v>#NAME?</v>
      </c>
    </row>
    <row r="61" spans="1:40" x14ac:dyDescent="0.3">
      <c r="A61" s="67" t="str">
        <f t="shared" si="4"/>
        <v/>
      </c>
      <c r="B61" s="68" t="s">
        <v>372</v>
      </c>
      <c r="C61" s="75">
        <v>5712</v>
      </c>
      <c r="D61" s="75">
        <v>128</v>
      </c>
      <c r="E61" s="75">
        <v>600000</v>
      </c>
      <c r="F61" s="69">
        <v>0.51052461000000005</v>
      </c>
      <c r="G61" s="70">
        <v>684728.67</v>
      </c>
      <c r="H61" s="67">
        <f t="shared" si="5"/>
        <v>600000</v>
      </c>
      <c r="I61" s="67">
        <f t="shared" si="6"/>
        <v>0.51052461000000005</v>
      </c>
      <c r="J61" s="67">
        <f t="shared" si="7"/>
        <v>684728.67</v>
      </c>
      <c r="K61" s="71">
        <f t="shared" si="8"/>
        <v>114.12144499999999</v>
      </c>
      <c r="L61" s="29" t="e">
        <f ca="1">IF(B61="","",_xll.BDP(A61&amp;" Corp","INTERVAL_HIGH","START_DATE_OVERRIDE",TEXT($L$12,"AAAAMMDD"),"END_DATE_OVERRIDE",TEXT($L$13,"AAAAMMDD"),"MARKET_DATA_OVERRIDE",$L$14))</f>
        <v>#NAME?</v>
      </c>
      <c r="M61" s="30" t="e">
        <f ca="1">IF(B61="","",_xll.BDP($A61&amp;" Corp","INTERVAL_LOW","START_DATE_OVERRIDE",TEXT($L$12,"AAAAMMDD"),"END_DATE_OVERRIDE",TEXT($L$13,"AAAAMMDD"),"MARKET_DATA_OVERRIDE",$L$14))</f>
        <v>#NAME?</v>
      </c>
      <c r="N61" s="31" t="e">
        <f ca="1">IF($B61="","",_xll.BDP($A61&amp;" Corp",N$15))</f>
        <v>#NAME?</v>
      </c>
      <c r="O61" s="32" t="e">
        <f ca="1">IF($B61="","",_xll.BDP($A61&amp;" Corp",O$15))</f>
        <v>#NAME?</v>
      </c>
      <c r="P61" s="32" t="e">
        <f ca="1">IF($B61="","",_xll.BDP($A61&amp;" Corp",P$15))</f>
        <v>#NAME?</v>
      </c>
      <c r="Q61" s="30" t="e">
        <f ca="1">IF($B61="","",_xll.BDP($A61&amp;" Corp",Q$14))</f>
        <v>#NAME?</v>
      </c>
      <c r="R61" s="30" t="e">
        <f ca="1">IF($B61="","",_xll.BDP($A61&amp;" Corp",R$14))</f>
        <v>#NAME?</v>
      </c>
      <c r="S61" s="50" t="e">
        <f ca="1">IF($B61="","",_xll.BDP($A61&amp;" Corp",S$14))</f>
        <v>#NAME?</v>
      </c>
      <c r="T61" s="30" t="e">
        <f ca="1">IF($B61="","",_xll.BDP($A61&amp;" Corp",T$14))</f>
        <v>#NAME?</v>
      </c>
      <c r="U61" s="30" t="e">
        <f ca="1">IF($B61="","",_xll.BDP($A61&amp;" Corp",U$14))</f>
        <v>#NAME?</v>
      </c>
      <c r="V61" s="51" t="e">
        <f ca="1">IF($B61="","",IF($T61="VARIABLE",_xll.BDP($A61&amp;" Corp",V$13),_xll.BDP($A61&amp;" Corp",V$14)))</f>
        <v>#NAME?</v>
      </c>
      <c r="W61" s="30" t="e">
        <f ca="1">IF($B61="","",IF($T61="VARIABLE",_xll.BDP($A61&amp;" Corp",W$13),_xll.BDP($A61&amp;" Corp",W$14)))</f>
        <v>#NAME?</v>
      </c>
      <c r="X61" s="30" t="e">
        <f ca="1">IF($B61="","",_xll.BDP($A61&amp;" Corp",X$14))</f>
        <v>#NAME?</v>
      </c>
      <c r="Y61" s="33" t="e">
        <f ca="1">IF($B61="","",_xll.BDP($A61&amp;" Corp",Y$14))</f>
        <v>#NAME?</v>
      </c>
      <c r="Z61" s="52" t="e">
        <f ca="1">IF($B61="","",_xll.BDP($A61&amp;" Corp",Z$14))</f>
        <v>#NAME?</v>
      </c>
      <c r="AA61" s="53" t="e">
        <f ca="1">IF($B61="","",_xll.BDP($A61&amp;" Corp",AA$14))</f>
        <v>#NAME?</v>
      </c>
      <c r="AB61" s="54" t="e">
        <f ca="1">IF($B61="","",_xll.BDP($A61&amp;" Corp",AB$14))</f>
        <v>#NAME?</v>
      </c>
      <c r="AC61" s="54" t="e">
        <f ca="1">IF($B61="","",_xll.BDP($A61&amp;" Corp",AC$14))</f>
        <v>#NAME?</v>
      </c>
      <c r="AD61" s="55" t="e">
        <f ca="1">IF($B61="","",_xll.BDP($A61&amp;" Corp",AD$14))</f>
        <v>#NAME?</v>
      </c>
      <c r="AE61" s="56" t="e">
        <f ca="1">IF($B61="","",_xll.BDP($A61&amp;" Corp",AE$14))</f>
        <v>#NAME?</v>
      </c>
      <c r="AF61" s="29" t="e">
        <f ca="1">IF($B61="","",_xll.BDP($A61&amp;" Corp",AF$14))</f>
        <v>#NAME?</v>
      </c>
      <c r="AG61" s="33" t="e">
        <f ca="1">IF($B61="","",_xll.BDP($A61&amp;" Corp",AG$14))</f>
        <v>#NAME?</v>
      </c>
      <c r="AH61" s="30" t="e">
        <f ca="1">IF($B61="","",_xll.BDP($A61&amp;" Corp",AH$14))</f>
        <v>#NAME?</v>
      </c>
      <c r="AI61" s="30" t="e">
        <f ca="1">IF($B61="","",_xll.BDP($A61&amp;" Corp",AI$14))</f>
        <v>#NAME?</v>
      </c>
      <c r="AJ61" s="30" t="e">
        <f ca="1">IF($B61="","",_xll.BDP($A61&amp;" Corp",AJ$14))</f>
        <v>#NAME?</v>
      </c>
      <c r="AK61" s="11" t="e">
        <f ca="1">IF($B61="","",_xll.BDP($A61&amp;" Corp",AK$14))</f>
        <v>#NAME?</v>
      </c>
      <c r="AL61" s="11" t="e">
        <f ca="1">IF($B61="","",_xll.BDP($A61&amp;" Corp",AL$14))</f>
        <v>#NAME?</v>
      </c>
      <c r="AM61" s="11" t="e">
        <f t="shared" ca="1" si="9"/>
        <v>#NAME?</v>
      </c>
      <c r="AN61" s="57" t="e">
        <f t="shared" ca="1" si="12"/>
        <v>#NAME?</v>
      </c>
    </row>
    <row r="62" spans="1:40" x14ac:dyDescent="0.3">
      <c r="A62" s="67" t="str">
        <f t="shared" si="4"/>
        <v>SE0015657903</v>
      </c>
      <c r="B62" s="68" t="s">
        <v>462</v>
      </c>
      <c r="C62" s="75">
        <v>8985</v>
      </c>
      <c r="D62" s="75">
        <v>128</v>
      </c>
      <c r="E62" s="75">
        <v>300000</v>
      </c>
      <c r="F62" s="69">
        <v>0.12064247</v>
      </c>
      <c r="G62" s="70">
        <v>306682.2</v>
      </c>
      <c r="H62" s="67">
        <f t="shared" si="5"/>
        <v>300000</v>
      </c>
      <c r="I62" s="67">
        <f t="shared" si="6"/>
        <v>0.12064247</v>
      </c>
      <c r="J62" s="67">
        <f t="shared" si="7"/>
        <v>306682.2</v>
      </c>
      <c r="K62" s="71">
        <f t="shared" si="8"/>
        <v>102.2274</v>
      </c>
      <c r="L62" s="29" t="e">
        <f ca="1">IF(B62="","",_xll.BDP(A62&amp;" Corp","INTERVAL_HIGH","START_DATE_OVERRIDE",TEXT($L$12,"AAAAMMDD"),"END_DATE_OVERRIDE",TEXT($L$13,"AAAAMMDD"),"MARKET_DATA_OVERRIDE",$L$14))</f>
        <v>#NAME?</v>
      </c>
      <c r="M62" s="30" t="e">
        <f ca="1">IF(B62="","",_xll.BDP($A62&amp;" Corp","INTERVAL_LOW","START_DATE_OVERRIDE",TEXT($L$12,"AAAAMMDD"),"END_DATE_OVERRIDE",TEXT($L$13,"AAAAMMDD"),"MARKET_DATA_OVERRIDE",$L$14))</f>
        <v>#NAME?</v>
      </c>
      <c r="N62" s="31" t="e">
        <f ca="1">IF($B62="","",_xll.BDP($A62&amp;" Corp",N$15))</f>
        <v>#NAME?</v>
      </c>
      <c r="O62" s="32" t="e">
        <f ca="1">IF($B62="","",_xll.BDP($A62&amp;" Corp",O$15))</f>
        <v>#NAME?</v>
      </c>
      <c r="P62" s="32" t="e">
        <f ca="1">IF($B62="","",_xll.BDP($A62&amp;" Corp",P$15))</f>
        <v>#NAME?</v>
      </c>
      <c r="Q62" s="30" t="e">
        <f ca="1">IF($B62="","",_xll.BDP($A62&amp;" Corp",Q$14))</f>
        <v>#NAME?</v>
      </c>
      <c r="R62" s="30" t="e">
        <f ca="1">IF($B62="","",_xll.BDP($A62&amp;" Corp",R$14))</f>
        <v>#NAME?</v>
      </c>
      <c r="S62" s="50" t="e">
        <f ca="1">IF($B62="","",_xll.BDP($A62&amp;" Corp",S$14))</f>
        <v>#NAME?</v>
      </c>
      <c r="T62" s="30" t="e">
        <f ca="1">IF($B62="","",_xll.BDP($A62&amp;" Corp",T$14))</f>
        <v>#NAME?</v>
      </c>
      <c r="U62" s="30" t="e">
        <f ca="1">IF($B62="","",_xll.BDP($A62&amp;" Corp",U$14))</f>
        <v>#NAME?</v>
      </c>
      <c r="V62" s="51" t="e">
        <f ca="1">IF($B62="","",IF($T62="VARIABLE",_xll.BDP($A62&amp;" Corp",V$13),_xll.BDP($A62&amp;" Corp",V$14)))</f>
        <v>#NAME?</v>
      </c>
      <c r="W62" s="30" t="e">
        <f ca="1">IF($B62="","",IF($T62="VARIABLE",_xll.BDP($A62&amp;" Corp",W$13),_xll.BDP($A62&amp;" Corp",W$14)))</f>
        <v>#NAME?</v>
      </c>
      <c r="X62" s="30" t="e">
        <f ca="1">IF($B62="","",_xll.BDP($A62&amp;" Corp",X$14))</f>
        <v>#NAME?</v>
      </c>
      <c r="Y62" s="33" t="e">
        <f ca="1">IF($B62="","",_xll.BDP($A62&amp;" Corp",Y$14))</f>
        <v>#NAME?</v>
      </c>
      <c r="Z62" s="52" t="e">
        <f ca="1">IF($B62="","",_xll.BDP($A62&amp;" Corp",Z$14))</f>
        <v>#NAME?</v>
      </c>
      <c r="AA62" s="53" t="e">
        <f ca="1">IF($B62="","",_xll.BDP($A62&amp;" Corp",AA$14))</f>
        <v>#NAME?</v>
      </c>
      <c r="AB62" s="54" t="e">
        <f ca="1">IF($B62="","",_xll.BDP($A62&amp;" Corp",AB$14))</f>
        <v>#NAME?</v>
      </c>
      <c r="AC62" s="54" t="e">
        <f ca="1">IF($B62="","",_xll.BDP($A62&amp;" Corp",AC$14))</f>
        <v>#NAME?</v>
      </c>
      <c r="AD62" s="55" t="e">
        <f ca="1">IF($B62="","",_xll.BDP($A62&amp;" Corp",AD$14))</f>
        <v>#NAME?</v>
      </c>
      <c r="AE62" s="56" t="e">
        <f ca="1">IF($B62="","",_xll.BDP($A62&amp;" Corp",AE$14))</f>
        <v>#NAME?</v>
      </c>
      <c r="AF62" s="29" t="e">
        <f ca="1">IF($B62="","",_xll.BDP($A62&amp;" Corp",AF$14))</f>
        <v>#NAME?</v>
      </c>
      <c r="AG62" s="33" t="e">
        <f ca="1">IF($B62="","",_xll.BDP($A62&amp;" Corp",AG$14))</f>
        <v>#NAME?</v>
      </c>
      <c r="AH62" s="30" t="e">
        <f ca="1">IF($B62="","",_xll.BDP($A62&amp;" Corp",AH$14))</f>
        <v>#NAME?</v>
      </c>
      <c r="AI62" s="30" t="e">
        <f ca="1">IF($B62="","",_xll.BDP($A62&amp;" Corp",AI$14))</f>
        <v>#NAME?</v>
      </c>
      <c r="AJ62" s="30" t="e">
        <f ca="1">IF($B62="","",_xll.BDP($A62&amp;" Corp",AJ$14))</f>
        <v>#NAME?</v>
      </c>
      <c r="AK62" s="11" t="e">
        <f ca="1">IF($B62="","",_xll.BDP($A62&amp;" Corp",AK$14))</f>
        <v>#NAME?</v>
      </c>
      <c r="AL62" s="11" t="e">
        <f ca="1">IF($B62="","",_xll.BDP($A62&amp;" Corp",AL$14))</f>
        <v>#NAME?</v>
      </c>
      <c r="AM62" s="11" t="e">
        <f t="shared" ca="1" si="9"/>
        <v>#NAME?</v>
      </c>
      <c r="AN62" s="57" t="e">
        <f t="shared" ca="1" si="12"/>
        <v>#NAME?</v>
      </c>
    </row>
    <row r="63" spans="1:40" x14ac:dyDescent="0.3">
      <c r="A63" s="67" t="str">
        <f t="shared" si="4"/>
        <v>SE0016589105</v>
      </c>
      <c r="B63" s="68" t="s">
        <v>464</v>
      </c>
      <c r="C63" s="75">
        <v>9469</v>
      </c>
      <c r="D63" s="75">
        <v>128</v>
      </c>
      <c r="E63" s="75">
        <v>500000</v>
      </c>
      <c r="F63" s="69">
        <v>0.20874472999999999</v>
      </c>
      <c r="G63" s="70">
        <v>501250</v>
      </c>
      <c r="H63" s="67">
        <f t="shared" si="5"/>
        <v>500000</v>
      </c>
      <c r="I63" s="67">
        <f t="shared" si="6"/>
        <v>0.20874472999999999</v>
      </c>
      <c r="J63" s="67">
        <f t="shared" si="7"/>
        <v>501250</v>
      </c>
      <c r="K63" s="71">
        <f t="shared" si="8"/>
        <v>100.25</v>
      </c>
      <c r="L63" s="29" t="e">
        <f ca="1">IF(B63="","",_xll.BDP(A63&amp;" Corp","INTERVAL_HIGH","START_DATE_OVERRIDE",TEXT($L$12,"AAAAMMDD"),"END_DATE_OVERRIDE",TEXT($L$13,"AAAAMMDD"),"MARKET_DATA_OVERRIDE",$L$14))</f>
        <v>#NAME?</v>
      </c>
      <c r="M63" s="30" t="e">
        <f ca="1">IF(B63="","",_xll.BDP($A63&amp;" Corp","INTERVAL_LOW","START_DATE_OVERRIDE",TEXT($L$12,"AAAAMMDD"),"END_DATE_OVERRIDE",TEXT($L$13,"AAAAMMDD"),"MARKET_DATA_OVERRIDE",$L$14))</f>
        <v>#NAME?</v>
      </c>
      <c r="N63" s="31" t="e">
        <f ca="1">IF($B63="","",_xll.BDP($A63&amp;" Corp",N$15))</f>
        <v>#NAME?</v>
      </c>
      <c r="O63" s="32" t="e">
        <f ca="1">IF($B63="","",_xll.BDP($A63&amp;" Corp",O$15))</f>
        <v>#NAME?</v>
      </c>
      <c r="P63" s="32" t="e">
        <f ca="1">IF($B63="","",_xll.BDP($A63&amp;" Corp",P$15))</f>
        <v>#NAME?</v>
      </c>
      <c r="Q63" s="30" t="e">
        <f ca="1">IF($B63="","",_xll.BDP($A63&amp;" Corp",Q$14))</f>
        <v>#NAME?</v>
      </c>
      <c r="R63" s="30" t="e">
        <f ca="1">IF($B63="","",_xll.BDP($A63&amp;" Corp",R$14))</f>
        <v>#NAME?</v>
      </c>
      <c r="S63" s="50" t="e">
        <f ca="1">IF($B63="","",_xll.BDP($A63&amp;" Corp",S$14))</f>
        <v>#NAME?</v>
      </c>
      <c r="T63" s="30" t="e">
        <f ca="1">IF($B63="","",_xll.BDP($A63&amp;" Corp",T$14))</f>
        <v>#NAME?</v>
      </c>
      <c r="U63" s="30" t="e">
        <f ca="1">IF($B63="","",_xll.BDP($A63&amp;" Corp",U$14))</f>
        <v>#NAME?</v>
      </c>
      <c r="V63" s="51" t="e">
        <f ca="1">IF($B63="","",IF($T63="VARIABLE",_xll.BDP($A63&amp;" Corp",V$13),_xll.BDP($A63&amp;" Corp",V$14)))</f>
        <v>#NAME?</v>
      </c>
      <c r="W63" s="30" t="e">
        <f ca="1">IF($B63="","",IF($T63="VARIABLE",_xll.BDP($A63&amp;" Corp",W$13),_xll.BDP($A63&amp;" Corp",W$14)))</f>
        <v>#NAME?</v>
      </c>
      <c r="X63" s="30" t="e">
        <f ca="1">IF($B63="","",_xll.BDP($A63&amp;" Corp",X$14))</f>
        <v>#NAME?</v>
      </c>
      <c r="Y63" s="33" t="e">
        <f ca="1">IF($B63="","",_xll.BDP($A63&amp;" Corp",Y$14))</f>
        <v>#NAME?</v>
      </c>
      <c r="Z63" s="52" t="e">
        <f ca="1">IF($B63="","",_xll.BDP($A63&amp;" Corp",Z$14))</f>
        <v>#NAME?</v>
      </c>
      <c r="AA63" s="53" t="e">
        <f ca="1">IF($B63="","",_xll.BDP($A63&amp;" Corp",AA$14))</f>
        <v>#NAME?</v>
      </c>
      <c r="AB63" s="54" t="e">
        <f ca="1">IF($B63="","",_xll.BDP($A63&amp;" Corp",AB$14))</f>
        <v>#NAME?</v>
      </c>
      <c r="AC63" s="54" t="e">
        <f ca="1">IF($B63="","",_xll.BDP($A63&amp;" Corp",AC$14))</f>
        <v>#NAME?</v>
      </c>
      <c r="AD63" s="55" t="e">
        <f ca="1">IF($B63="","",_xll.BDP($A63&amp;" Corp",AD$14))</f>
        <v>#NAME?</v>
      </c>
      <c r="AE63" s="56" t="e">
        <f ca="1">IF($B63="","",_xll.BDP($A63&amp;" Corp",AE$14))</f>
        <v>#NAME?</v>
      </c>
      <c r="AF63" s="29" t="e">
        <f ca="1">IF($B63="","",_xll.BDP($A63&amp;" Corp",AF$14))</f>
        <v>#NAME?</v>
      </c>
      <c r="AG63" s="33" t="e">
        <f ca="1">IF($B63="","",_xll.BDP($A63&amp;" Corp",AG$14))</f>
        <v>#NAME?</v>
      </c>
      <c r="AH63" s="30" t="e">
        <f ca="1">IF($B63="","",_xll.BDP($A63&amp;" Corp",AH$14))</f>
        <v>#NAME?</v>
      </c>
      <c r="AI63" s="30" t="e">
        <f ca="1">IF($B63="","",_xll.BDP($A63&amp;" Corp",AI$14))</f>
        <v>#NAME?</v>
      </c>
      <c r="AJ63" s="30" t="e">
        <f ca="1">IF($B63="","",_xll.BDP($A63&amp;" Corp",AJ$14))</f>
        <v>#NAME?</v>
      </c>
      <c r="AK63" s="11" t="e">
        <f ca="1">IF($B63="","",_xll.BDP($A63&amp;" Corp",AK$14))</f>
        <v>#NAME?</v>
      </c>
      <c r="AL63" s="11" t="e">
        <f ca="1">IF($B63="","",_xll.BDP($A63&amp;" Corp",AL$14))</f>
        <v>#NAME?</v>
      </c>
      <c r="AM63" s="11" t="e">
        <f t="shared" ca="1" si="9"/>
        <v>#NAME?</v>
      </c>
      <c r="AN63" s="57" t="e">
        <f t="shared" ca="1" si="12"/>
        <v>#NAME?</v>
      </c>
    </row>
    <row r="64" spans="1:40" hidden="1" x14ac:dyDescent="0.3">
      <c r="A64" t="str">
        <f t="shared" si="4"/>
        <v/>
      </c>
      <c r="B64" s="13" t="s">
        <v>317</v>
      </c>
      <c r="C64" s="73">
        <v>3715</v>
      </c>
      <c r="D64" s="73">
        <v>128</v>
      </c>
      <c r="E64" s="73">
        <v>400000</v>
      </c>
      <c r="F64" s="57">
        <v>0.32692112000000001</v>
      </c>
      <c r="G64" s="58">
        <v>414877</v>
      </c>
      <c r="H64">
        <f t="shared" si="5"/>
        <v>400000</v>
      </c>
      <c r="I64">
        <f t="shared" si="6"/>
        <v>0.32692112000000001</v>
      </c>
      <c r="J64">
        <f t="shared" si="7"/>
        <v>414877</v>
      </c>
      <c r="K64" s="32">
        <f t="shared" si="8"/>
        <v>103.71925</v>
      </c>
      <c r="L64" s="29" t="e">
        <f ca="1">IF(B64="","",_xll.BDP(A64&amp;" Corp","INTERVAL_HIGH","START_DATE_OVERRIDE",TEXT($L$12,"AAAAMMDD"),"END_DATE_OVERRIDE",TEXT($L$13,"AAAAMMDD"),"MARKET_DATA_OVERRIDE",$L$14))</f>
        <v>#NAME?</v>
      </c>
      <c r="M64" s="30" t="e">
        <f ca="1">IF(B64="","",_xll.BDP($A64&amp;" Corp","INTERVAL_LOW","START_DATE_OVERRIDE",TEXT($L$12,"AAAAMMDD"),"END_DATE_OVERRIDE",TEXT($L$13,"AAAAMMDD"),"MARKET_DATA_OVERRIDE",$L$14))</f>
        <v>#NAME?</v>
      </c>
      <c r="N64" s="31" t="e">
        <f ca="1">IF($B64="","",_xll.BDP($A64&amp;" Corp",N$15))</f>
        <v>#NAME?</v>
      </c>
      <c r="O64" s="32" t="e">
        <f ca="1">IF($B64="","",_xll.BDP($A64&amp;" Corp",O$15))</f>
        <v>#NAME?</v>
      </c>
      <c r="P64" s="32" t="e">
        <f ca="1">IF($B64="","",_xll.BDP($A64&amp;" Corp",P$15))</f>
        <v>#NAME?</v>
      </c>
      <c r="Q64" s="30" t="e">
        <f ca="1">IF($B64="","",_xll.BDP($A64&amp;" Corp",Q$14))</f>
        <v>#NAME?</v>
      </c>
      <c r="R64" s="30" t="e">
        <f ca="1">IF($B64="","",_xll.BDP($A64&amp;" Corp",R$14))</f>
        <v>#NAME?</v>
      </c>
      <c r="S64" s="50" t="e">
        <f ca="1">IF($B64="","",_xll.BDP($A64&amp;" Corp",S$14))</f>
        <v>#NAME?</v>
      </c>
      <c r="T64" s="30" t="e">
        <f ca="1">IF($B64="","",_xll.BDP($A64&amp;" Corp",T$14))</f>
        <v>#NAME?</v>
      </c>
      <c r="U64" s="30" t="e">
        <f ca="1">IF($B64="","",_xll.BDP($A64&amp;" Corp",U$14))</f>
        <v>#NAME?</v>
      </c>
      <c r="V64" s="51" t="e">
        <f ca="1">IF($B64="","",IF($T64="VARIABLE",_xll.BDP($A64&amp;" Corp",V$13),_xll.BDP($A64&amp;" Corp",V$14)))</f>
        <v>#NAME?</v>
      </c>
      <c r="W64" s="30" t="e">
        <f ca="1">IF($B64="","",IF($T64="VARIABLE",_xll.BDP($A64&amp;" Corp",W$13),_xll.BDP($A64&amp;" Corp",W$14)))</f>
        <v>#NAME?</v>
      </c>
      <c r="X64" s="30" t="e">
        <f ca="1">IF($B64="","",_xll.BDP($A64&amp;" Corp",X$14))</f>
        <v>#NAME?</v>
      </c>
      <c r="Y64" s="33" t="e">
        <f ca="1">IF($B64="","",_xll.BDP($A64&amp;" Corp",Y$14))</f>
        <v>#NAME?</v>
      </c>
      <c r="Z64" s="52" t="e">
        <f ca="1">IF($B64="","",_xll.BDP($A64&amp;" Corp",Z$14))</f>
        <v>#NAME?</v>
      </c>
      <c r="AA64" s="53" t="e">
        <f ca="1">IF($B64="","",_xll.BDP($A64&amp;" Corp",AA$14))</f>
        <v>#NAME?</v>
      </c>
      <c r="AB64" s="54" t="e">
        <f ca="1">IF($B64="","",_xll.BDP($A64&amp;" Corp",AB$14))</f>
        <v>#NAME?</v>
      </c>
      <c r="AC64" s="54" t="e">
        <f ca="1">IF($B64="","",_xll.BDP($A64&amp;" Corp",AC$14))</f>
        <v>#NAME?</v>
      </c>
      <c r="AD64" s="55" t="e">
        <f ca="1">IF($B64="","",_xll.BDP($A64&amp;" Corp",AD$14))</f>
        <v>#NAME?</v>
      </c>
      <c r="AE64" s="56" t="e">
        <f ca="1">IF($B64="","",_xll.BDP($A64&amp;" Corp",AE$14))</f>
        <v>#NAME?</v>
      </c>
      <c r="AF64" s="29" t="e">
        <f ca="1">IF($B64="","",_xll.BDP($A64&amp;" Corp",AF$14))</f>
        <v>#NAME?</v>
      </c>
      <c r="AG64" s="33" t="e">
        <f ca="1">IF($B64="","",_xll.BDP($A64&amp;" Corp",AG$14))</f>
        <v>#NAME?</v>
      </c>
      <c r="AH64" s="30" t="e">
        <f ca="1">IF($B64="","",_xll.BDP($A64&amp;" Corp",AH$14))</f>
        <v>#NAME?</v>
      </c>
      <c r="AI64" s="30" t="e">
        <f ca="1">IF($B64="","",_xll.BDP($A64&amp;" Corp",AI$14))</f>
        <v>#NAME?</v>
      </c>
      <c r="AJ64" s="30" t="e">
        <f ca="1">IF($B64="","",_xll.BDP($A64&amp;" Corp",AJ$14))</f>
        <v>#NAME?</v>
      </c>
      <c r="AK64" s="11" t="e">
        <f ca="1">IF($B64="","",_xll.BDP($A64&amp;" Corp",AK$14))</f>
        <v>#NAME?</v>
      </c>
      <c r="AL64" s="11" t="e">
        <f ca="1">IF($B64="","",_xll.BDP($A64&amp;" Corp",AL$14))</f>
        <v>#NAME?</v>
      </c>
      <c r="AM64" s="11" t="e">
        <f t="shared" ca="1" si="9"/>
        <v>#NAME?</v>
      </c>
    </row>
    <row r="65" spans="1:40" x14ac:dyDescent="0.3">
      <c r="A65" s="67" t="str">
        <f t="shared" si="4"/>
        <v>US654902AC90</v>
      </c>
      <c r="B65" s="68" t="s">
        <v>263</v>
      </c>
      <c r="C65" s="75">
        <v>8774</v>
      </c>
      <c r="D65" s="75">
        <v>128</v>
      </c>
      <c r="E65" s="75">
        <v>82898.12</v>
      </c>
      <c r="F65" s="69">
        <v>7.0818329999999999E-2</v>
      </c>
      <c r="G65" s="70">
        <v>127222</v>
      </c>
      <c r="H65" s="67">
        <f t="shared" si="5"/>
        <v>82898.12</v>
      </c>
      <c r="I65" s="67">
        <f t="shared" si="6"/>
        <v>7.0818329999999999E-2</v>
      </c>
      <c r="J65" s="67">
        <f t="shared" si="7"/>
        <v>127222</v>
      </c>
      <c r="K65" s="71">
        <f t="shared" si="8"/>
        <v>153.4678952912322</v>
      </c>
      <c r="L65" s="29" t="e">
        <f ca="1">IF(B65="","",_xll.BDP(A65&amp;" Corp","INTERVAL_HIGH","START_DATE_OVERRIDE",TEXT($L$12,"AAAAMMDD"),"END_DATE_OVERRIDE",TEXT($L$13,"AAAAMMDD"),"MARKET_DATA_OVERRIDE",$L$14))</f>
        <v>#NAME?</v>
      </c>
      <c r="M65" s="30" t="e">
        <f ca="1">IF(B65="","",_xll.BDP($A65&amp;" Corp","INTERVAL_LOW","START_DATE_OVERRIDE",TEXT($L$12,"AAAAMMDD"),"END_DATE_OVERRIDE",TEXT($L$13,"AAAAMMDD"),"MARKET_DATA_OVERRIDE",$L$14))</f>
        <v>#NAME?</v>
      </c>
      <c r="N65" s="31" t="e">
        <f ca="1">IF($B65="","",_xll.BDP($A65&amp;" Corp",N$15))</f>
        <v>#NAME?</v>
      </c>
      <c r="O65" s="32" t="e">
        <f ca="1">IF($B65="","",_xll.BDP($A65&amp;" Corp",O$15))</f>
        <v>#NAME?</v>
      </c>
      <c r="P65" s="32" t="e">
        <f ca="1">IF($B65="","",_xll.BDP($A65&amp;" Corp",P$15))</f>
        <v>#NAME?</v>
      </c>
      <c r="Q65" s="30" t="e">
        <f ca="1">IF($B65="","",_xll.BDP($A65&amp;" Corp",Q$14))</f>
        <v>#NAME?</v>
      </c>
      <c r="R65" s="30" t="e">
        <f ca="1">IF($B65="","",_xll.BDP($A65&amp;" Corp",R$14))</f>
        <v>#NAME?</v>
      </c>
      <c r="S65" s="50" t="e">
        <f ca="1">IF($B65="","",_xll.BDP($A65&amp;" Corp",S$14))</f>
        <v>#NAME?</v>
      </c>
      <c r="T65" s="30" t="e">
        <f ca="1">IF($B65="","",_xll.BDP($A65&amp;" Corp",T$14))</f>
        <v>#NAME?</v>
      </c>
      <c r="U65" s="30" t="e">
        <f ca="1">IF($B65="","",_xll.BDP($A65&amp;" Corp",U$14))</f>
        <v>#NAME?</v>
      </c>
      <c r="V65" s="51" t="e">
        <f ca="1">IF($B65="","",IF($T65="VARIABLE",_xll.BDP($A65&amp;" Corp",V$13),_xll.BDP($A65&amp;" Corp",V$14)))</f>
        <v>#NAME?</v>
      </c>
      <c r="W65" s="30" t="e">
        <f ca="1">IF($B65="","",IF($T65="VARIABLE",_xll.BDP($A65&amp;" Corp",W$13),_xll.BDP($A65&amp;" Corp",W$14)))</f>
        <v>#NAME?</v>
      </c>
      <c r="X65" s="30" t="e">
        <f ca="1">IF($B65="","",_xll.BDP($A65&amp;" Corp",X$14))</f>
        <v>#NAME?</v>
      </c>
      <c r="Y65" s="33" t="e">
        <f ca="1">IF($B65="","",_xll.BDP($A65&amp;" Corp",Y$14))</f>
        <v>#NAME?</v>
      </c>
      <c r="Z65" s="52" t="e">
        <f ca="1">IF($B65="","",_xll.BDP($A65&amp;" Corp",Z$14))</f>
        <v>#NAME?</v>
      </c>
      <c r="AA65" s="53" t="e">
        <f ca="1">IF($B65="","",_xll.BDP($A65&amp;" Corp",AA$14))</f>
        <v>#NAME?</v>
      </c>
      <c r="AB65" s="54" t="e">
        <f ca="1">IF($B65="","",_xll.BDP($A65&amp;" Corp",AB$14))</f>
        <v>#NAME?</v>
      </c>
      <c r="AC65" s="54" t="e">
        <f ca="1">IF($B65="","",_xll.BDP($A65&amp;" Corp",AC$14))</f>
        <v>#NAME?</v>
      </c>
      <c r="AD65" s="55" t="e">
        <f ca="1">IF($B65="","",_xll.BDP($A65&amp;" Corp",AD$14))</f>
        <v>#NAME?</v>
      </c>
      <c r="AE65" s="56" t="e">
        <f ca="1">IF($B65="","",_xll.BDP($A65&amp;" Corp",AE$14))</f>
        <v>#NAME?</v>
      </c>
      <c r="AF65" s="29" t="e">
        <f ca="1">IF($B65="","",_xll.BDP($A65&amp;" Corp",AF$14))</f>
        <v>#NAME?</v>
      </c>
      <c r="AG65" s="33" t="e">
        <f ca="1">IF($B65="","",_xll.BDP($A65&amp;" Corp",AG$14))</f>
        <v>#NAME?</v>
      </c>
      <c r="AH65" s="30" t="e">
        <f ca="1">IF($B65="","",_xll.BDP($A65&amp;" Corp",AH$14))</f>
        <v>#NAME?</v>
      </c>
      <c r="AI65" s="30" t="e">
        <f ca="1">IF($B65="","",_xll.BDP($A65&amp;" Corp",AI$14))</f>
        <v>#NAME?</v>
      </c>
      <c r="AJ65" s="30" t="e">
        <f ca="1">IF($B65="","",_xll.BDP($A65&amp;" Corp",AJ$14))</f>
        <v>#NAME?</v>
      </c>
      <c r="AK65" s="11" t="e">
        <f ca="1">IF($B65="","",_xll.BDP($A65&amp;" Corp",AK$14))</f>
        <v>#NAME?</v>
      </c>
      <c r="AL65" s="11" t="e">
        <f ca="1">IF($B65="","",_xll.BDP($A65&amp;" Corp",AL$14))</f>
        <v>#NAME?</v>
      </c>
      <c r="AM65" s="11" t="e">
        <f t="shared" ca="1" si="9"/>
        <v>#NAME?</v>
      </c>
      <c r="AN65" s="57" t="e">
        <f t="shared" ref="AN65:AN66" ca="1" si="13">IF(ROUND(W65,0)=0,ROUND(W65,1), ROUND(W65,0))</f>
        <v>#NAME?</v>
      </c>
    </row>
    <row r="66" spans="1:40" x14ac:dyDescent="0.3">
      <c r="A66" s="67" t="str">
        <f t="shared" si="4"/>
        <v>US87938WAC73</v>
      </c>
      <c r="B66" s="68" t="s">
        <v>266</v>
      </c>
      <c r="C66" s="75">
        <v>7201</v>
      </c>
      <c r="D66" s="75">
        <v>128</v>
      </c>
      <c r="E66" s="75">
        <v>249636.76</v>
      </c>
      <c r="F66" s="69">
        <v>0.24011326999999999</v>
      </c>
      <c r="G66" s="70">
        <v>435475</v>
      </c>
      <c r="H66" s="67">
        <f t="shared" si="5"/>
        <v>249636.76</v>
      </c>
      <c r="I66" s="67">
        <f t="shared" si="6"/>
        <v>0.24011326999999999</v>
      </c>
      <c r="J66" s="67">
        <f t="shared" si="7"/>
        <v>435475</v>
      </c>
      <c r="K66" s="71">
        <f t="shared" si="8"/>
        <v>174.44345936872438</v>
      </c>
      <c r="L66" s="29" t="e">
        <f ca="1">IF(B66="","",_xll.BDP(A66&amp;" Corp","INTERVAL_HIGH","START_DATE_OVERRIDE",TEXT($L$12,"AAAAMMDD"),"END_DATE_OVERRIDE",TEXT($L$13,"AAAAMMDD"),"MARKET_DATA_OVERRIDE",$L$14))</f>
        <v>#NAME?</v>
      </c>
      <c r="M66" s="30" t="e">
        <f ca="1">IF(B66="","",_xll.BDP($A66&amp;" Corp","INTERVAL_LOW","START_DATE_OVERRIDE",TEXT($L$12,"AAAAMMDD"),"END_DATE_OVERRIDE",TEXT($L$13,"AAAAMMDD"),"MARKET_DATA_OVERRIDE",$L$14))</f>
        <v>#NAME?</v>
      </c>
      <c r="N66" s="31" t="e">
        <f ca="1">IF($B66="","",_xll.BDP($A66&amp;" Corp",N$15))</f>
        <v>#NAME?</v>
      </c>
      <c r="O66" s="32" t="e">
        <f ca="1">IF($B66="","",_xll.BDP($A66&amp;" Corp",O$15))</f>
        <v>#NAME?</v>
      </c>
      <c r="P66" s="32" t="e">
        <f ca="1">IF($B66="","",_xll.BDP($A66&amp;" Corp",P$15))</f>
        <v>#NAME?</v>
      </c>
      <c r="Q66" s="30" t="e">
        <f ca="1">IF($B66="","",_xll.BDP($A66&amp;" Corp",Q$14))</f>
        <v>#NAME?</v>
      </c>
      <c r="R66" s="30" t="e">
        <f ca="1">IF($B66="","",_xll.BDP($A66&amp;" Corp",R$14))</f>
        <v>#NAME?</v>
      </c>
      <c r="S66" s="50" t="e">
        <f ca="1">IF($B66="","",_xll.BDP($A66&amp;" Corp",S$14))</f>
        <v>#NAME?</v>
      </c>
      <c r="T66" s="30" t="e">
        <f ca="1">IF($B66="","",_xll.BDP($A66&amp;" Corp",T$14))</f>
        <v>#NAME?</v>
      </c>
      <c r="U66" s="30" t="e">
        <f ca="1">IF($B66="","",_xll.BDP($A66&amp;" Corp",U$14))</f>
        <v>#NAME?</v>
      </c>
      <c r="V66" s="51" t="e">
        <f ca="1">IF($B66="","",IF($T66="VARIABLE",_xll.BDP($A66&amp;" Corp",V$13),_xll.BDP($A66&amp;" Corp",V$14)))</f>
        <v>#NAME?</v>
      </c>
      <c r="W66" s="30" t="e">
        <f ca="1">IF($B66="","",IF($T66="VARIABLE",_xll.BDP($A66&amp;" Corp",W$13),_xll.BDP($A66&amp;" Corp",W$14)))</f>
        <v>#NAME?</v>
      </c>
      <c r="X66" s="30" t="e">
        <f ca="1">IF($B66="","",_xll.BDP($A66&amp;" Corp",X$14))</f>
        <v>#NAME?</v>
      </c>
      <c r="Y66" s="33" t="e">
        <f ca="1">IF($B66="","",_xll.BDP($A66&amp;" Corp",Y$14))</f>
        <v>#NAME?</v>
      </c>
      <c r="Z66" s="52" t="e">
        <f ca="1">IF($B66="","",_xll.BDP($A66&amp;" Corp",Z$14))</f>
        <v>#NAME?</v>
      </c>
      <c r="AA66" s="53" t="e">
        <f ca="1">IF($B66="","",_xll.BDP($A66&amp;" Corp",AA$14))</f>
        <v>#NAME?</v>
      </c>
      <c r="AB66" s="54" t="e">
        <f ca="1">IF($B66="","",_xll.BDP($A66&amp;" Corp",AB$14))</f>
        <v>#NAME?</v>
      </c>
      <c r="AC66" s="54" t="e">
        <f ca="1">IF($B66="","",_xll.BDP($A66&amp;" Corp",AC$14))</f>
        <v>#NAME?</v>
      </c>
      <c r="AD66" s="55" t="e">
        <f ca="1">IF($B66="","",_xll.BDP($A66&amp;" Corp",AD$14))</f>
        <v>#NAME?</v>
      </c>
      <c r="AE66" s="56" t="e">
        <f ca="1">IF($B66="","",_xll.BDP($A66&amp;" Corp",AE$14))</f>
        <v>#NAME?</v>
      </c>
      <c r="AF66" s="29" t="e">
        <f ca="1">IF($B66="","",_xll.BDP($A66&amp;" Corp",AF$14))</f>
        <v>#NAME?</v>
      </c>
      <c r="AG66" s="33" t="e">
        <f ca="1">IF($B66="","",_xll.BDP($A66&amp;" Corp",AG$14))</f>
        <v>#NAME?</v>
      </c>
      <c r="AH66" s="30" t="e">
        <f ca="1">IF($B66="","",_xll.BDP($A66&amp;" Corp",AH$14))</f>
        <v>#NAME?</v>
      </c>
      <c r="AI66" s="30" t="e">
        <f ca="1">IF($B66="","",_xll.BDP($A66&amp;" Corp",AI$14))</f>
        <v>#NAME?</v>
      </c>
      <c r="AJ66" s="30" t="e">
        <f ca="1">IF($B66="","",_xll.BDP($A66&amp;" Corp",AJ$14))</f>
        <v>#NAME?</v>
      </c>
      <c r="AK66" s="11" t="e">
        <f ca="1">IF($B66="","",_xll.BDP($A66&amp;" Corp",AK$14))</f>
        <v>#NAME?</v>
      </c>
      <c r="AL66" s="11" t="e">
        <f ca="1">IF($B66="","",_xll.BDP($A66&amp;" Corp",AL$14))</f>
        <v>#NAME?</v>
      </c>
      <c r="AM66" s="11" t="e">
        <f t="shared" ca="1" si="9"/>
        <v>#NAME?</v>
      </c>
      <c r="AN66" s="57" t="e">
        <f t="shared" ca="1" si="13"/>
        <v>#NAME?</v>
      </c>
    </row>
    <row r="67" spans="1:40" hidden="1" x14ac:dyDescent="0.3">
      <c r="A67" t="str">
        <f t="shared" si="4"/>
        <v>US912810TA60</v>
      </c>
      <c r="B67" s="13" t="s">
        <v>514</v>
      </c>
      <c r="C67" s="73">
        <v>9968</v>
      </c>
      <c r="D67" s="73">
        <v>128</v>
      </c>
      <c r="E67" s="73">
        <v>1005663</v>
      </c>
      <c r="F67" s="57">
        <v>0.52296518999999997</v>
      </c>
      <c r="G67" s="58">
        <v>802359.38</v>
      </c>
      <c r="H67">
        <f t="shared" si="5"/>
        <v>1005663</v>
      </c>
      <c r="I67">
        <f t="shared" si="6"/>
        <v>0.52296518999999997</v>
      </c>
      <c r="J67">
        <f t="shared" si="7"/>
        <v>802359.38</v>
      </c>
      <c r="K67" s="32">
        <f t="shared" si="8"/>
        <v>79.784120525464289</v>
      </c>
      <c r="L67" s="29" t="e">
        <f ca="1">IF(B67="","",_xll.BDP(A67&amp;" Corp","INTERVAL_HIGH","START_DATE_OVERRIDE",TEXT($L$12,"AAAAMMDD"),"END_DATE_OVERRIDE",TEXT($L$13,"AAAAMMDD"),"MARKET_DATA_OVERRIDE",$L$14))</f>
        <v>#NAME?</v>
      </c>
      <c r="M67" s="30" t="e">
        <f ca="1">IF(B67="","",_xll.BDP($A67&amp;" Corp","INTERVAL_LOW","START_DATE_OVERRIDE",TEXT($L$12,"AAAAMMDD"),"END_DATE_OVERRIDE",TEXT($L$13,"AAAAMMDD"),"MARKET_DATA_OVERRIDE",$L$14))</f>
        <v>#NAME?</v>
      </c>
      <c r="N67" s="31" t="e">
        <f ca="1">IF($B67="","",_xll.BDP($A67&amp;" Corp",N$15))</f>
        <v>#NAME?</v>
      </c>
      <c r="O67" s="32" t="e">
        <f ca="1">IF($B67="","",_xll.BDP($A67&amp;" Corp",O$15))</f>
        <v>#NAME?</v>
      </c>
      <c r="P67" s="32" t="e">
        <f ca="1">IF($B67="","",_xll.BDP($A67&amp;" Corp",P$15))</f>
        <v>#NAME?</v>
      </c>
      <c r="Q67" s="30" t="e">
        <f ca="1">IF($B67="","",_xll.BDP($A67&amp;" Corp",Q$14))</f>
        <v>#NAME?</v>
      </c>
      <c r="R67" s="30" t="e">
        <f ca="1">IF($B67="","",_xll.BDP($A67&amp;" Corp",R$14))</f>
        <v>#NAME?</v>
      </c>
      <c r="S67" s="50" t="e">
        <f ca="1">IF($B67="","",_xll.BDP($A67&amp;" Corp",S$14))</f>
        <v>#NAME?</v>
      </c>
      <c r="T67" s="30" t="e">
        <f ca="1">IF($B67="","",_xll.BDP($A67&amp;" Corp",T$14))</f>
        <v>#NAME?</v>
      </c>
      <c r="U67" s="30" t="e">
        <f ca="1">IF($B67="","",_xll.BDP($A67&amp;" Corp",U$14))</f>
        <v>#NAME?</v>
      </c>
      <c r="V67" s="51" t="e">
        <f ca="1">IF($B67="","",IF($T67="VARIABLE",_xll.BDP($A67&amp;" Corp",V$13),_xll.BDP($A67&amp;" Corp",V$14)))</f>
        <v>#NAME?</v>
      </c>
      <c r="W67" s="30" t="e">
        <f ca="1">IF($B67="","",IF($T67="VARIABLE",_xll.BDP($A67&amp;" Corp",W$13),_xll.BDP($A67&amp;" Corp",W$14)))</f>
        <v>#NAME?</v>
      </c>
      <c r="X67" s="30" t="e">
        <f ca="1">IF($B67="","",_xll.BDP($A67&amp;" Corp",X$14))</f>
        <v>#NAME?</v>
      </c>
      <c r="Y67" s="33" t="e">
        <f ca="1">IF($B67="","",_xll.BDP($A67&amp;" Corp",Y$14))</f>
        <v>#NAME?</v>
      </c>
      <c r="Z67" s="52" t="e">
        <f ca="1">IF($B67="","",_xll.BDP($A67&amp;" Corp",Z$14))</f>
        <v>#NAME?</v>
      </c>
      <c r="AA67" s="53" t="e">
        <f ca="1">IF($B67="","",_xll.BDP($A67&amp;" Corp",AA$14))</f>
        <v>#NAME?</v>
      </c>
      <c r="AB67" s="54" t="e">
        <f ca="1">IF($B67="","",_xll.BDP($A67&amp;" Corp",AB$14))</f>
        <v>#NAME?</v>
      </c>
      <c r="AC67" s="54" t="e">
        <f ca="1">IF($B67="","",_xll.BDP($A67&amp;" Corp",AC$14))</f>
        <v>#NAME?</v>
      </c>
      <c r="AD67" s="55" t="e">
        <f ca="1">IF($B67="","",_xll.BDP($A67&amp;" Corp",AD$14))</f>
        <v>#NAME?</v>
      </c>
      <c r="AE67" s="56" t="e">
        <f ca="1">IF($B67="","",_xll.BDP($A67&amp;" Corp",AE$14))</f>
        <v>#NAME?</v>
      </c>
      <c r="AF67" s="29" t="e">
        <f ca="1">IF($B67="","",_xll.BDP($A67&amp;" Corp",AF$14))</f>
        <v>#NAME?</v>
      </c>
      <c r="AG67" s="33" t="e">
        <f ca="1">IF($B67="","",_xll.BDP($A67&amp;" Corp",AG$14))</f>
        <v>#NAME?</v>
      </c>
      <c r="AH67" s="30" t="e">
        <f ca="1">IF($B67="","",_xll.BDP($A67&amp;" Corp",AH$14))</f>
        <v>#NAME?</v>
      </c>
      <c r="AI67" s="30" t="e">
        <f ca="1">IF($B67="","",_xll.BDP($A67&amp;" Corp",AI$14))</f>
        <v>#NAME?</v>
      </c>
      <c r="AJ67" s="30" t="e">
        <f ca="1">IF($B67="","",_xll.BDP($A67&amp;" Corp",AJ$14))</f>
        <v>#NAME?</v>
      </c>
      <c r="AK67" s="11" t="e">
        <f ca="1">IF($B67="","",_xll.BDP($A67&amp;" Corp",AK$14))</f>
        <v>#NAME?</v>
      </c>
      <c r="AL67" s="11" t="e">
        <f ca="1">IF($B67="","",_xll.BDP($A67&amp;" Corp",AL$14))</f>
        <v>#NAME?</v>
      </c>
      <c r="AM67" s="11" t="e">
        <f t="shared" ca="1" si="9"/>
        <v>#NAME?</v>
      </c>
    </row>
    <row r="68" spans="1:40" x14ac:dyDescent="0.3">
      <c r="A68" s="67" t="str">
        <f t="shared" si="4"/>
        <v>US912810TQ13</v>
      </c>
      <c r="B68" s="68" t="s">
        <v>516</v>
      </c>
      <c r="C68" s="75">
        <v>10393</v>
      </c>
      <c r="D68" s="75">
        <v>128</v>
      </c>
      <c r="E68" s="75">
        <v>1846947.1</v>
      </c>
      <c r="F68" s="69">
        <v>1.3519741199999999</v>
      </c>
      <c r="G68" s="70">
        <v>1983750</v>
      </c>
      <c r="H68" s="67">
        <f t="shared" si="5"/>
        <v>1846947.1</v>
      </c>
      <c r="I68" s="67">
        <f t="shared" si="6"/>
        <v>1.3519741199999999</v>
      </c>
      <c r="J68" s="67">
        <f t="shared" si="7"/>
        <v>1983750</v>
      </c>
      <c r="K68" s="71">
        <f t="shared" si="8"/>
        <v>107.40697446071952</v>
      </c>
      <c r="L68" s="29" t="e">
        <f ca="1">IF(B68="","",_xll.BDP(A68&amp;" Corp","INTERVAL_HIGH","START_DATE_OVERRIDE",TEXT($L$12,"AAAAMMDD"),"END_DATE_OVERRIDE",TEXT($L$13,"AAAAMMDD"),"MARKET_DATA_OVERRIDE",$L$14))</f>
        <v>#NAME?</v>
      </c>
      <c r="M68" s="30" t="e">
        <f ca="1">IF(B68="","",_xll.BDP($A68&amp;" Corp","INTERVAL_LOW","START_DATE_OVERRIDE",TEXT($L$12,"AAAAMMDD"),"END_DATE_OVERRIDE",TEXT($L$13,"AAAAMMDD"),"MARKET_DATA_OVERRIDE",$L$14))</f>
        <v>#NAME?</v>
      </c>
      <c r="N68" s="31" t="e">
        <f ca="1">IF($B68="","",_xll.BDP($A68&amp;" Corp",N$15))</f>
        <v>#NAME?</v>
      </c>
      <c r="O68" s="32" t="e">
        <f ca="1">IF($B68="","",_xll.BDP($A68&amp;" Corp",O$15))</f>
        <v>#NAME?</v>
      </c>
      <c r="P68" s="32" t="e">
        <f ca="1">IF($B68="","",_xll.BDP($A68&amp;" Corp",P$15))</f>
        <v>#NAME?</v>
      </c>
      <c r="Q68" s="30" t="e">
        <f ca="1">IF($B68="","",_xll.BDP($A68&amp;" Corp",Q$14))</f>
        <v>#NAME?</v>
      </c>
      <c r="R68" s="30" t="e">
        <f ca="1">IF($B68="","",_xll.BDP($A68&amp;" Corp",R$14))</f>
        <v>#NAME?</v>
      </c>
      <c r="S68" s="50" t="e">
        <f ca="1">IF($B68="","",_xll.BDP($A68&amp;" Corp",S$14))</f>
        <v>#NAME?</v>
      </c>
      <c r="T68" s="30" t="e">
        <f ca="1">IF($B68="","",_xll.BDP($A68&amp;" Corp",T$14))</f>
        <v>#NAME?</v>
      </c>
      <c r="U68" s="30" t="e">
        <f ca="1">IF($B68="","",_xll.BDP($A68&amp;" Corp",U$14))</f>
        <v>#NAME?</v>
      </c>
      <c r="V68" s="51" t="e">
        <f ca="1">IF($B68="","",IF($T68="VARIABLE",_xll.BDP($A68&amp;" Corp",V$13),_xll.BDP($A68&amp;" Corp",V$14)))</f>
        <v>#NAME?</v>
      </c>
      <c r="W68" s="30" t="e">
        <f ca="1">IF($B68="","",IF($T68="VARIABLE",_xll.BDP($A68&amp;" Corp",W$13),_xll.BDP($A68&amp;" Corp",W$14)))</f>
        <v>#NAME?</v>
      </c>
      <c r="X68" s="30" t="e">
        <f ca="1">IF($B68="","",_xll.BDP($A68&amp;" Corp",X$14))</f>
        <v>#NAME?</v>
      </c>
      <c r="Y68" s="33" t="e">
        <f ca="1">IF($B68="","",_xll.BDP($A68&amp;" Corp",Y$14))</f>
        <v>#NAME?</v>
      </c>
      <c r="Z68" s="52" t="e">
        <f ca="1">IF($B68="","",_xll.BDP($A68&amp;" Corp",Z$14))</f>
        <v>#NAME?</v>
      </c>
      <c r="AA68" s="53" t="e">
        <f ca="1">IF($B68="","",_xll.BDP($A68&amp;" Corp",AA$14))</f>
        <v>#NAME?</v>
      </c>
      <c r="AB68" s="54" t="e">
        <f ca="1">IF($B68="","",_xll.BDP($A68&amp;" Corp",AB$14))</f>
        <v>#NAME?</v>
      </c>
      <c r="AC68" s="54" t="e">
        <f ca="1">IF($B68="","",_xll.BDP($A68&amp;" Corp",AC$14))</f>
        <v>#NAME?</v>
      </c>
      <c r="AD68" s="55" t="e">
        <f ca="1">IF($B68="","",_xll.BDP($A68&amp;" Corp",AD$14))</f>
        <v>#NAME?</v>
      </c>
      <c r="AE68" s="56" t="e">
        <f ca="1">IF($B68="","",_xll.BDP($A68&amp;" Corp",AE$14))</f>
        <v>#NAME?</v>
      </c>
      <c r="AF68" s="29" t="e">
        <f ca="1">IF($B68="","",_xll.BDP($A68&amp;" Corp",AF$14))</f>
        <v>#NAME?</v>
      </c>
      <c r="AG68" s="33" t="e">
        <f ca="1">IF($B68="","",_xll.BDP($A68&amp;" Corp",AG$14))</f>
        <v>#NAME?</v>
      </c>
      <c r="AH68" s="30" t="e">
        <f ca="1">IF($B68="","",_xll.BDP($A68&amp;" Corp",AH$14))</f>
        <v>#NAME?</v>
      </c>
      <c r="AI68" s="30" t="e">
        <f ca="1">IF($B68="","",_xll.BDP($A68&amp;" Corp",AI$14))</f>
        <v>#NAME?</v>
      </c>
      <c r="AJ68" s="30" t="e">
        <f ca="1">IF($B68="","",_xll.BDP($A68&amp;" Corp",AJ$14))</f>
        <v>#NAME?</v>
      </c>
      <c r="AK68" s="11" t="e">
        <f ca="1">IF($B68="","",_xll.BDP($A68&amp;" Corp",AK$14))</f>
        <v>#NAME?</v>
      </c>
      <c r="AL68" s="11" t="e">
        <f ca="1">IF($B68="","",_xll.BDP($A68&amp;" Corp",AL$14))</f>
        <v>#NAME?</v>
      </c>
      <c r="AM68" s="11" t="e">
        <f t="shared" ca="1" si="9"/>
        <v>#NAME?</v>
      </c>
      <c r="AN68" s="57" t="e">
        <f t="shared" ref="AN68:AN131" ca="1" si="14">IF(ROUND(W68,0)=0,ROUND(W68,1), ROUND(W68,0))</f>
        <v>#NAME?</v>
      </c>
    </row>
    <row r="69" spans="1:40" x14ac:dyDescent="0.3">
      <c r="A69" s="67" t="str">
        <f t="shared" si="4"/>
        <v>US9128286T26</v>
      </c>
      <c r="B69" s="68" t="s">
        <v>518</v>
      </c>
      <c r="C69" s="75">
        <v>7017</v>
      </c>
      <c r="D69" s="75">
        <v>128</v>
      </c>
      <c r="E69" s="75">
        <v>1215875</v>
      </c>
      <c r="F69" s="69">
        <v>0.93023997000000003</v>
      </c>
      <c r="G69" s="70">
        <v>1403184.7</v>
      </c>
      <c r="H69" s="67">
        <f t="shared" si="5"/>
        <v>1215875</v>
      </c>
      <c r="I69" s="67">
        <f t="shared" si="6"/>
        <v>0.93023997000000003</v>
      </c>
      <c r="J69" s="67">
        <f t="shared" si="7"/>
        <v>1403184.7</v>
      </c>
      <c r="K69" s="71">
        <f t="shared" si="8"/>
        <v>115.40534183201399</v>
      </c>
      <c r="L69" s="29" t="e">
        <f ca="1">IF(B69="","",_xll.BDP(A69&amp;" Corp","INTERVAL_HIGH","START_DATE_OVERRIDE",TEXT($L$12,"AAAAMMDD"),"END_DATE_OVERRIDE",TEXT($L$13,"AAAAMMDD"),"MARKET_DATA_OVERRIDE",$L$14))</f>
        <v>#NAME?</v>
      </c>
      <c r="M69" s="30" t="e">
        <f ca="1">IF(B69="","",_xll.BDP($A69&amp;" Corp","INTERVAL_LOW","START_DATE_OVERRIDE",TEXT($L$12,"AAAAMMDD"),"END_DATE_OVERRIDE",TEXT($L$13,"AAAAMMDD"),"MARKET_DATA_OVERRIDE",$L$14))</f>
        <v>#NAME?</v>
      </c>
      <c r="N69" s="31" t="e">
        <f ca="1">IF($B69="","",_xll.BDP($A69&amp;" Corp",N$15))</f>
        <v>#NAME?</v>
      </c>
      <c r="O69" s="32" t="e">
        <f ca="1">IF($B69="","",_xll.BDP($A69&amp;" Corp",O$15))</f>
        <v>#NAME?</v>
      </c>
      <c r="P69" s="32" t="e">
        <f ca="1">IF($B69="","",_xll.BDP($A69&amp;" Corp",P$15))</f>
        <v>#NAME?</v>
      </c>
      <c r="Q69" s="30" t="e">
        <f ca="1">IF($B69="","",_xll.BDP($A69&amp;" Corp",Q$14))</f>
        <v>#NAME?</v>
      </c>
      <c r="R69" s="30" t="e">
        <f ca="1">IF($B69="","",_xll.BDP($A69&amp;" Corp",R$14))</f>
        <v>#NAME?</v>
      </c>
      <c r="S69" s="50" t="e">
        <f ca="1">IF($B69="","",_xll.BDP($A69&amp;" Corp",S$14))</f>
        <v>#NAME?</v>
      </c>
      <c r="T69" s="30" t="e">
        <f ca="1">IF($B69="","",_xll.BDP($A69&amp;" Corp",T$14))</f>
        <v>#NAME?</v>
      </c>
      <c r="U69" s="30" t="e">
        <f ca="1">IF($B69="","",_xll.BDP($A69&amp;" Corp",U$14))</f>
        <v>#NAME?</v>
      </c>
      <c r="V69" s="51" t="e">
        <f ca="1">IF($B69="","",IF($T69="VARIABLE",_xll.BDP($A69&amp;" Corp",V$13),_xll.BDP($A69&amp;" Corp",V$14)))</f>
        <v>#NAME?</v>
      </c>
      <c r="W69" s="30" t="e">
        <f ca="1">IF($B69="","",IF($T69="VARIABLE",_xll.BDP($A69&amp;" Corp",W$13),_xll.BDP($A69&amp;" Corp",W$14)))</f>
        <v>#NAME?</v>
      </c>
      <c r="X69" s="30" t="e">
        <f ca="1">IF($B69="","",_xll.BDP($A69&amp;" Corp",X$14))</f>
        <v>#NAME?</v>
      </c>
      <c r="Y69" s="33" t="e">
        <f ca="1">IF($B69="","",_xll.BDP($A69&amp;" Corp",Y$14))</f>
        <v>#NAME?</v>
      </c>
      <c r="Z69" s="52" t="e">
        <f ca="1">IF($B69="","",_xll.BDP($A69&amp;" Corp",Z$14))</f>
        <v>#NAME?</v>
      </c>
      <c r="AA69" s="53" t="e">
        <f ca="1">IF($B69="","",_xll.BDP($A69&amp;" Corp",AA$14))</f>
        <v>#NAME?</v>
      </c>
      <c r="AB69" s="54" t="e">
        <f ca="1">IF($B69="","",_xll.BDP($A69&amp;" Corp",AB$14))</f>
        <v>#NAME?</v>
      </c>
      <c r="AC69" s="54" t="e">
        <f ca="1">IF($B69="","",_xll.BDP($A69&amp;" Corp",AC$14))</f>
        <v>#NAME?</v>
      </c>
      <c r="AD69" s="55" t="e">
        <f ca="1">IF($B69="","",_xll.BDP($A69&amp;" Corp",AD$14))</f>
        <v>#NAME?</v>
      </c>
      <c r="AE69" s="56" t="e">
        <f ca="1">IF($B69="","",_xll.BDP($A69&amp;" Corp",AE$14))</f>
        <v>#NAME?</v>
      </c>
      <c r="AF69" s="29" t="e">
        <f ca="1">IF($B69="","",_xll.BDP($A69&amp;" Corp",AF$14))</f>
        <v>#NAME?</v>
      </c>
      <c r="AG69" s="33" t="e">
        <f ca="1">IF($B69="","",_xll.BDP($A69&amp;" Corp",AG$14))</f>
        <v>#NAME?</v>
      </c>
      <c r="AH69" s="30" t="e">
        <f ca="1">IF($B69="","",_xll.BDP($A69&amp;" Corp",AH$14))</f>
        <v>#NAME?</v>
      </c>
      <c r="AI69" s="30" t="e">
        <f ca="1">IF($B69="","",_xll.BDP($A69&amp;" Corp",AI$14))</f>
        <v>#NAME?</v>
      </c>
      <c r="AJ69" s="30" t="e">
        <f ca="1">IF($B69="","",_xll.BDP($A69&amp;" Corp",AJ$14))</f>
        <v>#NAME?</v>
      </c>
      <c r="AK69" s="11" t="e">
        <f ca="1">IF($B69="","",_xll.BDP($A69&amp;" Corp",AK$14))</f>
        <v>#NAME?</v>
      </c>
      <c r="AL69" s="11" t="e">
        <f ca="1">IF($B69="","",_xll.BDP($A69&amp;" Corp",AL$14))</f>
        <v>#NAME?</v>
      </c>
      <c r="AM69" s="11" t="e">
        <f t="shared" ca="1" si="9"/>
        <v>#NAME?</v>
      </c>
      <c r="AN69" s="57" t="e">
        <f t="shared" ca="1" si="14"/>
        <v>#NAME?</v>
      </c>
    </row>
    <row r="70" spans="1:40" x14ac:dyDescent="0.3">
      <c r="A70" s="67" t="str">
        <f t="shared" si="4"/>
        <v>US912828T263</v>
      </c>
      <c r="B70" s="68" t="s">
        <v>520</v>
      </c>
      <c r="C70" s="75">
        <v>10327</v>
      </c>
      <c r="D70" s="75">
        <v>128</v>
      </c>
      <c r="E70" s="75">
        <v>832594.8</v>
      </c>
      <c r="F70" s="69">
        <v>0.69919408000000005</v>
      </c>
      <c r="G70" s="70">
        <v>879427.73</v>
      </c>
      <c r="H70" s="67">
        <f t="shared" si="5"/>
        <v>832594.8</v>
      </c>
      <c r="I70" s="67">
        <f t="shared" si="6"/>
        <v>0.69919408000000005</v>
      </c>
      <c r="J70" s="67">
        <f t="shared" si="7"/>
        <v>879427.73</v>
      </c>
      <c r="K70" s="71">
        <f t="shared" si="8"/>
        <v>105.62493664385124</v>
      </c>
      <c r="L70" s="29" t="e">
        <f ca="1">IF(B70="","",_xll.BDP(A70&amp;" Corp","INTERVAL_HIGH","START_DATE_OVERRIDE",TEXT($L$12,"AAAAMMDD"),"END_DATE_OVERRIDE",TEXT($L$13,"AAAAMMDD"),"MARKET_DATA_OVERRIDE",$L$14))</f>
        <v>#NAME?</v>
      </c>
      <c r="M70" s="30" t="e">
        <f ca="1">IF(B70="","",_xll.BDP($A70&amp;" Corp","INTERVAL_LOW","START_DATE_OVERRIDE",TEXT($L$12,"AAAAMMDD"),"END_DATE_OVERRIDE",TEXT($L$13,"AAAAMMDD"),"MARKET_DATA_OVERRIDE",$L$14))</f>
        <v>#NAME?</v>
      </c>
      <c r="N70" s="31" t="e">
        <f ca="1">IF($B70="","",_xll.BDP($A70&amp;" Corp",N$15))</f>
        <v>#NAME?</v>
      </c>
      <c r="O70" s="32" t="e">
        <f ca="1">IF($B70="","",_xll.BDP($A70&amp;" Corp",O$15))</f>
        <v>#NAME?</v>
      </c>
      <c r="P70" s="32" t="e">
        <f ca="1">IF($B70="","",_xll.BDP($A70&amp;" Corp",P$15))</f>
        <v>#NAME?</v>
      </c>
      <c r="Q70" s="30" t="e">
        <f ca="1">IF($B70="","",_xll.BDP($A70&amp;" Corp",Q$14))</f>
        <v>#NAME?</v>
      </c>
      <c r="R70" s="30" t="e">
        <f ca="1">IF($B70="","",_xll.BDP($A70&amp;" Corp",R$14))</f>
        <v>#NAME?</v>
      </c>
      <c r="S70" s="50" t="e">
        <f ca="1">IF($B70="","",_xll.BDP($A70&amp;" Corp",S$14))</f>
        <v>#NAME?</v>
      </c>
      <c r="T70" s="30" t="e">
        <f ca="1">IF($B70="","",_xll.BDP($A70&amp;" Corp",T$14))</f>
        <v>#NAME?</v>
      </c>
      <c r="U70" s="30" t="e">
        <f ca="1">IF($B70="","",_xll.BDP($A70&amp;" Corp",U$14))</f>
        <v>#NAME?</v>
      </c>
      <c r="V70" s="51" t="e">
        <f ca="1">IF($B70="","",IF($T70="VARIABLE",_xll.BDP($A70&amp;" Corp",V$13),_xll.BDP($A70&amp;" Corp",V$14)))</f>
        <v>#NAME?</v>
      </c>
      <c r="W70" s="30" t="e">
        <f ca="1">IF($B70="","",IF($T70="VARIABLE",_xll.BDP($A70&amp;" Corp",W$13),_xll.BDP($A70&amp;" Corp",W$14)))</f>
        <v>#NAME?</v>
      </c>
      <c r="X70" s="30" t="e">
        <f ca="1">IF($B70="","",_xll.BDP($A70&amp;" Corp",X$14))</f>
        <v>#NAME?</v>
      </c>
      <c r="Y70" s="33" t="e">
        <f ca="1">IF($B70="","",_xll.BDP($A70&amp;" Corp",Y$14))</f>
        <v>#NAME?</v>
      </c>
      <c r="Z70" s="52" t="e">
        <f ca="1">IF($B70="","",_xll.BDP($A70&amp;" Corp",Z$14))</f>
        <v>#NAME?</v>
      </c>
      <c r="AA70" s="53" t="e">
        <f ca="1">IF($B70="","",_xll.BDP($A70&amp;" Corp",AA$14))</f>
        <v>#NAME?</v>
      </c>
      <c r="AB70" s="54" t="e">
        <f ca="1">IF($B70="","",_xll.BDP($A70&amp;" Corp",AB$14))</f>
        <v>#NAME?</v>
      </c>
      <c r="AC70" s="54" t="e">
        <f ca="1">IF($B70="","",_xll.BDP($A70&amp;" Corp",AC$14))</f>
        <v>#NAME?</v>
      </c>
      <c r="AD70" s="55" t="e">
        <f ca="1">IF($B70="","",_xll.BDP($A70&amp;" Corp",AD$14))</f>
        <v>#NAME?</v>
      </c>
      <c r="AE70" s="56" t="e">
        <f ca="1">IF($B70="","",_xll.BDP($A70&amp;" Corp",AE$14))</f>
        <v>#NAME?</v>
      </c>
      <c r="AF70" s="29" t="e">
        <f ca="1">IF($B70="","",_xll.BDP($A70&amp;" Corp",AF$14))</f>
        <v>#NAME?</v>
      </c>
      <c r="AG70" s="33" t="e">
        <f ca="1">IF($B70="","",_xll.BDP($A70&amp;" Corp",AG$14))</f>
        <v>#NAME?</v>
      </c>
      <c r="AH70" s="30" t="e">
        <f ca="1">IF($B70="","",_xll.BDP($A70&amp;" Corp",AH$14))</f>
        <v>#NAME?</v>
      </c>
      <c r="AI70" s="30" t="e">
        <f ca="1">IF($B70="","",_xll.BDP($A70&amp;" Corp",AI$14))</f>
        <v>#NAME?</v>
      </c>
      <c r="AJ70" s="30" t="e">
        <f ca="1">IF($B70="","",_xll.BDP($A70&amp;" Corp",AJ$14))</f>
        <v>#NAME?</v>
      </c>
      <c r="AK70" s="11" t="e">
        <f ca="1">IF($B70="","",_xll.BDP($A70&amp;" Corp",AK$14))</f>
        <v>#NAME?</v>
      </c>
      <c r="AL70" s="11" t="e">
        <f ca="1">IF($B70="","",_xll.BDP($A70&amp;" Corp",AL$14))</f>
        <v>#NAME?</v>
      </c>
      <c r="AM70" s="11" t="e">
        <f t="shared" ca="1" si="9"/>
        <v>#NAME?</v>
      </c>
      <c r="AN70" s="57" t="e">
        <f t="shared" ca="1" si="14"/>
        <v>#NAME?</v>
      </c>
    </row>
    <row r="71" spans="1:40" x14ac:dyDescent="0.3">
      <c r="A71" s="67" t="str">
        <f t="shared" si="4"/>
        <v>US912828ZN34</v>
      </c>
      <c r="B71" s="68" t="s">
        <v>521</v>
      </c>
      <c r="C71" s="75">
        <v>8076</v>
      </c>
      <c r="D71" s="75">
        <v>128</v>
      </c>
      <c r="E71" s="75">
        <v>180554.3</v>
      </c>
      <c r="F71" s="69">
        <v>0.13300053000000001</v>
      </c>
      <c r="G71" s="70">
        <v>199671.87</v>
      </c>
      <c r="H71" s="67">
        <f t="shared" si="5"/>
        <v>180554.3</v>
      </c>
      <c r="I71" s="67">
        <f t="shared" si="6"/>
        <v>0.13300053000000001</v>
      </c>
      <c r="J71" s="67">
        <f t="shared" si="7"/>
        <v>199671.87</v>
      </c>
      <c r="K71" s="71">
        <f t="shared" si="8"/>
        <v>110.58826624455912</v>
      </c>
      <c r="L71" s="29" t="e">
        <f ca="1">IF(B71="","",_xll.BDP(A71&amp;" Corp","INTERVAL_HIGH","START_DATE_OVERRIDE",TEXT($L$12,"AAAAMMDD"),"END_DATE_OVERRIDE",TEXT($L$13,"AAAAMMDD"),"MARKET_DATA_OVERRIDE",$L$14))</f>
        <v>#NAME?</v>
      </c>
      <c r="M71" s="30" t="e">
        <f ca="1">IF(B71="","",_xll.BDP($A71&amp;" Corp","INTERVAL_LOW","START_DATE_OVERRIDE",TEXT($L$12,"AAAAMMDD"),"END_DATE_OVERRIDE",TEXT($L$13,"AAAAMMDD"),"MARKET_DATA_OVERRIDE",$L$14))</f>
        <v>#NAME?</v>
      </c>
      <c r="N71" s="31" t="e">
        <f ca="1">IF($B71="","",_xll.BDP($A71&amp;" Corp",N$15))</f>
        <v>#NAME?</v>
      </c>
      <c r="O71" s="32" t="e">
        <f ca="1">IF($B71="","",_xll.BDP($A71&amp;" Corp",O$15))</f>
        <v>#NAME?</v>
      </c>
      <c r="P71" s="32" t="e">
        <f ca="1">IF($B71="","",_xll.BDP($A71&amp;" Corp",P$15))</f>
        <v>#NAME?</v>
      </c>
      <c r="Q71" s="30" t="e">
        <f ca="1">IF($B71="","",_xll.BDP($A71&amp;" Corp",Q$14))</f>
        <v>#NAME?</v>
      </c>
      <c r="R71" s="30" t="e">
        <f ca="1">IF($B71="","",_xll.BDP($A71&amp;" Corp",R$14))</f>
        <v>#NAME?</v>
      </c>
      <c r="S71" s="50" t="e">
        <f ca="1">IF($B71="","",_xll.BDP($A71&amp;" Corp",S$14))</f>
        <v>#NAME?</v>
      </c>
      <c r="T71" s="30" t="e">
        <f ca="1">IF($B71="","",_xll.BDP($A71&amp;" Corp",T$14))</f>
        <v>#NAME?</v>
      </c>
      <c r="U71" s="30" t="e">
        <f ca="1">IF($B71="","",_xll.BDP($A71&amp;" Corp",U$14))</f>
        <v>#NAME?</v>
      </c>
      <c r="V71" s="51" t="e">
        <f ca="1">IF($B71="","",IF($T71="VARIABLE",_xll.BDP($A71&amp;" Corp",V$13),_xll.BDP($A71&amp;" Corp",V$14)))</f>
        <v>#NAME?</v>
      </c>
      <c r="W71" s="30" t="e">
        <f ca="1">IF($B71="","",IF($T71="VARIABLE",_xll.BDP($A71&amp;" Corp",W$13),_xll.BDP($A71&amp;" Corp",W$14)))</f>
        <v>#NAME?</v>
      </c>
      <c r="X71" s="30" t="e">
        <f ca="1">IF($B71="","",_xll.BDP($A71&amp;" Corp",X$14))</f>
        <v>#NAME?</v>
      </c>
      <c r="Y71" s="33" t="e">
        <f ca="1">IF($B71="","",_xll.BDP($A71&amp;" Corp",Y$14))</f>
        <v>#NAME?</v>
      </c>
      <c r="Z71" s="52" t="e">
        <f ca="1">IF($B71="","",_xll.BDP($A71&amp;" Corp",Z$14))</f>
        <v>#NAME?</v>
      </c>
      <c r="AA71" s="53" t="e">
        <f ca="1">IF($B71="","",_xll.BDP($A71&amp;" Corp",AA$14))</f>
        <v>#NAME?</v>
      </c>
      <c r="AB71" s="54" t="e">
        <f ca="1">IF($B71="","",_xll.BDP($A71&amp;" Corp",AB$14))</f>
        <v>#NAME?</v>
      </c>
      <c r="AC71" s="54" t="e">
        <f ca="1">IF($B71="","",_xll.BDP($A71&amp;" Corp",AC$14))</f>
        <v>#NAME?</v>
      </c>
      <c r="AD71" s="55" t="e">
        <f ca="1">IF($B71="","",_xll.BDP($A71&amp;" Corp",AD$14))</f>
        <v>#NAME?</v>
      </c>
      <c r="AE71" s="56" t="e">
        <f ca="1">IF($B71="","",_xll.BDP($A71&amp;" Corp",AE$14))</f>
        <v>#NAME?</v>
      </c>
      <c r="AF71" s="29" t="e">
        <f ca="1">IF($B71="","",_xll.BDP($A71&amp;" Corp",AF$14))</f>
        <v>#NAME?</v>
      </c>
      <c r="AG71" s="33" t="e">
        <f ca="1">IF($B71="","",_xll.BDP($A71&amp;" Corp",AG$14))</f>
        <v>#NAME?</v>
      </c>
      <c r="AH71" s="30" t="e">
        <f ca="1">IF($B71="","",_xll.BDP($A71&amp;" Corp",AH$14))</f>
        <v>#NAME?</v>
      </c>
      <c r="AI71" s="30" t="e">
        <f ca="1">IF($B71="","",_xll.BDP($A71&amp;" Corp",AI$14))</f>
        <v>#NAME?</v>
      </c>
      <c r="AJ71" s="30" t="e">
        <f ca="1">IF($B71="","",_xll.BDP($A71&amp;" Corp",AJ$14))</f>
        <v>#NAME?</v>
      </c>
      <c r="AK71" s="11" t="e">
        <f ca="1">IF($B71="","",_xll.BDP($A71&amp;" Corp",AK$14))</f>
        <v>#NAME?</v>
      </c>
      <c r="AL71" s="11" t="e">
        <f ca="1">IF($B71="","",_xll.BDP($A71&amp;" Corp",AL$14))</f>
        <v>#NAME?</v>
      </c>
      <c r="AM71" s="11" t="e">
        <f t="shared" ca="1" si="9"/>
        <v>#NAME?</v>
      </c>
      <c r="AN71" s="57" t="e">
        <f t="shared" ca="1" si="14"/>
        <v>#NAME?</v>
      </c>
    </row>
    <row r="72" spans="1:40" x14ac:dyDescent="0.3">
      <c r="A72" s="67" t="str">
        <f t="shared" si="4"/>
        <v>US912828ZQ64</v>
      </c>
      <c r="B72" s="68" t="s">
        <v>523</v>
      </c>
      <c r="C72" s="75">
        <v>7720</v>
      </c>
      <c r="D72" s="75">
        <v>128</v>
      </c>
      <c r="E72" s="75">
        <v>182149.36</v>
      </c>
      <c r="F72" s="69">
        <v>0.11900184</v>
      </c>
      <c r="G72" s="70">
        <v>198500</v>
      </c>
      <c r="H72" s="67">
        <f t="shared" si="5"/>
        <v>182149.36</v>
      </c>
      <c r="I72" s="67">
        <f t="shared" si="6"/>
        <v>0.11900184</v>
      </c>
      <c r="J72" s="67">
        <f t="shared" si="7"/>
        <v>198500</v>
      </c>
      <c r="K72" s="71">
        <f t="shared" si="8"/>
        <v>108.97650148208042</v>
      </c>
      <c r="L72" s="29" t="e">
        <f ca="1">IF(B72="","",_xll.BDP(A72&amp;" Corp","INTERVAL_HIGH","START_DATE_OVERRIDE",TEXT($L$12,"AAAAMMDD"),"END_DATE_OVERRIDE",TEXT($L$13,"AAAAMMDD"),"MARKET_DATA_OVERRIDE",$L$14))</f>
        <v>#NAME?</v>
      </c>
      <c r="M72" s="30" t="e">
        <f ca="1">IF(B72="","",_xll.BDP($A72&amp;" Corp","INTERVAL_LOW","START_DATE_OVERRIDE",TEXT($L$12,"AAAAMMDD"),"END_DATE_OVERRIDE",TEXT($L$13,"AAAAMMDD"),"MARKET_DATA_OVERRIDE",$L$14))</f>
        <v>#NAME?</v>
      </c>
      <c r="N72" s="31" t="e">
        <f ca="1">IF($B72="","",_xll.BDP($A72&amp;" Corp",N$15))</f>
        <v>#NAME?</v>
      </c>
      <c r="O72" s="32" t="e">
        <f ca="1">IF($B72="","",_xll.BDP($A72&amp;" Corp",O$15))</f>
        <v>#NAME?</v>
      </c>
      <c r="P72" s="32" t="e">
        <f ca="1">IF($B72="","",_xll.BDP($A72&amp;" Corp",P$15))</f>
        <v>#NAME?</v>
      </c>
      <c r="Q72" s="30" t="e">
        <f ca="1">IF($B72="","",_xll.BDP($A72&amp;" Corp",Q$14))</f>
        <v>#NAME?</v>
      </c>
      <c r="R72" s="30" t="e">
        <f ca="1">IF($B72="","",_xll.BDP($A72&amp;" Corp",R$14))</f>
        <v>#NAME?</v>
      </c>
      <c r="S72" s="50" t="e">
        <f ca="1">IF($B72="","",_xll.BDP($A72&amp;" Corp",S$14))</f>
        <v>#NAME?</v>
      </c>
      <c r="T72" s="30" t="e">
        <f ca="1">IF($B72="","",_xll.BDP($A72&amp;" Corp",T$14))</f>
        <v>#NAME?</v>
      </c>
      <c r="U72" s="30" t="e">
        <f ca="1">IF($B72="","",_xll.BDP($A72&amp;" Corp",U$14))</f>
        <v>#NAME?</v>
      </c>
      <c r="V72" s="51" t="e">
        <f ca="1">IF($B72="","",IF($T72="VARIABLE",_xll.BDP($A72&amp;" Corp",V$13),_xll.BDP($A72&amp;" Corp",V$14)))</f>
        <v>#NAME?</v>
      </c>
      <c r="W72" s="30" t="e">
        <f ca="1">IF($B72="","",IF($T72="VARIABLE",_xll.BDP($A72&amp;" Corp",W$13),_xll.BDP($A72&amp;" Corp",W$14)))</f>
        <v>#NAME?</v>
      </c>
      <c r="X72" s="30" t="e">
        <f ca="1">IF($B72="","",_xll.BDP($A72&amp;" Corp",X$14))</f>
        <v>#NAME?</v>
      </c>
      <c r="Y72" s="33" t="e">
        <f ca="1">IF($B72="","",_xll.BDP($A72&amp;" Corp",Y$14))</f>
        <v>#NAME?</v>
      </c>
      <c r="Z72" s="52" t="e">
        <f ca="1">IF($B72="","",_xll.BDP($A72&amp;" Corp",Z$14))</f>
        <v>#NAME?</v>
      </c>
      <c r="AA72" s="53" t="e">
        <f ca="1">IF($B72="","",_xll.BDP($A72&amp;" Corp",AA$14))</f>
        <v>#NAME?</v>
      </c>
      <c r="AB72" s="54" t="e">
        <f ca="1">IF($B72="","",_xll.BDP($A72&amp;" Corp",AB$14))</f>
        <v>#NAME?</v>
      </c>
      <c r="AC72" s="54" t="e">
        <f ca="1">IF($B72="","",_xll.BDP($A72&amp;" Corp",AC$14))</f>
        <v>#NAME?</v>
      </c>
      <c r="AD72" s="55" t="e">
        <f ca="1">IF($B72="","",_xll.BDP($A72&amp;" Corp",AD$14))</f>
        <v>#NAME?</v>
      </c>
      <c r="AE72" s="56" t="e">
        <f ca="1">IF($B72="","",_xll.BDP($A72&amp;" Corp",AE$14))</f>
        <v>#NAME?</v>
      </c>
      <c r="AF72" s="29" t="e">
        <f ca="1">IF($B72="","",_xll.BDP($A72&amp;" Corp",AF$14))</f>
        <v>#NAME?</v>
      </c>
      <c r="AG72" s="33" t="e">
        <f ca="1">IF($B72="","",_xll.BDP($A72&amp;" Corp",AG$14))</f>
        <v>#NAME?</v>
      </c>
      <c r="AH72" s="30" t="e">
        <f ca="1">IF($B72="","",_xll.BDP($A72&amp;" Corp",AH$14))</f>
        <v>#NAME?</v>
      </c>
      <c r="AI72" s="30" t="e">
        <f ca="1">IF($B72="","",_xll.BDP($A72&amp;" Corp",AI$14))</f>
        <v>#NAME?</v>
      </c>
      <c r="AJ72" s="30" t="e">
        <f ca="1">IF($B72="","",_xll.BDP($A72&amp;" Corp",AJ$14))</f>
        <v>#NAME?</v>
      </c>
      <c r="AK72" s="11" t="e">
        <f ca="1">IF($B72="","",_xll.BDP($A72&amp;" Corp",AK$14))</f>
        <v>#NAME?</v>
      </c>
      <c r="AL72" s="11" t="e">
        <f ca="1">IF($B72="","",_xll.BDP($A72&amp;" Corp",AL$14))</f>
        <v>#NAME?</v>
      </c>
      <c r="AM72" s="11" t="e">
        <f t="shared" ca="1" si="9"/>
        <v>#NAME?</v>
      </c>
      <c r="AN72" s="57" t="e">
        <f t="shared" ca="1" si="14"/>
        <v>#NAME?</v>
      </c>
    </row>
    <row r="73" spans="1:40" x14ac:dyDescent="0.3">
      <c r="A73" s="67" t="str">
        <f t="shared" si="4"/>
        <v>US912828ZT04</v>
      </c>
      <c r="B73" s="68" t="s">
        <v>524</v>
      </c>
      <c r="C73" s="75">
        <v>8075</v>
      </c>
      <c r="D73" s="75">
        <v>128</v>
      </c>
      <c r="E73" s="75">
        <v>176865.94</v>
      </c>
      <c r="F73" s="69">
        <v>0.14232775</v>
      </c>
      <c r="G73" s="70">
        <v>199046.88</v>
      </c>
      <c r="H73" s="67">
        <f t="shared" si="5"/>
        <v>176865.94</v>
      </c>
      <c r="I73" s="67">
        <f t="shared" si="6"/>
        <v>0.14232775</v>
      </c>
      <c r="J73" s="67">
        <f t="shared" si="7"/>
        <v>199046.88</v>
      </c>
      <c r="K73" s="71">
        <f t="shared" si="8"/>
        <v>112.54110316548228</v>
      </c>
      <c r="L73" s="29" t="e">
        <f ca="1">IF(B73="","",_xll.BDP(A73&amp;" Corp","INTERVAL_HIGH","START_DATE_OVERRIDE",TEXT($L$12,"AAAAMMDD"),"END_DATE_OVERRIDE",TEXT($L$13,"AAAAMMDD"),"MARKET_DATA_OVERRIDE",$L$14))</f>
        <v>#NAME?</v>
      </c>
      <c r="M73" s="30" t="e">
        <f ca="1">IF(B73="","",_xll.BDP($A73&amp;" Corp","INTERVAL_LOW","START_DATE_OVERRIDE",TEXT($L$12,"AAAAMMDD"),"END_DATE_OVERRIDE",TEXT($L$13,"AAAAMMDD"),"MARKET_DATA_OVERRIDE",$L$14))</f>
        <v>#NAME?</v>
      </c>
      <c r="N73" s="31" t="e">
        <f ca="1">IF($B73="","",_xll.BDP($A73&amp;" Corp",N$15))</f>
        <v>#NAME?</v>
      </c>
      <c r="O73" s="32" t="e">
        <f ca="1">IF($B73="","",_xll.BDP($A73&amp;" Corp",O$15))</f>
        <v>#NAME?</v>
      </c>
      <c r="P73" s="32" t="e">
        <f ca="1">IF($B73="","",_xll.BDP($A73&amp;" Corp",P$15))</f>
        <v>#NAME?</v>
      </c>
      <c r="Q73" s="30" t="e">
        <f ca="1">IF($B73="","",_xll.BDP($A73&amp;" Corp",Q$14))</f>
        <v>#NAME?</v>
      </c>
      <c r="R73" s="30" t="e">
        <f ca="1">IF($B73="","",_xll.BDP($A73&amp;" Corp",R$14))</f>
        <v>#NAME?</v>
      </c>
      <c r="S73" s="50" t="e">
        <f ca="1">IF($B73="","",_xll.BDP($A73&amp;" Corp",S$14))</f>
        <v>#NAME?</v>
      </c>
      <c r="T73" s="30" t="e">
        <f ca="1">IF($B73="","",_xll.BDP($A73&amp;" Corp",T$14))</f>
        <v>#NAME?</v>
      </c>
      <c r="U73" s="30" t="e">
        <f ca="1">IF($B73="","",_xll.BDP($A73&amp;" Corp",U$14))</f>
        <v>#NAME?</v>
      </c>
      <c r="V73" s="51" t="e">
        <f ca="1">IF($B73="","",IF($T73="VARIABLE",_xll.BDP($A73&amp;" Corp",V$13),_xll.BDP($A73&amp;" Corp",V$14)))</f>
        <v>#NAME?</v>
      </c>
      <c r="W73" s="30" t="e">
        <f ca="1">IF($B73="","",IF($T73="VARIABLE",_xll.BDP($A73&amp;" Corp",W$13),_xll.BDP($A73&amp;" Corp",W$14)))</f>
        <v>#NAME?</v>
      </c>
      <c r="X73" s="30" t="e">
        <f ca="1">IF($B73="","",_xll.BDP($A73&amp;" Corp",X$14))</f>
        <v>#NAME?</v>
      </c>
      <c r="Y73" s="33" t="e">
        <f ca="1">IF($B73="","",_xll.BDP($A73&amp;" Corp",Y$14))</f>
        <v>#NAME?</v>
      </c>
      <c r="Z73" s="52" t="e">
        <f ca="1">IF($B73="","",_xll.BDP($A73&amp;" Corp",Z$14))</f>
        <v>#NAME?</v>
      </c>
      <c r="AA73" s="53" t="e">
        <f ca="1">IF($B73="","",_xll.BDP($A73&amp;" Corp",AA$14))</f>
        <v>#NAME?</v>
      </c>
      <c r="AB73" s="54" t="e">
        <f ca="1">IF($B73="","",_xll.BDP($A73&amp;" Corp",AB$14))</f>
        <v>#NAME?</v>
      </c>
      <c r="AC73" s="54" t="e">
        <f ca="1">IF($B73="","",_xll.BDP($A73&amp;" Corp",AC$14))</f>
        <v>#NAME?</v>
      </c>
      <c r="AD73" s="55" t="e">
        <f ca="1">IF($B73="","",_xll.BDP($A73&amp;" Corp",AD$14))</f>
        <v>#NAME?</v>
      </c>
      <c r="AE73" s="56" t="e">
        <f ca="1">IF($B73="","",_xll.BDP($A73&amp;" Corp",AE$14))</f>
        <v>#NAME?</v>
      </c>
      <c r="AF73" s="29" t="e">
        <f ca="1">IF($B73="","",_xll.BDP($A73&amp;" Corp",AF$14))</f>
        <v>#NAME?</v>
      </c>
      <c r="AG73" s="33" t="e">
        <f ca="1">IF($B73="","",_xll.BDP($A73&amp;" Corp",AG$14))</f>
        <v>#NAME?</v>
      </c>
      <c r="AH73" s="30" t="e">
        <f ca="1">IF($B73="","",_xll.BDP($A73&amp;" Corp",AH$14))</f>
        <v>#NAME?</v>
      </c>
      <c r="AI73" s="30" t="e">
        <f ca="1">IF($B73="","",_xll.BDP($A73&amp;" Corp",AI$14))</f>
        <v>#NAME?</v>
      </c>
      <c r="AJ73" s="30" t="e">
        <f ca="1">IF($B73="","",_xll.BDP($A73&amp;" Corp",AJ$14))</f>
        <v>#NAME?</v>
      </c>
      <c r="AK73" s="11" t="e">
        <f ca="1">IF($B73="","",_xll.BDP($A73&amp;" Corp",AK$14))</f>
        <v>#NAME?</v>
      </c>
      <c r="AL73" s="11" t="e">
        <f ca="1">IF($B73="","",_xll.BDP($A73&amp;" Corp",AL$14))</f>
        <v>#NAME?</v>
      </c>
      <c r="AM73" s="11" t="e">
        <f t="shared" ca="1" si="9"/>
        <v>#NAME?</v>
      </c>
      <c r="AN73" s="57" t="e">
        <f t="shared" ca="1" si="14"/>
        <v>#NAME?</v>
      </c>
    </row>
    <row r="74" spans="1:40" x14ac:dyDescent="0.3">
      <c r="A74" s="67" t="str">
        <f t="shared" si="4"/>
        <v>US91282CCH25</v>
      </c>
      <c r="B74" s="68" t="s">
        <v>526</v>
      </c>
      <c r="C74" s="75">
        <v>9771</v>
      </c>
      <c r="D74" s="75">
        <v>128</v>
      </c>
      <c r="E74" s="75">
        <v>355534.45</v>
      </c>
      <c r="F74" s="69">
        <v>0.26414503</v>
      </c>
      <c r="G74" s="70">
        <v>380671.87</v>
      </c>
      <c r="H74" s="67">
        <f t="shared" si="5"/>
        <v>355534.45</v>
      </c>
      <c r="I74" s="67">
        <f t="shared" si="6"/>
        <v>0.26414503</v>
      </c>
      <c r="J74" s="67">
        <f t="shared" si="7"/>
        <v>380671.87</v>
      </c>
      <c r="K74" s="71">
        <f t="shared" si="8"/>
        <v>107.07031906472074</v>
      </c>
      <c r="L74" s="29" t="e">
        <f ca="1">IF(B74="","",_xll.BDP(A74&amp;" Corp","INTERVAL_HIGH","START_DATE_OVERRIDE",TEXT($L$12,"AAAAMMDD"),"END_DATE_OVERRIDE",TEXT($L$13,"AAAAMMDD"),"MARKET_DATA_OVERRIDE",$L$14))</f>
        <v>#NAME?</v>
      </c>
      <c r="M74" s="30" t="e">
        <f ca="1">IF(B74="","",_xll.BDP($A74&amp;" Corp","INTERVAL_LOW","START_DATE_OVERRIDE",TEXT($L$12,"AAAAMMDD"),"END_DATE_OVERRIDE",TEXT($L$13,"AAAAMMDD"),"MARKET_DATA_OVERRIDE",$L$14))</f>
        <v>#NAME?</v>
      </c>
      <c r="N74" s="31" t="e">
        <f ca="1">IF($B74="","",_xll.BDP($A74&amp;" Corp",N$15))</f>
        <v>#NAME?</v>
      </c>
      <c r="O74" s="32" t="e">
        <f ca="1">IF($B74="","",_xll.BDP($A74&amp;" Corp",O$15))</f>
        <v>#NAME?</v>
      </c>
      <c r="P74" s="32" t="e">
        <f ca="1">IF($B74="","",_xll.BDP($A74&amp;" Corp",P$15))</f>
        <v>#NAME?</v>
      </c>
      <c r="Q74" s="30" t="e">
        <f ca="1">IF($B74="","",_xll.BDP($A74&amp;" Corp",Q$14))</f>
        <v>#NAME?</v>
      </c>
      <c r="R74" s="30" t="e">
        <f ca="1">IF($B74="","",_xll.BDP($A74&amp;" Corp",R$14))</f>
        <v>#NAME?</v>
      </c>
      <c r="S74" s="50" t="e">
        <f ca="1">IF($B74="","",_xll.BDP($A74&amp;" Corp",S$14))</f>
        <v>#NAME?</v>
      </c>
      <c r="T74" s="30" t="e">
        <f ca="1">IF($B74="","",_xll.BDP($A74&amp;" Corp",T$14))</f>
        <v>#NAME?</v>
      </c>
      <c r="U74" s="30" t="e">
        <f ca="1">IF($B74="","",_xll.BDP($A74&amp;" Corp",U$14))</f>
        <v>#NAME?</v>
      </c>
      <c r="V74" s="51" t="e">
        <f ca="1">IF($B74="","",IF($T74="VARIABLE",_xll.BDP($A74&amp;" Corp",V$13),_xll.BDP($A74&amp;" Corp",V$14)))</f>
        <v>#NAME?</v>
      </c>
      <c r="W74" s="30" t="e">
        <f ca="1">IF($B74="","",IF($T74="VARIABLE",_xll.BDP($A74&amp;" Corp",W$13),_xll.BDP($A74&amp;" Corp",W$14)))</f>
        <v>#NAME?</v>
      </c>
      <c r="X74" s="30" t="e">
        <f ca="1">IF($B74="","",_xll.BDP($A74&amp;" Corp",X$14))</f>
        <v>#NAME?</v>
      </c>
      <c r="Y74" s="33" t="e">
        <f ca="1">IF($B74="","",_xll.BDP($A74&amp;" Corp",Y$14))</f>
        <v>#NAME?</v>
      </c>
      <c r="Z74" s="52" t="e">
        <f ca="1">IF($B74="","",_xll.BDP($A74&amp;" Corp",Z$14))</f>
        <v>#NAME?</v>
      </c>
      <c r="AA74" s="53" t="e">
        <f ca="1">IF($B74="","",_xll.BDP($A74&amp;" Corp",AA$14))</f>
        <v>#NAME?</v>
      </c>
      <c r="AB74" s="54" t="e">
        <f ca="1">IF($B74="","",_xll.BDP($A74&amp;" Corp",AB$14))</f>
        <v>#NAME?</v>
      </c>
      <c r="AC74" s="54" t="e">
        <f ca="1">IF($B74="","",_xll.BDP($A74&amp;" Corp",AC$14))</f>
        <v>#NAME?</v>
      </c>
      <c r="AD74" s="55" t="e">
        <f ca="1">IF($B74="","",_xll.BDP($A74&amp;" Corp",AD$14))</f>
        <v>#NAME?</v>
      </c>
      <c r="AE74" s="56" t="e">
        <f ca="1">IF($B74="","",_xll.BDP($A74&amp;" Corp",AE$14))</f>
        <v>#NAME?</v>
      </c>
      <c r="AF74" s="29" t="e">
        <f ca="1">IF($B74="","",_xll.BDP($A74&amp;" Corp",AF$14))</f>
        <v>#NAME?</v>
      </c>
      <c r="AG74" s="33" t="e">
        <f ca="1">IF($B74="","",_xll.BDP($A74&amp;" Corp",AG$14))</f>
        <v>#NAME?</v>
      </c>
      <c r="AH74" s="30" t="e">
        <f ca="1">IF($B74="","",_xll.BDP($A74&amp;" Corp",AH$14))</f>
        <v>#NAME?</v>
      </c>
      <c r="AI74" s="30" t="e">
        <f ca="1">IF($B74="","",_xll.BDP($A74&amp;" Corp",AI$14))</f>
        <v>#NAME?</v>
      </c>
      <c r="AJ74" s="30" t="e">
        <f ca="1">IF($B74="","",_xll.BDP($A74&amp;" Corp",AJ$14))</f>
        <v>#NAME?</v>
      </c>
      <c r="AK74" s="11" t="e">
        <f ca="1">IF($B74="","",_xll.BDP($A74&amp;" Corp",AK$14))</f>
        <v>#NAME?</v>
      </c>
      <c r="AL74" s="11" t="e">
        <f ca="1">IF($B74="","",_xll.BDP($A74&amp;" Corp",AL$14))</f>
        <v>#NAME?</v>
      </c>
      <c r="AM74" s="11" t="e">
        <f t="shared" ca="1" si="9"/>
        <v>#NAME?</v>
      </c>
      <c r="AN74" s="57" t="e">
        <f t="shared" ca="1" si="14"/>
        <v>#NAME?</v>
      </c>
    </row>
    <row r="75" spans="1:40" x14ac:dyDescent="0.3">
      <c r="A75" s="67" t="str">
        <f t="shared" si="4"/>
        <v>US91282CDF59</v>
      </c>
      <c r="B75" s="68" t="s">
        <v>528</v>
      </c>
      <c r="C75" s="75">
        <v>9730</v>
      </c>
      <c r="D75" s="75">
        <v>128</v>
      </c>
      <c r="E75" s="75">
        <v>266849.98</v>
      </c>
      <c r="F75" s="69">
        <v>0.1979244</v>
      </c>
      <c r="G75" s="70">
        <v>291671.88</v>
      </c>
      <c r="H75" s="67">
        <f t="shared" si="5"/>
        <v>266849.98</v>
      </c>
      <c r="I75" s="67">
        <f t="shared" si="6"/>
        <v>0.1979244</v>
      </c>
      <c r="J75" s="67">
        <f t="shared" si="7"/>
        <v>291671.88</v>
      </c>
      <c r="K75" s="71">
        <f t="shared" si="8"/>
        <v>109.30181819762551</v>
      </c>
      <c r="L75" s="29" t="e">
        <f ca="1">IF(B75="","",_xll.BDP(A75&amp;" Corp","INTERVAL_HIGH","START_DATE_OVERRIDE",TEXT($L$12,"AAAAMMDD"),"END_DATE_OVERRIDE",TEXT($L$13,"AAAAMMDD"),"MARKET_DATA_OVERRIDE",$L$14))</f>
        <v>#NAME?</v>
      </c>
      <c r="M75" s="30" t="e">
        <f ca="1">IF(B75="","",_xll.BDP($A75&amp;" Corp","INTERVAL_LOW","START_DATE_OVERRIDE",TEXT($L$12,"AAAAMMDD"),"END_DATE_OVERRIDE",TEXT($L$13,"AAAAMMDD"),"MARKET_DATA_OVERRIDE",$L$14))</f>
        <v>#NAME?</v>
      </c>
      <c r="N75" s="31" t="e">
        <f ca="1">IF($B75="","",_xll.BDP($A75&amp;" Corp",N$15))</f>
        <v>#NAME?</v>
      </c>
      <c r="O75" s="32" t="e">
        <f ca="1">IF($B75="","",_xll.BDP($A75&amp;" Corp",O$15))</f>
        <v>#NAME?</v>
      </c>
      <c r="P75" s="32" t="e">
        <f ca="1">IF($B75="","",_xll.BDP($A75&amp;" Corp",P$15))</f>
        <v>#NAME?</v>
      </c>
      <c r="Q75" s="30" t="e">
        <f ca="1">IF($B75="","",_xll.BDP($A75&amp;" Corp",Q$14))</f>
        <v>#NAME?</v>
      </c>
      <c r="R75" s="30" t="e">
        <f ca="1">IF($B75="","",_xll.BDP($A75&amp;" Corp",R$14))</f>
        <v>#NAME?</v>
      </c>
      <c r="S75" s="50" t="e">
        <f ca="1">IF($B75="","",_xll.BDP($A75&amp;" Corp",S$14))</f>
        <v>#NAME?</v>
      </c>
      <c r="T75" s="30" t="e">
        <f ca="1">IF($B75="","",_xll.BDP($A75&amp;" Corp",T$14))</f>
        <v>#NAME?</v>
      </c>
      <c r="U75" s="30" t="e">
        <f ca="1">IF($B75="","",_xll.BDP($A75&amp;" Corp",U$14))</f>
        <v>#NAME?</v>
      </c>
      <c r="V75" s="51" t="e">
        <f ca="1">IF($B75="","",IF($T75="VARIABLE",_xll.BDP($A75&amp;" Corp",V$13),_xll.BDP($A75&amp;" Corp",V$14)))</f>
        <v>#NAME?</v>
      </c>
      <c r="W75" s="30" t="e">
        <f ca="1">IF($B75="","",IF($T75="VARIABLE",_xll.BDP($A75&amp;" Corp",W$13),_xll.BDP($A75&amp;" Corp",W$14)))</f>
        <v>#NAME?</v>
      </c>
      <c r="X75" s="30" t="e">
        <f ca="1">IF($B75="","",_xll.BDP($A75&amp;" Corp",X$14))</f>
        <v>#NAME?</v>
      </c>
      <c r="Y75" s="33" t="e">
        <f ca="1">IF($B75="","",_xll.BDP($A75&amp;" Corp",Y$14))</f>
        <v>#NAME?</v>
      </c>
      <c r="Z75" s="52" t="e">
        <f ca="1">IF($B75="","",_xll.BDP($A75&amp;" Corp",Z$14))</f>
        <v>#NAME?</v>
      </c>
      <c r="AA75" s="53" t="e">
        <f ca="1">IF($B75="","",_xll.BDP($A75&amp;" Corp",AA$14))</f>
        <v>#NAME?</v>
      </c>
      <c r="AB75" s="54" t="e">
        <f ca="1">IF($B75="","",_xll.BDP($A75&amp;" Corp",AB$14))</f>
        <v>#NAME?</v>
      </c>
      <c r="AC75" s="54" t="e">
        <f ca="1">IF($B75="","",_xll.BDP($A75&amp;" Corp",AC$14))</f>
        <v>#NAME?</v>
      </c>
      <c r="AD75" s="55" t="e">
        <f ca="1">IF($B75="","",_xll.BDP($A75&amp;" Corp",AD$14))</f>
        <v>#NAME?</v>
      </c>
      <c r="AE75" s="56" t="e">
        <f ca="1">IF($B75="","",_xll.BDP($A75&amp;" Corp",AE$14))</f>
        <v>#NAME?</v>
      </c>
      <c r="AF75" s="29" t="e">
        <f ca="1">IF($B75="","",_xll.BDP($A75&amp;" Corp",AF$14))</f>
        <v>#NAME?</v>
      </c>
      <c r="AG75" s="33" t="e">
        <f ca="1">IF($B75="","",_xll.BDP($A75&amp;" Corp",AG$14))</f>
        <v>#NAME?</v>
      </c>
      <c r="AH75" s="30" t="e">
        <f ca="1">IF($B75="","",_xll.BDP($A75&amp;" Corp",AH$14))</f>
        <v>#NAME?</v>
      </c>
      <c r="AI75" s="30" t="e">
        <f ca="1">IF($B75="","",_xll.BDP($A75&amp;" Corp",AI$14))</f>
        <v>#NAME?</v>
      </c>
      <c r="AJ75" s="30" t="e">
        <f ca="1">IF($B75="","",_xll.BDP($A75&amp;" Corp",AJ$14))</f>
        <v>#NAME?</v>
      </c>
      <c r="AK75" s="11" t="e">
        <f ca="1">IF($B75="","",_xll.BDP($A75&amp;" Corp",AK$14))</f>
        <v>#NAME?</v>
      </c>
      <c r="AL75" s="11" t="e">
        <f ca="1">IF($B75="","",_xll.BDP($A75&amp;" Corp",AL$14))</f>
        <v>#NAME?</v>
      </c>
      <c r="AM75" s="11" t="e">
        <f t="shared" ca="1" si="9"/>
        <v>#NAME?</v>
      </c>
      <c r="AN75" s="57" t="e">
        <f t="shared" ca="1" si="14"/>
        <v>#NAME?</v>
      </c>
    </row>
    <row r="76" spans="1:40" x14ac:dyDescent="0.3">
      <c r="A76" s="67" t="str">
        <f t="shared" si="4"/>
        <v>US91282CDG33</v>
      </c>
      <c r="B76" s="68" t="s">
        <v>530</v>
      </c>
      <c r="C76" s="75">
        <v>9924</v>
      </c>
      <c r="D76" s="75">
        <v>128</v>
      </c>
      <c r="E76" s="75">
        <v>460702.11</v>
      </c>
      <c r="F76" s="69">
        <v>0.34752901000000003</v>
      </c>
      <c r="G76" s="70">
        <v>462851.55</v>
      </c>
      <c r="H76" s="67">
        <f t="shared" si="5"/>
        <v>460702.11</v>
      </c>
      <c r="I76" s="67">
        <f t="shared" si="6"/>
        <v>0.34752901000000003</v>
      </c>
      <c r="J76" s="67">
        <f t="shared" si="7"/>
        <v>462851.55</v>
      </c>
      <c r="K76" s="71">
        <f t="shared" si="8"/>
        <v>100.46655744641586</v>
      </c>
      <c r="L76" s="29" t="e">
        <f ca="1">IF(B76="","",_xll.BDP(A76&amp;" Corp","INTERVAL_HIGH","START_DATE_OVERRIDE",TEXT($L$12,"AAAAMMDD"),"END_DATE_OVERRIDE",TEXT($L$13,"AAAAMMDD"),"MARKET_DATA_OVERRIDE",$L$14))</f>
        <v>#NAME?</v>
      </c>
      <c r="M76" s="30" t="e">
        <f ca="1">IF(B76="","",_xll.BDP($A76&amp;" Corp","INTERVAL_LOW","START_DATE_OVERRIDE",TEXT($L$12,"AAAAMMDD"),"END_DATE_OVERRIDE",TEXT($L$13,"AAAAMMDD"),"MARKET_DATA_OVERRIDE",$L$14))</f>
        <v>#NAME?</v>
      </c>
      <c r="N76" s="31" t="e">
        <f ca="1">IF($B76="","",_xll.BDP($A76&amp;" Corp",N$15))</f>
        <v>#NAME?</v>
      </c>
      <c r="O76" s="32" t="e">
        <f ca="1">IF($B76="","",_xll.BDP($A76&amp;" Corp",O$15))</f>
        <v>#NAME?</v>
      </c>
      <c r="P76" s="32" t="e">
        <f ca="1">IF($B76="","",_xll.BDP($A76&amp;" Corp",P$15))</f>
        <v>#NAME?</v>
      </c>
      <c r="Q76" s="30" t="e">
        <f ca="1">IF($B76="","",_xll.BDP($A76&amp;" Corp",Q$14))</f>
        <v>#NAME?</v>
      </c>
      <c r="R76" s="30" t="e">
        <f ca="1">IF($B76="","",_xll.BDP($A76&amp;" Corp",R$14))</f>
        <v>#NAME?</v>
      </c>
      <c r="S76" s="50" t="e">
        <f ca="1">IF($B76="","",_xll.BDP($A76&amp;" Corp",S$14))</f>
        <v>#NAME?</v>
      </c>
      <c r="T76" s="30" t="e">
        <f ca="1">IF($B76="","",_xll.BDP($A76&amp;" Corp",T$14))</f>
        <v>#NAME?</v>
      </c>
      <c r="U76" s="30" t="e">
        <f ca="1">IF($B76="","",_xll.BDP($A76&amp;" Corp",U$14))</f>
        <v>#NAME?</v>
      </c>
      <c r="V76" s="51" t="e">
        <f ca="1">IF($B76="","",IF($T76="VARIABLE",_xll.BDP($A76&amp;" Corp",V$13),_xll.BDP($A76&amp;" Corp",V$14)))</f>
        <v>#NAME?</v>
      </c>
      <c r="W76" s="30" t="e">
        <f ca="1">IF($B76="","",IF($T76="VARIABLE",_xll.BDP($A76&amp;" Corp",W$13),_xll.BDP($A76&amp;" Corp",W$14)))</f>
        <v>#NAME?</v>
      </c>
      <c r="X76" s="30" t="e">
        <f ca="1">IF($B76="","",_xll.BDP($A76&amp;" Corp",X$14))</f>
        <v>#NAME?</v>
      </c>
      <c r="Y76" s="33" t="e">
        <f ca="1">IF($B76="","",_xll.BDP($A76&amp;" Corp",Y$14))</f>
        <v>#NAME?</v>
      </c>
      <c r="Z76" s="52" t="e">
        <f ca="1">IF($B76="","",_xll.BDP($A76&amp;" Corp",Z$14))</f>
        <v>#NAME?</v>
      </c>
      <c r="AA76" s="53" t="e">
        <f ca="1">IF($B76="","",_xll.BDP($A76&amp;" Corp",AA$14))</f>
        <v>#NAME?</v>
      </c>
      <c r="AB76" s="54" t="e">
        <f ca="1">IF($B76="","",_xll.BDP($A76&amp;" Corp",AB$14))</f>
        <v>#NAME?</v>
      </c>
      <c r="AC76" s="54" t="e">
        <f ca="1">IF($B76="","",_xll.BDP($A76&amp;" Corp",AC$14))</f>
        <v>#NAME?</v>
      </c>
      <c r="AD76" s="55" t="e">
        <f ca="1">IF($B76="","",_xll.BDP($A76&amp;" Corp",AD$14))</f>
        <v>#NAME?</v>
      </c>
      <c r="AE76" s="56" t="e">
        <f ca="1">IF($B76="","",_xll.BDP($A76&amp;" Corp",AE$14))</f>
        <v>#NAME?</v>
      </c>
      <c r="AF76" s="29" t="e">
        <f ca="1">IF($B76="","",_xll.BDP($A76&amp;" Corp",AF$14))</f>
        <v>#NAME?</v>
      </c>
      <c r="AG76" s="33" t="e">
        <f ca="1">IF($B76="","",_xll.BDP($A76&amp;" Corp",AG$14))</f>
        <v>#NAME?</v>
      </c>
      <c r="AH76" s="30" t="e">
        <f ca="1">IF($B76="","",_xll.BDP($A76&amp;" Corp",AH$14))</f>
        <v>#NAME?</v>
      </c>
      <c r="AI76" s="30" t="e">
        <f ca="1">IF($B76="","",_xll.BDP($A76&amp;" Corp",AI$14))</f>
        <v>#NAME?</v>
      </c>
      <c r="AJ76" s="30" t="e">
        <f ca="1">IF($B76="","",_xll.BDP($A76&amp;" Corp",AJ$14))</f>
        <v>#NAME?</v>
      </c>
      <c r="AK76" s="11" t="e">
        <f ca="1">IF($B76="","",_xll.BDP($A76&amp;" Corp",AK$14))</f>
        <v>#NAME?</v>
      </c>
      <c r="AL76" s="11" t="e">
        <f ca="1">IF($B76="","",_xll.BDP($A76&amp;" Corp",AL$14))</f>
        <v>#NAME?</v>
      </c>
      <c r="AM76" s="11" t="e">
        <f t="shared" ca="1" si="9"/>
        <v>#NAME?</v>
      </c>
      <c r="AN76" s="57" t="e">
        <f t="shared" ca="1" si="14"/>
        <v>#NAME?</v>
      </c>
    </row>
    <row r="77" spans="1:40" x14ac:dyDescent="0.3">
      <c r="A77" s="67" t="str">
        <f t="shared" si="4"/>
        <v>US91282CDK45</v>
      </c>
      <c r="B77" s="68" t="s">
        <v>532</v>
      </c>
      <c r="C77" s="75">
        <v>9653</v>
      </c>
      <c r="D77" s="75">
        <v>128</v>
      </c>
      <c r="E77" s="75">
        <v>618664.11</v>
      </c>
      <c r="F77" s="69">
        <v>0.48584070000000001</v>
      </c>
      <c r="G77" s="70">
        <v>693015.64</v>
      </c>
      <c r="H77" s="67">
        <f t="shared" si="5"/>
        <v>618664.11</v>
      </c>
      <c r="I77" s="67">
        <f t="shared" si="6"/>
        <v>0.48584070000000001</v>
      </c>
      <c r="J77" s="67">
        <f t="shared" si="7"/>
        <v>693015.64</v>
      </c>
      <c r="K77" s="71">
        <f t="shared" si="8"/>
        <v>112.0180771436701</v>
      </c>
      <c r="L77" s="29" t="e">
        <f ca="1">IF(B77="","",_xll.BDP(A77&amp;" Corp","INTERVAL_HIGH","START_DATE_OVERRIDE",TEXT($L$12,"AAAAMMDD"),"END_DATE_OVERRIDE",TEXT($L$13,"AAAAMMDD"),"MARKET_DATA_OVERRIDE",$L$14))</f>
        <v>#NAME?</v>
      </c>
      <c r="M77" s="30" t="e">
        <f ca="1">IF(B77="","",_xll.BDP($A77&amp;" Corp","INTERVAL_LOW","START_DATE_OVERRIDE",TEXT($L$12,"AAAAMMDD"),"END_DATE_OVERRIDE",TEXT($L$13,"AAAAMMDD"),"MARKET_DATA_OVERRIDE",$L$14))</f>
        <v>#NAME?</v>
      </c>
      <c r="N77" s="31" t="e">
        <f ca="1">IF($B77="","",_xll.BDP($A77&amp;" Corp",N$15))</f>
        <v>#NAME?</v>
      </c>
      <c r="O77" s="32" t="e">
        <f ca="1">IF($B77="","",_xll.BDP($A77&amp;" Corp",O$15))</f>
        <v>#NAME?</v>
      </c>
      <c r="P77" s="32" t="e">
        <f ca="1">IF($B77="","",_xll.BDP($A77&amp;" Corp",P$15))</f>
        <v>#NAME?</v>
      </c>
      <c r="Q77" s="30" t="e">
        <f ca="1">IF($B77="","",_xll.BDP($A77&amp;" Corp",Q$14))</f>
        <v>#NAME?</v>
      </c>
      <c r="R77" s="30" t="e">
        <f ca="1">IF($B77="","",_xll.BDP($A77&amp;" Corp",R$14))</f>
        <v>#NAME?</v>
      </c>
      <c r="S77" s="50" t="e">
        <f ca="1">IF($B77="","",_xll.BDP($A77&amp;" Corp",S$14))</f>
        <v>#NAME?</v>
      </c>
      <c r="T77" s="30" t="e">
        <f ca="1">IF($B77="","",_xll.BDP($A77&amp;" Corp",T$14))</f>
        <v>#NAME?</v>
      </c>
      <c r="U77" s="30" t="e">
        <f ca="1">IF($B77="","",_xll.BDP($A77&amp;" Corp",U$14))</f>
        <v>#NAME?</v>
      </c>
      <c r="V77" s="51" t="e">
        <f ca="1">IF($B77="","",IF($T77="VARIABLE",_xll.BDP($A77&amp;" Corp",V$13),_xll.BDP($A77&amp;" Corp",V$14)))</f>
        <v>#NAME?</v>
      </c>
      <c r="W77" s="30" t="e">
        <f ca="1">IF($B77="","",IF($T77="VARIABLE",_xll.BDP($A77&amp;" Corp",W$13),_xll.BDP($A77&amp;" Corp",W$14)))</f>
        <v>#NAME?</v>
      </c>
      <c r="X77" s="30" t="e">
        <f ca="1">IF($B77="","",_xll.BDP($A77&amp;" Corp",X$14))</f>
        <v>#NAME?</v>
      </c>
      <c r="Y77" s="33" t="e">
        <f ca="1">IF($B77="","",_xll.BDP($A77&amp;" Corp",Y$14))</f>
        <v>#NAME?</v>
      </c>
      <c r="Z77" s="52" t="e">
        <f ca="1">IF($B77="","",_xll.BDP($A77&amp;" Corp",Z$14))</f>
        <v>#NAME?</v>
      </c>
      <c r="AA77" s="53" t="e">
        <f ca="1">IF($B77="","",_xll.BDP($A77&amp;" Corp",AA$14))</f>
        <v>#NAME?</v>
      </c>
      <c r="AB77" s="54" t="e">
        <f ca="1">IF($B77="","",_xll.BDP($A77&amp;" Corp",AB$14))</f>
        <v>#NAME?</v>
      </c>
      <c r="AC77" s="54" t="e">
        <f ca="1">IF($B77="","",_xll.BDP($A77&amp;" Corp",AC$14))</f>
        <v>#NAME?</v>
      </c>
      <c r="AD77" s="55" t="e">
        <f ca="1">IF($B77="","",_xll.BDP($A77&amp;" Corp",AD$14))</f>
        <v>#NAME?</v>
      </c>
      <c r="AE77" s="56" t="e">
        <f ca="1">IF($B77="","",_xll.BDP($A77&amp;" Corp",AE$14))</f>
        <v>#NAME?</v>
      </c>
      <c r="AF77" s="29" t="e">
        <f ca="1">IF($B77="","",_xll.BDP($A77&amp;" Corp",AF$14))</f>
        <v>#NAME?</v>
      </c>
      <c r="AG77" s="33" t="e">
        <f ca="1">IF($B77="","",_xll.BDP($A77&amp;" Corp",AG$14))</f>
        <v>#NAME?</v>
      </c>
      <c r="AH77" s="30" t="e">
        <f ca="1">IF($B77="","",_xll.BDP($A77&amp;" Corp",AH$14))</f>
        <v>#NAME?</v>
      </c>
      <c r="AI77" s="30" t="e">
        <f ca="1">IF($B77="","",_xll.BDP($A77&amp;" Corp",AI$14))</f>
        <v>#NAME?</v>
      </c>
      <c r="AJ77" s="30" t="e">
        <f ca="1">IF($B77="","",_xll.BDP($A77&amp;" Corp",AJ$14))</f>
        <v>#NAME?</v>
      </c>
      <c r="AK77" s="11" t="e">
        <f ca="1">IF($B77="","",_xll.BDP($A77&amp;" Corp",AK$14))</f>
        <v>#NAME?</v>
      </c>
      <c r="AL77" s="11" t="e">
        <f ca="1">IF($B77="","",_xll.BDP($A77&amp;" Corp",AL$14))</f>
        <v>#NAME?</v>
      </c>
      <c r="AM77" s="11" t="e">
        <f t="shared" ca="1" si="9"/>
        <v>#NAME?</v>
      </c>
      <c r="AN77" s="57" t="e">
        <f t="shared" ca="1" si="14"/>
        <v>#NAME?</v>
      </c>
    </row>
    <row r="78" spans="1:40" x14ac:dyDescent="0.3">
      <c r="A78" s="67" t="str">
        <f t="shared" si="4"/>
        <v>US91282CED92</v>
      </c>
      <c r="B78" s="68" t="s">
        <v>534</v>
      </c>
      <c r="C78" s="75">
        <v>9880</v>
      </c>
      <c r="D78" s="75">
        <v>128</v>
      </c>
      <c r="E78" s="75">
        <v>499670.45</v>
      </c>
      <c r="F78" s="69">
        <v>0.36703605</v>
      </c>
      <c r="G78" s="70">
        <v>476648.43</v>
      </c>
      <c r="H78" s="67">
        <f t="shared" si="5"/>
        <v>499670.45</v>
      </c>
      <c r="I78" s="67">
        <f t="shared" si="6"/>
        <v>0.36703605</v>
      </c>
      <c r="J78" s="67">
        <f t="shared" si="7"/>
        <v>476648.43</v>
      </c>
      <c r="K78" s="71">
        <f t="shared" si="8"/>
        <v>95.392559235792305</v>
      </c>
      <c r="L78" s="29" t="e">
        <f ca="1">IF(B78="","",_xll.BDP(A78&amp;" Corp","INTERVAL_HIGH","START_DATE_OVERRIDE",TEXT($L$12,"AAAAMMDD"),"END_DATE_OVERRIDE",TEXT($L$13,"AAAAMMDD"),"MARKET_DATA_OVERRIDE",$L$14))</f>
        <v>#NAME?</v>
      </c>
      <c r="M78" s="30" t="e">
        <f ca="1">IF(B78="","",_xll.BDP($A78&amp;" Corp","INTERVAL_LOW","START_DATE_OVERRIDE",TEXT($L$12,"AAAAMMDD"),"END_DATE_OVERRIDE",TEXT($L$13,"AAAAMMDD"),"MARKET_DATA_OVERRIDE",$L$14))</f>
        <v>#NAME?</v>
      </c>
      <c r="N78" s="31" t="e">
        <f ca="1">IF($B78="","",_xll.BDP($A78&amp;" Corp",N$15))</f>
        <v>#NAME?</v>
      </c>
      <c r="O78" s="32" t="e">
        <f ca="1">IF($B78="","",_xll.BDP($A78&amp;" Corp",O$15))</f>
        <v>#NAME?</v>
      </c>
      <c r="P78" s="32" t="e">
        <f ca="1">IF($B78="","",_xll.BDP($A78&amp;" Corp",P$15))</f>
        <v>#NAME?</v>
      </c>
      <c r="Q78" s="30" t="e">
        <f ca="1">IF($B78="","",_xll.BDP($A78&amp;" Corp",Q$14))</f>
        <v>#NAME?</v>
      </c>
      <c r="R78" s="30" t="e">
        <f ca="1">IF($B78="","",_xll.BDP($A78&amp;" Corp",R$14))</f>
        <v>#NAME?</v>
      </c>
      <c r="S78" s="50" t="e">
        <f ca="1">IF($B78="","",_xll.BDP($A78&amp;" Corp",S$14))</f>
        <v>#NAME?</v>
      </c>
      <c r="T78" s="30" t="e">
        <f ca="1">IF($B78="","",_xll.BDP($A78&amp;" Corp",T$14))</f>
        <v>#NAME?</v>
      </c>
      <c r="U78" s="30" t="e">
        <f ca="1">IF($B78="","",_xll.BDP($A78&amp;" Corp",U$14))</f>
        <v>#NAME?</v>
      </c>
      <c r="V78" s="51" t="e">
        <f ca="1">IF($B78="","",IF($T78="VARIABLE",_xll.BDP($A78&amp;" Corp",V$13),_xll.BDP($A78&amp;" Corp",V$14)))</f>
        <v>#NAME?</v>
      </c>
      <c r="W78" s="30" t="e">
        <f ca="1">IF($B78="","",IF($T78="VARIABLE",_xll.BDP($A78&amp;" Corp",W$13),_xll.BDP($A78&amp;" Corp",W$14)))</f>
        <v>#NAME?</v>
      </c>
      <c r="X78" s="30" t="e">
        <f ca="1">IF($B78="","",_xll.BDP($A78&amp;" Corp",X$14))</f>
        <v>#NAME?</v>
      </c>
      <c r="Y78" s="33" t="e">
        <f ca="1">IF($B78="","",_xll.BDP($A78&amp;" Corp",Y$14))</f>
        <v>#NAME?</v>
      </c>
      <c r="Z78" s="52" t="e">
        <f ca="1">IF($B78="","",_xll.BDP($A78&amp;" Corp",Z$14))</f>
        <v>#NAME?</v>
      </c>
      <c r="AA78" s="53" t="e">
        <f ca="1">IF($B78="","",_xll.BDP($A78&amp;" Corp",AA$14))</f>
        <v>#NAME?</v>
      </c>
      <c r="AB78" s="54" t="e">
        <f ca="1">IF($B78="","",_xll.BDP($A78&amp;" Corp",AB$14))</f>
        <v>#NAME?</v>
      </c>
      <c r="AC78" s="54" t="e">
        <f ca="1">IF($B78="","",_xll.BDP($A78&amp;" Corp",AC$14))</f>
        <v>#NAME?</v>
      </c>
      <c r="AD78" s="55" t="e">
        <f ca="1">IF($B78="","",_xll.BDP($A78&amp;" Corp",AD$14))</f>
        <v>#NAME?</v>
      </c>
      <c r="AE78" s="56" t="e">
        <f ca="1">IF($B78="","",_xll.BDP($A78&amp;" Corp",AE$14))</f>
        <v>#NAME?</v>
      </c>
      <c r="AF78" s="29" t="e">
        <f ca="1">IF($B78="","",_xll.BDP($A78&amp;" Corp",AF$14))</f>
        <v>#NAME?</v>
      </c>
      <c r="AG78" s="33" t="e">
        <f ca="1">IF($B78="","",_xll.BDP($A78&amp;" Corp",AG$14))</f>
        <v>#NAME?</v>
      </c>
      <c r="AH78" s="30" t="e">
        <f ca="1">IF($B78="","",_xll.BDP($A78&amp;" Corp",AH$14))</f>
        <v>#NAME?</v>
      </c>
      <c r="AI78" s="30" t="e">
        <f ca="1">IF($B78="","",_xll.BDP($A78&amp;" Corp",AI$14))</f>
        <v>#NAME?</v>
      </c>
      <c r="AJ78" s="30" t="e">
        <f ca="1">IF($B78="","",_xll.BDP($A78&amp;" Corp",AJ$14))</f>
        <v>#NAME?</v>
      </c>
      <c r="AK78" s="11" t="e">
        <f ca="1">IF($B78="","",_xll.BDP($A78&amp;" Corp",AK$14))</f>
        <v>#NAME?</v>
      </c>
      <c r="AL78" s="11" t="e">
        <f ca="1">IF($B78="","",_xll.BDP($A78&amp;" Corp",AL$14))</f>
        <v>#NAME?</v>
      </c>
      <c r="AM78" s="11" t="e">
        <f t="shared" ca="1" si="9"/>
        <v>#NAME?</v>
      </c>
      <c r="AN78" s="57" t="e">
        <f t="shared" ca="1" si="14"/>
        <v>#NAME?</v>
      </c>
    </row>
    <row r="79" spans="1:40" x14ac:dyDescent="0.3">
      <c r="A79" s="67" t="str">
        <f t="shared" si="4"/>
        <v>USU63768AB83</v>
      </c>
      <c r="B79" s="68" t="s">
        <v>319</v>
      </c>
      <c r="C79" s="75">
        <v>7112</v>
      </c>
      <c r="D79" s="75">
        <v>128</v>
      </c>
      <c r="E79" s="75">
        <v>189573.46</v>
      </c>
      <c r="F79" s="69">
        <v>0.14232474000000001</v>
      </c>
      <c r="G79" s="70">
        <v>203056</v>
      </c>
      <c r="H79" s="67">
        <f t="shared" si="5"/>
        <v>189573.46</v>
      </c>
      <c r="I79" s="67">
        <f t="shared" si="6"/>
        <v>0.14232474000000001</v>
      </c>
      <c r="J79" s="67">
        <f t="shared" si="7"/>
        <v>203056</v>
      </c>
      <c r="K79" s="71">
        <f t="shared" si="8"/>
        <v>107.11203983933194</v>
      </c>
      <c r="L79" s="29" t="e">
        <f ca="1">IF(B79="","",_xll.BDP(A79&amp;" Corp","INTERVAL_HIGH","START_DATE_OVERRIDE",TEXT($L$12,"AAAAMMDD"),"END_DATE_OVERRIDE",TEXT($L$13,"AAAAMMDD"),"MARKET_DATA_OVERRIDE",$L$14))</f>
        <v>#NAME?</v>
      </c>
      <c r="M79" s="30" t="e">
        <f ca="1">IF(B79="","",_xll.BDP($A79&amp;" Corp","INTERVAL_LOW","START_DATE_OVERRIDE",TEXT($L$12,"AAAAMMDD"),"END_DATE_OVERRIDE",TEXT($L$13,"AAAAMMDD"),"MARKET_DATA_OVERRIDE",$L$14))</f>
        <v>#NAME?</v>
      </c>
      <c r="N79" s="31" t="e">
        <f ca="1">IF($B79="","",_xll.BDP($A79&amp;" Corp",N$15))</f>
        <v>#NAME?</v>
      </c>
      <c r="O79" s="32" t="e">
        <f ca="1">IF($B79="","",_xll.BDP($A79&amp;" Corp",O$15))</f>
        <v>#NAME?</v>
      </c>
      <c r="P79" s="32" t="e">
        <f ca="1">IF($B79="","",_xll.BDP($A79&amp;" Corp",P$15))</f>
        <v>#NAME?</v>
      </c>
      <c r="Q79" s="30" t="e">
        <f ca="1">IF($B79="","",_xll.BDP($A79&amp;" Corp",Q$14))</f>
        <v>#NAME?</v>
      </c>
      <c r="R79" s="30" t="e">
        <f ca="1">IF($B79="","",_xll.BDP($A79&amp;" Corp",R$14))</f>
        <v>#NAME?</v>
      </c>
      <c r="S79" s="50" t="e">
        <f ca="1">IF($B79="","",_xll.BDP($A79&amp;" Corp",S$14))</f>
        <v>#NAME?</v>
      </c>
      <c r="T79" s="30" t="e">
        <f ca="1">IF($B79="","",_xll.BDP($A79&amp;" Corp",T$14))</f>
        <v>#NAME?</v>
      </c>
      <c r="U79" s="30" t="e">
        <f ca="1">IF($B79="","",_xll.BDP($A79&amp;" Corp",U$14))</f>
        <v>#NAME?</v>
      </c>
      <c r="V79" s="51" t="e">
        <f ca="1">IF($B79="","",IF($T79="VARIABLE",_xll.BDP($A79&amp;" Corp",V$13),_xll.BDP($A79&amp;" Corp",V$14)))</f>
        <v>#NAME?</v>
      </c>
      <c r="W79" s="30" t="e">
        <f ca="1">IF($B79="","",IF($T79="VARIABLE",_xll.BDP($A79&amp;" Corp",W$13),_xll.BDP($A79&amp;" Corp",W$14)))</f>
        <v>#NAME?</v>
      </c>
      <c r="X79" s="30" t="e">
        <f ca="1">IF($B79="","",_xll.BDP($A79&amp;" Corp",X$14))</f>
        <v>#NAME?</v>
      </c>
      <c r="Y79" s="33" t="e">
        <f ca="1">IF($B79="","",_xll.BDP($A79&amp;" Corp",Y$14))</f>
        <v>#NAME?</v>
      </c>
      <c r="Z79" s="52" t="e">
        <f ca="1">IF($B79="","",_xll.BDP($A79&amp;" Corp",Z$14))</f>
        <v>#NAME?</v>
      </c>
      <c r="AA79" s="53" t="e">
        <f ca="1">IF($B79="","",_xll.BDP($A79&amp;" Corp",AA$14))</f>
        <v>#NAME?</v>
      </c>
      <c r="AB79" s="54" t="e">
        <f ca="1">IF($B79="","",_xll.BDP($A79&amp;" Corp",AB$14))</f>
        <v>#NAME?</v>
      </c>
      <c r="AC79" s="54" t="e">
        <f ca="1">IF($B79="","",_xll.BDP($A79&amp;" Corp",AC$14))</f>
        <v>#NAME?</v>
      </c>
      <c r="AD79" s="55" t="e">
        <f ca="1">IF($B79="","",_xll.BDP($A79&amp;" Corp",AD$14))</f>
        <v>#NAME?</v>
      </c>
      <c r="AE79" s="56" t="e">
        <f ca="1">IF($B79="","",_xll.BDP($A79&amp;" Corp",AE$14))</f>
        <v>#NAME?</v>
      </c>
      <c r="AF79" s="29" t="e">
        <f ca="1">IF($B79="","",_xll.BDP($A79&amp;" Corp",AF$14))</f>
        <v>#NAME?</v>
      </c>
      <c r="AG79" s="33" t="e">
        <f ca="1">IF($B79="","",_xll.BDP($A79&amp;" Corp",AG$14))</f>
        <v>#NAME?</v>
      </c>
      <c r="AH79" s="30" t="e">
        <f ca="1">IF($B79="","",_xll.BDP($A79&amp;" Corp",AH$14))</f>
        <v>#NAME?</v>
      </c>
      <c r="AI79" s="30" t="e">
        <f ca="1">IF($B79="","",_xll.BDP($A79&amp;" Corp",AI$14))</f>
        <v>#NAME?</v>
      </c>
      <c r="AJ79" s="30" t="e">
        <f ca="1">IF($B79="","",_xll.BDP($A79&amp;" Corp",AJ$14))</f>
        <v>#NAME?</v>
      </c>
      <c r="AK79" s="11" t="e">
        <f ca="1">IF($B79="","",_xll.BDP($A79&amp;" Corp",AK$14))</f>
        <v>#NAME?</v>
      </c>
      <c r="AL79" s="11" t="e">
        <f ca="1">IF($B79="","",_xll.BDP($A79&amp;" Corp",AL$14))</f>
        <v>#NAME?</v>
      </c>
      <c r="AM79" s="11" t="e">
        <f t="shared" ca="1" si="9"/>
        <v>#NAME?</v>
      </c>
      <c r="AN79" s="57" t="e">
        <f t="shared" ca="1" si="14"/>
        <v>#NAME?</v>
      </c>
    </row>
    <row r="80" spans="1:40" x14ac:dyDescent="0.3">
      <c r="A80" s="67" t="str">
        <f t="shared" si="4"/>
        <v>USX8662DAW75</v>
      </c>
      <c r="B80" s="68" t="s">
        <v>577</v>
      </c>
      <c r="C80" s="75">
        <v>1034</v>
      </c>
      <c r="D80" s="75">
        <v>128</v>
      </c>
      <c r="E80" s="75">
        <v>189165.88</v>
      </c>
      <c r="F80" s="69">
        <v>0.20076487000000001</v>
      </c>
      <c r="G80" s="70">
        <v>252771.82</v>
      </c>
      <c r="H80" s="67">
        <f t="shared" si="5"/>
        <v>189165.88</v>
      </c>
      <c r="I80" s="67">
        <f t="shared" si="6"/>
        <v>0.20076487000000001</v>
      </c>
      <c r="J80" s="67">
        <f t="shared" si="7"/>
        <v>252771.82</v>
      </c>
      <c r="K80" s="71">
        <f t="shared" si="8"/>
        <v>133.62442529276422</v>
      </c>
      <c r="L80" s="29" t="e">
        <f ca="1">IF(B80="","",_xll.BDP(A80&amp;" Corp","INTERVAL_HIGH","START_DATE_OVERRIDE",TEXT($L$12,"AAAAMMDD"),"END_DATE_OVERRIDE",TEXT($L$13,"AAAAMMDD"),"MARKET_DATA_OVERRIDE",$L$14))</f>
        <v>#NAME?</v>
      </c>
      <c r="M80" s="30" t="e">
        <f ca="1">IF(B80="","",_xll.BDP($A80&amp;" Corp","INTERVAL_LOW","START_DATE_OVERRIDE",TEXT($L$12,"AAAAMMDD"),"END_DATE_OVERRIDE",TEXT($L$13,"AAAAMMDD"),"MARKET_DATA_OVERRIDE",$L$14))</f>
        <v>#NAME?</v>
      </c>
      <c r="N80" s="31" t="e">
        <f ca="1">IF($B80="","",_xll.BDP($A80&amp;" Corp",N$15))</f>
        <v>#NAME?</v>
      </c>
      <c r="O80" s="32" t="e">
        <f ca="1">IF($B80="","",_xll.BDP($A80&amp;" Corp",O$15))</f>
        <v>#NAME?</v>
      </c>
      <c r="P80" s="32" t="e">
        <f ca="1">IF($B80="","",_xll.BDP($A80&amp;" Corp",P$15))</f>
        <v>#NAME?</v>
      </c>
      <c r="Q80" s="30" t="e">
        <f ca="1">IF($B80="","",_xll.BDP($A80&amp;" Corp",Q$14))</f>
        <v>#NAME?</v>
      </c>
      <c r="R80" s="30" t="e">
        <f ca="1">IF($B80="","",_xll.BDP($A80&amp;" Corp",R$14))</f>
        <v>#NAME?</v>
      </c>
      <c r="S80" s="50" t="e">
        <f ca="1">IF($B80="","",_xll.BDP($A80&amp;" Corp",S$14))</f>
        <v>#NAME?</v>
      </c>
      <c r="T80" s="30" t="e">
        <f ca="1">IF($B80="","",_xll.BDP($A80&amp;" Corp",T$14))</f>
        <v>#NAME?</v>
      </c>
      <c r="U80" s="30" t="e">
        <f ca="1">IF($B80="","",_xll.BDP($A80&amp;" Corp",U$14))</f>
        <v>#NAME?</v>
      </c>
      <c r="V80" s="51" t="e">
        <f ca="1">IF($B80="","",IF($T80="VARIABLE",_xll.BDP($A80&amp;" Corp",V$13),_xll.BDP($A80&amp;" Corp",V$14)))</f>
        <v>#NAME?</v>
      </c>
      <c r="W80" s="30" t="e">
        <f ca="1">IF($B80="","",IF($T80="VARIABLE",_xll.BDP($A80&amp;" Corp",W$13),_xll.BDP($A80&amp;" Corp",W$14)))</f>
        <v>#NAME?</v>
      </c>
      <c r="X80" s="30" t="e">
        <f ca="1">IF($B80="","",_xll.BDP($A80&amp;" Corp",X$14))</f>
        <v>#NAME?</v>
      </c>
      <c r="Y80" s="33" t="e">
        <f ca="1">IF($B80="","",_xll.BDP($A80&amp;" Corp",Y$14))</f>
        <v>#NAME?</v>
      </c>
      <c r="Z80" s="52" t="e">
        <f ca="1">IF($B80="","",_xll.BDP($A80&amp;" Corp",Z$14))</f>
        <v>#NAME?</v>
      </c>
      <c r="AA80" s="53" t="e">
        <f ca="1">IF($B80="","",_xll.BDP($A80&amp;" Corp",AA$14))</f>
        <v>#NAME?</v>
      </c>
      <c r="AB80" s="54" t="e">
        <f ca="1">IF($B80="","",_xll.BDP($A80&amp;" Corp",AB$14))</f>
        <v>#NAME?</v>
      </c>
      <c r="AC80" s="54" t="e">
        <f ca="1">IF($B80="","",_xll.BDP($A80&amp;" Corp",AC$14))</f>
        <v>#NAME?</v>
      </c>
      <c r="AD80" s="55" t="e">
        <f ca="1">IF($B80="","",_xll.BDP($A80&amp;" Corp",AD$14))</f>
        <v>#NAME?</v>
      </c>
      <c r="AE80" s="56" t="e">
        <f ca="1">IF($B80="","",_xll.BDP($A80&amp;" Corp",AE$14))</f>
        <v>#NAME?</v>
      </c>
      <c r="AF80" s="29" t="e">
        <f ca="1">IF($B80="","",_xll.BDP($A80&amp;" Corp",AF$14))</f>
        <v>#NAME?</v>
      </c>
      <c r="AG80" s="33" t="e">
        <f ca="1">IF($B80="","",_xll.BDP($A80&amp;" Corp",AG$14))</f>
        <v>#NAME?</v>
      </c>
      <c r="AH80" s="30" t="e">
        <f ca="1">IF($B80="","",_xll.BDP($A80&amp;" Corp",AH$14))</f>
        <v>#NAME?</v>
      </c>
      <c r="AI80" s="30" t="e">
        <f ca="1">IF($B80="","",_xll.BDP($A80&amp;" Corp",AI$14))</f>
        <v>#NAME?</v>
      </c>
      <c r="AJ80" s="30" t="e">
        <f ca="1">IF($B80="","",_xll.BDP($A80&amp;" Corp",AJ$14))</f>
        <v>#NAME?</v>
      </c>
      <c r="AK80" s="11" t="e">
        <f ca="1">IF($B80="","",_xll.BDP($A80&amp;" Corp",AK$14))</f>
        <v>#NAME?</v>
      </c>
      <c r="AL80" s="11" t="e">
        <f ca="1">IF($B80="","",_xll.BDP($A80&amp;" Corp",AL$14))</f>
        <v>#NAME?</v>
      </c>
      <c r="AM80" s="11" t="e">
        <f t="shared" ca="1" si="9"/>
        <v>#NAME?</v>
      </c>
      <c r="AN80" s="57" t="e">
        <f t="shared" ca="1" si="14"/>
        <v>#NAME?</v>
      </c>
    </row>
    <row r="81" spans="1:40" x14ac:dyDescent="0.3">
      <c r="A81" s="67" t="str">
        <f t="shared" ref="A81:A144" si="15">IF(LEN(B81)=12,B81,"")</f>
        <v>XS0193945655</v>
      </c>
      <c r="B81" s="68" t="s">
        <v>326</v>
      </c>
      <c r="C81" s="75">
        <v>9263</v>
      </c>
      <c r="D81" s="75">
        <v>128</v>
      </c>
      <c r="E81" s="75">
        <v>100000</v>
      </c>
      <c r="F81" s="69">
        <v>8.3377980000000004E-2</v>
      </c>
      <c r="G81" s="70">
        <v>115136</v>
      </c>
      <c r="H81" s="67">
        <f t="shared" ref="H81:H144" si="16">GETPIVOTDATA("Suma de nominal_dis",B81,"nombre_instrumento",$B81)</f>
        <v>100000</v>
      </c>
      <c r="I81" s="67">
        <f t="shared" ref="I81:I144" si="17">GETPIVOTDATA("Suma de porcentaje_contado",$B$15,"nombre_instrumento",B81)</f>
        <v>8.3377980000000004E-2</v>
      </c>
      <c r="J81" s="67">
        <f t="shared" ref="J81:J144" si="18">GETPIVOTDATA("Suma de coste_ini_div",$B$15,"nombre_instrumento",B81)</f>
        <v>115136</v>
      </c>
      <c r="K81" s="71">
        <f t="shared" ref="K81:K144" si="19">IF(B81="","",J81*100/H81)</f>
        <v>115.136</v>
      </c>
      <c r="L81" s="29" t="e">
        <f ca="1">IF(B81="","",_xll.BDP(A81&amp;" Corp","INTERVAL_HIGH","START_DATE_OVERRIDE",TEXT($L$12,"AAAAMMDD"),"END_DATE_OVERRIDE",TEXT($L$13,"AAAAMMDD"),"MARKET_DATA_OVERRIDE",$L$14))</f>
        <v>#NAME?</v>
      </c>
      <c r="M81" s="30" t="e">
        <f ca="1">IF(B81="","",_xll.BDP($A81&amp;" Corp","INTERVAL_LOW","START_DATE_OVERRIDE",TEXT($L$12,"AAAAMMDD"),"END_DATE_OVERRIDE",TEXT($L$13,"AAAAMMDD"),"MARKET_DATA_OVERRIDE",$L$14))</f>
        <v>#NAME?</v>
      </c>
      <c r="N81" s="31" t="e">
        <f ca="1">IF($B81="","",_xll.BDP($A81&amp;" Corp",N$15))</f>
        <v>#NAME?</v>
      </c>
      <c r="O81" s="32" t="e">
        <f ca="1">IF($B81="","",_xll.BDP($A81&amp;" Corp",O$15))</f>
        <v>#NAME?</v>
      </c>
      <c r="P81" s="32" t="e">
        <f ca="1">IF($B81="","",_xll.BDP($A81&amp;" Corp",P$15))</f>
        <v>#NAME?</v>
      </c>
      <c r="Q81" s="30" t="e">
        <f ca="1">IF($B81="","",_xll.BDP($A81&amp;" Corp",Q$14))</f>
        <v>#NAME?</v>
      </c>
      <c r="R81" s="30" t="e">
        <f ca="1">IF($B81="","",_xll.BDP($A81&amp;" Corp",R$14))</f>
        <v>#NAME?</v>
      </c>
      <c r="S81" s="50" t="e">
        <f ca="1">IF($B81="","",_xll.BDP($A81&amp;" Corp",S$14))</f>
        <v>#NAME?</v>
      </c>
      <c r="T81" s="30" t="e">
        <f ca="1">IF($B81="","",_xll.BDP($A81&amp;" Corp",T$14))</f>
        <v>#NAME?</v>
      </c>
      <c r="U81" s="30" t="e">
        <f ca="1">IF($B81="","",_xll.BDP($A81&amp;" Corp",U$14))</f>
        <v>#NAME?</v>
      </c>
      <c r="V81" s="51" t="e">
        <f ca="1">IF($B81="","",IF($T81="VARIABLE",_xll.BDP($A81&amp;" Corp",V$13),_xll.BDP($A81&amp;" Corp",V$14)))</f>
        <v>#NAME?</v>
      </c>
      <c r="W81" s="30" t="e">
        <f ca="1">IF($B81="","",IF($T81="VARIABLE",_xll.BDP($A81&amp;" Corp",W$13),_xll.BDP($A81&amp;" Corp",W$14)))</f>
        <v>#NAME?</v>
      </c>
      <c r="X81" s="30" t="e">
        <f ca="1">IF($B81="","",_xll.BDP($A81&amp;" Corp",X$14))</f>
        <v>#NAME?</v>
      </c>
      <c r="Y81" s="33" t="e">
        <f ca="1">IF($B81="","",_xll.BDP($A81&amp;" Corp",Y$14))</f>
        <v>#NAME?</v>
      </c>
      <c r="Z81" s="52" t="e">
        <f ca="1">IF($B81="","",_xll.BDP($A81&amp;" Corp",Z$14))</f>
        <v>#NAME?</v>
      </c>
      <c r="AA81" s="53" t="e">
        <f ca="1">IF($B81="","",_xll.BDP($A81&amp;" Corp",AA$14))</f>
        <v>#NAME?</v>
      </c>
      <c r="AB81" s="54" t="e">
        <f ca="1">IF($B81="","",_xll.BDP($A81&amp;" Corp",AB$14))</f>
        <v>#NAME?</v>
      </c>
      <c r="AC81" s="54" t="e">
        <f ca="1">IF($B81="","",_xll.BDP($A81&amp;" Corp",AC$14))</f>
        <v>#NAME?</v>
      </c>
      <c r="AD81" s="55" t="e">
        <f ca="1">IF($B81="","",_xll.BDP($A81&amp;" Corp",AD$14))</f>
        <v>#NAME?</v>
      </c>
      <c r="AE81" s="56" t="e">
        <f ca="1">IF($B81="","",_xll.BDP($A81&amp;" Corp",AE$14))</f>
        <v>#NAME?</v>
      </c>
      <c r="AF81" s="29" t="e">
        <f ca="1">IF($B81="","",_xll.BDP($A81&amp;" Corp",AF$14))</f>
        <v>#NAME?</v>
      </c>
      <c r="AG81" s="33" t="e">
        <f ca="1">IF($B81="","",_xll.BDP($A81&amp;" Corp",AG$14))</f>
        <v>#NAME?</v>
      </c>
      <c r="AH81" s="30" t="e">
        <f ca="1">IF($B81="","",_xll.BDP($A81&amp;" Corp",AH$14))</f>
        <v>#NAME?</v>
      </c>
      <c r="AI81" s="30" t="e">
        <f ca="1">IF($B81="","",_xll.BDP($A81&amp;" Corp",AI$14))</f>
        <v>#NAME?</v>
      </c>
      <c r="AJ81" s="30" t="e">
        <f ca="1">IF($B81="","",_xll.BDP($A81&amp;" Corp",AJ$14))</f>
        <v>#NAME?</v>
      </c>
      <c r="AK81" s="11" t="e">
        <f ca="1">IF($B81="","",_xll.BDP($A81&amp;" Corp",AK$14))</f>
        <v>#NAME?</v>
      </c>
      <c r="AL81" s="11" t="e">
        <f ca="1">IF($B81="","",_xll.BDP($A81&amp;" Corp",AL$14))</f>
        <v>#NAME?</v>
      </c>
      <c r="AM81" s="11" t="e">
        <f t="shared" ref="AM81:AM144" ca="1" si="20">IF(V81="","",TRUNC((V81-TODAY())/365)+1)</f>
        <v>#NAME?</v>
      </c>
      <c r="AN81" s="57" t="e">
        <f t="shared" ca="1" si="14"/>
        <v>#NAME?</v>
      </c>
    </row>
    <row r="82" spans="1:40" x14ac:dyDescent="0.3">
      <c r="A82" s="67" t="str">
        <f t="shared" si="15"/>
        <v>XS0215093534</v>
      </c>
      <c r="B82" s="68" t="s">
        <v>550</v>
      </c>
      <c r="C82" s="75">
        <v>9244</v>
      </c>
      <c r="D82" s="75">
        <v>128</v>
      </c>
      <c r="E82" s="75">
        <v>300000</v>
      </c>
      <c r="F82" s="69">
        <v>0.24996571000000001</v>
      </c>
      <c r="G82" s="70">
        <v>342187</v>
      </c>
      <c r="H82" s="67">
        <f t="shared" si="16"/>
        <v>300000</v>
      </c>
      <c r="I82" s="67">
        <f t="shared" si="17"/>
        <v>0.24996571000000001</v>
      </c>
      <c r="J82" s="67">
        <f t="shared" si="18"/>
        <v>342187</v>
      </c>
      <c r="K82" s="71">
        <f t="shared" si="19"/>
        <v>114.06233333333333</v>
      </c>
      <c r="L82" s="29" t="e">
        <f ca="1">IF(B82="","",_xll.BDP(A82&amp;" Corp","INTERVAL_HIGH","START_DATE_OVERRIDE",TEXT($L$12,"AAAAMMDD"),"END_DATE_OVERRIDE",TEXT($L$13,"AAAAMMDD"),"MARKET_DATA_OVERRIDE",$L$14))</f>
        <v>#NAME?</v>
      </c>
      <c r="M82" s="30" t="e">
        <f ca="1">IF(B82="","",_xll.BDP($A82&amp;" Corp","INTERVAL_LOW","START_DATE_OVERRIDE",TEXT($L$12,"AAAAMMDD"),"END_DATE_OVERRIDE",TEXT($L$13,"AAAAMMDD"),"MARKET_DATA_OVERRIDE",$L$14))</f>
        <v>#NAME?</v>
      </c>
      <c r="N82" s="31" t="e">
        <f ca="1">IF($B82="","",_xll.BDP($A82&amp;" Corp",N$15))</f>
        <v>#NAME?</v>
      </c>
      <c r="O82" s="32" t="e">
        <f ca="1">IF($B82="","",_xll.BDP($A82&amp;" Corp",O$15))</f>
        <v>#NAME?</v>
      </c>
      <c r="P82" s="32" t="e">
        <f ca="1">IF($B82="","",_xll.BDP($A82&amp;" Corp",P$15))</f>
        <v>#NAME?</v>
      </c>
      <c r="Q82" s="30" t="e">
        <f ca="1">IF($B82="","",_xll.BDP($A82&amp;" Corp",Q$14))</f>
        <v>#NAME?</v>
      </c>
      <c r="R82" s="30" t="e">
        <f ca="1">IF($B82="","",_xll.BDP($A82&amp;" Corp",R$14))</f>
        <v>#NAME?</v>
      </c>
      <c r="S82" s="50" t="e">
        <f ca="1">IF($B82="","",_xll.BDP($A82&amp;" Corp",S$14))</f>
        <v>#NAME?</v>
      </c>
      <c r="T82" s="30" t="e">
        <f ca="1">IF($B82="","",_xll.BDP($A82&amp;" Corp",T$14))</f>
        <v>#NAME?</v>
      </c>
      <c r="U82" s="30" t="e">
        <f ca="1">IF($B82="","",_xll.BDP($A82&amp;" Corp",U$14))</f>
        <v>#NAME?</v>
      </c>
      <c r="V82" s="51" t="e">
        <f ca="1">IF($B82="","",IF($T82="VARIABLE",_xll.BDP($A82&amp;" Corp",V$13),_xll.BDP($A82&amp;" Corp",V$14)))</f>
        <v>#NAME?</v>
      </c>
      <c r="W82" s="30" t="e">
        <f ca="1">IF($B82="","",IF($T82="VARIABLE",_xll.BDP($A82&amp;" Corp",W$13),_xll.BDP($A82&amp;" Corp",W$14)))</f>
        <v>#NAME?</v>
      </c>
      <c r="X82" s="30" t="e">
        <f ca="1">IF($B82="","",_xll.BDP($A82&amp;" Corp",X$14))</f>
        <v>#NAME?</v>
      </c>
      <c r="Y82" s="33" t="e">
        <f ca="1">IF($B82="","",_xll.BDP($A82&amp;" Corp",Y$14))</f>
        <v>#NAME?</v>
      </c>
      <c r="Z82" s="52" t="e">
        <f ca="1">IF($B82="","",_xll.BDP($A82&amp;" Corp",Z$14))</f>
        <v>#NAME?</v>
      </c>
      <c r="AA82" s="53" t="e">
        <f ca="1">IF($B82="","",_xll.BDP($A82&amp;" Corp",AA$14))</f>
        <v>#NAME?</v>
      </c>
      <c r="AB82" s="54" t="e">
        <f ca="1">IF($B82="","",_xll.BDP($A82&amp;" Corp",AB$14))</f>
        <v>#NAME?</v>
      </c>
      <c r="AC82" s="54" t="e">
        <f ca="1">IF($B82="","",_xll.BDP($A82&amp;" Corp",AC$14))</f>
        <v>#NAME?</v>
      </c>
      <c r="AD82" s="55" t="e">
        <f ca="1">IF($B82="","",_xll.BDP($A82&amp;" Corp",AD$14))</f>
        <v>#NAME?</v>
      </c>
      <c r="AE82" s="56" t="e">
        <f ca="1">IF($B82="","",_xll.BDP($A82&amp;" Corp",AE$14))</f>
        <v>#NAME?</v>
      </c>
      <c r="AF82" s="29" t="e">
        <f ca="1">IF($B82="","",_xll.BDP($A82&amp;" Corp",AF$14))</f>
        <v>#NAME?</v>
      </c>
      <c r="AG82" s="33" t="e">
        <f ca="1">IF($B82="","",_xll.BDP($A82&amp;" Corp",AG$14))</f>
        <v>#NAME?</v>
      </c>
      <c r="AH82" s="30" t="e">
        <f ca="1">IF($B82="","",_xll.BDP($A82&amp;" Corp",AH$14))</f>
        <v>#NAME?</v>
      </c>
      <c r="AI82" s="30" t="e">
        <f ca="1">IF($B82="","",_xll.BDP($A82&amp;" Corp",AI$14))</f>
        <v>#NAME?</v>
      </c>
      <c r="AJ82" s="30" t="e">
        <f ca="1">IF($B82="","",_xll.BDP($A82&amp;" Corp",AJ$14))</f>
        <v>#NAME?</v>
      </c>
      <c r="AK82" s="11" t="e">
        <f ca="1">IF($B82="","",_xll.BDP($A82&amp;" Corp",AK$14))</f>
        <v>#NAME?</v>
      </c>
      <c r="AL82" s="11" t="e">
        <f ca="1">IF($B82="","",_xll.BDP($A82&amp;" Corp",AL$14))</f>
        <v>#NAME?</v>
      </c>
      <c r="AM82" s="11" t="e">
        <f t="shared" ca="1" si="20"/>
        <v>#NAME?</v>
      </c>
      <c r="AN82" s="57" t="e">
        <f t="shared" ca="1" si="14"/>
        <v>#NAME?</v>
      </c>
    </row>
    <row r="83" spans="1:40" x14ac:dyDescent="0.3">
      <c r="A83" s="67" t="str">
        <f t="shared" si="15"/>
        <v>XS0542534192</v>
      </c>
      <c r="B83" s="68" t="s">
        <v>328</v>
      </c>
      <c r="C83" s="75">
        <v>9275</v>
      </c>
      <c r="D83" s="75">
        <v>128</v>
      </c>
      <c r="E83" s="75">
        <v>200000</v>
      </c>
      <c r="F83" s="69">
        <v>0.16238316</v>
      </c>
      <c r="G83" s="70">
        <v>230666</v>
      </c>
      <c r="H83" s="67">
        <f t="shared" si="16"/>
        <v>200000</v>
      </c>
      <c r="I83" s="67">
        <f t="shared" si="17"/>
        <v>0.16238316</v>
      </c>
      <c r="J83" s="67">
        <f t="shared" si="18"/>
        <v>230666</v>
      </c>
      <c r="K83" s="71">
        <f t="shared" si="19"/>
        <v>115.333</v>
      </c>
      <c r="L83" s="29" t="e">
        <f ca="1">IF(B83="","",_xll.BDP(A83&amp;" Corp","INTERVAL_HIGH","START_DATE_OVERRIDE",TEXT($L$12,"AAAAMMDD"),"END_DATE_OVERRIDE",TEXT($L$13,"AAAAMMDD"),"MARKET_DATA_OVERRIDE",$L$14))</f>
        <v>#NAME?</v>
      </c>
      <c r="M83" s="30" t="e">
        <f ca="1">IF(B83="","",_xll.BDP($A83&amp;" Corp","INTERVAL_LOW","START_DATE_OVERRIDE",TEXT($L$12,"AAAAMMDD"),"END_DATE_OVERRIDE",TEXT($L$13,"AAAAMMDD"),"MARKET_DATA_OVERRIDE",$L$14))</f>
        <v>#NAME?</v>
      </c>
      <c r="N83" s="31" t="e">
        <f ca="1">IF($B83="","",_xll.BDP($A83&amp;" Corp",N$15))</f>
        <v>#NAME?</v>
      </c>
      <c r="O83" s="32" t="e">
        <f ca="1">IF($B83="","",_xll.BDP($A83&amp;" Corp",O$15))</f>
        <v>#NAME?</v>
      </c>
      <c r="P83" s="32" t="e">
        <f ca="1">IF($B83="","",_xll.BDP($A83&amp;" Corp",P$15))</f>
        <v>#NAME?</v>
      </c>
      <c r="Q83" s="30" t="e">
        <f ca="1">IF($B83="","",_xll.BDP($A83&amp;" Corp",Q$14))</f>
        <v>#NAME?</v>
      </c>
      <c r="R83" s="30" t="e">
        <f ca="1">IF($B83="","",_xll.BDP($A83&amp;" Corp",R$14))</f>
        <v>#NAME?</v>
      </c>
      <c r="S83" s="50" t="e">
        <f ca="1">IF($B83="","",_xll.BDP($A83&amp;" Corp",S$14))</f>
        <v>#NAME?</v>
      </c>
      <c r="T83" s="30" t="e">
        <f ca="1">IF($B83="","",_xll.BDP($A83&amp;" Corp",T$14))</f>
        <v>#NAME?</v>
      </c>
      <c r="U83" s="30" t="e">
        <f ca="1">IF($B83="","",_xll.BDP($A83&amp;" Corp",U$14))</f>
        <v>#NAME?</v>
      </c>
      <c r="V83" s="51" t="e">
        <f ca="1">IF($B83="","",IF($T83="VARIABLE",_xll.BDP($A83&amp;" Corp",V$13),_xll.BDP($A83&amp;" Corp",V$14)))</f>
        <v>#NAME?</v>
      </c>
      <c r="W83" s="30" t="e">
        <f ca="1">IF($B83="","",IF($T83="VARIABLE",_xll.BDP($A83&amp;" Corp",W$13),_xll.BDP($A83&amp;" Corp",W$14)))</f>
        <v>#NAME?</v>
      </c>
      <c r="X83" s="30" t="e">
        <f ca="1">IF($B83="","",_xll.BDP($A83&amp;" Corp",X$14))</f>
        <v>#NAME?</v>
      </c>
      <c r="Y83" s="33" t="e">
        <f ca="1">IF($B83="","",_xll.BDP($A83&amp;" Corp",Y$14))</f>
        <v>#NAME?</v>
      </c>
      <c r="Z83" s="52" t="e">
        <f ca="1">IF($B83="","",_xll.BDP($A83&amp;" Corp",Z$14))</f>
        <v>#NAME?</v>
      </c>
      <c r="AA83" s="53" t="e">
        <f ca="1">IF($B83="","",_xll.BDP($A83&amp;" Corp",AA$14))</f>
        <v>#NAME?</v>
      </c>
      <c r="AB83" s="54" t="e">
        <f ca="1">IF($B83="","",_xll.BDP($A83&amp;" Corp",AB$14))</f>
        <v>#NAME?</v>
      </c>
      <c r="AC83" s="54" t="e">
        <f ca="1">IF($B83="","",_xll.BDP($A83&amp;" Corp",AC$14))</f>
        <v>#NAME?</v>
      </c>
      <c r="AD83" s="55" t="e">
        <f ca="1">IF($B83="","",_xll.BDP($A83&amp;" Corp",AD$14))</f>
        <v>#NAME?</v>
      </c>
      <c r="AE83" s="56" t="e">
        <f ca="1">IF($B83="","",_xll.BDP($A83&amp;" Corp",AE$14))</f>
        <v>#NAME?</v>
      </c>
      <c r="AF83" s="29" t="e">
        <f ca="1">IF($B83="","",_xll.BDP($A83&amp;" Corp",AF$14))</f>
        <v>#NAME?</v>
      </c>
      <c r="AG83" s="33" t="e">
        <f ca="1">IF($B83="","",_xll.BDP($A83&amp;" Corp",AG$14))</f>
        <v>#NAME?</v>
      </c>
      <c r="AH83" s="30" t="e">
        <f ca="1">IF($B83="","",_xll.BDP($A83&amp;" Corp",AH$14))</f>
        <v>#NAME?</v>
      </c>
      <c r="AI83" s="30" t="e">
        <f ca="1">IF($B83="","",_xll.BDP($A83&amp;" Corp",AI$14))</f>
        <v>#NAME?</v>
      </c>
      <c r="AJ83" s="30" t="e">
        <f ca="1">IF($B83="","",_xll.BDP($A83&amp;" Corp",AJ$14))</f>
        <v>#NAME?</v>
      </c>
      <c r="AK83" s="11" t="e">
        <f ca="1">IF($B83="","",_xll.BDP($A83&amp;" Corp",AK$14))</f>
        <v>#NAME?</v>
      </c>
      <c r="AL83" s="11" t="e">
        <f ca="1">IF($B83="","",_xll.BDP($A83&amp;" Corp",AL$14))</f>
        <v>#NAME?</v>
      </c>
      <c r="AM83" s="11" t="e">
        <f t="shared" ca="1" si="20"/>
        <v>#NAME?</v>
      </c>
      <c r="AN83" s="57" t="e">
        <f t="shared" ca="1" si="14"/>
        <v>#NAME?</v>
      </c>
    </row>
    <row r="84" spans="1:40" x14ac:dyDescent="0.3">
      <c r="A84" s="67" t="str">
        <f t="shared" si="15"/>
        <v>XS1028942354</v>
      </c>
      <c r="B84" s="68" t="s">
        <v>451</v>
      </c>
      <c r="C84" s="75">
        <v>1410</v>
      </c>
      <c r="D84" s="75">
        <v>128</v>
      </c>
      <c r="E84" s="75">
        <v>700000</v>
      </c>
      <c r="F84" s="69">
        <v>0.56101785000000004</v>
      </c>
      <c r="G84" s="70">
        <v>708906</v>
      </c>
      <c r="H84" s="67">
        <f t="shared" si="16"/>
        <v>700000</v>
      </c>
      <c r="I84" s="67">
        <f t="shared" si="17"/>
        <v>0.56101785000000004</v>
      </c>
      <c r="J84" s="67">
        <f t="shared" si="18"/>
        <v>708906</v>
      </c>
      <c r="K84" s="71">
        <f t="shared" si="19"/>
        <v>101.27228571428572</v>
      </c>
      <c r="L84" s="29" t="e">
        <f ca="1">IF(B84="","",_xll.BDP(A84&amp;" Corp","INTERVAL_HIGH","START_DATE_OVERRIDE",TEXT($L$12,"AAAAMMDD"),"END_DATE_OVERRIDE",TEXT($L$13,"AAAAMMDD"),"MARKET_DATA_OVERRIDE",$L$14))</f>
        <v>#NAME?</v>
      </c>
      <c r="M84" s="30" t="e">
        <f ca="1">IF(B84="","",_xll.BDP($A84&amp;" Corp","INTERVAL_LOW","START_DATE_OVERRIDE",TEXT($L$12,"AAAAMMDD"),"END_DATE_OVERRIDE",TEXT($L$13,"AAAAMMDD"),"MARKET_DATA_OVERRIDE",$L$14))</f>
        <v>#NAME?</v>
      </c>
      <c r="N84" s="31" t="e">
        <f ca="1">IF($B84="","",_xll.BDP($A84&amp;" Corp",N$15))</f>
        <v>#NAME?</v>
      </c>
      <c r="O84" s="32" t="e">
        <f ca="1">IF($B84="","",_xll.BDP($A84&amp;" Corp",O$15))</f>
        <v>#NAME?</v>
      </c>
      <c r="P84" s="32" t="e">
        <f ca="1">IF($B84="","",_xll.BDP($A84&amp;" Corp",P$15))</f>
        <v>#NAME?</v>
      </c>
      <c r="Q84" s="30" t="e">
        <f ca="1">IF($B84="","",_xll.BDP($A84&amp;" Corp",Q$14))</f>
        <v>#NAME?</v>
      </c>
      <c r="R84" s="30" t="e">
        <f ca="1">IF($B84="","",_xll.BDP($A84&amp;" Corp",R$14))</f>
        <v>#NAME?</v>
      </c>
      <c r="S84" s="50" t="e">
        <f ca="1">IF($B84="","",_xll.BDP($A84&amp;" Corp",S$14))</f>
        <v>#NAME?</v>
      </c>
      <c r="T84" s="30" t="e">
        <f ca="1">IF($B84="","",_xll.BDP($A84&amp;" Corp",T$14))</f>
        <v>#NAME?</v>
      </c>
      <c r="U84" s="30" t="e">
        <f ca="1">IF($B84="","",_xll.BDP($A84&amp;" Corp",U$14))</f>
        <v>#NAME?</v>
      </c>
      <c r="V84" s="51" t="e">
        <f ca="1">IF($B84="","",IF($T84="VARIABLE",_xll.BDP($A84&amp;" Corp",V$13),_xll.BDP($A84&amp;" Corp",V$14)))</f>
        <v>#NAME?</v>
      </c>
      <c r="W84" s="30" t="e">
        <f ca="1">IF($B84="","",IF($T84="VARIABLE",_xll.BDP($A84&amp;" Corp",W$13),_xll.BDP($A84&amp;" Corp",W$14)))</f>
        <v>#NAME?</v>
      </c>
      <c r="X84" s="30" t="e">
        <f ca="1">IF($B84="","",_xll.BDP($A84&amp;" Corp",X$14))</f>
        <v>#NAME?</v>
      </c>
      <c r="Y84" s="33" t="e">
        <f ca="1">IF($B84="","",_xll.BDP($A84&amp;" Corp",Y$14))</f>
        <v>#NAME?</v>
      </c>
      <c r="Z84" s="52" t="e">
        <f ca="1">IF($B84="","",_xll.BDP($A84&amp;" Corp",Z$14))</f>
        <v>#NAME?</v>
      </c>
      <c r="AA84" s="53" t="e">
        <f ca="1">IF($B84="","",_xll.BDP($A84&amp;" Corp",AA$14))</f>
        <v>#NAME?</v>
      </c>
      <c r="AB84" s="54" t="e">
        <f ca="1">IF($B84="","",_xll.BDP($A84&amp;" Corp",AB$14))</f>
        <v>#NAME?</v>
      </c>
      <c r="AC84" s="54" t="e">
        <f ca="1">IF($B84="","",_xll.BDP($A84&amp;" Corp",AC$14))</f>
        <v>#NAME?</v>
      </c>
      <c r="AD84" s="55" t="e">
        <f ca="1">IF($B84="","",_xll.BDP($A84&amp;" Corp",AD$14))</f>
        <v>#NAME?</v>
      </c>
      <c r="AE84" s="56" t="e">
        <f ca="1">IF($B84="","",_xll.BDP($A84&amp;" Corp",AE$14))</f>
        <v>#NAME?</v>
      </c>
      <c r="AF84" s="29" t="e">
        <f ca="1">IF($B84="","",_xll.BDP($A84&amp;" Corp",AF$14))</f>
        <v>#NAME?</v>
      </c>
      <c r="AG84" s="33" t="e">
        <f ca="1">IF($B84="","",_xll.BDP($A84&amp;" Corp",AG$14))</f>
        <v>#NAME?</v>
      </c>
      <c r="AH84" s="30" t="e">
        <f ca="1">IF($B84="","",_xll.BDP($A84&amp;" Corp",AH$14))</f>
        <v>#NAME?</v>
      </c>
      <c r="AI84" s="30" t="e">
        <f ca="1">IF($B84="","",_xll.BDP($A84&amp;" Corp",AI$14))</f>
        <v>#NAME?</v>
      </c>
      <c r="AJ84" s="30" t="e">
        <f ca="1">IF($B84="","",_xll.BDP($A84&amp;" Corp",AJ$14))</f>
        <v>#NAME?</v>
      </c>
      <c r="AK84" s="11" t="e">
        <f ca="1">IF($B84="","",_xll.BDP($A84&amp;" Corp",AK$14))</f>
        <v>#NAME?</v>
      </c>
      <c r="AL84" s="11" t="e">
        <f ca="1">IF($B84="","",_xll.BDP($A84&amp;" Corp",AL$14))</f>
        <v>#NAME?</v>
      </c>
      <c r="AM84" s="11" t="e">
        <f t="shared" ca="1" si="20"/>
        <v>#NAME?</v>
      </c>
      <c r="AN84" s="57" t="e">
        <f t="shared" ca="1" si="14"/>
        <v>#NAME?</v>
      </c>
    </row>
    <row r="85" spans="1:40" x14ac:dyDescent="0.3">
      <c r="A85" s="67" t="str">
        <f t="shared" si="15"/>
        <v>XS1076781589</v>
      </c>
      <c r="B85" s="68" t="s">
        <v>452</v>
      </c>
      <c r="C85" s="75">
        <v>9897</v>
      </c>
      <c r="D85" s="75">
        <v>128</v>
      </c>
      <c r="E85" s="75">
        <v>100000</v>
      </c>
      <c r="F85" s="69">
        <v>8.0794060000000001E-2</v>
      </c>
      <c r="G85" s="70">
        <v>105010</v>
      </c>
      <c r="H85" s="67">
        <f t="shared" si="16"/>
        <v>100000</v>
      </c>
      <c r="I85" s="67">
        <f t="shared" si="17"/>
        <v>8.0794060000000001E-2</v>
      </c>
      <c r="J85" s="67">
        <f t="shared" si="18"/>
        <v>105010</v>
      </c>
      <c r="K85" s="71">
        <f t="shared" si="19"/>
        <v>105.01</v>
      </c>
      <c r="L85" s="29" t="e">
        <f ca="1">IF(B85="","",_xll.BDP(A85&amp;" Corp","INTERVAL_HIGH","START_DATE_OVERRIDE",TEXT($L$12,"AAAAMMDD"),"END_DATE_OVERRIDE",TEXT($L$13,"AAAAMMDD"),"MARKET_DATA_OVERRIDE",$L$14))</f>
        <v>#NAME?</v>
      </c>
      <c r="M85" s="30" t="e">
        <f ca="1">IF(B85="","",_xll.BDP($A85&amp;" Corp","INTERVAL_LOW","START_DATE_OVERRIDE",TEXT($L$12,"AAAAMMDD"),"END_DATE_OVERRIDE",TEXT($L$13,"AAAAMMDD"),"MARKET_DATA_OVERRIDE",$L$14))</f>
        <v>#NAME?</v>
      </c>
      <c r="N85" s="31" t="e">
        <f ca="1">IF($B85="","",_xll.BDP($A85&amp;" Corp",N$15))</f>
        <v>#NAME?</v>
      </c>
      <c r="O85" s="32" t="e">
        <f ca="1">IF($B85="","",_xll.BDP($A85&amp;" Corp",O$15))</f>
        <v>#NAME?</v>
      </c>
      <c r="P85" s="32" t="e">
        <f ca="1">IF($B85="","",_xll.BDP($A85&amp;" Corp",P$15))</f>
        <v>#NAME?</v>
      </c>
      <c r="Q85" s="30" t="e">
        <f ca="1">IF($B85="","",_xll.BDP($A85&amp;" Corp",Q$14))</f>
        <v>#NAME?</v>
      </c>
      <c r="R85" s="30" t="e">
        <f ca="1">IF($B85="","",_xll.BDP($A85&amp;" Corp",R$14))</f>
        <v>#NAME?</v>
      </c>
      <c r="S85" s="50" t="e">
        <f ca="1">IF($B85="","",_xll.BDP($A85&amp;" Corp",S$14))</f>
        <v>#NAME?</v>
      </c>
      <c r="T85" s="30" t="e">
        <f ca="1">IF($B85="","",_xll.BDP($A85&amp;" Corp",T$14))</f>
        <v>#NAME?</v>
      </c>
      <c r="U85" s="30" t="e">
        <f ca="1">IF($B85="","",_xll.BDP($A85&amp;" Corp",U$14))</f>
        <v>#NAME?</v>
      </c>
      <c r="V85" s="51" t="e">
        <f ca="1">IF($B85="","",IF($T85="VARIABLE",_xll.BDP($A85&amp;" Corp",V$13),_xll.BDP($A85&amp;" Corp",V$14)))</f>
        <v>#NAME?</v>
      </c>
      <c r="W85" s="30" t="e">
        <f ca="1">IF($B85="","",IF($T85="VARIABLE",_xll.BDP($A85&amp;" Corp",W$13),_xll.BDP($A85&amp;" Corp",W$14)))</f>
        <v>#NAME?</v>
      </c>
      <c r="X85" s="30" t="e">
        <f ca="1">IF($B85="","",_xll.BDP($A85&amp;" Corp",X$14))</f>
        <v>#NAME?</v>
      </c>
      <c r="Y85" s="33" t="e">
        <f ca="1">IF($B85="","",_xll.BDP($A85&amp;" Corp",Y$14))</f>
        <v>#NAME?</v>
      </c>
      <c r="Z85" s="52" t="e">
        <f ca="1">IF($B85="","",_xll.BDP($A85&amp;" Corp",Z$14))</f>
        <v>#NAME?</v>
      </c>
      <c r="AA85" s="53" t="e">
        <f ca="1">IF($B85="","",_xll.BDP($A85&amp;" Corp",AA$14))</f>
        <v>#NAME?</v>
      </c>
      <c r="AB85" s="54" t="e">
        <f ca="1">IF($B85="","",_xll.BDP($A85&amp;" Corp",AB$14))</f>
        <v>#NAME?</v>
      </c>
      <c r="AC85" s="54" t="e">
        <f ca="1">IF($B85="","",_xll.BDP($A85&amp;" Corp",AC$14))</f>
        <v>#NAME?</v>
      </c>
      <c r="AD85" s="55" t="e">
        <f ca="1">IF($B85="","",_xll.BDP($A85&amp;" Corp",AD$14))</f>
        <v>#NAME?</v>
      </c>
      <c r="AE85" s="56" t="e">
        <f ca="1">IF($B85="","",_xll.BDP($A85&amp;" Corp",AE$14))</f>
        <v>#NAME?</v>
      </c>
      <c r="AF85" s="29" t="e">
        <f ca="1">IF($B85="","",_xll.BDP($A85&amp;" Corp",AF$14))</f>
        <v>#NAME?</v>
      </c>
      <c r="AG85" s="33" t="e">
        <f ca="1">IF($B85="","",_xll.BDP($A85&amp;" Corp",AG$14))</f>
        <v>#NAME?</v>
      </c>
      <c r="AH85" s="30" t="e">
        <f ca="1">IF($B85="","",_xll.BDP($A85&amp;" Corp",AH$14))</f>
        <v>#NAME?</v>
      </c>
      <c r="AI85" s="30" t="e">
        <f ca="1">IF($B85="","",_xll.BDP($A85&amp;" Corp",AI$14))</f>
        <v>#NAME?</v>
      </c>
      <c r="AJ85" s="30" t="e">
        <f ca="1">IF($B85="","",_xll.BDP($A85&amp;" Corp",AJ$14))</f>
        <v>#NAME?</v>
      </c>
      <c r="AK85" s="11" t="e">
        <f ca="1">IF($B85="","",_xll.BDP($A85&amp;" Corp",AK$14))</f>
        <v>#NAME?</v>
      </c>
      <c r="AL85" s="11" t="e">
        <f ca="1">IF($B85="","",_xll.BDP($A85&amp;" Corp",AL$14))</f>
        <v>#NAME?</v>
      </c>
      <c r="AM85" s="11" t="e">
        <f t="shared" ca="1" si="20"/>
        <v>#NAME?</v>
      </c>
      <c r="AN85" s="57" t="e">
        <f t="shared" ca="1" si="14"/>
        <v>#NAME?</v>
      </c>
    </row>
    <row r="86" spans="1:40" x14ac:dyDescent="0.3">
      <c r="A86" s="67" t="str">
        <f t="shared" si="15"/>
        <v>XS1298711729</v>
      </c>
      <c r="B86" s="68" t="s">
        <v>269</v>
      </c>
      <c r="C86" s="75">
        <v>6512</v>
      </c>
      <c r="D86" s="75">
        <v>128</v>
      </c>
      <c r="E86" s="75">
        <v>172794.7</v>
      </c>
      <c r="F86" s="69">
        <v>0.15346788</v>
      </c>
      <c r="G86" s="70">
        <v>203307</v>
      </c>
      <c r="H86" s="67">
        <f t="shared" si="16"/>
        <v>172794.7</v>
      </c>
      <c r="I86" s="67">
        <f t="shared" si="17"/>
        <v>0.15346788</v>
      </c>
      <c r="J86" s="67">
        <f t="shared" si="18"/>
        <v>203307</v>
      </c>
      <c r="K86" s="71">
        <f t="shared" si="19"/>
        <v>117.6581226160293</v>
      </c>
      <c r="L86" s="29" t="e">
        <f ca="1">IF(B86="","",_xll.BDP(A86&amp;" Corp","INTERVAL_HIGH","START_DATE_OVERRIDE",TEXT($L$12,"AAAAMMDD"),"END_DATE_OVERRIDE",TEXT($L$13,"AAAAMMDD"),"MARKET_DATA_OVERRIDE",$L$14))</f>
        <v>#NAME?</v>
      </c>
      <c r="M86" s="30" t="e">
        <f ca="1">IF(B86="","",_xll.BDP($A86&amp;" Corp","INTERVAL_LOW","START_DATE_OVERRIDE",TEXT($L$12,"AAAAMMDD"),"END_DATE_OVERRIDE",TEXT($L$13,"AAAAMMDD"),"MARKET_DATA_OVERRIDE",$L$14))</f>
        <v>#NAME?</v>
      </c>
      <c r="N86" s="31" t="e">
        <f ca="1">IF($B86="","",_xll.BDP($A86&amp;" Corp",N$15))</f>
        <v>#NAME?</v>
      </c>
      <c r="O86" s="32" t="e">
        <f ca="1">IF($B86="","",_xll.BDP($A86&amp;" Corp",O$15))</f>
        <v>#NAME?</v>
      </c>
      <c r="P86" s="32" t="e">
        <f ca="1">IF($B86="","",_xll.BDP($A86&amp;" Corp",P$15))</f>
        <v>#NAME?</v>
      </c>
      <c r="Q86" s="30" t="e">
        <f ca="1">IF($B86="","",_xll.BDP($A86&amp;" Corp",Q$14))</f>
        <v>#NAME?</v>
      </c>
      <c r="R86" s="30" t="e">
        <f ca="1">IF($B86="","",_xll.BDP($A86&amp;" Corp",R$14))</f>
        <v>#NAME?</v>
      </c>
      <c r="S86" s="50" t="e">
        <f ca="1">IF($B86="","",_xll.BDP($A86&amp;" Corp",S$14))</f>
        <v>#NAME?</v>
      </c>
      <c r="T86" s="30" t="e">
        <f ca="1">IF($B86="","",_xll.BDP($A86&amp;" Corp",T$14))</f>
        <v>#NAME?</v>
      </c>
      <c r="U86" s="30" t="e">
        <f ca="1">IF($B86="","",_xll.BDP($A86&amp;" Corp",U$14))</f>
        <v>#NAME?</v>
      </c>
      <c r="V86" s="51" t="e">
        <f ca="1">IF($B86="","",IF($T86="VARIABLE",_xll.BDP($A86&amp;" Corp",V$13),_xll.BDP($A86&amp;" Corp",V$14)))</f>
        <v>#NAME?</v>
      </c>
      <c r="W86" s="30" t="e">
        <f ca="1">IF($B86="","",IF($T86="VARIABLE",_xll.BDP($A86&amp;" Corp",W$13),_xll.BDP($A86&amp;" Corp",W$14)))</f>
        <v>#NAME?</v>
      </c>
      <c r="X86" s="30" t="e">
        <f ca="1">IF($B86="","",_xll.BDP($A86&amp;" Corp",X$14))</f>
        <v>#NAME?</v>
      </c>
      <c r="Y86" s="33" t="e">
        <f ca="1">IF($B86="","",_xll.BDP($A86&amp;" Corp",Y$14))</f>
        <v>#NAME?</v>
      </c>
      <c r="Z86" s="52" t="e">
        <f ca="1">IF($B86="","",_xll.BDP($A86&amp;" Corp",Z$14))</f>
        <v>#NAME?</v>
      </c>
      <c r="AA86" s="53" t="e">
        <f ca="1">IF($B86="","",_xll.BDP($A86&amp;" Corp",AA$14))</f>
        <v>#NAME?</v>
      </c>
      <c r="AB86" s="54" t="e">
        <f ca="1">IF($B86="","",_xll.BDP($A86&amp;" Corp",AB$14))</f>
        <v>#NAME?</v>
      </c>
      <c r="AC86" s="54" t="e">
        <f ca="1">IF($B86="","",_xll.BDP($A86&amp;" Corp",AC$14))</f>
        <v>#NAME?</v>
      </c>
      <c r="AD86" s="55" t="e">
        <f ca="1">IF($B86="","",_xll.BDP($A86&amp;" Corp",AD$14))</f>
        <v>#NAME?</v>
      </c>
      <c r="AE86" s="56" t="e">
        <f ca="1">IF($B86="","",_xll.BDP($A86&amp;" Corp",AE$14))</f>
        <v>#NAME?</v>
      </c>
      <c r="AF86" s="29" t="e">
        <f ca="1">IF($B86="","",_xll.BDP($A86&amp;" Corp",AF$14))</f>
        <v>#NAME?</v>
      </c>
      <c r="AG86" s="33" t="e">
        <f ca="1">IF($B86="","",_xll.BDP($A86&amp;" Corp",AG$14))</f>
        <v>#NAME?</v>
      </c>
      <c r="AH86" s="30" t="e">
        <f ca="1">IF($B86="","",_xll.BDP($A86&amp;" Corp",AH$14))</f>
        <v>#NAME?</v>
      </c>
      <c r="AI86" s="30" t="e">
        <f ca="1">IF($B86="","",_xll.BDP($A86&amp;" Corp",AI$14))</f>
        <v>#NAME?</v>
      </c>
      <c r="AJ86" s="30" t="e">
        <f ca="1">IF($B86="","",_xll.BDP($A86&amp;" Corp",AJ$14))</f>
        <v>#NAME?</v>
      </c>
      <c r="AK86" s="11" t="e">
        <f ca="1">IF($B86="","",_xll.BDP($A86&amp;" Corp",AK$14))</f>
        <v>#NAME?</v>
      </c>
      <c r="AL86" s="11" t="e">
        <f ca="1">IF($B86="","",_xll.BDP($A86&amp;" Corp",AL$14))</f>
        <v>#NAME?</v>
      </c>
      <c r="AM86" s="11" t="e">
        <f t="shared" ca="1" si="20"/>
        <v>#NAME?</v>
      </c>
      <c r="AN86" s="57" t="e">
        <f t="shared" ca="1" si="14"/>
        <v>#NAME?</v>
      </c>
    </row>
    <row r="87" spans="1:40" x14ac:dyDescent="0.3">
      <c r="A87" s="67" t="str">
        <f t="shared" si="15"/>
        <v>XS1327504087</v>
      </c>
      <c r="B87" s="68" t="s">
        <v>330</v>
      </c>
      <c r="C87" s="75">
        <v>9260</v>
      </c>
      <c r="D87" s="75">
        <v>128</v>
      </c>
      <c r="E87" s="75">
        <v>400000</v>
      </c>
      <c r="F87" s="69">
        <v>0.30473265999999999</v>
      </c>
      <c r="G87" s="70">
        <v>415304</v>
      </c>
      <c r="H87" s="67">
        <f t="shared" si="16"/>
        <v>400000</v>
      </c>
      <c r="I87" s="67">
        <f t="shared" si="17"/>
        <v>0.30473265999999999</v>
      </c>
      <c r="J87" s="67">
        <f t="shared" si="18"/>
        <v>415304</v>
      </c>
      <c r="K87" s="71">
        <f t="shared" si="19"/>
        <v>103.82599999999999</v>
      </c>
      <c r="L87" s="29" t="e">
        <f ca="1">IF(B87="","",_xll.BDP(A87&amp;" Corp","INTERVAL_HIGH","START_DATE_OVERRIDE",TEXT($L$12,"AAAAMMDD"),"END_DATE_OVERRIDE",TEXT($L$13,"AAAAMMDD"),"MARKET_DATA_OVERRIDE",$L$14))</f>
        <v>#NAME?</v>
      </c>
      <c r="M87" s="30" t="e">
        <f ca="1">IF(B87="","",_xll.BDP($A87&amp;" Corp","INTERVAL_LOW","START_DATE_OVERRIDE",TEXT($L$12,"AAAAMMDD"),"END_DATE_OVERRIDE",TEXT($L$13,"AAAAMMDD"),"MARKET_DATA_OVERRIDE",$L$14))</f>
        <v>#NAME?</v>
      </c>
      <c r="N87" s="31" t="e">
        <f ca="1">IF($B87="","",_xll.BDP($A87&amp;" Corp",N$15))</f>
        <v>#NAME?</v>
      </c>
      <c r="O87" s="32" t="e">
        <f ca="1">IF($B87="","",_xll.BDP($A87&amp;" Corp",O$15))</f>
        <v>#NAME?</v>
      </c>
      <c r="P87" s="32" t="e">
        <f ca="1">IF($B87="","",_xll.BDP($A87&amp;" Corp",P$15))</f>
        <v>#NAME?</v>
      </c>
      <c r="Q87" s="30" t="e">
        <f ca="1">IF($B87="","",_xll.BDP($A87&amp;" Corp",Q$14))</f>
        <v>#NAME?</v>
      </c>
      <c r="R87" s="30" t="e">
        <f ca="1">IF($B87="","",_xll.BDP($A87&amp;" Corp",R$14))</f>
        <v>#NAME?</v>
      </c>
      <c r="S87" s="50" t="e">
        <f ca="1">IF($B87="","",_xll.BDP($A87&amp;" Corp",S$14))</f>
        <v>#NAME?</v>
      </c>
      <c r="T87" s="30" t="e">
        <f ca="1">IF($B87="","",_xll.BDP($A87&amp;" Corp",T$14))</f>
        <v>#NAME?</v>
      </c>
      <c r="U87" s="30" t="e">
        <f ca="1">IF($B87="","",_xll.BDP($A87&amp;" Corp",U$14))</f>
        <v>#NAME?</v>
      </c>
      <c r="V87" s="51" t="e">
        <f ca="1">IF($B87="","",IF($T87="VARIABLE",_xll.BDP($A87&amp;" Corp",V$13),_xll.BDP($A87&amp;" Corp",V$14)))</f>
        <v>#NAME?</v>
      </c>
      <c r="W87" s="30" t="e">
        <f ca="1">IF($B87="","",IF($T87="VARIABLE",_xll.BDP($A87&amp;" Corp",W$13),_xll.BDP($A87&amp;" Corp",W$14)))</f>
        <v>#NAME?</v>
      </c>
      <c r="X87" s="30" t="e">
        <f ca="1">IF($B87="","",_xll.BDP($A87&amp;" Corp",X$14))</f>
        <v>#NAME?</v>
      </c>
      <c r="Y87" s="33" t="e">
        <f ca="1">IF($B87="","",_xll.BDP($A87&amp;" Corp",Y$14))</f>
        <v>#NAME?</v>
      </c>
      <c r="Z87" s="52" t="e">
        <f ca="1">IF($B87="","",_xll.BDP($A87&amp;" Corp",Z$14))</f>
        <v>#NAME?</v>
      </c>
      <c r="AA87" s="53" t="e">
        <f ca="1">IF($B87="","",_xll.BDP($A87&amp;" Corp",AA$14))</f>
        <v>#NAME?</v>
      </c>
      <c r="AB87" s="54" t="e">
        <f ca="1">IF($B87="","",_xll.BDP($A87&amp;" Corp",AB$14))</f>
        <v>#NAME?</v>
      </c>
      <c r="AC87" s="54" t="e">
        <f ca="1">IF($B87="","",_xll.BDP($A87&amp;" Corp",AC$14))</f>
        <v>#NAME?</v>
      </c>
      <c r="AD87" s="55" t="e">
        <f ca="1">IF($B87="","",_xll.BDP($A87&amp;" Corp",AD$14))</f>
        <v>#NAME?</v>
      </c>
      <c r="AE87" s="56" t="e">
        <f ca="1">IF($B87="","",_xll.BDP($A87&amp;" Corp",AE$14))</f>
        <v>#NAME?</v>
      </c>
      <c r="AF87" s="29" t="e">
        <f ca="1">IF($B87="","",_xll.BDP($A87&amp;" Corp",AF$14))</f>
        <v>#NAME?</v>
      </c>
      <c r="AG87" s="33" t="e">
        <f ca="1">IF($B87="","",_xll.BDP($A87&amp;" Corp",AG$14))</f>
        <v>#NAME?</v>
      </c>
      <c r="AH87" s="30" t="e">
        <f ca="1">IF($B87="","",_xll.BDP($A87&amp;" Corp",AH$14))</f>
        <v>#NAME?</v>
      </c>
      <c r="AI87" s="30" t="e">
        <f ca="1">IF($B87="","",_xll.BDP($A87&amp;" Corp",AI$14))</f>
        <v>#NAME?</v>
      </c>
      <c r="AJ87" s="30" t="e">
        <f ca="1">IF($B87="","",_xll.BDP($A87&amp;" Corp",AJ$14))</f>
        <v>#NAME?</v>
      </c>
      <c r="AK87" s="11" t="e">
        <f ca="1">IF($B87="","",_xll.BDP($A87&amp;" Corp",AK$14))</f>
        <v>#NAME?</v>
      </c>
      <c r="AL87" s="11" t="e">
        <f ca="1">IF($B87="","",_xll.BDP($A87&amp;" Corp",AL$14))</f>
        <v>#NAME?</v>
      </c>
      <c r="AM87" s="11" t="e">
        <f t="shared" ca="1" si="20"/>
        <v>#NAME?</v>
      </c>
      <c r="AN87" s="57" t="e">
        <f t="shared" ca="1" si="14"/>
        <v>#NAME?</v>
      </c>
    </row>
    <row r="88" spans="1:40" x14ac:dyDescent="0.3">
      <c r="A88" s="67" t="str">
        <f t="shared" si="15"/>
        <v>XS1420357318</v>
      </c>
      <c r="B88" s="68" t="s">
        <v>536</v>
      </c>
      <c r="C88" s="75">
        <v>7068</v>
      </c>
      <c r="D88" s="75">
        <v>128</v>
      </c>
      <c r="E88" s="75">
        <v>300000</v>
      </c>
      <c r="F88" s="69">
        <v>0.21981965000000001</v>
      </c>
      <c r="G88" s="70">
        <v>335055</v>
      </c>
      <c r="H88" s="67">
        <f t="shared" si="16"/>
        <v>300000</v>
      </c>
      <c r="I88" s="67">
        <f t="shared" si="17"/>
        <v>0.21981965000000001</v>
      </c>
      <c r="J88" s="67">
        <f t="shared" si="18"/>
        <v>335055</v>
      </c>
      <c r="K88" s="71">
        <f t="shared" si="19"/>
        <v>111.685</v>
      </c>
      <c r="L88" s="29" t="e">
        <f ca="1">IF(B88="","",_xll.BDP(A88&amp;" Corp","INTERVAL_HIGH","START_DATE_OVERRIDE",TEXT($L$12,"AAAAMMDD"),"END_DATE_OVERRIDE",TEXT($L$13,"AAAAMMDD"),"MARKET_DATA_OVERRIDE",$L$14))</f>
        <v>#NAME?</v>
      </c>
      <c r="M88" s="30" t="e">
        <f ca="1">IF(B88="","",_xll.BDP($A88&amp;" Corp","INTERVAL_LOW","START_DATE_OVERRIDE",TEXT($L$12,"AAAAMMDD"),"END_DATE_OVERRIDE",TEXT($L$13,"AAAAMMDD"),"MARKET_DATA_OVERRIDE",$L$14))</f>
        <v>#NAME?</v>
      </c>
      <c r="N88" s="31" t="e">
        <f ca="1">IF($B88="","",_xll.BDP($A88&amp;" Corp",N$15))</f>
        <v>#NAME?</v>
      </c>
      <c r="O88" s="32" t="e">
        <f ca="1">IF($B88="","",_xll.BDP($A88&amp;" Corp",O$15))</f>
        <v>#NAME?</v>
      </c>
      <c r="P88" s="32" t="e">
        <f ca="1">IF($B88="","",_xll.BDP($A88&amp;" Corp",P$15))</f>
        <v>#NAME?</v>
      </c>
      <c r="Q88" s="30" t="e">
        <f ca="1">IF($B88="","",_xll.BDP($A88&amp;" Corp",Q$14))</f>
        <v>#NAME?</v>
      </c>
      <c r="R88" s="30" t="e">
        <f ca="1">IF($B88="","",_xll.BDP($A88&amp;" Corp",R$14))</f>
        <v>#NAME?</v>
      </c>
      <c r="S88" s="50" t="e">
        <f ca="1">IF($B88="","",_xll.BDP($A88&amp;" Corp",S$14))</f>
        <v>#NAME?</v>
      </c>
      <c r="T88" s="30" t="e">
        <f ca="1">IF($B88="","",_xll.BDP($A88&amp;" Corp",T$14))</f>
        <v>#NAME?</v>
      </c>
      <c r="U88" s="30" t="e">
        <f ca="1">IF($B88="","",_xll.BDP($A88&amp;" Corp",U$14))</f>
        <v>#NAME?</v>
      </c>
      <c r="V88" s="51" t="e">
        <f ca="1">IF($B88="","",IF($T88="VARIABLE",_xll.BDP($A88&amp;" Corp",V$13),_xll.BDP($A88&amp;" Corp",V$14)))</f>
        <v>#NAME?</v>
      </c>
      <c r="W88" s="30" t="e">
        <f ca="1">IF($B88="","",IF($T88="VARIABLE",_xll.BDP($A88&amp;" Corp",W$13),_xll.BDP($A88&amp;" Corp",W$14)))</f>
        <v>#NAME?</v>
      </c>
      <c r="X88" s="30" t="e">
        <f ca="1">IF($B88="","",_xll.BDP($A88&amp;" Corp",X$14))</f>
        <v>#NAME?</v>
      </c>
      <c r="Y88" s="33" t="e">
        <f ca="1">IF($B88="","",_xll.BDP($A88&amp;" Corp",Y$14))</f>
        <v>#NAME?</v>
      </c>
      <c r="Z88" s="52" t="e">
        <f ca="1">IF($B88="","",_xll.BDP($A88&amp;" Corp",Z$14))</f>
        <v>#NAME?</v>
      </c>
      <c r="AA88" s="53" t="e">
        <f ca="1">IF($B88="","",_xll.BDP($A88&amp;" Corp",AA$14))</f>
        <v>#NAME?</v>
      </c>
      <c r="AB88" s="54" t="e">
        <f ca="1">IF($B88="","",_xll.BDP($A88&amp;" Corp",AB$14))</f>
        <v>#NAME?</v>
      </c>
      <c r="AC88" s="54" t="e">
        <f ca="1">IF($B88="","",_xll.BDP($A88&amp;" Corp",AC$14))</f>
        <v>#NAME?</v>
      </c>
      <c r="AD88" s="55" t="e">
        <f ca="1">IF($B88="","",_xll.BDP($A88&amp;" Corp",AD$14))</f>
        <v>#NAME?</v>
      </c>
      <c r="AE88" s="56" t="e">
        <f ca="1">IF($B88="","",_xll.BDP($A88&amp;" Corp",AE$14))</f>
        <v>#NAME?</v>
      </c>
      <c r="AF88" s="29" t="e">
        <f ca="1">IF($B88="","",_xll.BDP($A88&amp;" Corp",AF$14))</f>
        <v>#NAME?</v>
      </c>
      <c r="AG88" s="33" t="e">
        <f ca="1">IF($B88="","",_xll.BDP($A88&amp;" Corp",AG$14))</f>
        <v>#NAME?</v>
      </c>
      <c r="AH88" s="30" t="e">
        <f ca="1">IF($B88="","",_xll.BDP($A88&amp;" Corp",AH$14))</f>
        <v>#NAME?</v>
      </c>
      <c r="AI88" s="30" t="e">
        <f ca="1">IF($B88="","",_xll.BDP($A88&amp;" Corp",AI$14))</f>
        <v>#NAME?</v>
      </c>
      <c r="AJ88" s="30" t="e">
        <f ca="1">IF($B88="","",_xll.BDP($A88&amp;" Corp",AJ$14))</f>
        <v>#NAME?</v>
      </c>
      <c r="AK88" s="11" t="e">
        <f ca="1">IF($B88="","",_xll.BDP($A88&amp;" Corp",AK$14))</f>
        <v>#NAME?</v>
      </c>
      <c r="AL88" s="11" t="e">
        <f ca="1">IF($B88="","",_xll.BDP($A88&amp;" Corp",AL$14))</f>
        <v>#NAME?</v>
      </c>
      <c r="AM88" s="11" t="e">
        <f t="shared" ca="1" si="20"/>
        <v>#NAME?</v>
      </c>
      <c r="AN88" s="57" t="e">
        <f t="shared" ca="1" si="14"/>
        <v>#NAME?</v>
      </c>
    </row>
    <row r="89" spans="1:40" x14ac:dyDescent="0.3">
      <c r="A89" s="67" t="str">
        <f t="shared" si="15"/>
        <v>XS1468525057</v>
      </c>
      <c r="B89" s="68" t="s">
        <v>248</v>
      </c>
      <c r="C89" s="75">
        <v>3472</v>
      </c>
      <c r="D89" s="75">
        <v>128</v>
      </c>
      <c r="E89" s="75">
        <v>100000</v>
      </c>
      <c r="F89" s="69">
        <v>8.1796320000000006E-2</v>
      </c>
      <c r="G89" s="70">
        <v>98792</v>
      </c>
      <c r="H89" s="67">
        <f t="shared" si="16"/>
        <v>100000</v>
      </c>
      <c r="I89" s="67">
        <f t="shared" si="17"/>
        <v>8.1796320000000006E-2</v>
      </c>
      <c r="J89" s="67">
        <f t="shared" si="18"/>
        <v>98792</v>
      </c>
      <c r="K89" s="71">
        <f t="shared" si="19"/>
        <v>98.792000000000002</v>
      </c>
      <c r="L89" s="29" t="e">
        <f ca="1">IF(B89="","",_xll.BDP(A89&amp;" Corp","INTERVAL_HIGH","START_DATE_OVERRIDE",TEXT($L$12,"AAAAMMDD"),"END_DATE_OVERRIDE",TEXT($L$13,"AAAAMMDD"),"MARKET_DATA_OVERRIDE",$L$14))</f>
        <v>#NAME?</v>
      </c>
      <c r="M89" s="30" t="e">
        <f ca="1">IF(B89="","",_xll.BDP($A89&amp;" Corp","INTERVAL_LOW","START_DATE_OVERRIDE",TEXT($L$12,"AAAAMMDD"),"END_DATE_OVERRIDE",TEXT($L$13,"AAAAMMDD"),"MARKET_DATA_OVERRIDE",$L$14))</f>
        <v>#NAME?</v>
      </c>
      <c r="N89" s="31" t="e">
        <f ca="1">IF($B89="","",_xll.BDP($A89&amp;" Corp",N$15))</f>
        <v>#NAME?</v>
      </c>
      <c r="O89" s="32" t="e">
        <f ca="1">IF($B89="","",_xll.BDP($A89&amp;" Corp",O$15))</f>
        <v>#NAME?</v>
      </c>
      <c r="P89" s="32" t="e">
        <f ca="1">IF($B89="","",_xll.BDP($A89&amp;" Corp",P$15))</f>
        <v>#NAME?</v>
      </c>
      <c r="Q89" s="30" t="e">
        <f ca="1">IF($B89="","",_xll.BDP($A89&amp;" Corp",Q$14))</f>
        <v>#NAME?</v>
      </c>
      <c r="R89" s="30" t="e">
        <f ca="1">IF($B89="","",_xll.BDP($A89&amp;" Corp",R$14))</f>
        <v>#NAME?</v>
      </c>
      <c r="S89" s="50" t="e">
        <f ca="1">IF($B89="","",_xll.BDP($A89&amp;" Corp",S$14))</f>
        <v>#NAME?</v>
      </c>
      <c r="T89" s="30" t="e">
        <f ca="1">IF($B89="","",_xll.BDP($A89&amp;" Corp",T$14))</f>
        <v>#NAME?</v>
      </c>
      <c r="U89" s="30" t="e">
        <f ca="1">IF($B89="","",_xll.BDP($A89&amp;" Corp",U$14))</f>
        <v>#NAME?</v>
      </c>
      <c r="V89" s="51" t="e">
        <f ca="1">IF($B89="","",IF($T89="VARIABLE",_xll.BDP($A89&amp;" Corp",V$13),_xll.BDP($A89&amp;" Corp",V$14)))</f>
        <v>#NAME?</v>
      </c>
      <c r="W89" s="30" t="e">
        <f ca="1">IF($B89="","",IF($T89="VARIABLE",_xll.BDP($A89&amp;" Corp",W$13),_xll.BDP($A89&amp;" Corp",W$14)))</f>
        <v>#NAME?</v>
      </c>
      <c r="X89" s="30" t="e">
        <f ca="1">IF($B89="","",_xll.BDP($A89&amp;" Corp",X$14))</f>
        <v>#NAME?</v>
      </c>
      <c r="Y89" s="33" t="e">
        <f ca="1">IF($B89="","",_xll.BDP($A89&amp;" Corp",Y$14))</f>
        <v>#NAME?</v>
      </c>
      <c r="Z89" s="52" t="e">
        <f ca="1">IF($B89="","",_xll.BDP($A89&amp;" Corp",Z$14))</f>
        <v>#NAME?</v>
      </c>
      <c r="AA89" s="53" t="e">
        <f ca="1">IF($B89="","",_xll.BDP($A89&amp;" Corp",AA$14))</f>
        <v>#NAME?</v>
      </c>
      <c r="AB89" s="54" t="e">
        <f ca="1">IF($B89="","",_xll.BDP($A89&amp;" Corp",AB$14))</f>
        <v>#NAME?</v>
      </c>
      <c r="AC89" s="54" t="e">
        <f ca="1">IF($B89="","",_xll.BDP($A89&amp;" Corp",AC$14))</f>
        <v>#NAME?</v>
      </c>
      <c r="AD89" s="55" t="e">
        <f ca="1">IF($B89="","",_xll.BDP($A89&amp;" Corp",AD$14))</f>
        <v>#NAME?</v>
      </c>
      <c r="AE89" s="56" t="e">
        <f ca="1">IF($B89="","",_xll.BDP($A89&amp;" Corp",AE$14))</f>
        <v>#NAME?</v>
      </c>
      <c r="AF89" s="29" t="e">
        <f ca="1">IF($B89="","",_xll.BDP($A89&amp;" Corp",AF$14))</f>
        <v>#NAME?</v>
      </c>
      <c r="AG89" s="33" t="e">
        <f ca="1">IF($B89="","",_xll.BDP($A89&amp;" Corp",AG$14))</f>
        <v>#NAME?</v>
      </c>
      <c r="AH89" s="30" t="e">
        <f ca="1">IF($B89="","",_xll.BDP($A89&amp;" Corp",AH$14))</f>
        <v>#NAME?</v>
      </c>
      <c r="AI89" s="30" t="e">
        <f ca="1">IF($B89="","",_xll.BDP($A89&amp;" Corp",AI$14))</f>
        <v>#NAME?</v>
      </c>
      <c r="AJ89" s="30" t="e">
        <f ca="1">IF($B89="","",_xll.BDP($A89&amp;" Corp",AJ$14))</f>
        <v>#NAME?</v>
      </c>
      <c r="AK89" s="11" t="e">
        <f ca="1">IF($B89="","",_xll.BDP($A89&amp;" Corp",AK$14))</f>
        <v>#NAME?</v>
      </c>
      <c r="AL89" s="11" t="e">
        <f ca="1">IF($B89="","",_xll.BDP($A89&amp;" Corp",AL$14))</f>
        <v>#NAME?</v>
      </c>
      <c r="AM89" s="11" t="e">
        <f t="shared" ca="1" si="20"/>
        <v>#NAME?</v>
      </c>
      <c r="AN89" s="57" t="e">
        <f t="shared" ca="1" si="14"/>
        <v>#NAME?</v>
      </c>
    </row>
    <row r="90" spans="1:40" x14ac:dyDescent="0.3">
      <c r="A90" s="67" t="str">
        <f t="shared" si="15"/>
        <v>XS1551726810</v>
      </c>
      <c r="B90" s="68" t="s">
        <v>279</v>
      </c>
      <c r="C90" s="75">
        <v>3598</v>
      </c>
      <c r="D90" s="75">
        <v>128</v>
      </c>
      <c r="E90" s="75">
        <v>100000</v>
      </c>
      <c r="F90" s="69">
        <v>8.0149230000000002E-2</v>
      </c>
      <c r="G90" s="70">
        <v>107294</v>
      </c>
      <c r="H90" s="67">
        <f t="shared" si="16"/>
        <v>100000</v>
      </c>
      <c r="I90" s="67">
        <f t="shared" si="17"/>
        <v>8.0149230000000002E-2</v>
      </c>
      <c r="J90" s="67">
        <f t="shared" si="18"/>
        <v>107294</v>
      </c>
      <c r="K90" s="71">
        <f t="shared" si="19"/>
        <v>107.294</v>
      </c>
      <c r="L90" s="29" t="e">
        <f ca="1">IF(B90="","",_xll.BDP(A90&amp;" Corp","INTERVAL_HIGH","START_DATE_OVERRIDE",TEXT($L$12,"AAAAMMDD"),"END_DATE_OVERRIDE",TEXT($L$13,"AAAAMMDD"),"MARKET_DATA_OVERRIDE",$L$14))</f>
        <v>#NAME?</v>
      </c>
      <c r="M90" s="30" t="e">
        <f ca="1">IF(B90="","",_xll.BDP($A90&amp;" Corp","INTERVAL_LOW","START_DATE_OVERRIDE",TEXT($L$12,"AAAAMMDD"),"END_DATE_OVERRIDE",TEXT($L$13,"AAAAMMDD"),"MARKET_DATA_OVERRIDE",$L$14))</f>
        <v>#NAME?</v>
      </c>
      <c r="N90" s="31" t="e">
        <f ca="1">IF($B90="","",_xll.BDP($A90&amp;" Corp",N$15))</f>
        <v>#NAME?</v>
      </c>
      <c r="O90" s="32" t="e">
        <f ca="1">IF($B90="","",_xll.BDP($A90&amp;" Corp",O$15))</f>
        <v>#NAME?</v>
      </c>
      <c r="P90" s="32" t="e">
        <f ca="1">IF($B90="","",_xll.BDP($A90&amp;" Corp",P$15))</f>
        <v>#NAME?</v>
      </c>
      <c r="Q90" s="30" t="e">
        <f ca="1">IF($B90="","",_xll.BDP($A90&amp;" Corp",Q$14))</f>
        <v>#NAME?</v>
      </c>
      <c r="R90" s="30" t="e">
        <f ca="1">IF($B90="","",_xll.BDP($A90&amp;" Corp",R$14))</f>
        <v>#NAME?</v>
      </c>
      <c r="S90" s="50" t="e">
        <f ca="1">IF($B90="","",_xll.BDP($A90&amp;" Corp",S$14))</f>
        <v>#NAME?</v>
      </c>
      <c r="T90" s="30" t="e">
        <f ca="1">IF($B90="","",_xll.BDP($A90&amp;" Corp",T$14))</f>
        <v>#NAME?</v>
      </c>
      <c r="U90" s="30" t="e">
        <f ca="1">IF($B90="","",_xll.BDP($A90&amp;" Corp",U$14))</f>
        <v>#NAME?</v>
      </c>
      <c r="V90" s="51" t="e">
        <f ca="1">IF($B90="","",IF($T90="VARIABLE",_xll.BDP($A90&amp;" Corp",V$13),_xll.BDP($A90&amp;" Corp",V$14)))</f>
        <v>#NAME?</v>
      </c>
      <c r="W90" s="30" t="e">
        <f ca="1">IF($B90="","",IF($T90="VARIABLE",_xll.BDP($A90&amp;" Corp",W$13),_xll.BDP($A90&amp;" Corp",W$14)))</f>
        <v>#NAME?</v>
      </c>
      <c r="X90" s="30" t="e">
        <f ca="1">IF($B90="","",_xll.BDP($A90&amp;" Corp",X$14))</f>
        <v>#NAME?</v>
      </c>
      <c r="Y90" s="33" t="e">
        <f ca="1">IF($B90="","",_xll.BDP($A90&amp;" Corp",Y$14))</f>
        <v>#NAME?</v>
      </c>
      <c r="Z90" s="52" t="e">
        <f ca="1">IF($B90="","",_xll.BDP($A90&amp;" Corp",Z$14))</f>
        <v>#NAME?</v>
      </c>
      <c r="AA90" s="53" t="e">
        <f ca="1">IF($B90="","",_xll.BDP($A90&amp;" Corp",AA$14))</f>
        <v>#NAME?</v>
      </c>
      <c r="AB90" s="54" t="e">
        <f ca="1">IF($B90="","",_xll.BDP($A90&amp;" Corp",AB$14))</f>
        <v>#NAME?</v>
      </c>
      <c r="AC90" s="54" t="e">
        <f ca="1">IF($B90="","",_xll.BDP($A90&amp;" Corp",AC$14))</f>
        <v>#NAME?</v>
      </c>
      <c r="AD90" s="55" t="e">
        <f ca="1">IF($B90="","",_xll.BDP($A90&amp;" Corp",AD$14))</f>
        <v>#NAME?</v>
      </c>
      <c r="AE90" s="56" t="e">
        <f ca="1">IF($B90="","",_xll.BDP($A90&amp;" Corp",AE$14))</f>
        <v>#NAME?</v>
      </c>
      <c r="AF90" s="29" t="e">
        <f ca="1">IF($B90="","",_xll.BDP($A90&amp;" Corp",AF$14))</f>
        <v>#NAME?</v>
      </c>
      <c r="AG90" s="33" t="e">
        <f ca="1">IF($B90="","",_xll.BDP($A90&amp;" Corp",AG$14))</f>
        <v>#NAME?</v>
      </c>
      <c r="AH90" s="30" t="e">
        <f ca="1">IF($B90="","",_xll.BDP($A90&amp;" Corp",AH$14))</f>
        <v>#NAME?</v>
      </c>
      <c r="AI90" s="30" t="e">
        <f ca="1">IF($B90="","",_xll.BDP($A90&amp;" Corp",AI$14))</f>
        <v>#NAME?</v>
      </c>
      <c r="AJ90" s="30" t="e">
        <f ca="1">IF($B90="","",_xll.BDP($A90&amp;" Corp",AJ$14))</f>
        <v>#NAME?</v>
      </c>
      <c r="AK90" s="11" t="e">
        <f ca="1">IF($B90="","",_xll.BDP($A90&amp;" Corp",AK$14))</f>
        <v>#NAME?</v>
      </c>
      <c r="AL90" s="11" t="e">
        <f ca="1">IF($B90="","",_xll.BDP($A90&amp;" Corp",AL$14))</f>
        <v>#NAME?</v>
      </c>
      <c r="AM90" s="11" t="e">
        <f t="shared" ca="1" si="20"/>
        <v>#NAME?</v>
      </c>
      <c r="AN90" s="57" t="e">
        <f t="shared" ca="1" si="14"/>
        <v>#NAME?</v>
      </c>
    </row>
    <row r="91" spans="1:40" x14ac:dyDescent="0.3">
      <c r="A91" s="67" t="str">
        <f t="shared" si="15"/>
        <v>XS1586555861</v>
      </c>
      <c r="B91" s="68" t="s">
        <v>301</v>
      </c>
      <c r="C91" s="75">
        <v>10263</v>
      </c>
      <c r="D91" s="75">
        <v>128</v>
      </c>
      <c r="E91" s="75">
        <v>100000</v>
      </c>
      <c r="F91" s="69">
        <v>8.0893720000000002E-2</v>
      </c>
      <c r="G91" s="70">
        <v>98461</v>
      </c>
      <c r="H91" s="67">
        <f t="shared" si="16"/>
        <v>100000</v>
      </c>
      <c r="I91" s="67">
        <f t="shared" si="17"/>
        <v>8.0893720000000002E-2</v>
      </c>
      <c r="J91" s="67">
        <f t="shared" si="18"/>
        <v>98461</v>
      </c>
      <c r="K91" s="71">
        <f t="shared" si="19"/>
        <v>98.460999999999999</v>
      </c>
      <c r="L91" s="29" t="e">
        <f ca="1">IF(B91="","",_xll.BDP(A91&amp;" Corp","INTERVAL_HIGH","START_DATE_OVERRIDE",TEXT($L$12,"AAAAMMDD"),"END_DATE_OVERRIDE",TEXT($L$13,"AAAAMMDD"),"MARKET_DATA_OVERRIDE",$L$14))</f>
        <v>#NAME?</v>
      </c>
      <c r="M91" s="30" t="e">
        <f ca="1">IF(B91="","",_xll.BDP($A91&amp;" Corp","INTERVAL_LOW","START_DATE_OVERRIDE",TEXT($L$12,"AAAAMMDD"),"END_DATE_OVERRIDE",TEXT($L$13,"AAAAMMDD"),"MARKET_DATA_OVERRIDE",$L$14))</f>
        <v>#NAME?</v>
      </c>
      <c r="N91" s="31" t="e">
        <f ca="1">IF($B91="","",_xll.BDP($A91&amp;" Corp",N$15))</f>
        <v>#NAME?</v>
      </c>
      <c r="O91" s="32" t="e">
        <f ca="1">IF($B91="","",_xll.BDP($A91&amp;" Corp",O$15))</f>
        <v>#NAME?</v>
      </c>
      <c r="P91" s="32" t="e">
        <f ca="1">IF($B91="","",_xll.BDP($A91&amp;" Corp",P$15))</f>
        <v>#NAME?</v>
      </c>
      <c r="Q91" s="30" t="e">
        <f ca="1">IF($B91="","",_xll.BDP($A91&amp;" Corp",Q$14))</f>
        <v>#NAME?</v>
      </c>
      <c r="R91" s="30" t="e">
        <f ca="1">IF($B91="","",_xll.BDP($A91&amp;" Corp",R$14))</f>
        <v>#NAME?</v>
      </c>
      <c r="S91" s="50" t="e">
        <f ca="1">IF($B91="","",_xll.BDP($A91&amp;" Corp",S$14))</f>
        <v>#NAME?</v>
      </c>
      <c r="T91" s="30" t="e">
        <f ca="1">IF($B91="","",_xll.BDP($A91&amp;" Corp",T$14))</f>
        <v>#NAME?</v>
      </c>
      <c r="U91" s="30" t="e">
        <f ca="1">IF($B91="","",_xll.BDP($A91&amp;" Corp",U$14))</f>
        <v>#NAME?</v>
      </c>
      <c r="V91" s="51" t="e">
        <f ca="1">IF($B91="","",IF($T91="VARIABLE",_xll.BDP($A91&amp;" Corp",V$13),_xll.BDP($A91&amp;" Corp",V$14)))</f>
        <v>#NAME?</v>
      </c>
      <c r="W91" s="30" t="e">
        <f ca="1">IF($B91="","",IF($T91="VARIABLE",_xll.BDP($A91&amp;" Corp",W$13),_xll.BDP($A91&amp;" Corp",W$14)))</f>
        <v>#NAME?</v>
      </c>
      <c r="X91" s="30" t="e">
        <f ca="1">IF($B91="","",_xll.BDP($A91&amp;" Corp",X$14))</f>
        <v>#NAME?</v>
      </c>
      <c r="Y91" s="33" t="e">
        <f ca="1">IF($B91="","",_xll.BDP($A91&amp;" Corp",Y$14))</f>
        <v>#NAME?</v>
      </c>
      <c r="Z91" s="52" t="e">
        <f ca="1">IF($B91="","",_xll.BDP($A91&amp;" Corp",Z$14))</f>
        <v>#NAME?</v>
      </c>
      <c r="AA91" s="53" t="e">
        <f ca="1">IF($B91="","",_xll.BDP($A91&amp;" Corp",AA$14))</f>
        <v>#NAME?</v>
      </c>
      <c r="AB91" s="54" t="e">
        <f ca="1">IF($B91="","",_xll.BDP($A91&amp;" Corp",AB$14))</f>
        <v>#NAME?</v>
      </c>
      <c r="AC91" s="54" t="e">
        <f ca="1">IF($B91="","",_xll.BDP($A91&amp;" Corp",AC$14))</f>
        <v>#NAME?</v>
      </c>
      <c r="AD91" s="55" t="e">
        <f ca="1">IF($B91="","",_xll.BDP($A91&amp;" Corp",AD$14))</f>
        <v>#NAME?</v>
      </c>
      <c r="AE91" s="56" t="e">
        <f ca="1">IF($B91="","",_xll.BDP($A91&amp;" Corp",AE$14))</f>
        <v>#NAME?</v>
      </c>
      <c r="AF91" s="29" t="e">
        <f ca="1">IF($B91="","",_xll.BDP($A91&amp;" Corp",AF$14))</f>
        <v>#NAME?</v>
      </c>
      <c r="AG91" s="33" t="e">
        <f ca="1">IF($B91="","",_xll.BDP($A91&amp;" Corp",AG$14))</f>
        <v>#NAME?</v>
      </c>
      <c r="AH91" s="30" t="e">
        <f ca="1">IF($B91="","",_xll.BDP($A91&amp;" Corp",AH$14))</f>
        <v>#NAME?</v>
      </c>
      <c r="AI91" s="30" t="e">
        <f ca="1">IF($B91="","",_xll.BDP($A91&amp;" Corp",AI$14))</f>
        <v>#NAME?</v>
      </c>
      <c r="AJ91" s="30" t="e">
        <f ca="1">IF($B91="","",_xll.BDP($A91&amp;" Corp",AJ$14))</f>
        <v>#NAME?</v>
      </c>
      <c r="AK91" s="11" t="e">
        <f ca="1">IF($B91="","",_xll.BDP($A91&amp;" Corp",AK$14))</f>
        <v>#NAME?</v>
      </c>
      <c r="AL91" s="11" t="e">
        <f ca="1">IF($B91="","",_xll.BDP($A91&amp;" Corp",AL$14))</f>
        <v>#NAME?</v>
      </c>
      <c r="AM91" s="11" t="e">
        <f t="shared" ca="1" si="20"/>
        <v>#NAME?</v>
      </c>
      <c r="AN91" s="57" t="e">
        <f t="shared" ca="1" si="14"/>
        <v>#NAME?</v>
      </c>
    </row>
    <row r="92" spans="1:40" x14ac:dyDescent="0.3">
      <c r="A92" s="67" t="str">
        <f t="shared" si="15"/>
        <v>XS1619643015</v>
      </c>
      <c r="B92" s="68" t="s">
        <v>435</v>
      </c>
      <c r="C92" s="75">
        <v>7497</v>
      </c>
      <c r="D92" s="75">
        <v>128</v>
      </c>
      <c r="E92" s="75">
        <v>100000</v>
      </c>
      <c r="F92" s="69">
        <v>7.784692E-2</v>
      </c>
      <c r="G92" s="70">
        <v>101177</v>
      </c>
      <c r="H92" s="67">
        <f t="shared" si="16"/>
        <v>100000</v>
      </c>
      <c r="I92" s="67">
        <f t="shared" si="17"/>
        <v>7.784692E-2</v>
      </c>
      <c r="J92" s="67">
        <f t="shared" si="18"/>
        <v>101177</v>
      </c>
      <c r="K92" s="71">
        <f t="shared" si="19"/>
        <v>101.17700000000001</v>
      </c>
      <c r="L92" s="29" t="e">
        <f ca="1">IF(B92="","",_xll.BDP(A92&amp;" Corp","INTERVAL_HIGH","START_DATE_OVERRIDE",TEXT($L$12,"AAAAMMDD"),"END_DATE_OVERRIDE",TEXT($L$13,"AAAAMMDD"),"MARKET_DATA_OVERRIDE",$L$14))</f>
        <v>#NAME?</v>
      </c>
      <c r="M92" s="30" t="e">
        <f ca="1">IF(B92="","",_xll.BDP($A92&amp;" Corp","INTERVAL_LOW","START_DATE_OVERRIDE",TEXT($L$12,"AAAAMMDD"),"END_DATE_OVERRIDE",TEXT($L$13,"AAAAMMDD"),"MARKET_DATA_OVERRIDE",$L$14))</f>
        <v>#NAME?</v>
      </c>
      <c r="N92" s="31" t="e">
        <f ca="1">IF($B92="","",_xll.BDP($A92&amp;" Corp",N$15))</f>
        <v>#NAME?</v>
      </c>
      <c r="O92" s="32" t="e">
        <f ca="1">IF($B92="","",_xll.BDP($A92&amp;" Corp",O$15))</f>
        <v>#NAME?</v>
      </c>
      <c r="P92" s="32" t="e">
        <f ca="1">IF($B92="","",_xll.BDP($A92&amp;" Corp",P$15))</f>
        <v>#NAME?</v>
      </c>
      <c r="Q92" s="30" t="e">
        <f ca="1">IF($B92="","",_xll.BDP($A92&amp;" Corp",Q$14))</f>
        <v>#NAME?</v>
      </c>
      <c r="R92" s="30" t="e">
        <f ca="1">IF($B92="","",_xll.BDP($A92&amp;" Corp",R$14))</f>
        <v>#NAME?</v>
      </c>
      <c r="S92" s="50" t="e">
        <f ca="1">IF($B92="","",_xll.BDP($A92&amp;" Corp",S$14))</f>
        <v>#NAME?</v>
      </c>
      <c r="T92" s="30" t="e">
        <f ca="1">IF($B92="","",_xll.BDP($A92&amp;" Corp",T$14))</f>
        <v>#NAME?</v>
      </c>
      <c r="U92" s="30" t="e">
        <f ca="1">IF($B92="","",_xll.BDP($A92&amp;" Corp",U$14))</f>
        <v>#NAME?</v>
      </c>
      <c r="V92" s="51" t="e">
        <f ca="1">IF($B92="","",IF($T92="VARIABLE",_xll.BDP($A92&amp;" Corp",V$13),_xll.BDP($A92&amp;" Corp",V$14)))</f>
        <v>#NAME?</v>
      </c>
      <c r="W92" s="30" t="e">
        <f ca="1">IF($B92="","",IF($T92="VARIABLE",_xll.BDP($A92&amp;" Corp",W$13),_xll.BDP($A92&amp;" Corp",W$14)))</f>
        <v>#NAME?</v>
      </c>
      <c r="X92" s="30" t="e">
        <f ca="1">IF($B92="","",_xll.BDP($A92&amp;" Corp",X$14))</f>
        <v>#NAME?</v>
      </c>
      <c r="Y92" s="33" t="e">
        <f ca="1">IF($B92="","",_xll.BDP($A92&amp;" Corp",Y$14))</f>
        <v>#NAME?</v>
      </c>
      <c r="Z92" s="52" t="e">
        <f ca="1">IF($B92="","",_xll.BDP($A92&amp;" Corp",Z$14))</f>
        <v>#NAME?</v>
      </c>
      <c r="AA92" s="53" t="e">
        <f ca="1">IF($B92="","",_xll.BDP($A92&amp;" Corp",AA$14))</f>
        <v>#NAME?</v>
      </c>
      <c r="AB92" s="54" t="e">
        <f ca="1">IF($B92="","",_xll.BDP($A92&amp;" Corp",AB$14))</f>
        <v>#NAME?</v>
      </c>
      <c r="AC92" s="54" t="e">
        <f ca="1">IF($B92="","",_xll.BDP($A92&amp;" Corp",AC$14))</f>
        <v>#NAME?</v>
      </c>
      <c r="AD92" s="55" t="e">
        <f ca="1">IF($B92="","",_xll.BDP($A92&amp;" Corp",AD$14))</f>
        <v>#NAME?</v>
      </c>
      <c r="AE92" s="56" t="e">
        <f ca="1">IF($B92="","",_xll.BDP($A92&amp;" Corp",AE$14))</f>
        <v>#NAME?</v>
      </c>
      <c r="AF92" s="29" t="e">
        <f ca="1">IF($B92="","",_xll.BDP($A92&amp;" Corp",AF$14))</f>
        <v>#NAME?</v>
      </c>
      <c r="AG92" s="33" t="e">
        <f ca="1">IF($B92="","",_xll.BDP($A92&amp;" Corp",AG$14))</f>
        <v>#NAME?</v>
      </c>
      <c r="AH92" s="30" t="e">
        <f ca="1">IF($B92="","",_xll.BDP($A92&amp;" Corp",AH$14))</f>
        <v>#NAME?</v>
      </c>
      <c r="AI92" s="30" t="e">
        <f ca="1">IF($B92="","",_xll.BDP($A92&amp;" Corp",AI$14))</f>
        <v>#NAME?</v>
      </c>
      <c r="AJ92" s="30" t="e">
        <f ca="1">IF($B92="","",_xll.BDP($A92&amp;" Corp",AJ$14))</f>
        <v>#NAME?</v>
      </c>
      <c r="AK92" s="11" t="e">
        <f ca="1">IF($B92="","",_xll.BDP($A92&amp;" Corp",AK$14))</f>
        <v>#NAME?</v>
      </c>
      <c r="AL92" s="11" t="e">
        <f ca="1">IF($B92="","",_xll.BDP($A92&amp;" Corp",AL$14))</f>
        <v>#NAME?</v>
      </c>
      <c r="AM92" s="11" t="e">
        <f t="shared" ca="1" si="20"/>
        <v>#NAME?</v>
      </c>
      <c r="AN92" s="57" t="e">
        <f t="shared" ca="1" si="14"/>
        <v>#NAME?</v>
      </c>
    </row>
    <row r="93" spans="1:40" x14ac:dyDescent="0.3">
      <c r="A93" s="67" t="str">
        <f t="shared" si="15"/>
        <v>XS1627782771</v>
      </c>
      <c r="B93" s="68" t="s">
        <v>552</v>
      </c>
      <c r="C93" s="75">
        <v>8899</v>
      </c>
      <c r="D93" s="75">
        <v>128</v>
      </c>
      <c r="E93" s="75">
        <v>200000</v>
      </c>
      <c r="F93" s="69">
        <v>0.15950397999999999</v>
      </c>
      <c r="G93" s="70">
        <v>203590</v>
      </c>
      <c r="H93" s="67">
        <f t="shared" si="16"/>
        <v>200000</v>
      </c>
      <c r="I93" s="67">
        <f t="shared" si="17"/>
        <v>0.15950397999999999</v>
      </c>
      <c r="J93" s="67">
        <f t="shared" si="18"/>
        <v>203590</v>
      </c>
      <c r="K93" s="71">
        <f t="shared" si="19"/>
        <v>101.795</v>
      </c>
      <c r="L93" s="29" t="e">
        <f ca="1">IF(B93="","",_xll.BDP(A93&amp;" Corp","INTERVAL_HIGH","START_DATE_OVERRIDE",TEXT($L$12,"AAAAMMDD"),"END_DATE_OVERRIDE",TEXT($L$13,"AAAAMMDD"),"MARKET_DATA_OVERRIDE",$L$14))</f>
        <v>#NAME?</v>
      </c>
      <c r="M93" s="30" t="e">
        <f ca="1">IF(B93="","",_xll.BDP($A93&amp;" Corp","INTERVAL_LOW","START_DATE_OVERRIDE",TEXT($L$12,"AAAAMMDD"),"END_DATE_OVERRIDE",TEXT($L$13,"AAAAMMDD"),"MARKET_DATA_OVERRIDE",$L$14))</f>
        <v>#NAME?</v>
      </c>
      <c r="N93" s="31" t="e">
        <f ca="1">IF($B93="","",_xll.BDP($A93&amp;" Corp",N$15))</f>
        <v>#NAME?</v>
      </c>
      <c r="O93" s="32" t="e">
        <f ca="1">IF($B93="","",_xll.BDP($A93&amp;" Corp",O$15))</f>
        <v>#NAME?</v>
      </c>
      <c r="P93" s="32" t="e">
        <f ca="1">IF($B93="","",_xll.BDP($A93&amp;" Corp",P$15))</f>
        <v>#NAME?</v>
      </c>
      <c r="Q93" s="30" t="e">
        <f ca="1">IF($B93="","",_xll.BDP($A93&amp;" Corp",Q$14))</f>
        <v>#NAME?</v>
      </c>
      <c r="R93" s="30" t="e">
        <f ca="1">IF($B93="","",_xll.BDP($A93&amp;" Corp",R$14))</f>
        <v>#NAME?</v>
      </c>
      <c r="S93" s="50" t="e">
        <f ca="1">IF($B93="","",_xll.BDP($A93&amp;" Corp",S$14))</f>
        <v>#NAME?</v>
      </c>
      <c r="T93" s="30" t="e">
        <f ca="1">IF($B93="","",_xll.BDP($A93&amp;" Corp",T$14))</f>
        <v>#NAME?</v>
      </c>
      <c r="U93" s="30" t="e">
        <f ca="1">IF($B93="","",_xll.BDP($A93&amp;" Corp",U$14))</f>
        <v>#NAME?</v>
      </c>
      <c r="V93" s="51" t="e">
        <f ca="1">IF($B93="","",IF($T93="VARIABLE",_xll.BDP($A93&amp;" Corp",V$13),_xll.BDP($A93&amp;" Corp",V$14)))</f>
        <v>#NAME?</v>
      </c>
      <c r="W93" s="30" t="e">
        <f ca="1">IF($B93="","",IF($T93="VARIABLE",_xll.BDP($A93&amp;" Corp",W$13),_xll.BDP($A93&amp;" Corp",W$14)))</f>
        <v>#NAME?</v>
      </c>
      <c r="X93" s="30" t="e">
        <f ca="1">IF($B93="","",_xll.BDP($A93&amp;" Corp",X$14))</f>
        <v>#NAME?</v>
      </c>
      <c r="Y93" s="33" t="e">
        <f ca="1">IF($B93="","",_xll.BDP($A93&amp;" Corp",Y$14))</f>
        <v>#NAME?</v>
      </c>
      <c r="Z93" s="52" t="e">
        <f ca="1">IF($B93="","",_xll.BDP($A93&amp;" Corp",Z$14))</f>
        <v>#NAME?</v>
      </c>
      <c r="AA93" s="53" t="e">
        <f ca="1">IF($B93="","",_xll.BDP($A93&amp;" Corp",AA$14))</f>
        <v>#NAME?</v>
      </c>
      <c r="AB93" s="54" t="e">
        <f ca="1">IF($B93="","",_xll.BDP($A93&amp;" Corp",AB$14))</f>
        <v>#NAME?</v>
      </c>
      <c r="AC93" s="54" t="e">
        <f ca="1">IF($B93="","",_xll.BDP($A93&amp;" Corp",AC$14))</f>
        <v>#NAME?</v>
      </c>
      <c r="AD93" s="55" t="e">
        <f ca="1">IF($B93="","",_xll.BDP($A93&amp;" Corp",AD$14))</f>
        <v>#NAME?</v>
      </c>
      <c r="AE93" s="56" t="e">
        <f ca="1">IF($B93="","",_xll.BDP($A93&amp;" Corp",AE$14))</f>
        <v>#NAME?</v>
      </c>
      <c r="AF93" s="29" t="e">
        <f ca="1">IF($B93="","",_xll.BDP($A93&amp;" Corp",AF$14))</f>
        <v>#NAME?</v>
      </c>
      <c r="AG93" s="33" t="e">
        <f ca="1">IF($B93="","",_xll.BDP($A93&amp;" Corp",AG$14))</f>
        <v>#NAME?</v>
      </c>
      <c r="AH93" s="30" t="e">
        <f ca="1">IF($B93="","",_xll.BDP($A93&amp;" Corp",AH$14))</f>
        <v>#NAME?</v>
      </c>
      <c r="AI93" s="30" t="e">
        <f ca="1">IF($B93="","",_xll.BDP($A93&amp;" Corp",AI$14))</f>
        <v>#NAME?</v>
      </c>
      <c r="AJ93" s="30" t="e">
        <f ca="1">IF($B93="","",_xll.BDP($A93&amp;" Corp",AJ$14))</f>
        <v>#NAME?</v>
      </c>
      <c r="AK93" s="11" t="e">
        <f ca="1">IF($B93="","",_xll.BDP($A93&amp;" Corp",AK$14))</f>
        <v>#NAME?</v>
      </c>
      <c r="AL93" s="11" t="e">
        <f ca="1">IF($B93="","",_xll.BDP($A93&amp;" Corp",AL$14))</f>
        <v>#NAME?</v>
      </c>
      <c r="AM93" s="11" t="e">
        <f t="shared" ca="1" si="20"/>
        <v>#NAME?</v>
      </c>
      <c r="AN93" s="57" t="e">
        <f t="shared" ca="1" si="14"/>
        <v>#NAME?</v>
      </c>
    </row>
    <row r="94" spans="1:40" x14ac:dyDescent="0.3">
      <c r="A94" s="67" t="str">
        <f t="shared" si="15"/>
        <v>XS1631415582</v>
      </c>
      <c r="B94" s="68" t="s">
        <v>374</v>
      </c>
      <c r="C94" s="75">
        <v>9504</v>
      </c>
      <c r="D94" s="75">
        <v>128</v>
      </c>
      <c r="E94" s="75">
        <v>169247.69</v>
      </c>
      <c r="F94" s="69">
        <v>0.14271782</v>
      </c>
      <c r="G94" s="70">
        <v>223024</v>
      </c>
      <c r="H94" s="67">
        <f t="shared" si="16"/>
        <v>169247.69</v>
      </c>
      <c r="I94" s="67">
        <f t="shared" si="17"/>
        <v>0.14271782</v>
      </c>
      <c r="J94" s="67">
        <f t="shared" si="18"/>
        <v>223024</v>
      </c>
      <c r="K94" s="71">
        <f t="shared" si="19"/>
        <v>131.77373351447218</v>
      </c>
      <c r="L94" s="29" t="e">
        <f ca="1">IF(B94="","",_xll.BDP(A94&amp;" Corp","INTERVAL_HIGH","START_DATE_OVERRIDE",TEXT($L$12,"AAAAMMDD"),"END_DATE_OVERRIDE",TEXT($L$13,"AAAAMMDD"),"MARKET_DATA_OVERRIDE",$L$14))</f>
        <v>#NAME?</v>
      </c>
      <c r="M94" s="30" t="e">
        <f ca="1">IF(B94="","",_xll.BDP($A94&amp;" Corp","INTERVAL_LOW","START_DATE_OVERRIDE",TEXT($L$12,"AAAAMMDD"),"END_DATE_OVERRIDE",TEXT($L$13,"AAAAMMDD"),"MARKET_DATA_OVERRIDE",$L$14))</f>
        <v>#NAME?</v>
      </c>
      <c r="N94" s="31" t="e">
        <f ca="1">IF($B94="","",_xll.BDP($A94&amp;" Corp",N$15))</f>
        <v>#NAME?</v>
      </c>
      <c r="O94" s="32" t="e">
        <f ca="1">IF($B94="","",_xll.BDP($A94&amp;" Corp",O$15))</f>
        <v>#NAME?</v>
      </c>
      <c r="P94" s="32" t="e">
        <f ca="1">IF($B94="","",_xll.BDP($A94&amp;" Corp",P$15))</f>
        <v>#NAME?</v>
      </c>
      <c r="Q94" s="30" t="e">
        <f ca="1">IF($B94="","",_xll.BDP($A94&amp;" Corp",Q$14))</f>
        <v>#NAME?</v>
      </c>
      <c r="R94" s="30" t="e">
        <f ca="1">IF($B94="","",_xll.BDP($A94&amp;" Corp",R$14))</f>
        <v>#NAME?</v>
      </c>
      <c r="S94" s="50" t="e">
        <f ca="1">IF($B94="","",_xll.BDP($A94&amp;" Corp",S$14))</f>
        <v>#NAME?</v>
      </c>
      <c r="T94" s="30" t="e">
        <f ca="1">IF($B94="","",_xll.BDP($A94&amp;" Corp",T$14))</f>
        <v>#NAME?</v>
      </c>
      <c r="U94" s="30" t="e">
        <f ca="1">IF($B94="","",_xll.BDP($A94&amp;" Corp",U$14))</f>
        <v>#NAME?</v>
      </c>
      <c r="V94" s="51" t="e">
        <f ca="1">IF($B94="","",IF($T94="VARIABLE",_xll.BDP($A94&amp;" Corp",V$13),_xll.BDP($A94&amp;" Corp",V$14)))</f>
        <v>#NAME?</v>
      </c>
      <c r="W94" s="30" t="e">
        <f ca="1">IF($B94="","",IF($T94="VARIABLE",_xll.BDP($A94&amp;" Corp",W$13),_xll.BDP($A94&amp;" Corp",W$14)))</f>
        <v>#NAME?</v>
      </c>
      <c r="X94" s="30" t="e">
        <f ca="1">IF($B94="","",_xll.BDP($A94&amp;" Corp",X$14))</f>
        <v>#NAME?</v>
      </c>
      <c r="Y94" s="33" t="e">
        <f ca="1">IF($B94="","",_xll.BDP($A94&amp;" Corp",Y$14))</f>
        <v>#NAME?</v>
      </c>
      <c r="Z94" s="52" t="e">
        <f ca="1">IF($B94="","",_xll.BDP($A94&amp;" Corp",Z$14))</f>
        <v>#NAME?</v>
      </c>
      <c r="AA94" s="53" t="e">
        <f ca="1">IF($B94="","",_xll.BDP($A94&amp;" Corp",AA$14))</f>
        <v>#NAME?</v>
      </c>
      <c r="AB94" s="54" t="e">
        <f ca="1">IF($B94="","",_xll.BDP($A94&amp;" Corp",AB$14))</f>
        <v>#NAME?</v>
      </c>
      <c r="AC94" s="54" t="e">
        <f ca="1">IF($B94="","",_xll.BDP($A94&amp;" Corp",AC$14))</f>
        <v>#NAME?</v>
      </c>
      <c r="AD94" s="55" t="e">
        <f ca="1">IF($B94="","",_xll.BDP($A94&amp;" Corp",AD$14))</f>
        <v>#NAME?</v>
      </c>
      <c r="AE94" s="56" t="e">
        <f ca="1">IF($B94="","",_xll.BDP($A94&amp;" Corp",AE$14))</f>
        <v>#NAME?</v>
      </c>
      <c r="AF94" s="29" t="e">
        <f ca="1">IF($B94="","",_xll.BDP($A94&amp;" Corp",AF$14))</f>
        <v>#NAME?</v>
      </c>
      <c r="AG94" s="33" t="e">
        <f ca="1">IF($B94="","",_xll.BDP($A94&amp;" Corp",AG$14))</f>
        <v>#NAME?</v>
      </c>
      <c r="AH94" s="30" t="e">
        <f ca="1">IF($B94="","",_xll.BDP($A94&amp;" Corp",AH$14))</f>
        <v>#NAME?</v>
      </c>
      <c r="AI94" s="30" t="e">
        <f ca="1">IF($B94="","",_xll.BDP($A94&amp;" Corp",AI$14))</f>
        <v>#NAME?</v>
      </c>
      <c r="AJ94" s="30" t="e">
        <f ca="1">IF($B94="","",_xll.BDP($A94&amp;" Corp",AJ$14))</f>
        <v>#NAME?</v>
      </c>
      <c r="AK94" s="11" t="e">
        <f ca="1">IF($B94="","",_xll.BDP($A94&amp;" Corp",AK$14))</f>
        <v>#NAME?</v>
      </c>
      <c r="AL94" s="11" t="e">
        <f ca="1">IF($B94="","",_xll.BDP($A94&amp;" Corp",AL$14))</f>
        <v>#NAME?</v>
      </c>
      <c r="AM94" s="11" t="e">
        <f t="shared" ca="1" si="20"/>
        <v>#NAME?</v>
      </c>
      <c r="AN94" s="57" t="e">
        <f t="shared" ca="1" si="14"/>
        <v>#NAME?</v>
      </c>
    </row>
    <row r="95" spans="1:40" x14ac:dyDescent="0.3">
      <c r="A95" s="67" t="str">
        <f t="shared" si="15"/>
        <v>XS1722898431</v>
      </c>
      <c r="B95" s="68" t="s">
        <v>466</v>
      </c>
      <c r="C95" s="75">
        <v>7081</v>
      </c>
      <c r="D95" s="75">
        <v>128</v>
      </c>
      <c r="E95" s="75">
        <v>200000</v>
      </c>
      <c r="F95" s="69">
        <v>0.15783251000000001</v>
      </c>
      <c r="G95" s="70">
        <v>207424</v>
      </c>
      <c r="H95" s="67">
        <f t="shared" si="16"/>
        <v>200000</v>
      </c>
      <c r="I95" s="67">
        <f t="shared" si="17"/>
        <v>0.15783251000000001</v>
      </c>
      <c r="J95" s="67">
        <f t="shared" si="18"/>
        <v>207424</v>
      </c>
      <c r="K95" s="71">
        <f t="shared" si="19"/>
        <v>103.712</v>
      </c>
      <c r="L95" s="29" t="e">
        <f ca="1">IF(B95="","",_xll.BDP(A95&amp;" Corp","INTERVAL_HIGH","START_DATE_OVERRIDE",TEXT($L$12,"AAAAMMDD"),"END_DATE_OVERRIDE",TEXT($L$13,"AAAAMMDD"),"MARKET_DATA_OVERRIDE",$L$14))</f>
        <v>#NAME?</v>
      </c>
      <c r="M95" s="30" t="e">
        <f ca="1">IF(B95="","",_xll.BDP($A95&amp;" Corp","INTERVAL_LOW","START_DATE_OVERRIDE",TEXT($L$12,"AAAAMMDD"),"END_DATE_OVERRIDE",TEXT($L$13,"AAAAMMDD"),"MARKET_DATA_OVERRIDE",$L$14))</f>
        <v>#NAME?</v>
      </c>
      <c r="N95" s="31" t="e">
        <f ca="1">IF($B95="","",_xll.BDP($A95&amp;" Corp",N$15))</f>
        <v>#NAME?</v>
      </c>
      <c r="O95" s="32" t="e">
        <f ca="1">IF($B95="","",_xll.BDP($A95&amp;" Corp",O$15))</f>
        <v>#NAME?</v>
      </c>
      <c r="P95" s="32" t="e">
        <f ca="1">IF($B95="","",_xll.BDP($A95&amp;" Corp",P$15))</f>
        <v>#NAME?</v>
      </c>
      <c r="Q95" s="30" t="e">
        <f ca="1">IF($B95="","",_xll.BDP($A95&amp;" Corp",Q$14))</f>
        <v>#NAME?</v>
      </c>
      <c r="R95" s="30" t="e">
        <f ca="1">IF($B95="","",_xll.BDP($A95&amp;" Corp",R$14))</f>
        <v>#NAME?</v>
      </c>
      <c r="S95" s="50" t="e">
        <f ca="1">IF($B95="","",_xll.BDP($A95&amp;" Corp",S$14))</f>
        <v>#NAME?</v>
      </c>
      <c r="T95" s="30" t="e">
        <f ca="1">IF($B95="","",_xll.BDP($A95&amp;" Corp",T$14))</f>
        <v>#NAME?</v>
      </c>
      <c r="U95" s="30" t="e">
        <f ca="1">IF($B95="","",_xll.BDP($A95&amp;" Corp",U$14))</f>
        <v>#NAME?</v>
      </c>
      <c r="V95" s="51" t="e">
        <f ca="1">IF($B95="","",IF($T95="VARIABLE",_xll.BDP($A95&amp;" Corp",V$13),_xll.BDP($A95&amp;" Corp",V$14)))</f>
        <v>#NAME?</v>
      </c>
      <c r="W95" s="30" t="e">
        <f ca="1">IF($B95="","",IF($T95="VARIABLE",_xll.BDP($A95&amp;" Corp",W$13),_xll.BDP($A95&amp;" Corp",W$14)))</f>
        <v>#NAME?</v>
      </c>
      <c r="X95" s="30" t="e">
        <f ca="1">IF($B95="","",_xll.BDP($A95&amp;" Corp",X$14))</f>
        <v>#NAME?</v>
      </c>
      <c r="Y95" s="33" t="e">
        <f ca="1">IF($B95="","",_xll.BDP($A95&amp;" Corp",Y$14))</f>
        <v>#NAME?</v>
      </c>
      <c r="Z95" s="52" t="e">
        <f ca="1">IF($B95="","",_xll.BDP($A95&amp;" Corp",Z$14))</f>
        <v>#NAME?</v>
      </c>
      <c r="AA95" s="53" t="e">
        <f ca="1">IF($B95="","",_xll.BDP($A95&amp;" Corp",AA$14))</f>
        <v>#NAME?</v>
      </c>
      <c r="AB95" s="54" t="e">
        <f ca="1">IF($B95="","",_xll.BDP($A95&amp;" Corp",AB$14))</f>
        <v>#NAME?</v>
      </c>
      <c r="AC95" s="54" t="e">
        <f ca="1">IF($B95="","",_xll.BDP($A95&amp;" Corp",AC$14))</f>
        <v>#NAME?</v>
      </c>
      <c r="AD95" s="55" t="e">
        <f ca="1">IF($B95="","",_xll.BDP($A95&amp;" Corp",AD$14))</f>
        <v>#NAME?</v>
      </c>
      <c r="AE95" s="56" t="e">
        <f ca="1">IF($B95="","",_xll.BDP($A95&amp;" Corp",AE$14))</f>
        <v>#NAME?</v>
      </c>
      <c r="AF95" s="29" t="e">
        <f ca="1">IF($B95="","",_xll.BDP($A95&amp;" Corp",AF$14))</f>
        <v>#NAME?</v>
      </c>
      <c r="AG95" s="33" t="e">
        <f ca="1">IF($B95="","",_xll.BDP($A95&amp;" Corp",AG$14))</f>
        <v>#NAME?</v>
      </c>
      <c r="AH95" s="30" t="e">
        <f ca="1">IF($B95="","",_xll.BDP($A95&amp;" Corp",AH$14))</f>
        <v>#NAME?</v>
      </c>
      <c r="AI95" s="30" t="e">
        <f ca="1">IF($B95="","",_xll.BDP($A95&amp;" Corp",AI$14))</f>
        <v>#NAME?</v>
      </c>
      <c r="AJ95" s="30" t="e">
        <f ca="1">IF($B95="","",_xll.BDP($A95&amp;" Corp",AJ$14))</f>
        <v>#NAME?</v>
      </c>
      <c r="AK95" s="11" t="e">
        <f ca="1">IF($B95="","",_xll.BDP($A95&amp;" Corp",AK$14))</f>
        <v>#NAME?</v>
      </c>
      <c r="AL95" s="11" t="e">
        <f ca="1">IF($B95="","",_xll.BDP($A95&amp;" Corp",AL$14))</f>
        <v>#NAME?</v>
      </c>
      <c r="AM95" s="11" t="e">
        <f t="shared" ca="1" si="20"/>
        <v>#NAME?</v>
      </c>
      <c r="AN95" s="57" t="e">
        <f t="shared" ca="1" si="14"/>
        <v>#NAME?</v>
      </c>
    </row>
    <row r="96" spans="1:40" x14ac:dyDescent="0.3">
      <c r="A96" s="67" t="str">
        <f t="shared" si="15"/>
        <v>XS1731882186</v>
      </c>
      <c r="B96" s="68" t="s">
        <v>310</v>
      </c>
      <c r="C96" s="75">
        <v>5760</v>
      </c>
      <c r="D96" s="75">
        <v>128</v>
      </c>
      <c r="E96" s="75">
        <v>600000</v>
      </c>
      <c r="F96" s="69">
        <v>0.46514316</v>
      </c>
      <c r="G96" s="70">
        <v>602452</v>
      </c>
      <c r="H96" s="67">
        <f t="shared" si="16"/>
        <v>600000</v>
      </c>
      <c r="I96" s="67">
        <f t="shared" si="17"/>
        <v>0.46514316</v>
      </c>
      <c r="J96" s="67">
        <f t="shared" si="18"/>
        <v>602452</v>
      </c>
      <c r="K96" s="71">
        <f t="shared" si="19"/>
        <v>100.40866666666666</v>
      </c>
      <c r="L96" s="29" t="e">
        <f ca="1">IF(B96="","",_xll.BDP(A96&amp;" Corp","INTERVAL_HIGH","START_DATE_OVERRIDE",TEXT($L$12,"AAAAMMDD"),"END_DATE_OVERRIDE",TEXT($L$13,"AAAAMMDD"),"MARKET_DATA_OVERRIDE",$L$14))</f>
        <v>#NAME?</v>
      </c>
      <c r="M96" s="30" t="e">
        <f ca="1">IF(B96="","",_xll.BDP($A96&amp;" Corp","INTERVAL_LOW","START_DATE_OVERRIDE",TEXT($L$12,"AAAAMMDD"),"END_DATE_OVERRIDE",TEXT($L$13,"AAAAMMDD"),"MARKET_DATA_OVERRIDE",$L$14))</f>
        <v>#NAME?</v>
      </c>
      <c r="N96" s="31" t="e">
        <f ca="1">IF($B96="","",_xll.BDP($A96&amp;" Corp",N$15))</f>
        <v>#NAME?</v>
      </c>
      <c r="O96" s="32" t="e">
        <f ca="1">IF($B96="","",_xll.BDP($A96&amp;" Corp",O$15))</f>
        <v>#NAME?</v>
      </c>
      <c r="P96" s="32" t="e">
        <f ca="1">IF($B96="","",_xll.BDP($A96&amp;" Corp",P$15))</f>
        <v>#NAME?</v>
      </c>
      <c r="Q96" s="30" t="e">
        <f ca="1">IF($B96="","",_xll.BDP($A96&amp;" Corp",Q$14))</f>
        <v>#NAME?</v>
      </c>
      <c r="R96" s="30" t="e">
        <f ca="1">IF($B96="","",_xll.BDP($A96&amp;" Corp",R$14))</f>
        <v>#NAME?</v>
      </c>
      <c r="S96" s="50" t="e">
        <f ca="1">IF($B96="","",_xll.BDP($A96&amp;" Corp",S$14))</f>
        <v>#NAME?</v>
      </c>
      <c r="T96" s="30" t="e">
        <f ca="1">IF($B96="","",_xll.BDP($A96&amp;" Corp",T$14))</f>
        <v>#NAME?</v>
      </c>
      <c r="U96" s="30" t="e">
        <f ca="1">IF($B96="","",_xll.BDP($A96&amp;" Corp",U$14))</f>
        <v>#NAME?</v>
      </c>
      <c r="V96" s="51" t="e">
        <f ca="1">IF($B96="","",IF($T96="VARIABLE",_xll.BDP($A96&amp;" Corp",V$13),_xll.BDP($A96&amp;" Corp",V$14)))</f>
        <v>#NAME?</v>
      </c>
      <c r="W96" s="30" t="e">
        <f ca="1">IF($B96="","",IF($T96="VARIABLE",_xll.BDP($A96&amp;" Corp",W$13),_xll.BDP($A96&amp;" Corp",W$14)))</f>
        <v>#NAME?</v>
      </c>
      <c r="X96" s="30" t="e">
        <f ca="1">IF($B96="","",_xll.BDP($A96&amp;" Corp",X$14))</f>
        <v>#NAME?</v>
      </c>
      <c r="Y96" s="33" t="e">
        <f ca="1">IF($B96="","",_xll.BDP($A96&amp;" Corp",Y$14))</f>
        <v>#NAME?</v>
      </c>
      <c r="Z96" s="52" t="e">
        <f ca="1">IF($B96="","",_xll.BDP($A96&amp;" Corp",Z$14))</f>
        <v>#NAME?</v>
      </c>
      <c r="AA96" s="53" t="e">
        <f ca="1">IF($B96="","",_xll.BDP($A96&amp;" Corp",AA$14))</f>
        <v>#NAME?</v>
      </c>
      <c r="AB96" s="54" t="e">
        <f ca="1">IF($B96="","",_xll.BDP($A96&amp;" Corp",AB$14))</f>
        <v>#NAME?</v>
      </c>
      <c r="AC96" s="54" t="e">
        <f ca="1">IF($B96="","",_xll.BDP($A96&amp;" Corp",AC$14))</f>
        <v>#NAME?</v>
      </c>
      <c r="AD96" s="55" t="e">
        <f ca="1">IF($B96="","",_xll.BDP($A96&amp;" Corp",AD$14))</f>
        <v>#NAME?</v>
      </c>
      <c r="AE96" s="56" t="e">
        <f ca="1">IF($B96="","",_xll.BDP($A96&amp;" Corp",AE$14))</f>
        <v>#NAME?</v>
      </c>
      <c r="AF96" s="29" t="e">
        <f ca="1">IF($B96="","",_xll.BDP($A96&amp;" Corp",AF$14))</f>
        <v>#NAME?</v>
      </c>
      <c r="AG96" s="33" t="e">
        <f ca="1">IF($B96="","",_xll.BDP($A96&amp;" Corp",AG$14))</f>
        <v>#NAME?</v>
      </c>
      <c r="AH96" s="30" t="e">
        <f ca="1">IF($B96="","",_xll.BDP($A96&amp;" Corp",AH$14))</f>
        <v>#NAME?</v>
      </c>
      <c r="AI96" s="30" t="e">
        <f ca="1">IF($B96="","",_xll.BDP($A96&amp;" Corp",AI$14))</f>
        <v>#NAME?</v>
      </c>
      <c r="AJ96" s="30" t="e">
        <f ca="1">IF($B96="","",_xll.BDP($A96&amp;" Corp",AJ$14))</f>
        <v>#NAME?</v>
      </c>
      <c r="AK96" s="11" t="e">
        <f ca="1">IF($B96="","",_xll.BDP($A96&amp;" Corp",AK$14))</f>
        <v>#NAME?</v>
      </c>
      <c r="AL96" s="11" t="e">
        <f ca="1">IF($B96="","",_xll.BDP($A96&amp;" Corp",AL$14))</f>
        <v>#NAME?</v>
      </c>
      <c r="AM96" s="11" t="e">
        <f t="shared" ca="1" si="20"/>
        <v>#NAME?</v>
      </c>
      <c r="AN96" s="57" t="e">
        <f t="shared" ca="1" si="14"/>
        <v>#NAME?</v>
      </c>
    </row>
    <row r="97" spans="1:40" x14ac:dyDescent="0.3">
      <c r="A97" s="67" t="str">
        <f t="shared" si="15"/>
        <v>XS1744744191</v>
      </c>
      <c r="B97" s="68" t="s">
        <v>537</v>
      </c>
      <c r="C97" s="75">
        <v>6232</v>
      </c>
      <c r="D97" s="75">
        <v>128</v>
      </c>
      <c r="E97" s="75">
        <v>200000</v>
      </c>
      <c r="F97" s="69">
        <v>0.15874637999999999</v>
      </c>
      <c r="G97" s="70">
        <v>209252</v>
      </c>
      <c r="H97" s="67">
        <f t="shared" si="16"/>
        <v>200000</v>
      </c>
      <c r="I97" s="67">
        <f t="shared" si="17"/>
        <v>0.15874637999999999</v>
      </c>
      <c r="J97" s="67">
        <f t="shared" si="18"/>
        <v>209252</v>
      </c>
      <c r="K97" s="71">
        <f t="shared" si="19"/>
        <v>104.626</v>
      </c>
      <c r="L97" s="29" t="e">
        <f ca="1">IF(B97="","",_xll.BDP(A97&amp;" Corp","INTERVAL_HIGH","START_DATE_OVERRIDE",TEXT($L$12,"AAAAMMDD"),"END_DATE_OVERRIDE",TEXT($L$13,"AAAAMMDD"),"MARKET_DATA_OVERRIDE",$L$14))</f>
        <v>#NAME?</v>
      </c>
      <c r="M97" s="30" t="e">
        <f ca="1">IF(B97="","",_xll.BDP($A97&amp;" Corp","INTERVAL_LOW","START_DATE_OVERRIDE",TEXT($L$12,"AAAAMMDD"),"END_DATE_OVERRIDE",TEXT($L$13,"AAAAMMDD"),"MARKET_DATA_OVERRIDE",$L$14))</f>
        <v>#NAME?</v>
      </c>
      <c r="N97" s="31" t="e">
        <f ca="1">IF($B97="","",_xll.BDP($A97&amp;" Corp",N$15))</f>
        <v>#NAME?</v>
      </c>
      <c r="O97" s="32" t="e">
        <f ca="1">IF($B97="","",_xll.BDP($A97&amp;" Corp",O$15))</f>
        <v>#NAME?</v>
      </c>
      <c r="P97" s="32" t="e">
        <f ca="1">IF($B97="","",_xll.BDP($A97&amp;" Corp",P$15))</f>
        <v>#NAME?</v>
      </c>
      <c r="Q97" s="30" t="e">
        <f ca="1">IF($B97="","",_xll.BDP($A97&amp;" Corp",Q$14))</f>
        <v>#NAME?</v>
      </c>
      <c r="R97" s="30" t="e">
        <f ca="1">IF($B97="","",_xll.BDP($A97&amp;" Corp",R$14))</f>
        <v>#NAME?</v>
      </c>
      <c r="S97" s="50" t="e">
        <f ca="1">IF($B97="","",_xll.BDP($A97&amp;" Corp",S$14))</f>
        <v>#NAME?</v>
      </c>
      <c r="T97" s="30" t="e">
        <f ca="1">IF($B97="","",_xll.BDP($A97&amp;" Corp",T$14))</f>
        <v>#NAME?</v>
      </c>
      <c r="U97" s="30" t="e">
        <f ca="1">IF($B97="","",_xll.BDP($A97&amp;" Corp",U$14))</f>
        <v>#NAME?</v>
      </c>
      <c r="V97" s="51" t="e">
        <f ca="1">IF($B97="","",IF($T97="VARIABLE",_xll.BDP($A97&amp;" Corp",V$13),_xll.BDP($A97&amp;" Corp",V$14)))</f>
        <v>#NAME?</v>
      </c>
      <c r="W97" s="30" t="e">
        <f ca="1">IF($B97="","",IF($T97="VARIABLE",_xll.BDP($A97&amp;" Corp",W$13),_xll.BDP($A97&amp;" Corp",W$14)))</f>
        <v>#NAME?</v>
      </c>
      <c r="X97" s="30" t="e">
        <f ca="1">IF($B97="","",_xll.BDP($A97&amp;" Corp",X$14))</f>
        <v>#NAME?</v>
      </c>
      <c r="Y97" s="33" t="e">
        <f ca="1">IF($B97="","",_xll.BDP($A97&amp;" Corp",Y$14))</f>
        <v>#NAME?</v>
      </c>
      <c r="Z97" s="52" t="e">
        <f ca="1">IF($B97="","",_xll.BDP($A97&amp;" Corp",Z$14))</f>
        <v>#NAME?</v>
      </c>
      <c r="AA97" s="53" t="e">
        <f ca="1">IF($B97="","",_xll.BDP($A97&amp;" Corp",AA$14))</f>
        <v>#NAME?</v>
      </c>
      <c r="AB97" s="54" t="e">
        <f ca="1">IF($B97="","",_xll.BDP($A97&amp;" Corp",AB$14))</f>
        <v>#NAME?</v>
      </c>
      <c r="AC97" s="54" t="e">
        <f ca="1">IF($B97="","",_xll.BDP($A97&amp;" Corp",AC$14))</f>
        <v>#NAME?</v>
      </c>
      <c r="AD97" s="55" t="e">
        <f ca="1">IF($B97="","",_xll.BDP($A97&amp;" Corp",AD$14))</f>
        <v>#NAME?</v>
      </c>
      <c r="AE97" s="56" t="e">
        <f ca="1">IF($B97="","",_xll.BDP($A97&amp;" Corp",AE$14))</f>
        <v>#NAME?</v>
      </c>
      <c r="AF97" s="29" t="e">
        <f ca="1">IF($B97="","",_xll.BDP($A97&amp;" Corp",AF$14))</f>
        <v>#NAME?</v>
      </c>
      <c r="AG97" s="33" t="e">
        <f ca="1">IF($B97="","",_xll.BDP($A97&amp;" Corp",AG$14))</f>
        <v>#NAME?</v>
      </c>
      <c r="AH97" s="30" t="e">
        <f ca="1">IF($B97="","",_xll.BDP($A97&amp;" Corp",AH$14))</f>
        <v>#NAME?</v>
      </c>
      <c r="AI97" s="30" t="e">
        <f ca="1">IF($B97="","",_xll.BDP($A97&amp;" Corp",AI$14))</f>
        <v>#NAME?</v>
      </c>
      <c r="AJ97" s="30" t="e">
        <f ca="1">IF($B97="","",_xll.BDP($A97&amp;" Corp",AJ$14))</f>
        <v>#NAME?</v>
      </c>
      <c r="AK97" s="11" t="e">
        <f ca="1">IF($B97="","",_xll.BDP($A97&amp;" Corp",AK$14))</f>
        <v>#NAME?</v>
      </c>
      <c r="AL97" s="11" t="e">
        <f ca="1">IF($B97="","",_xll.BDP($A97&amp;" Corp",AL$14))</f>
        <v>#NAME?</v>
      </c>
      <c r="AM97" s="11" t="e">
        <f t="shared" ca="1" si="20"/>
        <v>#NAME?</v>
      </c>
      <c r="AN97" s="57" t="e">
        <f t="shared" ca="1" si="14"/>
        <v>#NAME?</v>
      </c>
    </row>
    <row r="98" spans="1:40" x14ac:dyDescent="0.3">
      <c r="A98" s="67" t="str">
        <f t="shared" si="15"/>
        <v>XS1782625641</v>
      </c>
      <c r="B98" s="68" t="s">
        <v>376</v>
      </c>
      <c r="C98" s="75">
        <v>7145</v>
      </c>
      <c r="D98" s="75">
        <v>128</v>
      </c>
      <c r="E98" s="75">
        <v>85881.14</v>
      </c>
      <c r="F98" s="69">
        <v>7.8199160000000004E-2</v>
      </c>
      <c r="G98" s="70">
        <v>106099</v>
      </c>
      <c r="H98" s="67">
        <f t="shared" si="16"/>
        <v>85881.14</v>
      </c>
      <c r="I98" s="67">
        <f t="shared" si="17"/>
        <v>7.8199160000000004E-2</v>
      </c>
      <c r="J98" s="67">
        <f t="shared" si="18"/>
        <v>106099</v>
      </c>
      <c r="K98" s="71">
        <f t="shared" si="19"/>
        <v>123.54167632148339</v>
      </c>
      <c r="L98" s="29" t="e">
        <f ca="1">IF(B98="","",_xll.BDP(A98&amp;" Corp","INTERVAL_HIGH","START_DATE_OVERRIDE",TEXT($L$12,"AAAAMMDD"),"END_DATE_OVERRIDE",TEXT($L$13,"AAAAMMDD"),"MARKET_DATA_OVERRIDE",$L$14))</f>
        <v>#NAME?</v>
      </c>
      <c r="M98" s="30" t="e">
        <f ca="1">IF(B98="","",_xll.BDP($A98&amp;" Corp","INTERVAL_LOW","START_DATE_OVERRIDE",TEXT($L$12,"AAAAMMDD"),"END_DATE_OVERRIDE",TEXT($L$13,"AAAAMMDD"),"MARKET_DATA_OVERRIDE",$L$14))</f>
        <v>#NAME?</v>
      </c>
      <c r="N98" s="31" t="e">
        <f ca="1">IF($B98="","",_xll.BDP($A98&amp;" Corp",N$15))</f>
        <v>#NAME?</v>
      </c>
      <c r="O98" s="32" t="e">
        <f ca="1">IF($B98="","",_xll.BDP($A98&amp;" Corp",O$15))</f>
        <v>#NAME?</v>
      </c>
      <c r="P98" s="32" t="e">
        <f ca="1">IF($B98="","",_xll.BDP($A98&amp;" Corp",P$15))</f>
        <v>#NAME?</v>
      </c>
      <c r="Q98" s="30" t="e">
        <f ca="1">IF($B98="","",_xll.BDP($A98&amp;" Corp",Q$14))</f>
        <v>#NAME?</v>
      </c>
      <c r="R98" s="30" t="e">
        <f ca="1">IF($B98="","",_xll.BDP($A98&amp;" Corp",R$14))</f>
        <v>#NAME?</v>
      </c>
      <c r="S98" s="50" t="e">
        <f ca="1">IF($B98="","",_xll.BDP($A98&amp;" Corp",S$14))</f>
        <v>#NAME?</v>
      </c>
      <c r="T98" s="30" t="e">
        <f ca="1">IF($B98="","",_xll.BDP($A98&amp;" Corp",T$14))</f>
        <v>#NAME?</v>
      </c>
      <c r="U98" s="30" t="e">
        <f ca="1">IF($B98="","",_xll.BDP($A98&amp;" Corp",U$14))</f>
        <v>#NAME?</v>
      </c>
      <c r="V98" s="51" t="e">
        <f ca="1">IF($B98="","",IF($T98="VARIABLE",_xll.BDP($A98&amp;" Corp",V$13),_xll.BDP($A98&amp;" Corp",V$14)))</f>
        <v>#NAME?</v>
      </c>
      <c r="W98" s="30" t="e">
        <f ca="1">IF($B98="","",IF($T98="VARIABLE",_xll.BDP($A98&amp;" Corp",W$13),_xll.BDP($A98&amp;" Corp",W$14)))</f>
        <v>#NAME?</v>
      </c>
      <c r="X98" s="30" t="e">
        <f ca="1">IF($B98="","",_xll.BDP($A98&amp;" Corp",X$14))</f>
        <v>#NAME?</v>
      </c>
      <c r="Y98" s="33" t="e">
        <f ca="1">IF($B98="","",_xll.BDP($A98&amp;" Corp",Y$14))</f>
        <v>#NAME?</v>
      </c>
      <c r="Z98" s="52" t="e">
        <f ca="1">IF($B98="","",_xll.BDP($A98&amp;" Corp",Z$14))</f>
        <v>#NAME?</v>
      </c>
      <c r="AA98" s="53" t="e">
        <f ca="1">IF($B98="","",_xll.BDP($A98&amp;" Corp",AA$14))</f>
        <v>#NAME?</v>
      </c>
      <c r="AB98" s="54" t="e">
        <f ca="1">IF($B98="","",_xll.BDP($A98&amp;" Corp",AB$14))</f>
        <v>#NAME?</v>
      </c>
      <c r="AC98" s="54" t="e">
        <f ca="1">IF($B98="","",_xll.BDP($A98&amp;" Corp",AC$14))</f>
        <v>#NAME?</v>
      </c>
      <c r="AD98" s="55" t="e">
        <f ca="1">IF($B98="","",_xll.BDP($A98&amp;" Corp",AD$14))</f>
        <v>#NAME?</v>
      </c>
      <c r="AE98" s="56" t="e">
        <f ca="1">IF($B98="","",_xll.BDP($A98&amp;" Corp",AE$14))</f>
        <v>#NAME?</v>
      </c>
      <c r="AF98" s="29" t="e">
        <f ca="1">IF($B98="","",_xll.BDP($A98&amp;" Corp",AF$14))</f>
        <v>#NAME?</v>
      </c>
      <c r="AG98" s="33" t="e">
        <f ca="1">IF($B98="","",_xll.BDP($A98&amp;" Corp",AG$14))</f>
        <v>#NAME?</v>
      </c>
      <c r="AH98" s="30" t="e">
        <f ca="1">IF($B98="","",_xll.BDP($A98&amp;" Corp",AH$14))</f>
        <v>#NAME?</v>
      </c>
      <c r="AI98" s="30" t="e">
        <f ca="1">IF($B98="","",_xll.BDP($A98&amp;" Corp",AI$14))</f>
        <v>#NAME?</v>
      </c>
      <c r="AJ98" s="30" t="e">
        <f ca="1">IF($B98="","",_xll.BDP($A98&amp;" Corp",AJ$14))</f>
        <v>#NAME?</v>
      </c>
      <c r="AK98" s="11" t="e">
        <f ca="1">IF($B98="","",_xll.BDP($A98&amp;" Corp",AK$14))</f>
        <v>#NAME?</v>
      </c>
      <c r="AL98" s="11" t="e">
        <f ca="1">IF($B98="","",_xll.BDP($A98&amp;" Corp",AL$14))</f>
        <v>#NAME?</v>
      </c>
      <c r="AM98" s="11" t="e">
        <f t="shared" ca="1" si="20"/>
        <v>#NAME?</v>
      </c>
      <c r="AN98" s="57" t="e">
        <f t="shared" ca="1" si="14"/>
        <v>#NAME?</v>
      </c>
    </row>
    <row r="99" spans="1:40" x14ac:dyDescent="0.3">
      <c r="A99" s="67" t="str">
        <f t="shared" si="15"/>
        <v>XS1795406575</v>
      </c>
      <c r="B99" s="68" t="s">
        <v>271</v>
      </c>
      <c r="C99" s="75">
        <v>9358</v>
      </c>
      <c r="D99" s="75">
        <v>128</v>
      </c>
      <c r="E99" s="75">
        <v>100000</v>
      </c>
      <c r="F99" s="69">
        <v>8.2527299999999998E-2</v>
      </c>
      <c r="G99" s="70">
        <v>101674</v>
      </c>
      <c r="H99" s="67">
        <f t="shared" si="16"/>
        <v>100000</v>
      </c>
      <c r="I99" s="67">
        <f t="shared" si="17"/>
        <v>8.2527299999999998E-2</v>
      </c>
      <c r="J99" s="67">
        <f t="shared" si="18"/>
        <v>101674</v>
      </c>
      <c r="K99" s="71">
        <f t="shared" si="19"/>
        <v>101.67400000000001</v>
      </c>
      <c r="L99" s="29" t="e">
        <f ca="1">IF(B99="","",_xll.BDP(A99&amp;" Corp","INTERVAL_HIGH","START_DATE_OVERRIDE",TEXT($L$12,"AAAAMMDD"),"END_DATE_OVERRIDE",TEXT($L$13,"AAAAMMDD"),"MARKET_DATA_OVERRIDE",$L$14))</f>
        <v>#NAME?</v>
      </c>
      <c r="M99" s="30" t="e">
        <f ca="1">IF(B99="","",_xll.BDP($A99&amp;" Corp","INTERVAL_LOW","START_DATE_OVERRIDE",TEXT($L$12,"AAAAMMDD"),"END_DATE_OVERRIDE",TEXT($L$13,"AAAAMMDD"),"MARKET_DATA_OVERRIDE",$L$14))</f>
        <v>#NAME?</v>
      </c>
      <c r="N99" s="31" t="e">
        <f ca="1">IF($B99="","",_xll.BDP($A99&amp;" Corp",N$15))</f>
        <v>#NAME?</v>
      </c>
      <c r="O99" s="32" t="e">
        <f ca="1">IF($B99="","",_xll.BDP($A99&amp;" Corp",O$15))</f>
        <v>#NAME?</v>
      </c>
      <c r="P99" s="32" t="e">
        <f ca="1">IF($B99="","",_xll.BDP($A99&amp;" Corp",P$15))</f>
        <v>#NAME?</v>
      </c>
      <c r="Q99" s="30" t="e">
        <f ca="1">IF($B99="","",_xll.BDP($A99&amp;" Corp",Q$14))</f>
        <v>#NAME?</v>
      </c>
      <c r="R99" s="30" t="e">
        <f ca="1">IF($B99="","",_xll.BDP($A99&amp;" Corp",R$14))</f>
        <v>#NAME?</v>
      </c>
      <c r="S99" s="50" t="e">
        <f ca="1">IF($B99="","",_xll.BDP($A99&amp;" Corp",S$14))</f>
        <v>#NAME?</v>
      </c>
      <c r="T99" s="30" t="e">
        <f ca="1">IF($B99="","",_xll.BDP($A99&amp;" Corp",T$14))</f>
        <v>#NAME?</v>
      </c>
      <c r="U99" s="30" t="e">
        <f ca="1">IF($B99="","",_xll.BDP($A99&amp;" Corp",U$14))</f>
        <v>#NAME?</v>
      </c>
      <c r="V99" s="51" t="e">
        <f ca="1">IF($B99="","",IF($T99="VARIABLE",_xll.BDP($A99&amp;" Corp",V$13),_xll.BDP($A99&amp;" Corp",V$14)))</f>
        <v>#NAME?</v>
      </c>
      <c r="W99" s="30" t="e">
        <f ca="1">IF($B99="","",IF($T99="VARIABLE",_xll.BDP($A99&amp;" Corp",W$13),_xll.BDP($A99&amp;" Corp",W$14)))</f>
        <v>#NAME?</v>
      </c>
      <c r="X99" s="30" t="e">
        <f ca="1">IF($B99="","",_xll.BDP($A99&amp;" Corp",X$14))</f>
        <v>#NAME?</v>
      </c>
      <c r="Y99" s="33" t="e">
        <f ca="1">IF($B99="","",_xll.BDP($A99&amp;" Corp",Y$14))</f>
        <v>#NAME?</v>
      </c>
      <c r="Z99" s="52" t="e">
        <f ca="1">IF($B99="","",_xll.BDP($A99&amp;" Corp",Z$14))</f>
        <v>#NAME?</v>
      </c>
      <c r="AA99" s="53" t="e">
        <f ca="1">IF($B99="","",_xll.BDP($A99&amp;" Corp",AA$14))</f>
        <v>#NAME?</v>
      </c>
      <c r="AB99" s="54" t="e">
        <f ca="1">IF($B99="","",_xll.BDP($A99&amp;" Corp",AB$14))</f>
        <v>#NAME?</v>
      </c>
      <c r="AC99" s="54" t="e">
        <f ca="1">IF($B99="","",_xll.BDP($A99&amp;" Corp",AC$14))</f>
        <v>#NAME?</v>
      </c>
      <c r="AD99" s="55" t="e">
        <f ca="1">IF($B99="","",_xll.BDP($A99&amp;" Corp",AD$14))</f>
        <v>#NAME?</v>
      </c>
      <c r="AE99" s="56" t="e">
        <f ca="1">IF($B99="","",_xll.BDP($A99&amp;" Corp",AE$14))</f>
        <v>#NAME?</v>
      </c>
      <c r="AF99" s="29" t="e">
        <f ca="1">IF($B99="","",_xll.BDP($A99&amp;" Corp",AF$14))</f>
        <v>#NAME?</v>
      </c>
      <c r="AG99" s="33" t="e">
        <f ca="1">IF($B99="","",_xll.BDP($A99&amp;" Corp",AG$14))</f>
        <v>#NAME?</v>
      </c>
      <c r="AH99" s="30" t="e">
        <f ca="1">IF($B99="","",_xll.BDP($A99&amp;" Corp",AH$14))</f>
        <v>#NAME?</v>
      </c>
      <c r="AI99" s="30" t="e">
        <f ca="1">IF($B99="","",_xll.BDP($A99&amp;" Corp",AI$14))</f>
        <v>#NAME?</v>
      </c>
      <c r="AJ99" s="30" t="e">
        <f ca="1">IF($B99="","",_xll.BDP($A99&amp;" Corp",AJ$14))</f>
        <v>#NAME?</v>
      </c>
      <c r="AK99" s="11" t="e">
        <f ca="1">IF($B99="","",_xll.BDP($A99&amp;" Corp",AK$14))</f>
        <v>#NAME?</v>
      </c>
      <c r="AL99" s="11" t="e">
        <f ca="1">IF($B99="","",_xll.BDP($A99&amp;" Corp",AL$14))</f>
        <v>#NAME?</v>
      </c>
      <c r="AM99" s="11" t="e">
        <f t="shared" ca="1" si="20"/>
        <v>#NAME?</v>
      </c>
      <c r="AN99" s="57" t="e">
        <f t="shared" ca="1" si="14"/>
        <v>#NAME?</v>
      </c>
    </row>
    <row r="100" spans="1:40" x14ac:dyDescent="0.3">
      <c r="A100" s="67" t="str">
        <f t="shared" si="15"/>
        <v>XS1814065345</v>
      </c>
      <c r="B100" s="68" t="s">
        <v>304</v>
      </c>
      <c r="C100" s="75">
        <v>6337</v>
      </c>
      <c r="D100" s="75">
        <v>128</v>
      </c>
      <c r="E100" s="75">
        <v>500000</v>
      </c>
      <c r="F100" s="69">
        <v>0.39430532000000001</v>
      </c>
      <c r="G100" s="70">
        <v>500611.66</v>
      </c>
      <c r="H100" s="67">
        <f t="shared" si="16"/>
        <v>500000</v>
      </c>
      <c r="I100" s="67">
        <f t="shared" si="17"/>
        <v>0.39430532000000001</v>
      </c>
      <c r="J100" s="67">
        <f t="shared" si="18"/>
        <v>500611.66</v>
      </c>
      <c r="K100" s="71">
        <f t="shared" si="19"/>
        <v>100.122332</v>
      </c>
      <c r="L100" s="29" t="e">
        <f ca="1">IF(B100="","",_xll.BDP(A100&amp;" Corp","INTERVAL_HIGH","START_DATE_OVERRIDE",TEXT($L$12,"AAAAMMDD"),"END_DATE_OVERRIDE",TEXT($L$13,"AAAAMMDD"),"MARKET_DATA_OVERRIDE",$L$14))</f>
        <v>#NAME?</v>
      </c>
      <c r="M100" s="30" t="e">
        <f ca="1">IF(B100="","",_xll.BDP($A100&amp;" Corp","INTERVAL_LOW","START_DATE_OVERRIDE",TEXT($L$12,"AAAAMMDD"),"END_DATE_OVERRIDE",TEXT($L$13,"AAAAMMDD"),"MARKET_DATA_OVERRIDE",$L$14))</f>
        <v>#NAME?</v>
      </c>
      <c r="N100" s="31" t="e">
        <f ca="1">IF($B100="","",_xll.BDP($A100&amp;" Corp",N$15))</f>
        <v>#NAME?</v>
      </c>
      <c r="O100" s="32" t="e">
        <f ca="1">IF($B100="","",_xll.BDP($A100&amp;" Corp",O$15))</f>
        <v>#NAME?</v>
      </c>
      <c r="P100" s="32" t="e">
        <f ca="1">IF($B100="","",_xll.BDP($A100&amp;" Corp",P$15))</f>
        <v>#NAME?</v>
      </c>
      <c r="Q100" s="30" t="e">
        <f ca="1">IF($B100="","",_xll.BDP($A100&amp;" Corp",Q$14))</f>
        <v>#NAME?</v>
      </c>
      <c r="R100" s="30" t="e">
        <f ca="1">IF($B100="","",_xll.BDP($A100&amp;" Corp",R$14))</f>
        <v>#NAME?</v>
      </c>
      <c r="S100" s="50" t="e">
        <f ca="1">IF($B100="","",_xll.BDP($A100&amp;" Corp",S$14))</f>
        <v>#NAME?</v>
      </c>
      <c r="T100" s="30" t="e">
        <f ca="1">IF($B100="","",_xll.BDP($A100&amp;" Corp",T$14))</f>
        <v>#NAME?</v>
      </c>
      <c r="U100" s="30" t="e">
        <f ca="1">IF($B100="","",_xll.BDP($A100&amp;" Corp",U$14))</f>
        <v>#NAME?</v>
      </c>
      <c r="V100" s="51" t="e">
        <f ca="1">IF($B100="","",IF($T100="VARIABLE",_xll.BDP($A100&amp;" Corp",V$13),_xll.BDP($A100&amp;" Corp",V$14)))</f>
        <v>#NAME?</v>
      </c>
      <c r="W100" s="30" t="e">
        <f ca="1">IF($B100="","",IF($T100="VARIABLE",_xll.BDP($A100&amp;" Corp",W$13),_xll.BDP($A100&amp;" Corp",W$14)))</f>
        <v>#NAME?</v>
      </c>
      <c r="X100" s="30" t="e">
        <f ca="1">IF($B100="","",_xll.BDP($A100&amp;" Corp",X$14))</f>
        <v>#NAME?</v>
      </c>
      <c r="Y100" s="33" t="e">
        <f ca="1">IF($B100="","",_xll.BDP($A100&amp;" Corp",Y$14))</f>
        <v>#NAME?</v>
      </c>
      <c r="Z100" s="52" t="e">
        <f ca="1">IF($B100="","",_xll.BDP($A100&amp;" Corp",Z$14))</f>
        <v>#NAME?</v>
      </c>
      <c r="AA100" s="53" t="e">
        <f ca="1">IF($B100="","",_xll.BDP($A100&amp;" Corp",AA$14))</f>
        <v>#NAME?</v>
      </c>
      <c r="AB100" s="54" t="e">
        <f ca="1">IF($B100="","",_xll.BDP($A100&amp;" Corp",AB$14))</f>
        <v>#NAME?</v>
      </c>
      <c r="AC100" s="54" t="e">
        <f ca="1">IF($B100="","",_xll.BDP($A100&amp;" Corp",AC$14))</f>
        <v>#NAME?</v>
      </c>
      <c r="AD100" s="55" t="e">
        <f ca="1">IF($B100="","",_xll.BDP($A100&amp;" Corp",AD$14))</f>
        <v>#NAME?</v>
      </c>
      <c r="AE100" s="56" t="e">
        <f ca="1">IF($B100="","",_xll.BDP($A100&amp;" Corp",AE$14))</f>
        <v>#NAME?</v>
      </c>
      <c r="AF100" s="29" t="e">
        <f ca="1">IF($B100="","",_xll.BDP($A100&amp;" Corp",AF$14))</f>
        <v>#NAME?</v>
      </c>
      <c r="AG100" s="33" t="e">
        <f ca="1">IF($B100="","",_xll.BDP($A100&amp;" Corp",AG$14))</f>
        <v>#NAME?</v>
      </c>
      <c r="AH100" s="30" t="e">
        <f ca="1">IF($B100="","",_xll.BDP($A100&amp;" Corp",AH$14))</f>
        <v>#NAME?</v>
      </c>
      <c r="AI100" s="30" t="e">
        <f ca="1">IF($B100="","",_xll.BDP($A100&amp;" Corp",AI$14))</f>
        <v>#NAME?</v>
      </c>
      <c r="AJ100" s="30" t="e">
        <f ca="1">IF($B100="","",_xll.BDP($A100&amp;" Corp",AJ$14))</f>
        <v>#NAME?</v>
      </c>
      <c r="AK100" s="11" t="e">
        <f ca="1">IF($B100="","",_xll.BDP($A100&amp;" Corp",AK$14))</f>
        <v>#NAME?</v>
      </c>
      <c r="AL100" s="11" t="e">
        <f ca="1">IF($B100="","",_xll.BDP($A100&amp;" Corp",AL$14))</f>
        <v>#NAME?</v>
      </c>
      <c r="AM100" s="11" t="e">
        <f t="shared" ca="1" si="20"/>
        <v>#NAME?</v>
      </c>
      <c r="AN100" s="57" t="e">
        <f t="shared" ca="1" si="14"/>
        <v>#NAME?</v>
      </c>
    </row>
    <row r="101" spans="1:40" x14ac:dyDescent="0.3">
      <c r="A101" s="67" t="str">
        <f t="shared" si="15"/>
        <v>XS1839682116</v>
      </c>
      <c r="B101" s="68" t="s">
        <v>585</v>
      </c>
      <c r="C101" s="75">
        <v>7060</v>
      </c>
      <c r="D101" s="75">
        <v>128</v>
      </c>
      <c r="E101" s="75">
        <v>900000</v>
      </c>
      <c r="F101" s="69">
        <v>0.70616283000000002</v>
      </c>
      <c r="G101" s="70">
        <v>935963</v>
      </c>
      <c r="H101" s="67">
        <f t="shared" si="16"/>
        <v>900000</v>
      </c>
      <c r="I101" s="67">
        <f t="shared" si="17"/>
        <v>0.70616283000000002</v>
      </c>
      <c r="J101" s="67">
        <f t="shared" si="18"/>
        <v>935963</v>
      </c>
      <c r="K101" s="71">
        <f t="shared" si="19"/>
        <v>103.99588888888889</v>
      </c>
      <c r="L101" s="29" t="e">
        <f ca="1">IF(B101="","",_xll.BDP(A101&amp;" Corp","INTERVAL_HIGH","START_DATE_OVERRIDE",TEXT($L$12,"AAAAMMDD"),"END_DATE_OVERRIDE",TEXT($L$13,"AAAAMMDD"),"MARKET_DATA_OVERRIDE",$L$14))</f>
        <v>#NAME?</v>
      </c>
      <c r="M101" s="30" t="e">
        <f ca="1">IF(B101="","",_xll.BDP($A101&amp;" Corp","INTERVAL_LOW","START_DATE_OVERRIDE",TEXT($L$12,"AAAAMMDD"),"END_DATE_OVERRIDE",TEXT($L$13,"AAAAMMDD"),"MARKET_DATA_OVERRIDE",$L$14))</f>
        <v>#NAME?</v>
      </c>
      <c r="N101" s="31" t="e">
        <f ca="1">IF($B101="","",_xll.BDP($A101&amp;" Corp",N$15))</f>
        <v>#NAME?</v>
      </c>
      <c r="O101" s="32" t="e">
        <f ca="1">IF($B101="","",_xll.BDP($A101&amp;" Corp",O$15))</f>
        <v>#NAME?</v>
      </c>
      <c r="P101" s="32" t="e">
        <f ca="1">IF($B101="","",_xll.BDP($A101&amp;" Corp",P$15))</f>
        <v>#NAME?</v>
      </c>
      <c r="Q101" s="30" t="e">
        <f ca="1">IF($B101="","",_xll.BDP($A101&amp;" Corp",Q$14))</f>
        <v>#NAME?</v>
      </c>
      <c r="R101" s="30" t="e">
        <f ca="1">IF($B101="","",_xll.BDP($A101&amp;" Corp",R$14))</f>
        <v>#NAME?</v>
      </c>
      <c r="S101" s="50" t="e">
        <f ca="1">IF($B101="","",_xll.BDP($A101&amp;" Corp",S$14))</f>
        <v>#NAME?</v>
      </c>
      <c r="T101" s="30" t="e">
        <f ca="1">IF($B101="","",_xll.BDP($A101&amp;" Corp",T$14))</f>
        <v>#NAME?</v>
      </c>
      <c r="U101" s="30" t="e">
        <f ca="1">IF($B101="","",_xll.BDP($A101&amp;" Corp",U$14))</f>
        <v>#NAME?</v>
      </c>
      <c r="V101" s="51" t="e">
        <f ca="1">IF($B101="","",IF($T101="VARIABLE",_xll.BDP($A101&amp;" Corp",V$13),_xll.BDP($A101&amp;" Corp",V$14)))</f>
        <v>#NAME?</v>
      </c>
      <c r="W101" s="30" t="e">
        <f ca="1">IF($B101="","",IF($T101="VARIABLE",_xll.BDP($A101&amp;" Corp",W$13),_xll.BDP($A101&amp;" Corp",W$14)))</f>
        <v>#NAME?</v>
      </c>
      <c r="X101" s="30" t="e">
        <f ca="1">IF($B101="","",_xll.BDP($A101&amp;" Corp",X$14))</f>
        <v>#NAME?</v>
      </c>
      <c r="Y101" s="33" t="e">
        <f ca="1">IF($B101="","",_xll.BDP($A101&amp;" Corp",Y$14))</f>
        <v>#NAME?</v>
      </c>
      <c r="Z101" s="52" t="e">
        <f ca="1">IF($B101="","",_xll.BDP($A101&amp;" Corp",Z$14))</f>
        <v>#NAME?</v>
      </c>
      <c r="AA101" s="53" t="e">
        <f ca="1">IF($B101="","",_xll.BDP($A101&amp;" Corp",AA$14))</f>
        <v>#NAME?</v>
      </c>
      <c r="AB101" s="54" t="e">
        <f ca="1">IF($B101="","",_xll.BDP($A101&amp;" Corp",AB$14))</f>
        <v>#NAME?</v>
      </c>
      <c r="AC101" s="54" t="e">
        <f ca="1">IF($B101="","",_xll.BDP($A101&amp;" Corp",AC$14))</f>
        <v>#NAME?</v>
      </c>
      <c r="AD101" s="55" t="e">
        <f ca="1">IF($B101="","",_xll.BDP($A101&amp;" Corp",AD$14))</f>
        <v>#NAME?</v>
      </c>
      <c r="AE101" s="56" t="e">
        <f ca="1">IF($B101="","",_xll.BDP($A101&amp;" Corp",AE$14))</f>
        <v>#NAME?</v>
      </c>
      <c r="AF101" s="29" t="e">
        <f ca="1">IF($B101="","",_xll.BDP($A101&amp;" Corp",AF$14))</f>
        <v>#NAME?</v>
      </c>
      <c r="AG101" s="33" t="e">
        <f ca="1">IF($B101="","",_xll.BDP($A101&amp;" Corp",AG$14))</f>
        <v>#NAME?</v>
      </c>
      <c r="AH101" s="30" t="e">
        <f ca="1">IF($B101="","",_xll.BDP($A101&amp;" Corp",AH$14))</f>
        <v>#NAME?</v>
      </c>
      <c r="AI101" s="30" t="e">
        <f ca="1">IF($B101="","",_xll.BDP($A101&amp;" Corp",AI$14))</f>
        <v>#NAME?</v>
      </c>
      <c r="AJ101" s="30" t="e">
        <f ca="1">IF($B101="","",_xll.BDP($A101&amp;" Corp",AJ$14))</f>
        <v>#NAME?</v>
      </c>
      <c r="AK101" s="11" t="e">
        <f ca="1">IF($B101="","",_xll.BDP($A101&amp;" Corp",AK$14))</f>
        <v>#NAME?</v>
      </c>
      <c r="AL101" s="11" t="e">
        <f ca="1">IF($B101="","",_xll.BDP($A101&amp;" Corp",AL$14))</f>
        <v>#NAME?</v>
      </c>
      <c r="AM101" s="11" t="e">
        <f t="shared" ca="1" si="20"/>
        <v>#NAME?</v>
      </c>
      <c r="AN101" s="57" t="e">
        <f t="shared" ca="1" si="14"/>
        <v>#NAME?</v>
      </c>
    </row>
    <row r="102" spans="1:40" x14ac:dyDescent="0.3">
      <c r="A102" s="67" t="str">
        <f t="shared" si="15"/>
        <v>XS1844094885</v>
      </c>
      <c r="B102" s="68" t="s">
        <v>378</v>
      </c>
      <c r="C102" s="75">
        <v>7394</v>
      </c>
      <c r="D102" s="75">
        <v>128</v>
      </c>
      <c r="E102" s="75">
        <v>84666.84</v>
      </c>
      <c r="F102" s="69">
        <v>7.7293810000000004E-2</v>
      </c>
      <c r="G102" s="70">
        <v>110136</v>
      </c>
      <c r="H102" s="67">
        <f t="shared" si="16"/>
        <v>84666.84</v>
      </c>
      <c r="I102" s="67">
        <f t="shared" si="17"/>
        <v>7.7293810000000004E-2</v>
      </c>
      <c r="J102" s="67">
        <f t="shared" si="18"/>
        <v>110136</v>
      </c>
      <c r="K102" s="71">
        <f t="shared" si="19"/>
        <v>130.08162345494412</v>
      </c>
      <c r="L102" s="29" t="e">
        <f ca="1">IF(B102="","",_xll.BDP(A102&amp;" Corp","INTERVAL_HIGH","START_DATE_OVERRIDE",TEXT($L$12,"AAAAMMDD"),"END_DATE_OVERRIDE",TEXT($L$13,"AAAAMMDD"),"MARKET_DATA_OVERRIDE",$L$14))</f>
        <v>#NAME?</v>
      </c>
      <c r="M102" s="30" t="e">
        <f ca="1">IF(B102="","",_xll.BDP($A102&amp;" Corp","INTERVAL_LOW","START_DATE_OVERRIDE",TEXT($L$12,"AAAAMMDD"),"END_DATE_OVERRIDE",TEXT($L$13,"AAAAMMDD"),"MARKET_DATA_OVERRIDE",$L$14))</f>
        <v>#NAME?</v>
      </c>
      <c r="N102" s="31" t="e">
        <f ca="1">IF($B102="","",_xll.BDP($A102&amp;" Corp",N$15))</f>
        <v>#NAME?</v>
      </c>
      <c r="O102" s="32" t="e">
        <f ca="1">IF($B102="","",_xll.BDP($A102&amp;" Corp",O$15))</f>
        <v>#NAME?</v>
      </c>
      <c r="P102" s="32" t="e">
        <f ca="1">IF($B102="","",_xll.BDP($A102&amp;" Corp",P$15))</f>
        <v>#NAME?</v>
      </c>
      <c r="Q102" s="30" t="e">
        <f ca="1">IF($B102="","",_xll.BDP($A102&amp;" Corp",Q$14))</f>
        <v>#NAME?</v>
      </c>
      <c r="R102" s="30" t="e">
        <f ca="1">IF($B102="","",_xll.BDP($A102&amp;" Corp",R$14))</f>
        <v>#NAME?</v>
      </c>
      <c r="S102" s="50" t="e">
        <f ca="1">IF($B102="","",_xll.BDP($A102&amp;" Corp",S$14))</f>
        <v>#NAME?</v>
      </c>
      <c r="T102" s="30" t="e">
        <f ca="1">IF($B102="","",_xll.BDP($A102&amp;" Corp",T$14))</f>
        <v>#NAME?</v>
      </c>
      <c r="U102" s="30" t="e">
        <f ca="1">IF($B102="","",_xll.BDP($A102&amp;" Corp",U$14))</f>
        <v>#NAME?</v>
      </c>
      <c r="V102" s="51" t="e">
        <f ca="1">IF($B102="","",IF($T102="VARIABLE",_xll.BDP($A102&amp;" Corp",V$13),_xll.BDP($A102&amp;" Corp",V$14)))</f>
        <v>#NAME?</v>
      </c>
      <c r="W102" s="30" t="e">
        <f ca="1">IF($B102="","",IF($T102="VARIABLE",_xll.BDP($A102&amp;" Corp",W$13),_xll.BDP($A102&amp;" Corp",W$14)))</f>
        <v>#NAME?</v>
      </c>
      <c r="X102" s="30" t="e">
        <f ca="1">IF($B102="","",_xll.BDP($A102&amp;" Corp",X$14))</f>
        <v>#NAME?</v>
      </c>
      <c r="Y102" s="33" t="e">
        <f ca="1">IF($B102="","",_xll.BDP($A102&amp;" Corp",Y$14))</f>
        <v>#NAME?</v>
      </c>
      <c r="Z102" s="52" t="e">
        <f ca="1">IF($B102="","",_xll.BDP($A102&amp;" Corp",Z$14))</f>
        <v>#NAME?</v>
      </c>
      <c r="AA102" s="53" t="e">
        <f ca="1">IF($B102="","",_xll.BDP($A102&amp;" Corp",AA$14))</f>
        <v>#NAME?</v>
      </c>
      <c r="AB102" s="54" t="e">
        <f ca="1">IF($B102="","",_xll.BDP($A102&amp;" Corp",AB$14))</f>
        <v>#NAME?</v>
      </c>
      <c r="AC102" s="54" t="e">
        <f ca="1">IF($B102="","",_xll.BDP($A102&amp;" Corp",AC$14))</f>
        <v>#NAME?</v>
      </c>
      <c r="AD102" s="55" t="e">
        <f ca="1">IF($B102="","",_xll.BDP($A102&amp;" Corp",AD$14))</f>
        <v>#NAME?</v>
      </c>
      <c r="AE102" s="56" t="e">
        <f ca="1">IF($B102="","",_xll.BDP($A102&amp;" Corp",AE$14))</f>
        <v>#NAME?</v>
      </c>
      <c r="AF102" s="29" t="e">
        <f ca="1">IF($B102="","",_xll.BDP($A102&amp;" Corp",AF$14))</f>
        <v>#NAME?</v>
      </c>
      <c r="AG102" s="33" t="e">
        <f ca="1">IF($B102="","",_xll.BDP($A102&amp;" Corp",AG$14))</f>
        <v>#NAME?</v>
      </c>
      <c r="AH102" s="30" t="e">
        <f ca="1">IF($B102="","",_xll.BDP($A102&amp;" Corp",AH$14))</f>
        <v>#NAME?</v>
      </c>
      <c r="AI102" s="30" t="e">
        <f ca="1">IF($B102="","",_xll.BDP($A102&amp;" Corp",AI$14))</f>
        <v>#NAME?</v>
      </c>
      <c r="AJ102" s="30" t="e">
        <f ca="1">IF($B102="","",_xll.BDP($A102&amp;" Corp",AJ$14))</f>
        <v>#NAME?</v>
      </c>
      <c r="AK102" s="11" t="e">
        <f ca="1">IF($B102="","",_xll.BDP($A102&amp;" Corp",AK$14))</f>
        <v>#NAME?</v>
      </c>
      <c r="AL102" s="11" t="e">
        <f ca="1">IF($B102="","",_xll.BDP($A102&amp;" Corp",AL$14))</f>
        <v>#NAME?</v>
      </c>
      <c r="AM102" s="11" t="e">
        <f t="shared" ca="1" si="20"/>
        <v>#NAME?</v>
      </c>
      <c r="AN102" s="57" t="e">
        <f t="shared" ca="1" si="14"/>
        <v>#NAME?</v>
      </c>
    </row>
    <row r="103" spans="1:40" x14ac:dyDescent="0.3">
      <c r="A103" s="67" t="str">
        <f t="shared" si="15"/>
        <v>XS1877860533</v>
      </c>
      <c r="B103" s="68" t="s">
        <v>380</v>
      </c>
      <c r="C103" s="75">
        <v>8277</v>
      </c>
      <c r="D103" s="75">
        <v>128</v>
      </c>
      <c r="E103" s="75">
        <v>600000</v>
      </c>
      <c r="F103" s="69">
        <v>0.45188015999999998</v>
      </c>
      <c r="G103" s="70">
        <v>606397.5</v>
      </c>
      <c r="H103" s="67">
        <f t="shared" si="16"/>
        <v>600000</v>
      </c>
      <c r="I103" s="67">
        <f t="shared" si="17"/>
        <v>0.45188015999999998</v>
      </c>
      <c r="J103" s="67">
        <f t="shared" si="18"/>
        <v>606397.5</v>
      </c>
      <c r="K103" s="71">
        <f t="shared" si="19"/>
        <v>101.06625</v>
      </c>
      <c r="L103" s="29" t="e">
        <f ca="1">IF(B103="","",_xll.BDP(A103&amp;" Corp","INTERVAL_HIGH","START_DATE_OVERRIDE",TEXT($L$12,"AAAAMMDD"),"END_DATE_OVERRIDE",TEXT($L$13,"AAAAMMDD"),"MARKET_DATA_OVERRIDE",$L$14))</f>
        <v>#NAME?</v>
      </c>
      <c r="M103" s="30" t="e">
        <f ca="1">IF(B103="","",_xll.BDP($A103&amp;" Corp","INTERVAL_LOW","START_DATE_OVERRIDE",TEXT($L$12,"AAAAMMDD"),"END_DATE_OVERRIDE",TEXT($L$13,"AAAAMMDD"),"MARKET_DATA_OVERRIDE",$L$14))</f>
        <v>#NAME?</v>
      </c>
      <c r="N103" s="31" t="e">
        <f ca="1">IF($B103="","",_xll.BDP($A103&amp;" Corp",N$15))</f>
        <v>#NAME?</v>
      </c>
      <c r="O103" s="32" t="e">
        <f ca="1">IF($B103="","",_xll.BDP($A103&amp;" Corp",O$15))</f>
        <v>#NAME?</v>
      </c>
      <c r="P103" s="32" t="e">
        <f ca="1">IF($B103="","",_xll.BDP($A103&amp;" Corp",P$15))</f>
        <v>#NAME?</v>
      </c>
      <c r="Q103" s="30" t="e">
        <f ca="1">IF($B103="","",_xll.BDP($A103&amp;" Corp",Q$14))</f>
        <v>#NAME?</v>
      </c>
      <c r="R103" s="30" t="e">
        <f ca="1">IF($B103="","",_xll.BDP($A103&amp;" Corp",R$14))</f>
        <v>#NAME?</v>
      </c>
      <c r="S103" s="50" t="e">
        <f ca="1">IF($B103="","",_xll.BDP($A103&amp;" Corp",S$14))</f>
        <v>#NAME?</v>
      </c>
      <c r="T103" s="30" t="e">
        <f ca="1">IF($B103="","",_xll.BDP($A103&amp;" Corp",T$14))</f>
        <v>#NAME?</v>
      </c>
      <c r="U103" s="30" t="e">
        <f ca="1">IF($B103="","",_xll.BDP($A103&amp;" Corp",U$14))</f>
        <v>#NAME?</v>
      </c>
      <c r="V103" s="51" t="e">
        <f ca="1">IF($B103="","",IF($T103="VARIABLE",_xll.BDP($A103&amp;" Corp",V$13),_xll.BDP($A103&amp;" Corp",V$14)))</f>
        <v>#NAME?</v>
      </c>
      <c r="W103" s="30" t="e">
        <f ca="1">IF($B103="","",IF($T103="VARIABLE",_xll.BDP($A103&amp;" Corp",W$13),_xll.BDP($A103&amp;" Corp",W$14)))</f>
        <v>#NAME?</v>
      </c>
      <c r="X103" s="30" t="e">
        <f ca="1">IF($B103="","",_xll.BDP($A103&amp;" Corp",X$14))</f>
        <v>#NAME?</v>
      </c>
      <c r="Y103" s="33" t="e">
        <f ca="1">IF($B103="","",_xll.BDP($A103&amp;" Corp",Y$14))</f>
        <v>#NAME?</v>
      </c>
      <c r="Z103" s="52" t="e">
        <f ca="1">IF($B103="","",_xll.BDP($A103&amp;" Corp",Z$14))</f>
        <v>#NAME?</v>
      </c>
      <c r="AA103" s="53" t="e">
        <f ca="1">IF($B103="","",_xll.BDP($A103&amp;" Corp",AA$14))</f>
        <v>#NAME?</v>
      </c>
      <c r="AB103" s="54" t="e">
        <f ca="1">IF($B103="","",_xll.BDP($A103&amp;" Corp",AB$14))</f>
        <v>#NAME?</v>
      </c>
      <c r="AC103" s="54" t="e">
        <f ca="1">IF($B103="","",_xll.BDP($A103&amp;" Corp",AC$14))</f>
        <v>#NAME?</v>
      </c>
      <c r="AD103" s="55" t="e">
        <f ca="1">IF($B103="","",_xll.BDP($A103&amp;" Corp",AD$14))</f>
        <v>#NAME?</v>
      </c>
      <c r="AE103" s="56" t="e">
        <f ca="1">IF($B103="","",_xll.BDP($A103&amp;" Corp",AE$14))</f>
        <v>#NAME?</v>
      </c>
      <c r="AF103" s="29" t="e">
        <f ca="1">IF($B103="","",_xll.BDP($A103&amp;" Corp",AF$14))</f>
        <v>#NAME?</v>
      </c>
      <c r="AG103" s="33" t="e">
        <f ca="1">IF($B103="","",_xll.BDP($A103&amp;" Corp",AG$14))</f>
        <v>#NAME?</v>
      </c>
      <c r="AH103" s="30" t="e">
        <f ca="1">IF($B103="","",_xll.BDP($A103&amp;" Corp",AH$14))</f>
        <v>#NAME?</v>
      </c>
      <c r="AI103" s="30" t="e">
        <f ca="1">IF($B103="","",_xll.BDP($A103&amp;" Corp",AI$14))</f>
        <v>#NAME?</v>
      </c>
      <c r="AJ103" s="30" t="e">
        <f ca="1">IF($B103="","",_xll.BDP($A103&amp;" Corp",AJ$14))</f>
        <v>#NAME?</v>
      </c>
      <c r="AK103" s="11" t="e">
        <f ca="1">IF($B103="","",_xll.BDP($A103&amp;" Corp",AK$14))</f>
        <v>#NAME?</v>
      </c>
      <c r="AL103" s="11" t="e">
        <f ca="1">IF($B103="","",_xll.BDP($A103&amp;" Corp",AL$14))</f>
        <v>#NAME?</v>
      </c>
      <c r="AM103" s="11" t="e">
        <f t="shared" ca="1" si="20"/>
        <v>#NAME?</v>
      </c>
      <c r="AN103" s="57" t="e">
        <f t="shared" ca="1" si="14"/>
        <v>#NAME?</v>
      </c>
    </row>
    <row r="104" spans="1:40" x14ac:dyDescent="0.3">
      <c r="A104" s="67" t="str">
        <f t="shared" si="15"/>
        <v>XS1892141620</v>
      </c>
      <c r="B104" s="68" t="s">
        <v>539</v>
      </c>
      <c r="C104" s="75">
        <v>7048</v>
      </c>
      <c r="D104" s="75">
        <v>128</v>
      </c>
      <c r="E104" s="75">
        <v>300000</v>
      </c>
      <c r="F104" s="69">
        <v>0.21638099999999999</v>
      </c>
      <c r="G104" s="70">
        <v>333246</v>
      </c>
      <c r="H104" s="67">
        <f t="shared" si="16"/>
        <v>300000</v>
      </c>
      <c r="I104" s="67">
        <f t="shared" si="17"/>
        <v>0.21638099999999999</v>
      </c>
      <c r="J104" s="67">
        <f t="shared" si="18"/>
        <v>333246</v>
      </c>
      <c r="K104" s="71">
        <f t="shared" si="19"/>
        <v>111.08199999999999</v>
      </c>
      <c r="L104" s="29" t="e">
        <f ca="1">IF(B104="","",_xll.BDP(A104&amp;" Corp","INTERVAL_HIGH","START_DATE_OVERRIDE",TEXT($L$12,"AAAAMMDD"),"END_DATE_OVERRIDE",TEXT($L$13,"AAAAMMDD"),"MARKET_DATA_OVERRIDE",$L$14))</f>
        <v>#NAME?</v>
      </c>
      <c r="M104" s="30" t="e">
        <f ca="1">IF(B104="","",_xll.BDP($A104&amp;" Corp","INTERVAL_LOW","START_DATE_OVERRIDE",TEXT($L$12,"AAAAMMDD"),"END_DATE_OVERRIDE",TEXT($L$13,"AAAAMMDD"),"MARKET_DATA_OVERRIDE",$L$14))</f>
        <v>#NAME?</v>
      </c>
      <c r="N104" s="31" t="e">
        <f ca="1">IF($B104="","",_xll.BDP($A104&amp;" Corp",N$15))</f>
        <v>#NAME?</v>
      </c>
      <c r="O104" s="32" t="e">
        <f ca="1">IF($B104="","",_xll.BDP($A104&amp;" Corp",O$15))</f>
        <v>#NAME?</v>
      </c>
      <c r="P104" s="32" t="e">
        <f ca="1">IF($B104="","",_xll.BDP($A104&amp;" Corp",P$15))</f>
        <v>#NAME?</v>
      </c>
      <c r="Q104" s="30" t="e">
        <f ca="1">IF($B104="","",_xll.BDP($A104&amp;" Corp",Q$14))</f>
        <v>#NAME?</v>
      </c>
      <c r="R104" s="30" t="e">
        <f ca="1">IF($B104="","",_xll.BDP($A104&amp;" Corp",R$14))</f>
        <v>#NAME?</v>
      </c>
      <c r="S104" s="50" t="e">
        <f ca="1">IF($B104="","",_xll.BDP($A104&amp;" Corp",S$14))</f>
        <v>#NAME?</v>
      </c>
      <c r="T104" s="30" t="e">
        <f ca="1">IF($B104="","",_xll.BDP($A104&amp;" Corp",T$14))</f>
        <v>#NAME?</v>
      </c>
      <c r="U104" s="30" t="e">
        <f ca="1">IF($B104="","",_xll.BDP($A104&amp;" Corp",U$14))</f>
        <v>#NAME?</v>
      </c>
      <c r="V104" s="51" t="e">
        <f ca="1">IF($B104="","",IF($T104="VARIABLE",_xll.BDP($A104&amp;" Corp",V$13),_xll.BDP($A104&amp;" Corp",V$14)))</f>
        <v>#NAME?</v>
      </c>
      <c r="W104" s="30" t="e">
        <f ca="1">IF($B104="","",IF($T104="VARIABLE",_xll.BDP($A104&amp;" Corp",W$13),_xll.BDP($A104&amp;" Corp",W$14)))</f>
        <v>#NAME?</v>
      </c>
      <c r="X104" s="30" t="e">
        <f ca="1">IF($B104="","",_xll.BDP($A104&amp;" Corp",X$14))</f>
        <v>#NAME?</v>
      </c>
      <c r="Y104" s="33" t="e">
        <f ca="1">IF($B104="","",_xll.BDP($A104&amp;" Corp",Y$14))</f>
        <v>#NAME?</v>
      </c>
      <c r="Z104" s="52" t="e">
        <f ca="1">IF($B104="","",_xll.BDP($A104&amp;" Corp",Z$14))</f>
        <v>#NAME?</v>
      </c>
      <c r="AA104" s="53" t="e">
        <f ca="1">IF($B104="","",_xll.BDP($A104&amp;" Corp",AA$14))</f>
        <v>#NAME?</v>
      </c>
      <c r="AB104" s="54" t="e">
        <f ca="1">IF($B104="","",_xll.BDP($A104&amp;" Corp",AB$14))</f>
        <v>#NAME?</v>
      </c>
      <c r="AC104" s="54" t="e">
        <f ca="1">IF($B104="","",_xll.BDP($A104&amp;" Corp",AC$14))</f>
        <v>#NAME?</v>
      </c>
      <c r="AD104" s="55" t="e">
        <f ca="1">IF($B104="","",_xll.BDP($A104&amp;" Corp",AD$14))</f>
        <v>#NAME?</v>
      </c>
      <c r="AE104" s="56" t="e">
        <f ca="1">IF($B104="","",_xll.BDP($A104&amp;" Corp",AE$14))</f>
        <v>#NAME?</v>
      </c>
      <c r="AF104" s="29" t="e">
        <f ca="1">IF($B104="","",_xll.BDP($A104&amp;" Corp",AF$14))</f>
        <v>#NAME?</v>
      </c>
      <c r="AG104" s="33" t="e">
        <f ca="1">IF($B104="","",_xll.BDP($A104&amp;" Corp",AG$14))</f>
        <v>#NAME?</v>
      </c>
      <c r="AH104" s="30" t="e">
        <f ca="1">IF($B104="","",_xll.BDP($A104&amp;" Corp",AH$14))</f>
        <v>#NAME?</v>
      </c>
      <c r="AI104" s="30" t="e">
        <f ca="1">IF($B104="","",_xll.BDP($A104&amp;" Corp",AI$14))</f>
        <v>#NAME?</v>
      </c>
      <c r="AJ104" s="30" t="e">
        <f ca="1">IF($B104="","",_xll.BDP($A104&amp;" Corp",AJ$14))</f>
        <v>#NAME?</v>
      </c>
      <c r="AK104" s="11" t="e">
        <f ca="1">IF($B104="","",_xll.BDP($A104&amp;" Corp",AK$14))</f>
        <v>#NAME?</v>
      </c>
      <c r="AL104" s="11" t="e">
        <f ca="1">IF($B104="","",_xll.BDP($A104&amp;" Corp",AL$14))</f>
        <v>#NAME?</v>
      </c>
      <c r="AM104" s="11" t="e">
        <f t="shared" ca="1" si="20"/>
        <v>#NAME?</v>
      </c>
      <c r="AN104" s="57" t="e">
        <f t="shared" ca="1" si="14"/>
        <v>#NAME?</v>
      </c>
    </row>
    <row r="105" spans="1:40" x14ac:dyDescent="0.3">
      <c r="A105" s="67" t="str">
        <f t="shared" si="15"/>
        <v>XS1892247963</v>
      </c>
      <c r="B105" s="68" t="s">
        <v>545</v>
      </c>
      <c r="C105" s="75">
        <v>6648</v>
      </c>
      <c r="D105" s="75">
        <v>128</v>
      </c>
      <c r="E105" s="75">
        <v>529801.24</v>
      </c>
      <c r="F105" s="69">
        <v>0.47434553000000002</v>
      </c>
      <c r="G105" s="70">
        <v>618444</v>
      </c>
      <c r="H105" s="67">
        <f t="shared" si="16"/>
        <v>529801.24</v>
      </c>
      <c r="I105" s="67">
        <f t="shared" si="17"/>
        <v>0.47434553000000002</v>
      </c>
      <c r="J105" s="67">
        <f t="shared" si="18"/>
        <v>618444</v>
      </c>
      <c r="K105" s="71">
        <f t="shared" si="19"/>
        <v>116.73132361864612</v>
      </c>
      <c r="L105" s="29" t="e">
        <f ca="1">IF(B105="","",_xll.BDP(A105&amp;" Corp","INTERVAL_HIGH","START_DATE_OVERRIDE",TEXT($L$12,"AAAAMMDD"),"END_DATE_OVERRIDE",TEXT($L$13,"AAAAMMDD"),"MARKET_DATA_OVERRIDE",$L$14))</f>
        <v>#NAME?</v>
      </c>
      <c r="M105" s="30" t="e">
        <f ca="1">IF(B105="","",_xll.BDP($A105&amp;" Corp","INTERVAL_LOW","START_DATE_OVERRIDE",TEXT($L$12,"AAAAMMDD"),"END_DATE_OVERRIDE",TEXT($L$13,"AAAAMMDD"),"MARKET_DATA_OVERRIDE",$L$14))</f>
        <v>#NAME?</v>
      </c>
      <c r="N105" s="31" t="e">
        <f ca="1">IF($B105="","",_xll.BDP($A105&amp;" Corp",N$15))</f>
        <v>#NAME?</v>
      </c>
      <c r="O105" s="32" t="e">
        <f ca="1">IF($B105="","",_xll.BDP($A105&amp;" Corp",O$15))</f>
        <v>#NAME?</v>
      </c>
      <c r="P105" s="32" t="e">
        <f ca="1">IF($B105="","",_xll.BDP($A105&amp;" Corp",P$15))</f>
        <v>#NAME?</v>
      </c>
      <c r="Q105" s="30" t="e">
        <f ca="1">IF($B105="","",_xll.BDP($A105&amp;" Corp",Q$14))</f>
        <v>#NAME?</v>
      </c>
      <c r="R105" s="30" t="e">
        <f ca="1">IF($B105="","",_xll.BDP($A105&amp;" Corp",R$14))</f>
        <v>#NAME?</v>
      </c>
      <c r="S105" s="50" t="e">
        <f ca="1">IF($B105="","",_xll.BDP($A105&amp;" Corp",S$14))</f>
        <v>#NAME?</v>
      </c>
      <c r="T105" s="30" t="e">
        <f ca="1">IF($B105="","",_xll.BDP($A105&amp;" Corp",T$14))</f>
        <v>#NAME?</v>
      </c>
      <c r="U105" s="30" t="e">
        <f ca="1">IF($B105="","",_xll.BDP($A105&amp;" Corp",U$14))</f>
        <v>#NAME?</v>
      </c>
      <c r="V105" s="51" t="e">
        <f ca="1">IF($B105="","",IF($T105="VARIABLE",_xll.BDP($A105&amp;" Corp",V$13),_xll.BDP($A105&amp;" Corp",V$14)))</f>
        <v>#NAME?</v>
      </c>
      <c r="W105" s="30" t="e">
        <f ca="1">IF($B105="","",IF($T105="VARIABLE",_xll.BDP($A105&amp;" Corp",W$13),_xll.BDP($A105&amp;" Corp",W$14)))</f>
        <v>#NAME?</v>
      </c>
      <c r="X105" s="30" t="e">
        <f ca="1">IF($B105="","",_xll.BDP($A105&amp;" Corp",X$14))</f>
        <v>#NAME?</v>
      </c>
      <c r="Y105" s="33" t="e">
        <f ca="1">IF($B105="","",_xll.BDP($A105&amp;" Corp",Y$14))</f>
        <v>#NAME?</v>
      </c>
      <c r="Z105" s="52" t="e">
        <f ca="1">IF($B105="","",_xll.BDP($A105&amp;" Corp",Z$14))</f>
        <v>#NAME?</v>
      </c>
      <c r="AA105" s="53" t="e">
        <f ca="1">IF($B105="","",_xll.BDP($A105&amp;" Corp",AA$14))</f>
        <v>#NAME?</v>
      </c>
      <c r="AB105" s="54" t="e">
        <f ca="1">IF($B105="","",_xll.BDP($A105&amp;" Corp",AB$14))</f>
        <v>#NAME?</v>
      </c>
      <c r="AC105" s="54" t="e">
        <f ca="1">IF($B105="","",_xll.BDP($A105&amp;" Corp",AC$14))</f>
        <v>#NAME?</v>
      </c>
      <c r="AD105" s="55" t="e">
        <f ca="1">IF($B105="","",_xll.BDP($A105&amp;" Corp",AD$14))</f>
        <v>#NAME?</v>
      </c>
      <c r="AE105" s="56" t="e">
        <f ca="1">IF($B105="","",_xll.BDP($A105&amp;" Corp",AE$14))</f>
        <v>#NAME?</v>
      </c>
      <c r="AF105" s="29" t="e">
        <f ca="1">IF($B105="","",_xll.BDP($A105&amp;" Corp",AF$14))</f>
        <v>#NAME?</v>
      </c>
      <c r="AG105" s="33" t="e">
        <f ca="1">IF($B105="","",_xll.BDP($A105&amp;" Corp",AG$14))</f>
        <v>#NAME?</v>
      </c>
      <c r="AH105" s="30" t="e">
        <f ca="1">IF($B105="","",_xll.BDP($A105&amp;" Corp",AH$14))</f>
        <v>#NAME?</v>
      </c>
      <c r="AI105" s="30" t="e">
        <f ca="1">IF($B105="","",_xll.BDP($A105&amp;" Corp",AI$14))</f>
        <v>#NAME?</v>
      </c>
      <c r="AJ105" s="30" t="e">
        <f ca="1">IF($B105="","",_xll.BDP($A105&amp;" Corp",AJ$14))</f>
        <v>#NAME?</v>
      </c>
      <c r="AK105" s="11" t="e">
        <f ca="1">IF($B105="","",_xll.BDP($A105&amp;" Corp",AK$14))</f>
        <v>#NAME?</v>
      </c>
      <c r="AL105" s="11" t="e">
        <f ca="1">IF($B105="","",_xll.BDP($A105&amp;" Corp",AL$14))</f>
        <v>#NAME?</v>
      </c>
      <c r="AM105" s="11" t="e">
        <f t="shared" ca="1" si="20"/>
        <v>#NAME?</v>
      </c>
      <c r="AN105" s="57" t="e">
        <f t="shared" ca="1" si="14"/>
        <v>#NAME?</v>
      </c>
    </row>
    <row r="106" spans="1:40" x14ac:dyDescent="0.3">
      <c r="A106" s="67" t="str">
        <f t="shared" si="15"/>
        <v>XS1928480166</v>
      </c>
      <c r="B106" s="68" t="s">
        <v>382</v>
      </c>
      <c r="C106" s="75">
        <v>7285</v>
      </c>
      <c r="D106" s="75">
        <v>128</v>
      </c>
      <c r="E106" s="75">
        <v>315000</v>
      </c>
      <c r="F106" s="69">
        <v>0.25726083</v>
      </c>
      <c r="G106" s="70">
        <v>326579.40000000002</v>
      </c>
      <c r="H106" s="67">
        <f t="shared" si="16"/>
        <v>315000</v>
      </c>
      <c r="I106" s="67">
        <f t="shared" si="17"/>
        <v>0.25726083</v>
      </c>
      <c r="J106" s="67">
        <f t="shared" si="18"/>
        <v>326579.40000000002</v>
      </c>
      <c r="K106" s="71">
        <f t="shared" si="19"/>
        <v>103.67600000000002</v>
      </c>
      <c r="L106" s="29" t="e">
        <f ca="1">IF(B106="","",_xll.BDP(A106&amp;" Corp","INTERVAL_HIGH","START_DATE_OVERRIDE",TEXT($L$12,"AAAAMMDD"),"END_DATE_OVERRIDE",TEXT($L$13,"AAAAMMDD"),"MARKET_DATA_OVERRIDE",$L$14))</f>
        <v>#NAME?</v>
      </c>
      <c r="M106" s="30" t="e">
        <f ca="1">IF(B106="","",_xll.BDP($A106&amp;" Corp","INTERVAL_LOW","START_DATE_OVERRIDE",TEXT($L$12,"AAAAMMDD"),"END_DATE_OVERRIDE",TEXT($L$13,"AAAAMMDD"),"MARKET_DATA_OVERRIDE",$L$14))</f>
        <v>#NAME?</v>
      </c>
      <c r="N106" s="31" t="e">
        <f ca="1">IF($B106="","",_xll.BDP($A106&amp;" Corp",N$15))</f>
        <v>#NAME?</v>
      </c>
      <c r="O106" s="32" t="e">
        <f ca="1">IF($B106="","",_xll.BDP($A106&amp;" Corp",O$15))</f>
        <v>#NAME?</v>
      </c>
      <c r="P106" s="32" t="e">
        <f ca="1">IF($B106="","",_xll.BDP($A106&amp;" Corp",P$15))</f>
        <v>#NAME?</v>
      </c>
      <c r="Q106" s="30" t="e">
        <f ca="1">IF($B106="","",_xll.BDP($A106&amp;" Corp",Q$14))</f>
        <v>#NAME?</v>
      </c>
      <c r="R106" s="30" t="e">
        <f ca="1">IF($B106="","",_xll.BDP($A106&amp;" Corp",R$14))</f>
        <v>#NAME?</v>
      </c>
      <c r="S106" s="50" t="e">
        <f ca="1">IF($B106="","",_xll.BDP($A106&amp;" Corp",S$14))</f>
        <v>#NAME?</v>
      </c>
      <c r="T106" s="30" t="e">
        <f ca="1">IF($B106="","",_xll.BDP($A106&amp;" Corp",T$14))</f>
        <v>#NAME?</v>
      </c>
      <c r="U106" s="30" t="e">
        <f ca="1">IF($B106="","",_xll.BDP($A106&amp;" Corp",U$14))</f>
        <v>#NAME?</v>
      </c>
      <c r="V106" s="51" t="e">
        <f ca="1">IF($B106="","",IF($T106="VARIABLE",_xll.BDP($A106&amp;" Corp",V$13),_xll.BDP($A106&amp;" Corp",V$14)))</f>
        <v>#NAME?</v>
      </c>
      <c r="W106" s="30" t="e">
        <f ca="1">IF($B106="","",IF($T106="VARIABLE",_xll.BDP($A106&amp;" Corp",W$13),_xll.BDP($A106&amp;" Corp",W$14)))</f>
        <v>#NAME?</v>
      </c>
      <c r="X106" s="30" t="e">
        <f ca="1">IF($B106="","",_xll.BDP($A106&amp;" Corp",X$14))</f>
        <v>#NAME?</v>
      </c>
      <c r="Y106" s="33" t="e">
        <f ca="1">IF($B106="","",_xll.BDP($A106&amp;" Corp",Y$14))</f>
        <v>#NAME?</v>
      </c>
      <c r="Z106" s="52" t="e">
        <f ca="1">IF($B106="","",_xll.BDP($A106&amp;" Corp",Z$14))</f>
        <v>#NAME?</v>
      </c>
      <c r="AA106" s="53" t="e">
        <f ca="1">IF($B106="","",_xll.BDP($A106&amp;" Corp",AA$14))</f>
        <v>#NAME?</v>
      </c>
      <c r="AB106" s="54" t="e">
        <f ca="1">IF($B106="","",_xll.BDP($A106&amp;" Corp",AB$14))</f>
        <v>#NAME?</v>
      </c>
      <c r="AC106" s="54" t="e">
        <f ca="1">IF($B106="","",_xll.BDP($A106&amp;" Corp",AC$14))</f>
        <v>#NAME?</v>
      </c>
      <c r="AD106" s="55" t="e">
        <f ca="1">IF($B106="","",_xll.BDP($A106&amp;" Corp",AD$14))</f>
        <v>#NAME?</v>
      </c>
      <c r="AE106" s="56" t="e">
        <f ca="1">IF($B106="","",_xll.BDP($A106&amp;" Corp",AE$14))</f>
        <v>#NAME?</v>
      </c>
      <c r="AF106" s="29" t="e">
        <f ca="1">IF($B106="","",_xll.BDP($A106&amp;" Corp",AF$14))</f>
        <v>#NAME?</v>
      </c>
      <c r="AG106" s="33" t="e">
        <f ca="1">IF($B106="","",_xll.BDP($A106&amp;" Corp",AG$14))</f>
        <v>#NAME?</v>
      </c>
      <c r="AH106" s="30" t="e">
        <f ca="1">IF($B106="","",_xll.BDP($A106&amp;" Corp",AH$14))</f>
        <v>#NAME?</v>
      </c>
      <c r="AI106" s="30" t="e">
        <f ca="1">IF($B106="","",_xll.BDP($A106&amp;" Corp",AI$14))</f>
        <v>#NAME?</v>
      </c>
      <c r="AJ106" s="30" t="e">
        <f ca="1">IF($B106="","",_xll.BDP($A106&amp;" Corp",AJ$14))</f>
        <v>#NAME?</v>
      </c>
      <c r="AK106" s="11" t="e">
        <f ca="1">IF($B106="","",_xll.BDP($A106&amp;" Corp",AK$14))</f>
        <v>#NAME?</v>
      </c>
      <c r="AL106" s="11" t="e">
        <f ca="1">IF($B106="","",_xll.BDP($A106&amp;" Corp",AL$14))</f>
        <v>#NAME?</v>
      </c>
      <c r="AM106" s="11" t="e">
        <f t="shared" ca="1" si="20"/>
        <v>#NAME?</v>
      </c>
      <c r="AN106" s="57" t="e">
        <f t="shared" ca="1" si="14"/>
        <v>#NAME?</v>
      </c>
    </row>
    <row r="107" spans="1:40" x14ac:dyDescent="0.3">
      <c r="A107" s="67" t="str">
        <f t="shared" si="15"/>
        <v>XS1933828433</v>
      </c>
      <c r="B107" s="68" t="s">
        <v>273</v>
      </c>
      <c r="C107" s="75">
        <v>8958</v>
      </c>
      <c r="D107" s="75">
        <v>128</v>
      </c>
      <c r="E107" s="75">
        <v>100000</v>
      </c>
      <c r="F107" s="69">
        <v>8.1367010000000004E-2</v>
      </c>
      <c r="G107" s="70">
        <v>109131</v>
      </c>
      <c r="H107" s="67">
        <f t="shared" si="16"/>
        <v>100000</v>
      </c>
      <c r="I107" s="67">
        <f t="shared" si="17"/>
        <v>8.1367010000000004E-2</v>
      </c>
      <c r="J107" s="67">
        <f t="shared" si="18"/>
        <v>109131</v>
      </c>
      <c r="K107" s="71">
        <f t="shared" si="19"/>
        <v>109.131</v>
      </c>
      <c r="L107" s="29" t="e">
        <f ca="1">IF(B107="","",_xll.BDP(A107&amp;" Corp","INTERVAL_HIGH","START_DATE_OVERRIDE",TEXT($L$12,"AAAAMMDD"),"END_DATE_OVERRIDE",TEXT($L$13,"AAAAMMDD"),"MARKET_DATA_OVERRIDE",$L$14))</f>
        <v>#NAME?</v>
      </c>
      <c r="M107" s="30" t="e">
        <f ca="1">IF(B107="","",_xll.BDP($A107&amp;" Corp","INTERVAL_LOW","START_DATE_OVERRIDE",TEXT($L$12,"AAAAMMDD"),"END_DATE_OVERRIDE",TEXT($L$13,"AAAAMMDD"),"MARKET_DATA_OVERRIDE",$L$14))</f>
        <v>#NAME?</v>
      </c>
      <c r="N107" s="31" t="e">
        <f ca="1">IF($B107="","",_xll.BDP($A107&amp;" Corp",N$15))</f>
        <v>#NAME?</v>
      </c>
      <c r="O107" s="32" t="e">
        <f ca="1">IF($B107="","",_xll.BDP($A107&amp;" Corp",O$15))</f>
        <v>#NAME?</v>
      </c>
      <c r="P107" s="32" t="e">
        <f ca="1">IF($B107="","",_xll.BDP($A107&amp;" Corp",P$15))</f>
        <v>#NAME?</v>
      </c>
      <c r="Q107" s="30" t="e">
        <f ca="1">IF($B107="","",_xll.BDP($A107&amp;" Corp",Q$14))</f>
        <v>#NAME?</v>
      </c>
      <c r="R107" s="30" t="e">
        <f ca="1">IF($B107="","",_xll.BDP($A107&amp;" Corp",R$14))</f>
        <v>#NAME?</v>
      </c>
      <c r="S107" s="50" t="e">
        <f ca="1">IF($B107="","",_xll.BDP($A107&amp;" Corp",S$14))</f>
        <v>#NAME?</v>
      </c>
      <c r="T107" s="30" t="e">
        <f ca="1">IF($B107="","",_xll.BDP($A107&amp;" Corp",T$14))</f>
        <v>#NAME?</v>
      </c>
      <c r="U107" s="30" t="e">
        <f ca="1">IF($B107="","",_xll.BDP($A107&amp;" Corp",U$14))</f>
        <v>#NAME?</v>
      </c>
      <c r="V107" s="51" t="e">
        <f ca="1">IF($B107="","",IF($T107="VARIABLE",_xll.BDP($A107&amp;" Corp",V$13),_xll.BDP($A107&amp;" Corp",V$14)))</f>
        <v>#NAME?</v>
      </c>
      <c r="W107" s="30" t="e">
        <f ca="1">IF($B107="","",IF($T107="VARIABLE",_xll.BDP($A107&amp;" Corp",W$13),_xll.BDP($A107&amp;" Corp",W$14)))</f>
        <v>#NAME?</v>
      </c>
      <c r="X107" s="30" t="e">
        <f ca="1">IF($B107="","",_xll.BDP($A107&amp;" Corp",X$14))</f>
        <v>#NAME?</v>
      </c>
      <c r="Y107" s="33" t="e">
        <f ca="1">IF($B107="","",_xll.BDP($A107&amp;" Corp",Y$14))</f>
        <v>#NAME?</v>
      </c>
      <c r="Z107" s="52" t="e">
        <f ca="1">IF($B107="","",_xll.BDP($A107&amp;" Corp",Z$14))</f>
        <v>#NAME?</v>
      </c>
      <c r="AA107" s="53" t="e">
        <f ca="1">IF($B107="","",_xll.BDP($A107&amp;" Corp",AA$14))</f>
        <v>#NAME?</v>
      </c>
      <c r="AB107" s="54" t="e">
        <f ca="1">IF($B107="","",_xll.BDP($A107&amp;" Corp",AB$14))</f>
        <v>#NAME?</v>
      </c>
      <c r="AC107" s="54" t="e">
        <f ca="1">IF($B107="","",_xll.BDP($A107&amp;" Corp",AC$14))</f>
        <v>#NAME?</v>
      </c>
      <c r="AD107" s="55" t="e">
        <f ca="1">IF($B107="","",_xll.BDP($A107&amp;" Corp",AD$14))</f>
        <v>#NAME?</v>
      </c>
      <c r="AE107" s="56" t="e">
        <f ca="1">IF($B107="","",_xll.BDP($A107&amp;" Corp",AE$14))</f>
        <v>#NAME?</v>
      </c>
      <c r="AF107" s="29" t="e">
        <f ca="1">IF($B107="","",_xll.BDP($A107&amp;" Corp",AF$14))</f>
        <v>#NAME?</v>
      </c>
      <c r="AG107" s="33" t="e">
        <f ca="1">IF($B107="","",_xll.BDP($A107&amp;" Corp",AG$14))</f>
        <v>#NAME?</v>
      </c>
      <c r="AH107" s="30" t="e">
        <f ca="1">IF($B107="","",_xll.BDP($A107&amp;" Corp",AH$14))</f>
        <v>#NAME?</v>
      </c>
      <c r="AI107" s="30" t="e">
        <f ca="1">IF($B107="","",_xll.BDP($A107&amp;" Corp",AI$14))</f>
        <v>#NAME?</v>
      </c>
      <c r="AJ107" s="30" t="e">
        <f ca="1">IF($B107="","",_xll.BDP($A107&amp;" Corp",AJ$14))</f>
        <v>#NAME?</v>
      </c>
      <c r="AK107" s="11" t="e">
        <f ca="1">IF($B107="","",_xll.BDP($A107&amp;" Corp",AK$14))</f>
        <v>#NAME?</v>
      </c>
      <c r="AL107" s="11" t="e">
        <f ca="1">IF($B107="","",_xll.BDP($A107&amp;" Corp",AL$14))</f>
        <v>#NAME?</v>
      </c>
      <c r="AM107" s="11" t="e">
        <f t="shared" ca="1" si="20"/>
        <v>#NAME?</v>
      </c>
      <c r="AN107" s="57" t="e">
        <f t="shared" ca="1" si="14"/>
        <v>#NAME?</v>
      </c>
    </row>
    <row r="108" spans="1:40" x14ac:dyDescent="0.3">
      <c r="A108" s="67" t="str">
        <f t="shared" si="15"/>
        <v>XS2001315766</v>
      </c>
      <c r="B108" s="68" t="s">
        <v>332</v>
      </c>
      <c r="C108" s="75">
        <v>7213</v>
      </c>
      <c r="D108" s="75">
        <v>128</v>
      </c>
      <c r="E108" s="75">
        <v>900000</v>
      </c>
      <c r="F108" s="69">
        <v>0.66025838000000003</v>
      </c>
      <c r="G108" s="70">
        <v>905552</v>
      </c>
      <c r="H108" s="67">
        <f t="shared" si="16"/>
        <v>900000</v>
      </c>
      <c r="I108" s="67">
        <f t="shared" si="17"/>
        <v>0.66025838000000003</v>
      </c>
      <c r="J108" s="67">
        <f t="shared" si="18"/>
        <v>905552</v>
      </c>
      <c r="K108" s="71">
        <f t="shared" si="19"/>
        <v>100.61688888888889</v>
      </c>
      <c r="L108" s="29" t="e">
        <f ca="1">IF(B108="","",_xll.BDP(A108&amp;" Corp","INTERVAL_HIGH","START_DATE_OVERRIDE",TEXT($L$12,"AAAAMMDD"),"END_DATE_OVERRIDE",TEXT($L$13,"AAAAMMDD"),"MARKET_DATA_OVERRIDE",$L$14))</f>
        <v>#NAME?</v>
      </c>
      <c r="M108" s="30" t="e">
        <f ca="1">IF(B108="","",_xll.BDP($A108&amp;" Corp","INTERVAL_LOW","START_DATE_OVERRIDE",TEXT($L$12,"AAAAMMDD"),"END_DATE_OVERRIDE",TEXT($L$13,"AAAAMMDD"),"MARKET_DATA_OVERRIDE",$L$14))</f>
        <v>#NAME?</v>
      </c>
      <c r="N108" s="31" t="e">
        <f ca="1">IF($B108="","",_xll.BDP($A108&amp;" Corp",N$15))</f>
        <v>#NAME?</v>
      </c>
      <c r="O108" s="32" t="e">
        <f ca="1">IF($B108="","",_xll.BDP($A108&amp;" Corp",O$15))</f>
        <v>#NAME?</v>
      </c>
      <c r="P108" s="32" t="e">
        <f ca="1">IF($B108="","",_xll.BDP($A108&amp;" Corp",P$15))</f>
        <v>#NAME?</v>
      </c>
      <c r="Q108" s="30" t="e">
        <f ca="1">IF($B108="","",_xll.BDP($A108&amp;" Corp",Q$14))</f>
        <v>#NAME?</v>
      </c>
      <c r="R108" s="30" t="e">
        <f ca="1">IF($B108="","",_xll.BDP($A108&amp;" Corp",R$14))</f>
        <v>#NAME?</v>
      </c>
      <c r="S108" s="50" t="e">
        <f ca="1">IF($B108="","",_xll.BDP($A108&amp;" Corp",S$14))</f>
        <v>#NAME?</v>
      </c>
      <c r="T108" s="30" t="e">
        <f ca="1">IF($B108="","",_xll.BDP($A108&amp;" Corp",T$14))</f>
        <v>#NAME?</v>
      </c>
      <c r="U108" s="30" t="e">
        <f ca="1">IF($B108="","",_xll.BDP($A108&amp;" Corp",U$14))</f>
        <v>#NAME?</v>
      </c>
      <c r="V108" s="51" t="e">
        <f ca="1">IF($B108="","",IF($T108="VARIABLE",_xll.BDP($A108&amp;" Corp",V$13),_xll.BDP($A108&amp;" Corp",V$14)))</f>
        <v>#NAME?</v>
      </c>
      <c r="W108" s="30" t="e">
        <f ca="1">IF($B108="","",IF($T108="VARIABLE",_xll.BDP($A108&amp;" Corp",W$13),_xll.BDP($A108&amp;" Corp",W$14)))</f>
        <v>#NAME?</v>
      </c>
      <c r="X108" s="30" t="e">
        <f ca="1">IF($B108="","",_xll.BDP($A108&amp;" Corp",X$14))</f>
        <v>#NAME?</v>
      </c>
      <c r="Y108" s="33" t="e">
        <f ca="1">IF($B108="","",_xll.BDP($A108&amp;" Corp",Y$14))</f>
        <v>#NAME?</v>
      </c>
      <c r="Z108" s="52" t="e">
        <f ca="1">IF($B108="","",_xll.BDP($A108&amp;" Corp",Z$14))</f>
        <v>#NAME?</v>
      </c>
      <c r="AA108" s="53" t="e">
        <f ca="1">IF($B108="","",_xll.BDP($A108&amp;" Corp",AA$14))</f>
        <v>#NAME?</v>
      </c>
      <c r="AB108" s="54" t="e">
        <f ca="1">IF($B108="","",_xll.BDP($A108&amp;" Corp",AB$14))</f>
        <v>#NAME?</v>
      </c>
      <c r="AC108" s="54" t="e">
        <f ca="1">IF($B108="","",_xll.BDP($A108&amp;" Corp",AC$14))</f>
        <v>#NAME?</v>
      </c>
      <c r="AD108" s="55" t="e">
        <f ca="1">IF($B108="","",_xll.BDP($A108&amp;" Corp",AD$14))</f>
        <v>#NAME?</v>
      </c>
      <c r="AE108" s="56" t="e">
        <f ca="1">IF($B108="","",_xll.BDP($A108&amp;" Corp",AE$14))</f>
        <v>#NAME?</v>
      </c>
      <c r="AF108" s="29" t="e">
        <f ca="1">IF($B108="","",_xll.BDP($A108&amp;" Corp",AF$14))</f>
        <v>#NAME?</v>
      </c>
      <c r="AG108" s="33" t="e">
        <f ca="1">IF($B108="","",_xll.BDP($A108&amp;" Corp",AG$14))</f>
        <v>#NAME?</v>
      </c>
      <c r="AH108" s="30" t="e">
        <f ca="1">IF($B108="","",_xll.BDP($A108&amp;" Corp",AH$14))</f>
        <v>#NAME?</v>
      </c>
      <c r="AI108" s="30" t="e">
        <f ca="1">IF($B108="","",_xll.BDP($A108&amp;" Corp",AI$14))</f>
        <v>#NAME?</v>
      </c>
      <c r="AJ108" s="30" t="e">
        <f ca="1">IF($B108="","",_xll.BDP($A108&amp;" Corp",AJ$14))</f>
        <v>#NAME?</v>
      </c>
      <c r="AK108" s="11" t="e">
        <f ca="1">IF($B108="","",_xll.BDP($A108&amp;" Corp",AK$14))</f>
        <v>#NAME?</v>
      </c>
      <c r="AL108" s="11" t="e">
        <f ca="1">IF($B108="","",_xll.BDP($A108&amp;" Corp",AL$14))</f>
        <v>#NAME?</v>
      </c>
      <c r="AM108" s="11" t="e">
        <f t="shared" ca="1" si="20"/>
        <v>#NAME?</v>
      </c>
      <c r="AN108" s="57" t="e">
        <f t="shared" ca="1" si="14"/>
        <v>#NAME?</v>
      </c>
    </row>
    <row r="109" spans="1:40" x14ac:dyDescent="0.3">
      <c r="A109" s="67" t="str">
        <f t="shared" si="15"/>
        <v>XS2009152591</v>
      </c>
      <c r="B109" s="68" t="s">
        <v>281</v>
      </c>
      <c r="C109" s="75">
        <v>9505</v>
      </c>
      <c r="D109" s="75">
        <v>128</v>
      </c>
      <c r="E109" s="75">
        <v>100000</v>
      </c>
      <c r="F109" s="69">
        <v>7.6689709999999994E-2</v>
      </c>
      <c r="G109" s="70">
        <v>100879.5</v>
      </c>
      <c r="H109" s="67">
        <f t="shared" si="16"/>
        <v>100000</v>
      </c>
      <c r="I109" s="67">
        <f t="shared" si="17"/>
        <v>7.6689709999999994E-2</v>
      </c>
      <c r="J109" s="67">
        <f t="shared" si="18"/>
        <v>100879.5</v>
      </c>
      <c r="K109" s="71">
        <f t="shared" si="19"/>
        <v>100.87949999999999</v>
      </c>
      <c r="L109" s="29" t="e">
        <f ca="1">IF(B109="","",_xll.BDP(A109&amp;" Corp","INTERVAL_HIGH","START_DATE_OVERRIDE",TEXT($L$12,"AAAAMMDD"),"END_DATE_OVERRIDE",TEXT($L$13,"AAAAMMDD"),"MARKET_DATA_OVERRIDE",$L$14))</f>
        <v>#NAME?</v>
      </c>
      <c r="M109" s="30" t="e">
        <f ca="1">IF(B109="","",_xll.BDP($A109&amp;" Corp","INTERVAL_LOW","START_DATE_OVERRIDE",TEXT($L$12,"AAAAMMDD"),"END_DATE_OVERRIDE",TEXT($L$13,"AAAAMMDD"),"MARKET_DATA_OVERRIDE",$L$14))</f>
        <v>#NAME?</v>
      </c>
      <c r="N109" s="31" t="e">
        <f ca="1">IF($B109="","",_xll.BDP($A109&amp;" Corp",N$15))</f>
        <v>#NAME?</v>
      </c>
      <c r="O109" s="32" t="e">
        <f ca="1">IF($B109="","",_xll.BDP($A109&amp;" Corp",O$15))</f>
        <v>#NAME?</v>
      </c>
      <c r="P109" s="32" t="e">
        <f ca="1">IF($B109="","",_xll.BDP($A109&amp;" Corp",P$15))</f>
        <v>#NAME?</v>
      </c>
      <c r="Q109" s="30" t="e">
        <f ca="1">IF($B109="","",_xll.BDP($A109&amp;" Corp",Q$14))</f>
        <v>#NAME?</v>
      </c>
      <c r="R109" s="30" t="e">
        <f ca="1">IF($B109="","",_xll.BDP($A109&amp;" Corp",R$14))</f>
        <v>#NAME?</v>
      </c>
      <c r="S109" s="50" t="e">
        <f ca="1">IF($B109="","",_xll.BDP($A109&amp;" Corp",S$14))</f>
        <v>#NAME?</v>
      </c>
      <c r="T109" s="30" t="e">
        <f ca="1">IF($B109="","",_xll.BDP($A109&amp;" Corp",T$14))</f>
        <v>#NAME?</v>
      </c>
      <c r="U109" s="30" t="e">
        <f ca="1">IF($B109="","",_xll.BDP($A109&amp;" Corp",U$14))</f>
        <v>#NAME?</v>
      </c>
      <c r="V109" s="51" t="e">
        <f ca="1">IF($B109="","",IF($T109="VARIABLE",_xll.BDP($A109&amp;" Corp",V$13),_xll.BDP($A109&amp;" Corp",V$14)))</f>
        <v>#NAME?</v>
      </c>
      <c r="W109" s="30" t="e">
        <f ca="1">IF($B109="","",IF($T109="VARIABLE",_xll.BDP($A109&amp;" Corp",W$13),_xll.BDP($A109&amp;" Corp",W$14)))</f>
        <v>#NAME?</v>
      </c>
      <c r="X109" s="30" t="e">
        <f ca="1">IF($B109="","",_xll.BDP($A109&amp;" Corp",X$14))</f>
        <v>#NAME?</v>
      </c>
      <c r="Y109" s="33" t="e">
        <f ca="1">IF($B109="","",_xll.BDP($A109&amp;" Corp",Y$14))</f>
        <v>#NAME?</v>
      </c>
      <c r="Z109" s="52" t="e">
        <f ca="1">IF($B109="","",_xll.BDP($A109&amp;" Corp",Z$14))</f>
        <v>#NAME?</v>
      </c>
      <c r="AA109" s="53" t="e">
        <f ca="1">IF($B109="","",_xll.BDP($A109&amp;" Corp",AA$14))</f>
        <v>#NAME?</v>
      </c>
      <c r="AB109" s="54" t="e">
        <f ca="1">IF($B109="","",_xll.BDP($A109&amp;" Corp",AB$14))</f>
        <v>#NAME?</v>
      </c>
      <c r="AC109" s="54" t="e">
        <f ca="1">IF($B109="","",_xll.BDP($A109&amp;" Corp",AC$14))</f>
        <v>#NAME?</v>
      </c>
      <c r="AD109" s="55" t="e">
        <f ca="1">IF($B109="","",_xll.BDP($A109&amp;" Corp",AD$14))</f>
        <v>#NAME?</v>
      </c>
      <c r="AE109" s="56" t="e">
        <f ca="1">IF($B109="","",_xll.BDP($A109&amp;" Corp",AE$14))</f>
        <v>#NAME?</v>
      </c>
      <c r="AF109" s="29" t="e">
        <f ca="1">IF($B109="","",_xll.BDP($A109&amp;" Corp",AF$14))</f>
        <v>#NAME?</v>
      </c>
      <c r="AG109" s="33" t="e">
        <f ca="1">IF($B109="","",_xll.BDP($A109&amp;" Corp",AG$14))</f>
        <v>#NAME?</v>
      </c>
      <c r="AH109" s="30" t="e">
        <f ca="1">IF($B109="","",_xll.BDP($A109&amp;" Corp",AH$14))</f>
        <v>#NAME?</v>
      </c>
      <c r="AI109" s="30" t="e">
        <f ca="1">IF($B109="","",_xll.BDP($A109&amp;" Corp",AI$14))</f>
        <v>#NAME?</v>
      </c>
      <c r="AJ109" s="30" t="e">
        <f ca="1">IF($B109="","",_xll.BDP($A109&amp;" Corp",AJ$14))</f>
        <v>#NAME?</v>
      </c>
      <c r="AK109" s="11" t="e">
        <f ca="1">IF($B109="","",_xll.BDP($A109&amp;" Corp",AK$14))</f>
        <v>#NAME?</v>
      </c>
      <c r="AL109" s="11" t="e">
        <f ca="1">IF($B109="","",_xll.BDP($A109&amp;" Corp",AL$14))</f>
        <v>#NAME?</v>
      </c>
      <c r="AM109" s="11" t="e">
        <f t="shared" ca="1" si="20"/>
        <v>#NAME?</v>
      </c>
      <c r="AN109" s="57" t="e">
        <f t="shared" ca="1" si="14"/>
        <v>#NAME?</v>
      </c>
    </row>
    <row r="110" spans="1:40" x14ac:dyDescent="0.3">
      <c r="A110" s="67" t="str">
        <f t="shared" si="15"/>
        <v>XS2015314037</v>
      </c>
      <c r="B110" s="68" t="s">
        <v>385</v>
      </c>
      <c r="C110" s="75">
        <v>7033</v>
      </c>
      <c r="D110" s="75">
        <v>128</v>
      </c>
      <c r="E110" s="75">
        <v>500000</v>
      </c>
      <c r="F110" s="69">
        <v>0.40284698000000002</v>
      </c>
      <c r="G110" s="70">
        <v>531847.5</v>
      </c>
      <c r="H110" s="67">
        <f t="shared" si="16"/>
        <v>500000</v>
      </c>
      <c r="I110" s="67">
        <f t="shared" si="17"/>
        <v>0.40284698000000002</v>
      </c>
      <c r="J110" s="67">
        <f t="shared" si="18"/>
        <v>531847.5</v>
      </c>
      <c r="K110" s="71">
        <f t="shared" si="19"/>
        <v>106.3695</v>
      </c>
      <c r="L110" s="29" t="e">
        <f ca="1">IF(B110="","",_xll.BDP(A110&amp;" Corp","INTERVAL_HIGH","START_DATE_OVERRIDE",TEXT($L$12,"AAAAMMDD"),"END_DATE_OVERRIDE",TEXT($L$13,"AAAAMMDD"),"MARKET_DATA_OVERRIDE",$L$14))</f>
        <v>#NAME?</v>
      </c>
      <c r="M110" s="30" t="e">
        <f ca="1">IF(B110="","",_xll.BDP($A110&amp;" Corp","INTERVAL_LOW","START_DATE_OVERRIDE",TEXT($L$12,"AAAAMMDD"),"END_DATE_OVERRIDE",TEXT($L$13,"AAAAMMDD"),"MARKET_DATA_OVERRIDE",$L$14))</f>
        <v>#NAME?</v>
      </c>
      <c r="N110" s="31" t="e">
        <f ca="1">IF($B110="","",_xll.BDP($A110&amp;" Corp",N$15))</f>
        <v>#NAME?</v>
      </c>
      <c r="O110" s="32" t="e">
        <f ca="1">IF($B110="","",_xll.BDP($A110&amp;" Corp",O$15))</f>
        <v>#NAME?</v>
      </c>
      <c r="P110" s="32" t="e">
        <f ca="1">IF($B110="","",_xll.BDP($A110&amp;" Corp",P$15))</f>
        <v>#NAME?</v>
      </c>
      <c r="Q110" s="30" t="e">
        <f ca="1">IF($B110="","",_xll.BDP($A110&amp;" Corp",Q$14))</f>
        <v>#NAME?</v>
      </c>
      <c r="R110" s="30" t="e">
        <f ca="1">IF($B110="","",_xll.BDP($A110&amp;" Corp",R$14))</f>
        <v>#NAME?</v>
      </c>
      <c r="S110" s="50" t="e">
        <f ca="1">IF($B110="","",_xll.BDP($A110&amp;" Corp",S$14))</f>
        <v>#NAME?</v>
      </c>
      <c r="T110" s="30" t="e">
        <f ca="1">IF($B110="","",_xll.BDP($A110&amp;" Corp",T$14))</f>
        <v>#NAME?</v>
      </c>
      <c r="U110" s="30" t="e">
        <f ca="1">IF($B110="","",_xll.BDP($A110&amp;" Corp",U$14))</f>
        <v>#NAME?</v>
      </c>
      <c r="V110" s="51" t="e">
        <f ca="1">IF($B110="","",IF($T110="VARIABLE",_xll.BDP($A110&amp;" Corp",V$13),_xll.BDP($A110&amp;" Corp",V$14)))</f>
        <v>#NAME?</v>
      </c>
      <c r="W110" s="30" t="e">
        <f ca="1">IF($B110="","",IF($T110="VARIABLE",_xll.BDP($A110&amp;" Corp",W$13),_xll.BDP($A110&amp;" Corp",W$14)))</f>
        <v>#NAME?</v>
      </c>
      <c r="X110" s="30" t="e">
        <f ca="1">IF($B110="","",_xll.BDP($A110&amp;" Corp",X$14))</f>
        <v>#NAME?</v>
      </c>
      <c r="Y110" s="33" t="e">
        <f ca="1">IF($B110="","",_xll.BDP($A110&amp;" Corp",Y$14))</f>
        <v>#NAME?</v>
      </c>
      <c r="Z110" s="52" t="e">
        <f ca="1">IF($B110="","",_xll.BDP($A110&amp;" Corp",Z$14))</f>
        <v>#NAME?</v>
      </c>
      <c r="AA110" s="53" t="e">
        <f ca="1">IF($B110="","",_xll.BDP($A110&amp;" Corp",AA$14))</f>
        <v>#NAME?</v>
      </c>
      <c r="AB110" s="54" t="e">
        <f ca="1">IF($B110="","",_xll.BDP($A110&amp;" Corp",AB$14))</f>
        <v>#NAME?</v>
      </c>
      <c r="AC110" s="54" t="e">
        <f ca="1">IF($B110="","",_xll.BDP($A110&amp;" Corp",AC$14))</f>
        <v>#NAME?</v>
      </c>
      <c r="AD110" s="55" t="e">
        <f ca="1">IF($B110="","",_xll.BDP($A110&amp;" Corp",AD$14))</f>
        <v>#NAME?</v>
      </c>
      <c r="AE110" s="56" t="e">
        <f ca="1">IF($B110="","",_xll.BDP($A110&amp;" Corp",AE$14))</f>
        <v>#NAME?</v>
      </c>
      <c r="AF110" s="29" t="e">
        <f ca="1">IF($B110="","",_xll.BDP($A110&amp;" Corp",AF$14))</f>
        <v>#NAME?</v>
      </c>
      <c r="AG110" s="33" t="e">
        <f ca="1">IF($B110="","",_xll.BDP($A110&amp;" Corp",AG$14))</f>
        <v>#NAME?</v>
      </c>
      <c r="AH110" s="30" t="e">
        <f ca="1">IF($B110="","",_xll.BDP($A110&amp;" Corp",AH$14))</f>
        <v>#NAME?</v>
      </c>
      <c r="AI110" s="30" t="e">
        <f ca="1">IF($B110="","",_xll.BDP($A110&amp;" Corp",AI$14))</f>
        <v>#NAME?</v>
      </c>
      <c r="AJ110" s="30" t="e">
        <f ca="1">IF($B110="","",_xll.BDP($A110&amp;" Corp",AJ$14))</f>
        <v>#NAME?</v>
      </c>
      <c r="AK110" s="11" t="e">
        <f ca="1">IF($B110="","",_xll.BDP($A110&amp;" Corp",AK$14))</f>
        <v>#NAME?</v>
      </c>
      <c r="AL110" s="11" t="e">
        <f ca="1">IF($B110="","",_xll.BDP($A110&amp;" Corp",AL$14))</f>
        <v>#NAME?</v>
      </c>
      <c r="AM110" s="11" t="e">
        <f t="shared" ca="1" si="20"/>
        <v>#NAME?</v>
      </c>
      <c r="AN110" s="57" t="e">
        <f t="shared" ca="1" si="14"/>
        <v>#NAME?</v>
      </c>
    </row>
    <row r="111" spans="1:40" x14ac:dyDescent="0.3">
      <c r="A111" s="67" t="str">
        <f t="shared" si="15"/>
        <v>XS2018637913</v>
      </c>
      <c r="B111" s="68" t="s">
        <v>430</v>
      </c>
      <c r="C111" s="75">
        <v>10458</v>
      </c>
      <c r="D111" s="75">
        <v>128</v>
      </c>
      <c r="E111" s="75">
        <v>1000000</v>
      </c>
      <c r="F111" s="69">
        <v>0.78810634999999996</v>
      </c>
      <c r="G111" s="70">
        <v>959170</v>
      </c>
      <c r="H111" s="67">
        <f t="shared" si="16"/>
        <v>1000000</v>
      </c>
      <c r="I111" s="67">
        <f t="shared" si="17"/>
        <v>0.78810634999999996</v>
      </c>
      <c r="J111" s="67">
        <f t="shared" si="18"/>
        <v>959170</v>
      </c>
      <c r="K111" s="71">
        <f t="shared" si="19"/>
        <v>95.917000000000002</v>
      </c>
      <c r="L111" s="29" t="e">
        <f ca="1">IF(B111="","",_xll.BDP(A111&amp;" Corp","INTERVAL_HIGH","START_DATE_OVERRIDE",TEXT($L$12,"AAAAMMDD"),"END_DATE_OVERRIDE",TEXT($L$13,"AAAAMMDD"),"MARKET_DATA_OVERRIDE",$L$14))</f>
        <v>#NAME?</v>
      </c>
      <c r="M111" s="30" t="e">
        <f ca="1">IF(B111="","",_xll.BDP($A111&amp;" Corp","INTERVAL_LOW","START_DATE_OVERRIDE",TEXT($L$12,"AAAAMMDD"),"END_DATE_OVERRIDE",TEXT($L$13,"AAAAMMDD"),"MARKET_DATA_OVERRIDE",$L$14))</f>
        <v>#NAME?</v>
      </c>
      <c r="N111" s="31" t="e">
        <f ca="1">IF($B111="","",_xll.BDP($A111&amp;" Corp",N$15))</f>
        <v>#NAME?</v>
      </c>
      <c r="O111" s="32" t="e">
        <f ca="1">IF($B111="","",_xll.BDP($A111&amp;" Corp",O$15))</f>
        <v>#NAME?</v>
      </c>
      <c r="P111" s="32" t="e">
        <f ca="1">IF($B111="","",_xll.BDP($A111&amp;" Corp",P$15))</f>
        <v>#NAME?</v>
      </c>
      <c r="Q111" s="30" t="e">
        <f ca="1">IF($B111="","",_xll.BDP($A111&amp;" Corp",Q$14))</f>
        <v>#NAME?</v>
      </c>
      <c r="R111" s="30" t="e">
        <f ca="1">IF($B111="","",_xll.BDP($A111&amp;" Corp",R$14))</f>
        <v>#NAME?</v>
      </c>
      <c r="S111" s="50" t="e">
        <f ca="1">IF($B111="","",_xll.BDP($A111&amp;" Corp",S$14))</f>
        <v>#NAME?</v>
      </c>
      <c r="T111" s="30" t="e">
        <f ca="1">IF($B111="","",_xll.BDP($A111&amp;" Corp",T$14))</f>
        <v>#NAME?</v>
      </c>
      <c r="U111" s="30" t="e">
        <f ca="1">IF($B111="","",_xll.BDP($A111&amp;" Corp",U$14))</f>
        <v>#NAME?</v>
      </c>
      <c r="V111" s="51" t="e">
        <f ca="1">IF($B111="","",IF($T111="VARIABLE",_xll.BDP($A111&amp;" Corp",V$13),_xll.BDP($A111&amp;" Corp",V$14)))</f>
        <v>#NAME?</v>
      </c>
      <c r="W111" s="30" t="e">
        <f ca="1">IF($B111="","",IF($T111="VARIABLE",_xll.BDP($A111&amp;" Corp",W$13),_xll.BDP($A111&amp;" Corp",W$14)))</f>
        <v>#NAME?</v>
      </c>
      <c r="X111" s="30" t="e">
        <f ca="1">IF($B111="","",_xll.BDP($A111&amp;" Corp",X$14))</f>
        <v>#NAME?</v>
      </c>
      <c r="Y111" s="33" t="e">
        <f ca="1">IF($B111="","",_xll.BDP($A111&amp;" Corp",Y$14))</f>
        <v>#NAME?</v>
      </c>
      <c r="Z111" s="52" t="e">
        <f ca="1">IF($B111="","",_xll.BDP($A111&amp;" Corp",Z$14))</f>
        <v>#NAME?</v>
      </c>
      <c r="AA111" s="53" t="e">
        <f ca="1">IF($B111="","",_xll.BDP($A111&amp;" Corp",AA$14))</f>
        <v>#NAME?</v>
      </c>
      <c r="AB111" s="54" t="e">
        <f ca="1">IF($B111="","",_xll.BDP($A111&amp;" Corp",AB$14))</f>
        <v>#NAME?</v>
      </c>
      <c r="AC111" s="54" t="e">
        <f ca="1">IF($B111="","",_xll.BDP($A111&amp;" Corp",AC$14))</f>
        <v>#NAME?</v>
      </c>
      <c r="AD111" s="55" t="e">
        <f ca="1">IF($B111="","",_xll.BDP($A111&amp;" Corp",AD$14))</f>
        <v>#NAME?</v>
      </c>
      <c r="AE111" s="56" t="e">
        <f ca="1">IF($B111="","",_xll.BDP($A111&amp;" Corp",AE$14))</f>
        <v>#NAME?</v>
      </c>
      <c r="AF111" s="29" t="e">
        <f ca="1">IF($B111="","",_xll.BDP($A111&amp;" Corp",AF$14))</f>
        <v>#NAME?</v>
      </c>
      <c r="AG111" s="33" t="e">
        <f ca="1">IF($B111="","",_xll.BDP($A111&amp;" Corp",AG$14))</f>
        <v>#NAME?</v>
      </c>
      <c r="AH111" s="30" t="e">
        <f ca="1">IF($B111="","",_xll.BDP($A111&amp;" Corp",AH$14))</f>
        <v>#NAME?</v>
      </c>
      <c r="AI111" s="30" t="e">
        <f ca="1">IF($B111="","",_xll.BDP($A111&amp;" Corp",AI$14))</f>
        <v>#NAME?</v>
      </c>
      <c r="AJ111" s="30" t="e">
        <f ca="1">IF($B111="","",_xll.BDP($A111&amp;" Corp",AJ$14))</f>
        <v>#NAME?</v>
      </c>
      <c r="AK111" s="11" t="e">
        <f ca="1">IF($B111="","",_xll.BDP($A111&amp;" Corp",AK$14))</f>
        <v>#NAME?</v>
      </c>
      <c r="AL111" s="11" t="e">
        <f ca="1">IF($B111="","",_xll.BDP($A111&amp;" Corp",AL$14))</f>
        <v>#NAME?</v>
      </c>
      <c r="AM111" s="11" t="e">
        <f t="shared" ca="1" si="20"/>
        <v>#NAME?</v>
      </c>
      <c r="AN111" s="57" t="e">
        <f t="shared" ca="1" si="14"/>
        <v>#NAME?</v>
      </c>
    </row>
    <row r="112" spans="1:40" x14ac:dyDescent="0.3">
      <c r="A112" s="67" t="str">
        <f t="shared" si="15"/>
        <v>XS2020581752</v>
      </c>
      <c r="B112" s="68" t="s">
        <v>284</v>
      </c>
      <c r="C112" s="75">
        <v>9302</v>
      </c>
      <c r="D112" s="75">
        <v>128</v>
      </c>
      <c r="E112" s="75">
        <v>200000</v>
      </c>
      <c r="F112" s="69">
        <v>0.13972763999999999</v>
      </c>
      <c r="G112" s="70">
        <v>182042</v>
      </c>
      <c r="H112" s="67">
        <f t="shared" si="16"/>
        <v>200000</v>
      </c>
      <c r="I112" s="67">
        <f t="shared" si="17"/>
        <v>0.13972763999999999</v>
      </c>
      <c r="J112" s="67">
        <f t="shared" si="18"/>
        <v>182042</v>
      </c>
      <c r="K112" s="71">
        <f t="shared" si="19"/>
        <v>91.021000000000001</v>
      </c>
      <c r="L112" s="29" t="e">
        <f ca="1">IF(B112="","",_xll.BDP(A112&amp;" Corp","INTERVAL_HIGH","START_DATE_OVERRIDE",TEXT($L$12,"AAAAMMDD"),"END_DATE_OVERRIDE",TEXT($L$13,"AAAAMMDD"),"MARKET_DATA_OVERRIDE",$L$14))</f>
        <v>#NAME?</v>
      </c>
      <c r="M112" s="30" t="e">
        <f ca="1">IF(B112="","",_xll.BDP($A112&amp;" Corp","INTERVAL_LOW","START_DATE_OVERRIDE",TEXT($L$12,"AAAAMMDD"),"END_DATE_OVERRIDE",TEXT($L$13,"AAAAMMDD"),"MARKET_DATA_OVERRIDE",$L$14))</f>
        <v>#NAME?</v>
      </c>
      <c r="N112" s="31" t="e">
        <f ca="1">IF($B112="","",_xll.BDP($A112&amp;" Corp",N$15))</f>
        <v>#NAME?</v>
      </c>
      <c r="O112" s="32" t="e">
        <f ca="1">IF($B112="","",_xll.BDP($A112&amp;" Corp",O$15))</f>
        <v>#NAME?</v>
      </c>
      <c r="P112" s="32" t="e">
        <f ca="1">IF($B112="","",_xll.BDP($A112&amp;" Corp",P$15))</f>
        <v>#NAME?</v>
      </c>
      <c r="Q112" s="30" t="e">
        <f ca="1">IF($B112="","",_xll.BDP($A112&amp;" Corp",Q$14))</f>
        <v>#NAME?</v>
      </c>
      <c r="R112" s="30" t="e">
        <f ca="1">IF($B112="","",_xll.BDP($A112&amp;" Corp",R$14))</f>
        <v>#NAME?</v>
      </c>
      <c r="S112" s="50" t="e">
        <f ca="1">IF($B112="","",_xll.BDP($A112&amp;" Corp",S$14))</f>
        <v>#NAME?</v>
      </c>
      <c r="T112" s="30" t="e">
        <f ca="1">IF($B112="","",_xll.BDP($A112&amp;" Corp",T$14))</f>
        <v>#NAME?</v>
      </c>
      <c r="U112" s="30" t="e">
        <f ca="1">IF($B112="","",_xll.BDP($A112&amp;" Corp",U$14))</f>
        <v>#NAME?</v>
      </c>
      <c r="V112" s="51" t="e">
        <f ca="1">IF($B112="","",IF($T112="VARIABLE",_xll.BDP($A112&amp;" Corp",V$13),_xll.BDP($A112&amp;" Corp",V$14)))</f>
        <v>#NAME?</v>
      </c>
      <c r="W112" s="30" t="e">
        <f ca="1">IF($B112="","",IF($T112="VARIABLE",_xll.BDP($A112&amp;" Corp",W$13),_xll.BDP($A112&amp;" Corp",W$14)))</f>
        <v>#NAME?</v>
      </c>
      <c r="X112" s="30" t="e">
        <f ca="1">IF($B112="","",_xll.BDP($A112&amp;" Corp",X$14))</f>
        <v>#NAME?</v>
      </c>
      <c r="Y112" s="33" t="e">
        <f ca="1">IF($B112="","",_xll.BDP($A112&amp;" Corp",Y$14))</f>
        <v>#NAME?</v>
      </c>
      <c r="Z112" s="52" t="e">
        <f ca="1">IF($B112="","",_xll.BDP($A112&amp;" Corp",Z$14))</f>
        <v>#NAME?</v>
      </c>
      <c r="AA112" s="53" t="e">
        <f ca="1">IF($B112="","",_xll.BDP($A112&amp;" Corp",AA$14))</f>
        <v>#NAME?</v>
      </c>
      <c r="AB112" s="54" t="e">
        <f ca="1">IF($B112="","",_xll.BDP($A112&amp;" Corp",AB$14))</f>
        <v>#NAME?</v>
      </c>
      <c r="AC112" s="54" t="e">
        <f ca="1">IF($B112="","",_xll.BDP($A112&amp;" Corp",AC$14))</f>
        <v>#NAME?</v>
      </c>
      <c r="AD112" s="55" t="e">
        <f ca="1">IF($B112="","",_xll.BDP($A112&amp;" Corp",AD$14))</f>
        <v>#NAME?</v>
      </c>
      <c r="AE112" s="56" t="e">
        <f ca="1">IF($B112="","",_xll.BDP($A112&amp;" Corp",AE$14))</f>
        <v>#NAME?</v>
      </c>
      <c r="AF112" s="29" t="e">
        <f ca="1">IF($B112="","",_xll.BDP($A112&amp;" Corp",AF$14))</f>
        <v>#NAME?</v>
      </c>
      <c r="AG112" s="33" t="e">
        <f ca="1">IF($B112="","",_xll.BDP($A112&amp;" Corp",AG$14))</f>
        <v>#NAME?</v>
      </c>
      <c r="AH112" s="30" t="e">
        <f ca="1">IF($B112="","",_xll.BDP($A112&amp;" Corp",AH$14))</f>
        <v>#NAME?</v>
      </c>
      <c r="AI112" s="30" t="e">
        <f ca="1">IF($B112="","",_xll.BDP($A112&amp;" Corp",AI$14))</f>
        <v>#NAME?</v>
      </c>
      <c r="AJ112" s="30" t="e">
        <f ca="1">IF($B112="","",_xll.BDP($A112&amp;" Corp",AJ$14))</f>
        <v>#NAME?</v>
      </c>
      <c r="AK112" s="11" t="e">
        <f ca="1">IF($B112="","",_xll.BDP($A112&amp;" Corp",AK$14))</f>
        <v>#NAME?</v>
      </c>
      <c r="AL112" s="11" t="e">
        <f ca="1">IF($B112="","",_xll.BDP($A112&amp;" Corp",AL$14))</f>
        <v>#NAME?</v>
      </c>
      <c r="AM112" s="11" t="e">
        <f t="shared" ca="1" si="20"/>
        <v>#NAME?</v>
      </c>
      <c r="AN112" s="57" t="e">
        <f t="shared" ca="1" si="14"/>
        <v>#NAME?</v>
      </c>
    </row>
    <row r="113" spans="1:40" x14ac:dyDescent="0.3">
      <c r="A113" s="67" t="str">
        <f t="shared" si="15"/>
        <v>XS2027957815</v>
      </c>
      <c r="B113" s="68" t="s">
        <v>387</v>
      </c>
      <c r="C113" s="75">
        <v>7086</v>
      </c>
      <c r="D113" s="75">
        <v>128</v>
      </c>
      <c r="E113" s="75">
        <v>100000</v>
      </c>
      <c r="F113" s="69">
        <v>7.6689590000000002E-2</v>
      </c>
      <c r="G113" s="70">
        <v>99596</v>
      </c>
      <c r="H113" s="67">
        <f t="shared" si="16"/>
        <v>100000</v>
      </c>
      <c r="I113" s="67">
        <f t="shared" si="17"/>
        <v>7.6689590000000002E-2</v>
      </c>
      <c r="J113" s="67">
        <f t="shared" si="18"/>
        <v>99596</v>
      </c>
      <c r="K113" s="71">
        <f t="shared" si="19"/>
        <v>99.596000000000004</v>
      </c>
      <c r="L113" s="29" t="e">
        <f ca="1">IF(B113="","",_xll.BDP(A113&amp;" Corp","INTERVAL_HIGH","START_DATE_OVERRIDE",TEXT($L$12,"AAAAMMDD"),"END_DATE_OVERRIDE",TEXT($L$13,"AAAAMMDD"),"MARKET_DATA_OVERRIDE",$L$14))</f>
        <v>#NAME?</v>
      </c>
      <c r="M113" s="30" t="e">
        <f ca="1">IF(B113="","",_xll.BDP($A113&amp;" Corp","INTERVAL_LOW","START_DATE_OVERRIDE",TEXT($L$12,"AAAAMMDD"),"END_DATE_OVERRIDE",TEXT($L$13,"AAAAMMDD"),"MARKET_DATA_OVERRIDE",$L$14))</f>
        <v>#NAME?</v>
      </c>
      <c r="N113" s="31" t="e">
        <f ca="1">IF($B113="","",_xll.BDP($A113&amp;" Corp",N$15))</f>
        <v>#NAME?</v>
      </c>
      <c r="O113" s="32" t="e">
        <f ca="1">IF($B113="","",_xll.BDP($A113&amp;" Corp",O$15))</f>
        <v>#NAME?</v>
      </c>
      <c r="P113" s="32" t="e">
        <f ca="1">IF($B113="","",_xll.BDP($A113&amp;" Corp",P$15))</f>
        <v>#NAME?</v>
      </c>
      <c r="Q113" s="30" t="e">
        <f ca="1">IF($B113="","",_xll.BDP($A113&amp;" Corp",Q$14))</f>
        <v>#NAME?</v>
      </c>
      <c r="R113" s="30" t="e">
        <f ca="1">IF($B113="","",_xll.BDP($A113&amp;" Corp",R$14))</f>
        <v>#NAME?</v>
      </c>
      <c r="S113" s="50" t="e">
        <f ca="1">IF($B113="","",_xll.BDP($A113&amp;" Corp",S$14))</f>
        <v>#NAME?</v>
      </c>
      <c r="T113" s="30" t="e">
        <f ca="1">IF($B113="","",_xll.BDP($A113&amp;" Corp",T$14))</f>
        <v>#NAME?</v>
      </c>
      <c r="U113" s="30" t="e">
        <f ca="1">IF($B113="","",_xll.BDP($A113&amp;" Corp",U$14))</f>
        <v>#NAME?</v>
      </c>
      <c r="V113" s="51" t="e">
        <f ca="1">IF($B113="","",IF($T113="VARIABLE",_xll.BDP($A113&amp;" Corp",V$13),_xll.BDP($A113&amp;" Corp",V$14)))</f>
        <v>#NAME?</v>
      </c>
      <c r="W113" s="30" t="e">
        <f ca="1">IF($B113="","",IF($T113="VARIABLE",_xll.BDP($A113&amp;" Corp",W$13),_xll.BDP($A113&amp;" Corp",W$14)))</f>
        <v>#NAME?</v>
      </c>
      <c r="X113" s="30" t="e">
        <f ca="1">IF($B113="","",_xll.BDP($A113&amp;" Corp",X$14))</f>
        <v>#NAME?</v>
      </c>
      <c r="Y113" s="33" t="e">
        <f ca="1">IF($B113="","",_xll.BDP($A113&amp;" Corp",Y$14))</f>
        <v>#NAME?</v>
      </c>
      <c r="Z113" s="52" t="e">
        <f ca="1">IF($B113="","",_xll.BDP($A113&amp;" Corp",Z$14))</f>
        <v>#NAME?</v>
      </c>
      <c r="AA113" s="53" t="e">
        <f ca="1">IF($B113="","",_xll.BDP($A113&amp;" Corp",AA$14))</f>
        <v>#NAME?</v>
      </c>
      <c r="AB113" s="54" t="e">
        <f ca="1">IF($B113="","",_xll.BDP($A113&amp;" Corp",AB$14))</f>
        <v>#NAME?</v>
      </c>
      <c r="AC113" s="54" t="e">
        <f ca="1">IF($B113="","",_xll.BDP($A113&amp;" Corp",AC$14))</f>
        <v>#NAME?</v>
      </c>
      <c r="AD113" s="55" t="e">
        <f ca="1">IF($B113="","",_xll.BDP($A113&amp;" Corp",AD$14))</f>
        <v>#NAME?</v>
      </c>
      <c r="AE113" s="56" t="e">
        <f ca="1">IF($B113="","",_xll.BDP($A113&amp;" Corp",AE$14))</f>
        <v>#NAME?</v>
      </c>
      <c r="AF113" s="29" t="e">
        <f ca="1">IF($B113="","",_xll.BDP($A113&amp;" Corp",AF$14))</f>
        <v>#NAME?</v>
      </c>
      <c r="AG113" s="33" t="e">
        <f ca="1">IF($B113="","",_xll.BDP($A113&amp;" Corp",AG$14))</f>
        <v>#NAME?</v>
      </c>
      <c r="AH113" s="30" t="e">
        <f ca="1">IF($B113="","",_xll.BDP($A113&amp;" Corp",AH$14))</f>
        <v>#NAME?</v>
      </c>
      <c r="AI113" s="30" t="e">
        <f ca="1">IF($B113="","",_xll.BDP($A113&amp;" Corp",AI$14))</f>
        <v>#NAME?</v>
      </c>
      <c r="AJ113" s="30" t="e">
        <f ca="1">IF($B113="","",_xll.BDP($A113&amp;" Corp",AJ$14))</f>
        <v>#NAME?</v>
      </c>
      <c r="AK113" s="11" t="e">
        <f ca="1">IF($B113="","",_xll.BDP($A113&amp;" Corp",AK$14))</f>
        <v>#NAME?</v>
      </c>
      <c r="AL113" s="11" t="e">
        <f ca="1">IF($B113="","",_xll.BDP($A113&amp;" Corp",AL$14))</f>
        <v>#NAME?</v>
      </c>
      <c r="AM113" s="11" t="e">
        <f t="shared" ca="1" si="20"/>
        <v>#NAME?</v>
      </c>
      <c r="AN113" s="57" t="e">
        <f t="shared" ca="1" si="14"/>
        <v>#NAME?</v>
      </c>
    </row>
    <row r="114" spans="1:40" x14ac:dyDescent="0.3">
      <c r="A114" s="67" t="str">
        <f t="shared" si="15"/>
        <v>XS2049419398</v>
      </c>
      <c r="B114" s="68" t="s">
        <v>586</v>
      </c>
      <c r="C114" s="75">
        <v>7137</v>
      </c>
      <c r="D114" s="75">
        <v>128</v>
      </c>
      <c r="E114" s="75">
        <v>800000</v>
      </c>
      <c r="F114" s="69">
        <v>0.59772592999999996</v>
      </c>
      <c r="G114" s="70">
        <v>798225.7</v>
      </c>
      <c r="H114" s="67">
        <f t="shared" si="16"/>
        <v>800000</v>
      </c>
      <c r="I114" s="67">
        <f t="shared" si="17"/>
        <v>0.59772592999999996</v>
      </c>
      <c r="J114" s="67">
        <f t="shared" si="18"/>
        <v>798225.7</v>
      </c>
      <c r="K114" s="71">
        <f t="shared" si="19"/>
        <v>99.778212499999995</v>
      </c>
      <c r="L114" s="29" t="e">
        <f ca="1">IF(B114="","",_xll.BDP(A114&amp;" Corp","INTERVAL_HIGH","START_DATE_OVERRIDE",TEXT($L$12,"AAAAMMDD"),"END_DATE_OVERRIDE",TEXT($L$13,"AAAAMMDD"),"MARKET_DATA_OVERRIDE",$L$14))</f>
        <v>#NAME?</v>
      </c>
      <c r="M114" s="30" t="e">
        <f ca="1">IF(B114="","",_xll.BDP($A114&amp;" Corp","INTERVAL_LOW","START_DATE_OVERRIDE",TEXT($L$12,"AAAAMMDD"),"END_DATE_OVERRIDE",TEXT($L$13,"AAAAMMDD"),"MARKET_DATA_OVERRIDE",$L$14))</f>
        <v>#NAME?</v>
      </c>
      <c r="N114" s="31" t="e">
        <f ca="1">IF($B114="","",_xll.BDP($A114&amp;" Corp",N$15))</f>
        <v>#NAME?</v>
      </c>
      <c r="O114" s="32" t="e">
        <f ca="1">IF($B114="","",_xll.BDP($A114&amp;" Corp",O$15))</f>
        <v>#NAME?</v>
      </c>
      <c r="P114" s="32" t="e">
        <f ca="1">IF($B114="","",_xll.BDP($A114&amp;" Corp",P$15))</f>
        <v>#NAME?</v>
      </c>
      <c r="Q114" s="30" t="e">
        <f ca="1">IF($B114="","",_xll.BDP($A114&amp;" Corp",Q$14))</f>
        <v>#NAME?</v>
      </c>
      <c r="R114" s="30" t="e">
        <f ca="1">IF($B114="","",_xll.BDP($A114&amp;" Corp",R$14))</f>
        <v>#NAME?</v>
      </c>
      <c r="S114" s="50" t="e">
        <f ca="1">IF($B114="","",_xll.BDP($A114&amp;" Corp",S$14))</f>
        <v>#NAME?</v>
      </c>
      <c r="T114" s="30" t="e">
        <f ca="1">IF($B114="","",_xll.BDP($A114&amp;" Corp",T$14))</f>
        <v>#NAME?</v>
      </c>
      <c r="U114" s="30" t="e">
        <f ca="1">IF($B114="","",_xll.BDP($A114&amp;" Corp",U$14))</f>
        <v>#NAME?</v>
      </c>
      <c r="V114" s="51" t="e">
        <f ca="1">IF($B114="","",IF($T114="VARIABLE",_xll.BDP($A114&amp;" Corp",V$13),_xll.BDP($A114&amp;" Corp",V$14)))</f>
        <v>#NAME?</v>
      </c>
      <c r="W114" s="30" t="e">
        <f ca="1">IF($B114="","",IF($T114="VARIABLE",_xll.BDP($A114&amp;" Corp",W$13),_xll.BDP($A114&amp;" Corp",W$14)))</f>
        <v>#NAME?</v>
      </c>
      <c r="X114" s="30" t="e">
        <f ca="1">IF($B114="","",_xll.BDP($A114&amp;" Corp",X$14))</f>
        <v>#NAME?</v>
      </c>
      <c r="Y114" s="33" t="e">
        <f ca="1">IF($B114="","",_xll.BDP($A114&amp;" Corp",Y$14))</f>
        <v>#NAME?</v>
      </c>
      <c r="Z114" s="52" t="e">
        <f ca="1">IF($B114="","",_xll.BDP($A114&amp;" Corp",Z$14))</f>
        <v>#NAME?</v>
      </c>
      <c r="AA114" s="53" t="e">
        <f ca="1">IF($B114="","",_xll.BDP($A114&amp;" Corp",AA$14))</f>
        <v>#NAME?</v>
      </c>
      <c r="AB114" s="54" t="e">
        <f ca="1">IF($B114="","",_xll.BDP($A114&amp;" Corp",AB$14))</f>
        <v>#NAME?</v>
      </c>
      <c r="AC114" s="54" t="e">
        <f ca="1">IF($B114="","",_xll.BDP($A114&amp;" Corp",AC$14))</f>
        <v>#NAME?</v>
      </c>
      <c r="AD114" s="55" t="e">
        <f ca="1">IF($B114="","",_xll.BDP($A114&amp;" Corp",AD$14))</f>
        <v>#NAME?</v>
      </c>
      <c r="AE114" s="56" t="e">
        <f ca="1">IF($B114="","",_xll.BDP($A114&amp;" Corp",AE$14))</f>
        <v>#NAME?</v>
      </c>
      <c r="AF114" s="29" t="e">
        <f ca="1">IF($B114="","",_xll.BDP($A114&amp;" Corp",AF$14))</f>
        <v>#NAME?</v>
      </c>
      <c r="AG114" s="33" t="e">
        <f ca="1">IF($B114="","",_xll.BDP($A114&amp;" Corp",AG$14))</f>
        <v>#NAME?</v>
      </c>
      <c r="AH114" s="30" t="e">
        <f ca="1">IF($B114="","",_xll.BDP($A114&amp;" Corp",AH$14))</f>
        <v>#NAME?</v>
      </c>
      <c r="AI114" s="30" t="e">
        <f ca="1">IF($B114="","",_xll.BDP($A114&amp;" Corp",AI$14))</f>
        <v>#NAME?</v>
      </c>
      <c r="AJ114" s="30" t="e">
        <f ca="1">IF($B114="","",_xll.BDP($A114&amp;" Corp",AJ$14))</f>
        <v>#NAME?</v>
      </c>
      <c r="AK114" s="11" t="e">
        <f ca="1">IF($B114="","",_xll.BDP($A114&amp;" Corp",AK$14))</f>
        <v>#NAME?</v>
      </c>
      <c r="AL114" s="11" t="e">
        <f ca="1">IF($B114="","",_xll.BDP($A114&amp;" Corp",AL$14))</f>
        <v>#NAME?</v>
      </c>
      <c r="AM114" s="11" t="e">
        <f t="shared" ca="1" si="20"/>
        <v>#NAME?</v>
      </c>
      <c r="AN114" s="57" t="e">
        <f t="shared" ca="1" si="14"/>
        <v>#NAME?</v>
      </c>
    </row>
    <row r="115" spans="1:40" x14ac:dyDescent="0.3">
      <c r="A115" s="67" t="str">
        <f t="shared" si="15"/>
        <v>XS2053566068</v>
      </c>
      <c r="B115" s="68" t="s">
        <v>548</v>
      </c>
      <c r="C115" s="75">
        <v>7165</v>
      </c>
      <c r="D115" s="75">
        <v>128</v>
      </c>
      <c r="E115" s="75">
        <v>271985.49</v>
      </c>
      <c r="F115" s="69">
        <v>0.18938142999999999</v>
      </c>
      <c r="G115" s="70">
        <v>302430</v>
      </c>
      <c r="H115" s="67">
        <f t="shared" si="16"/>
        <v>271985.49</v>
      </c>
      <c r="I115" s="67">
        <f t="shared" si="17"/>
        <v>0.18938142999999999</v>
      </c>
      <c r="J115" s="67">
        <f t="shared" si="18"/>
        <v>302430</v>
      </c>
      <c r="K115" s="71">
        <f t="shared" si="19"/>
        <v>111.19343167902082</v>
      </c>
      <c r="L115" s="29" t="e">
        <f ca="1">IF(B115="","",_xll.BDP(A115&amp;" Corp","INTERVAL_HIGH","START_DATE_OVERRIDE",TEXT($L$12,"AAAAMMDD"),"END_DATE_OVERRIDE",TEXT($L$13,"AAAAMMDD"),"MARKET_DATA_OVERRIDE",$L$14))</f>
        <v>#NAME?</v>
      </c>
      <c r="M115" s="30" t="e">
        <f ca="1">IF(B115="","",_xll.BDP($A115&amp;" Corp","INTERVAL_LOW","START_DATE_OVERRIDE",TEXT($L$12,"AAAAMMDD"),"END_DATE_OVERRIDE",TEXT($L$13,"AAAAMMDD"),"MARKET_DATA_OVERRIDE",$L$14))</f>
        <v>#NAME?</v>
      </c>
      <c r="N115" s="31" t="e">
        <f ca="1">IF($B115="","",_xll.BDP($A115&amp;" Corp",N$15))</f>
        <v>#NAME?</v>
      </c>
      <c r="O115" s="32" t="e">
        <f ca="1">IF($B115="","",_xll.BDP($A115&amp;" Corp",O$15))</f>
        <v>#NAME?</v>
      </c>
      <c r="P115" s="32" t="e">
        <f ca="1">IF($B115="","",_xll.BDP($A115&amp;" Corp",P$15))</f>
        <v>#NAME?</v>
      </c>
      <c r="Q115" s="30" t="e">
        <f ca="1">IF($B115="","",_xll.BDP($A115&amp;" Corp",Q$14))</f>
        <v>#NAME?</v>
      </c>
      <c r="R115" s="30" t="e">
        <f ca="1">IF($B115="","",_xll.BDP($A115&amp;" Corp",R$14))</f>
        <v>#NAME?</v>
      </c>
      <c r="S115" s="50" t="e">
        <f ca="1">IF($B115="","",_xll.BDP($A115&amp;" Corp",S$14))</f>
        <v>#NAME?</v>
      </c>
      <c r="T115" s="30" t="e">
        <f ca="1">IF($B115="","",_xll.BDP($A115&amp;" Corp",T$14))</f>
        <v>#NAME?</v>
      </c>
      <c r="U115" s="30" t="e">
        <f ca="1">IF($B115="","",_xll.BDP($A115&amp;" Corp",U$14))</f>
        <v>#NAME?</v>
      </c>
      <c r="V115" s="51" t="e">
        <f ca="1">IF($B115="","",IF($T115="VARIABLE",_xll.BDP($A115&amp;" Corp",V$13),_xll.BDP($A115&amp;" Corp",V$14)))</f>
        <v>#NAME?</v>
      </c>
      <c r="W115" s="30" t="e">
        <f ca="1">IF($B115="","",IF($T115="VARIABLE",_xll.BDP($A115&amp;" Corp",W$13),_xll.BDP($A115&amp;" Corp",W$14)))</f>
        <v>#NAME?</v>
      </c>
      <c r="X115" s="30" t="e">
        <f ca="1">IF($B115="","",_xll.BDP($A115&amp;" Corp",X$14))</f>
        <v>#NAME?</v>
      </c>
      <c r="Y115" s="33" t="e">
        <f ca="1">IF($B115="","",_xll.BDP($A115&amp;" Corp",Y$14))</f>
        <v>#NAME?</v>
      </c>
      <c r="Z115" s="52" t="e">
        <f ca="1">IF($B115="","",_xll.BDP($A115&amp;" Corp",Z$14))</f>
        <v>#NAME?</v>
      </c>
      <c r="AA115" s="53" t="e">
        <f ca="1">IF($B115="","",_xll.BDP($A115&amp;" Corp",AA$14))</f>
        <v>#NAME?</v>
      </c>
      <c r="AB115" s="54" t="e">
        <f ca="1">IF($B115="","",_xll.BDP($A115&amp;" Corp",AB$14))</f>
        <v>#NAME?</v>
      </c>
      <c r="AC115" s="54" t="e">
        <f ca="1">IF($B115="","",_xll.BDP($A115&amp;" Corp",AC$14))</f>
        <v>#NAME?</v>
      </c>
      <c r="AD115" s="55" t="e">
        <f ca="1">IF($B115="","",_xll.BDP($A115&amp;" Corp",AD$14))</f>
        <v>#NAME?</v>
      </c>
      <c r="AE115" s="56" t="e">
        <f ca="1">IF($B115="","",_xll.BDP($A115&amp;" Corp",AE$14))</f>
        <v>#NAME?</v>
      </c>
      <c r="AF115" s="29" t="e">
        <f ca="1">IF($B115="","",_xll.BDP($A115&amp;" Corp",AF$14))</f>
        <v>#NAME?</v>
      </c>
      <c r="AG115" s="33" t="e">
        <f ca="1">IF($B115="","",_xll.BDP($A115&amp;" Corp",AG$14))</f>
        <v>#NAME?</v>
      </c>
      <c r="AH115" s="30" t="e">
        <f ca="1">IF($B115="","",_xll.BDP($A115&amp;" Corp",AH$14))</f>
        <v>#NAME?</v>
      </c>
      <c r="AI115" s="30" t="e">
        <f ca="1">IF($B115="","",_xll.BDP($A115&amp;" Corp",AI$14))</f>
        <v>#NAME?</v>
      </c>
      <c r="AJ115" s="30" t="e">
        <f ca="1">IF($B115="","",_xll.BDP($A115&amp;" Corp",AJ$14))</f>
        <v>#NAME?</v>
      </c>
      <c r="AK115" s="11" t="e">
        <f ca="1">IF($B115="","",_xll.BDP($A115&amp;" Corp",AK$14))</f>
        <v>#NAME?</v>
      </c>
      <c r="AL115" s="11" t="e">
        <f ca="1">IF($B115="","",_xll.BDP($A115&amp;" Corp",AL$14))</f>
        <v>#NAME?</v>
      </c>
      <c r="AM115" s="11" t="e">
        <f t="shared" ca="1" si="20"/>
        <v>#NAME?</v>
      </c>
      <c r="AN115" s="57" t="e">
        <f t="shared" ca="1" si="14"/>
        <v>#NAME?</v>
      </c>
    </row>
    <row r="116" spans="1:40" x14ac:dyDescent="0.3">
      <c r="A116" s="67" t="str">
        <f t="shared" si="15"/>
        <v>XS2055089457</v>
      </c>
      <c r="B116" s="68" t="s">
        <v>389</v>
      </c>
      <c r="C116" s="75">
        <v>7315</v>
      </c>
      <c r="D116" s="75">
        <v>128</v>
      </c>
      <c r="E116" s="75">
        <v>200000</v>
      </c>
      <c r="F116" s="69">
        <v>0.15499260000000001</v>
      </c>
      <c r="G116" s="70">
        <v>202828</v>
      </c>
      <c r="H116" s="67">
        <f t="shared" si="16"/>
        <v>200000</v>
      </c>
      <c r="I116" s="67">
        <f t="shared" si="17"/>
        <v>0.15499260000000001</v>
      </c>
      <c r="J116" s="67">
        <f t="shared" si="18"/>
        <v>202828</v>
      </c>
      <c r="K116" s="71">
        <f t="shared" si="19"/>
        <v>101.414</v>
      </c>
      <c r="L116" s="29" t="e">
        <f ca="1">IF(B116="","",_xll.BDP(A116&amp;" Corp","INTERVAL_HIGH","START_DATE_OVERRIDE",TEXT($L$12,"AAAAMMDD"),"END_DATE_OVERRIDE",TEXT($L$13,"AAAAMMDD"),"MARKET_DATA_OVERRIDE",$L$14))</f>
        <v>#NAME?</v>
      </c>
      <c r="M116" s="30" t="e">
        <f ca="1">IF(B116="","",_xll.BDP($A116&amp;" Corp","INTERVAL_LOW","START_DATE_OVERRIDE",TEXT($L$12,"AAAAMMDD"),"END_DATE_OVERRIDE",TEXT($L$13,"AAAAMMDD"),"MARKET_DATA_OVERRIDE",$L$14))</f>
        <v>#NAME?</v>
      </c>
      <c r="N116" s="31" t="e">
        <f ca="1">IF($B116="","",_xll.BDP($A116&amp;" Corp",N$15))</f>
        <v>#NAME?</v>
      </c>
      <c r="O116" s="32" t="e">
        <f ca="1">IF($B116="","",_xll.BDP($A116&amp;" Corp",O$15))</f>
        <v>#NAME?</v>
      </c>
      <c r="P116" s="32" t="e">
        <f ca="1">IF($B116="","",_xll.BDP($A116&amp;" Corp",P$15))</f>
        <v>#NAME?</v>
      </c>
      <c r="Q116" s="30" t="e">
        <f ca="1">IF($B116="","",_xll.BDP($A116&amp;" Corp",Q$14))</f>
        <v>#NAME?</v>
      </c>
      <c r="R116" s="30" t="e">
        <f ca="1">IF($B116="","",_xll.BDP($A116&amp;" Corp",R$14))</f>
        <v>#NAME?</v>
      </c>
      <c r="S116" s="50" t="e">
        <f ca="1">IF($B116="","",_xll.BDP($A116&amp;" Corp",S$14))</f>
        <v>#NAME?</v>
      </c>
      <c r="T116" s="30" t="e">
        <f ca="1">IF($B116="","",_xll.BDP($A116&amp;" Corp",T$14))</f>
        <v>#NAME?</v>
      </c>
      <c r="U116" s="30" t="e">
        <f ca="1">IF($B116="","",_xll.BDP($A116&amp;" Corp",U$14))</f>
        <v>#NAME?</v>
      </c>
      <c r="V116" s="51" t="e">
        <f ca="1">IF($B116="","",IF($T116="VARIABLE",_xll.BDP($A116&amp;" Corp",V$13),_xll.BDP($A116&amp;" Corp",V$14)))</f>
        <v>#NAME?</v>
      </c>
      <c r="W116" s="30" t="e">
        <f ca="1">IF($B116="","",IF($T116="VARIABLE",_xll.BDP($A116&amp;" Corp",W$13),_xll.BDP($A116&amp;" Corp",W$14)))</f>
        <v>#NAME?</v>
      </c>
      <c r="X116" s="30" t="e">
        <f ca="1">IF($B116="","",_xll.BDP($A116&amp;" Corp",X$14))</f>
        <v>#NAME?</v>
      </c>
      <c r="Y116" s="33" t="e">
        <f ca="1">IF($B116="","",_xll.BDP($A116&amp;" Corp",Y$14))</f>
        <v>#NAME?</v>
      </c>
      <c r="Z116" s="52" t="e">
        <f ca="1">IF($B116="","",_xll.BDP($A116&amp;" Corp",Z$14))</f>
        <v>#NAME?</v>
      </c>
      <c r="AA116" s="53" t="e">
        <f ca="1">IF($B116="","",_xll.BDP($A116&amp;" Corp",AA$14))</f>
        <v>#NAME?</v>
      </c>
      <c r="AB116" s="54" t="e">
        <f ca="1">IF($B116="","",_xll.BDP($A116&amp;" Corp",AB$14))</f>
        <v>#NAME?</v>
      </c>
      <c r="AC116" s="54" t="e">
        <f ca="1">IF($B116="","",_xll.BDP($A116&amp;" Corp",AC$14))</f>
        <v>#NAME?</v>
      </c>
      <c r="AD116" s="55" t="e">
        <f ca="1">IF($B116="","",_xll.BDP($A116&amp;" Corp",AD$14))</f>
        <v>#NAME?</v>
      </c>
      <c r="AE116" s="56" t="e">
        <f ca="1">IF($B116="","",_xll.BDP($A116&amp;" Corp",AE$14))</f>
        <v>#NAME?</v>
      </c>
      <c r="AF116" s="29" t="e">
        <f ca="1">IF($B116="","",_xll.BDP($A116&amp;" Corp",AF$14))</f>
        <v>#NAME?</v>
      </c>
      <c r="AG116" s="33" t="e">
        <f ca="1">IF($B116="","",_xll.BDP($A116&amp;" Corp",AG$14))</f>
        <v>#NAME?</v>
      </c>
      <c r="AH116" s="30" t="e">
        <f ca="1">IF($B116="","",_xll.BDP($A116&amp;" Corp",AH$14))</f>
        <v>#NAME?</v>
      </c>
      <c r="AI116" s="30" t="e">
        <f ca="1">IF($B116="","",_xll.BDP($A116&amp;" Corp",AI$14))</f>
        <v>#NAME?</v>
      </c>
      <c r="AJ116" s="30" t="e">
        <f ca="1">IF($B116="","",_xll.BDP($A116&amp;" Corp",AJ$14))</f>
        <v>#NAME?</v>
      </c>
      <c r="AK116" s="11" t="e">
        <f ca="1">IF($B116="","",_xll.BDP($A116&amp;" Corp",AK$14))</f>
        <v>#NAME?</v>
      </c>
      <c r="AL116" s="11" t="e">
        <f ca="1">IF($B116="","",_xll.BDP($A116&amp;" Corp",AL$14))</f>
        <v>#NAME?</v>
      </c>
      <c r="AM116" s="11" t="e">
        <f t="shared" ca="1" si="20"/>
        <v>#NAME?</v>
      </c>
      <c r="AN116" s="57" t="e">
        <f t="shared" ca="1" si="14"/>
        <v>#NAME?</v>
      </c>
    </row>
    <row r="117" spans="1:40" x14ac:dyDescent="0.3">
      <c r="A117" s="67" t="str">
        <f t="shared" si="15"/>
        <v>XS2055106210</v>
      </c>
      <c r="B117" s="68" t="s">
        <v>468</v>
      </c>
      <c r="C117" s="75">
        <v>9885</v>
      </c>
      <c r="D117" s="75">
        <v>128</v>
      </c>
      <c r="E117" s="75">
        <v>100000</v>
      </c>
      <c r="F117" s="69">
        <v>3.7949700000000003E-2</v>
      </c>
      <c r="G117" s="70">
        <v>98270</v>
      </c>
      <c r="H117" s="67">
        <f t="shared" si="16"/>
        <v>100000</v>
      </c>
      <c r="I117" s="67">
        <f t="shared" si="17"/>
        <v>3.7949700000000003E-2</v>
      </c>
      <c r="J117" s="67">
        <f t="shared" si="18"/>
        <v>98270</v>
      </c>
      <c r="K117" s="71">
        <f t="shared" si="19"/>
        <v>98.27</v>
      </c>
      <c r="L117" s="29" t="e">
        <f ca="1">IF(B117="","",_xll.BDP(A117&amp;" Corp","INTERVAL_HIGH","START_DATE_OVERRIDE",TEXT($L$12,"AAAAMMDD"),"END_DATE_OVERRIDE",TEXT($L$13,"AAAAMMDD"),"MARKET_DATA_OVERRIDE",$L$14))</f>
        <v>#NAME?</v>
      </c>
      <c r="M117" s="30" t="e">
        <f ca="1">IF(B117="","",_xll.BDP($A117&amp;" Corp","INTERVAL_LOW","START_DATE_OVERRIDE",TEXT($L$12,"AAAAMMDD"),"END_DATE_OVERRIDE",TEXT($L$13,"AAAAMMDD"),"MARKET_DATA_OVERRIDE",$L$14))</f>
        <v>#NAME?</v>
      </c>
      <c r="N117" s="31" t="e">
        <f ca="1">IF($B117="","",_xll.BDP($A117&amp;" Corp",N$15))</f>
        <v>#NAME?</v>
      </c>
      <c r="O117" s="32" t="e">
        <f ca="1">IF($B117="","",_xll.BDP($A117&amp;" Corp",O$15))</f>
        <v>#NAME?</v>
      </c>
      <c r="P117" s="32" t="e">
        <f ca="1">IF($B117="","",_xll.BDP($A117&amp;" Corp",P$15))</f>
        <v>#NAME?</v>
      </c>
      <c r="Q117" s="30" t="e">
        <f ca="1">IF($B117="","",_xll.BDP($A117&amp;" Corp",Q$14))</f>
        <v>#NAME?</v>
      </c>
      <c r="R117" s="30" t="e">
        <f ca="1">IF($B117="","",_xll.BDP($A117&amp;" Corp",R$14))</f>
        <v>#NAME?</v>
      </c>
      <c r="S117" s="50" t="e">
        <f ca="1">IF($B117="","",_xll.BDP($A117&amp;" Corp",S$14))</f>
        <v>#NAME?</v>
      </c>
      <c r="T117" s="30" t="e">
        <f ca="1">IF($B117="","",_xll.BDP($A117&amp;" Corp",T$14))</f>
        <v>#NAME?</v>
      </c>
      <c r="U117" s="30" t="e">
        <f ca="1">IF($B117="","",_xll.BDP($A117&amp;" Corp",U$14))</f>
        <v>#NAME?</v>
      </c>
      <c r="V117" s="51" t="e">
        <f ca="1">IF($B117="","",IF($T117="VARIABLE",_xll.BDP($A117&amp;" Corp",V$13),_xll.BDP($A117&amp;" Corp",V$14)))</f>
        <v>#NAME?</v>
      </c>
      <c r="W117" s="30" t="e">
        <f ca="1">IF($B117="","",IF($T117="VARIABLE",_xll.BDP($A117&amp;" Corp",W$13),_xll.BDP($A117&amp;" Corp",W$14)))</f>
        <v>#NAME?</v>
      </c>
      <c r="X117" s="30" t="e">
        <f ca="1">IF($B117="","",_xll.BDP($A117&amp;" Corp",X$14))</f>
        <v>#NAME?</v>
      </c>
      <c r="Y117" s="33" t="e">
        <f ca="1">IF($B117="","",_xll.BDP($A117&amp;" Corp",Y$14))</f>
        <v>#NAME?</v>
      </c>
      <c r="Z117" s="52" t="e">
        <f ca="1">IF($B117="","",_xll.BDP($A117&amp;" Corp",Z$14))</f>
        <v>#NAME?</v>
      </c>
      <c r="AA117" s="53" t="e">
        <f ca="1">IF($B117="","",_xll.BDP($A117&amp;" Corp",AA$14))</f>
        <v>#NAME?</v>
      </c>
      <c r="AB117" s="54" t="e">
        <f ca="1">IF($B117="","",_xll.BDP($A117&amp;" Corp",AB$14))</f>
        <v>#NAME?</v>
      </c>
      <c r="AC117" s="54" t="e">
        <f ca="1">IF($B117="","",_xll.BDP($A117&amp;" Corp",AC$14))</f>
        <v>#NAME?</v>
      </c>
      <c r="AD117" s="55" t="e">
        <f ca="1">IF($B117="","",_xll.BDP($A117&amp;" Corp",AD$14))</f>
        <v>#NAME?</v>
      </c>
      <c r="AE117" s="56" t="e">
        <f ca="1">IF($B117="","",_xll.BDP($A117&amp;" Corp",AE$14))</f>
        <v>#NAME?</v>
      </c>
      <c r="AF117" s="29" t="e">
        <f ca="1">IF($B117="","",_xll.BDP($A117&amp;" Corp",AF$14))</f>
        <v>#NAME?</v>
      </c>
      <c r="AG117" s="33" t="e">
        <f ca="1">IF($B117="","",_xll.BDP($A117&amp;" Corp",AG$14))</f>
        <v>#NAME?</v>
      </c>
      <c r="AH117" s="30" t="e">
        <f ca="1">IF($B117="","",_xll.BDP($A117&amp;" Corp",AH$14))</f>
        <v>#NAME?</v>
      </c>
      <c r="AI117" s="30" t="e">
        <f ca="1">IF($B117="","",_xll.BDP($A117&amp;" Corp",AI$14))</f>
        <v>#NAME?</v>
      </c>
      <c r="AJ117" s="30" t="e">
        <f ca="1">IF($B117="","",_xll.BDP($A117&amp;" Corp",AJ$14))</f>
        <v>#NAME?</v>
      </c>
      <c r="AK117" s="11" t="e">
        <f ca="1">IF($B117="","",_xll.BDP($A117&amp;" Corp",AK$14))</f>
        <v>#NAME?</v>
      </c>
      <c r="AL117" s="11" t="e">
        <f ca="1">IF($B117="","",_xll.BDP($A117&amp;" Corp",AL$14))</f>
        <v>#NAME?</v>
      </c>
      <c r="AM117" s="11" t="e">
        <f t="shared" ca="1" si="20"/>
        <v>#NAME?</v>
      </c>
      <c r="AN117" s="57" t="e">
        <f t="shared" ca="1" si="14"/>
        <v>#NAME?</v>
      </c>
    </row>
    <row r="118" spans="1:40" x14ac:dyDescent="0.3">
      <c r="A118" s="67" t="str">
        <f t="shared" si="15"/>
        <v>XS2055190172</v>
      </c>
      <c r="B118" s="68" t="s">
        <v>391</v>
      </c>
      <c r="C118" s="75">
        <v>8451</v>
      </c>
      <c r="D118" s="75">
        <v>128</v>
      </c>
      <c r="E118" s="75">
        <v>600000</v>
      </c>
      <c r="F118" s="69">
        <v>0.46241933000000002</v>
      </c>
      <c r="G118" s="70">
        <v>602960</v>
      </c>
      <c r="H118" s="67">
        <f t="shared" si="16"/>
        <v>600000</v>
      </c>
      <c r="I118" s="67">
        <f t="shared" si="17"/>
        <v>0.46241933000000002</v>
      </c>
      <c r="J118" s="67">
        <f t="shared" si="18"/>
        <v>602960</v>
      </c>
      <c r="K118" s="71">
        <f t="shared" si="19"/>
        <v>100.49333333333334</v>
      </c>
      <c r="L118" s="29" t="e">
        <f ca="1">IF(B118="","",_xll.BDP(A118&amp;" Corp","INTERVAL_HIGH","START_DATE_OVERRIDE",TEXT($L$12,"AAAAMMDD"),"END_DATE_OVERRIDE",TEXT($L$13,"AAAAMMDD"),"MARKET_DATA_OVERRIDE",$L$14))</f>
        <v>#NAME?</v>
      </c>
      <c r="M118" s="30" t="e">
        <f ca="1">IF(B118="","",_xll.BDP($A118&amp;" Corp","INTERVAL_LOW","START_DATE_OVERRIDE",TEXT($L$12,"AAAAMMDD"),"END_DATE_OVERRIDE",TEXT($L$13,"AAAAMMDD"),"MARKET_DATA_OVERRIDE",$L$14))</f>
        <v>#NAME?</v>
      </c>
      <c r="N118" s="31" t="e">
        <f ca="1">IF($B118="","",_xll.BDP($A118&amp;" Corp",N$15))</f>
        <v>#NAME?</v>
      </c>
      <c r="O118" s="32" t="e">
        <f ca="1">IF($B118="","",_xll.BDP($A118&amp;" Corp",O$15))</f>
        <v>#NAME?</v>
      </c>
      <c r="P118" s="32" t="e">
        <f ca="1">IF($B118="","",_xll.BDP($A118&amp;" Corp",P$15))</f>
        <v>#NAME?</v>
      </c>
      <c r="Q118" s="30" t="e">
        <f ca="1">IF($B118="","",_xll.BDP($A118&amp;" Corp",Q$14))</f>
        <v>#NAME?</v>
      </c>
      <c r="R118" s="30" t="e">
        <f ca="1">IF($B118="","",_xll.BDP($A118&amp;" Corp",R$14))</f>
        <v>#NAME?</v>
      </c>
      <c r="S118" s="50" t="e">
        <f ca="1">IF($B118="","",_xll.BDP($A118&amp;" Corp",S$14))</f>
        <v>#NAME?</v>
      </c>
      <c r="T118" s="30" t="e">
        <f ca="1">IF($B118="","",_xll.BDP($A118&amp;" Corp",T$14))</f>
        <v>#NAME?</v>
      </c>
      <c r="U118" s="30" t="e">
        <f ca="1">IF($B118="","",_xll.BDP($A118&amp;" Corp",U$14))</f>
        <v>#NAME?</v>
      </c>
      <c r="V118" s="51" t="e">
        <f ca="1">IF($B118="","",IF($T118="VARIABLE",_xll.BDP($A118&amp;" Corp",V$13),_xll.BDP($A118&amp;" Corp",V$14)))</f>
        <v>#NAME?</v>
      </c>
      <c r="W118" s="30" t="e">
        <f ca="1">IF($B118="","",IF($T118="VARIABLE",_xll.BDP($A118&amp;" Corp",W$13),_xll.BDP($A118&amp;" Corp",W$14)))</f>
        <v>#NAME?</v>
      </c>
      <c r="X118" s="30" t="e">
        <f ca="1">IF($B118="","",_xll.BDP($A118&amp;" Corp",X$14))</f>
        <v>#NAME?</v>
      </c>
      <c r="Y118" s="33" t="e">
        <f ca="1">IF($B118="","",_xll.BDP($A118&amp;" Corp",Y$14))</f>
        <v>#NAME?</v>
      </c>
      <c r="Z118" s="52" t="e">
        <f ca="1">IF($B118="","",_xll.BDP($A118&amp;" Corp",Z$14))</f>
        <v>#NAME?</v>
      </c>
      <c r="AA118" s="53" t="e">
        <f ca="1">IF($B118="","",_xll.BDP($A118&amp;" Corp",AA$14))</f>
        <v>#NAME?</v>
      </c>
      <c r="AB118" s="54" t="e">
        <f ca="1">IF($B118="","",_xll.BDP($A118&amp;" Corp",AB$14))</f>
        <v>#NAME?</v>
      </c>
      <c r="AC118" s="54" t="e">
        <f ca="1">IF($B118="","",_xll.BDP($A118&amp;" Corp",AC$14))</f>
        <v>#NAME?</v>
      </c>
      <c r="AD118" s="55" t="e">
        <f ca="1">IF($B118="","",_xll.BDP($A118&amp;" Corp",AD$14))</f>
        <v>#NAME?</v>
      </c>
      <c r="AE118" s="56" t="e">
        <f ca="1">IF($B118="","",_xll.BDP($A118&amp;" Corp",AE$14))</f>
        <v>#NAME?</v>
      </c>
      <c r="AF118" s="29" t="e">
        <f ca="1">IF($B118="","",_xll.BDP($A118&amp;" Corp",AF$14))</f>
        <v>#NAME?</v>
      </c>
      <c r="AG118" s="33" t="e">
        <f ca="1">IF($B118="","",_xll.BDP($A118&amp;" Corp",AG$14))</f>
        <v>#NAME?</v>
      </c>
      <c r="AH118" s="30" t="e">
        <f ca="1">IF($B118="","",_xll.BDP($A118&amp;" Corp",AH$14))</f>
        <v>#NAME?</v>
      </c>
      <c r="AI118" s="30" t="e">
        <f ca="1">IF($B118="","",_xll.BDP($A118&amp;" Corp",AI$14))</f>
        <v>#NAME?</v>
      </c>
      <c r="AJ118" s="30" t="e">
        <f ca="1">IF($B118="","",_xll.BDP($A118&amp;" Corp",AJ$14))</f>
        <v>#NAME?</v>
      </c>
      <c r="AK118" s="11" t="e">
        <f ca="1">IF($B118="","",_xll.BDP($A118&amp;" Corp",AK$14))</f>
        <v>#NAME?</v>
      </c>
      <c r="AL118" s="11" t="e">
        <f ca="1">IF($B118="","",_xll.BDP($A118&amp;" Corp",AL$14))</f>
        <v>#NAME?</v>
      </c>
      <c r="AM118" s="11" t="e">
        <f t="shared" ca="1" si="20"/>
        <v>#NAME?</v>
      </c>
      <c r="AN118" s="57" t="e">
        <f t="shared" ca="1" si="14"/>
        <v>#NAME?</v>
      </c>
    </row>
    <row r="119" spans="1:40" x14ac:dyDescent="0.3">
      <c r="A119" s="67" t="str">
        <f t="shared" si="15"/>
        <v>XS2055758804</v>
      </c>
      <c r="B119" s="68" t="s">
        <v>393</v>
      </c>
      <c r="C119" s="75">
        <v>8366</v>
      </c>
      <c r="D119" s="75">
        <v>128</v>
      </c>
      <c r="E119" s="75">
        <v>700000</v>
      </c>
      <c r="F119" s="69">
        <v>0.54707647000000004</v>
      </c>
      <c r="G119" s="70">
        <v>696026</v>
      </c>
      <c r="H119" s="67">
        <f t="shared" si="16"/>
        <v>700000</v>
      </c>
      <c r="I119" s="67">
        <f t="shared" si="17"/>
        <v>0.54707647000000004</v>
      </c>
      <c r="J119" s="67">
        <f t="shared" si="18"/>
        <v>696026</v>
      </c>
      <c r="K119" s="71">
        <f t="shared" si="19"/>
        <v>99.432285714285712</v>
      </c>
      <c r="L119" s="29" t="e">
        <f ca="1">IF(B119="","",_xll.BDP(A119&amp;" Corp","INTERVAL_HIGH","START_DATE_OVERRIDE",TEXT($L$12,"AAAAMMDD"),"END_DATE_OVERRIDE",TEXT($L$13,"AAAAMMDD"),"MARKET_DATA_OVERRIDE",$L$14))</f>
        <v>#NAME?</v>
      </c>
      <c r="M119" s="30" t="e">
        <f ca="1">IF(B119="","",_xll.BDP($A119&amp;" Corp","INTERVAL_LOW","START_DATE_OVERRIDE",TEXT($L$12,"AAAAMMDD"),"END_DATE_OVERRIDE",TEXT($L$13,"AAAAMMDD"),"MARKET_DATA_OVERRIDE",$L$14))</f>
        <v>#NAME?</v>
      </c>
      <c r="N119" s="31" t="e">
        <f ca="1">IF($B119="","",_xll.BDP($A119&amp;" Corp",N$15))</f>
        <v>#NAME?</v>
      </c>
      <c r="O119" s="32" t="e">
        <f ca="1">IF($B119="","",_xll.BDP($A119&amp;" Corp",O$15))</f>
        <v>#NAME?</v>
      </c>
      <c r="P119" s="32" t="e">
        <f ca="1">IF($B119="","",_xll.BDP($A119&amp;" Corp",P$15))</f>
        <v>#NAME?</v>
      </c>
      <c r="Q119" s="30" t="e">
        <f ca="1">IF($B119="","",_xll.BDP($A119&amp;" Corp",Q$14))</f>
        <v>#NAME?</v>
      </c>
      <c r="R119" s="30" t="e">
        <f ca="1">IF($B119="","",_xll.BDP($A119&amp;" Corp",R$14))</f>
        <v>#NAME?</v>
      </c>
      <c r="S119" s="50" t="e">
        <f ca="1">IF($B119="","",_xll.BDP($A119&amp;" Corp",S$14))</f>
        <v>#NAME?</v>
      </c>
      <c r="T119" s="30" t="e">
        <f ca="1">IF($B119="","",_xll.BDP($A119&amp;" Corp",T$14))</f>
        <v>#NAME?</v>
      </c>
      <c r="U119" s="30" t="e">
        <f ca="1">IF($B119="","",_xll.BDP($A119&amp;" Corp",U$14))</f>
        <v>#NAME?</v>
      </c>
      <c r="V119" s="51" t="e">
        <f ca="1">IF($B119="","",IF($T119="VARIABLE",_xll.BDP($A119&amp;" Corp",V$13),_xll.BDP($A119&amp;" Corp",V$14)))</f>
        <v>#NAME?</v>
      </c>
      <c r="W119" s="30" t="e">
        <f ca="1">IF($B119="","",IF($T119="VARIABLE",_xll.BDP($A119&amp;" Corp",W$13),_xll.BDP($A119&amp;" Corp",W$14)))</f>
        <v>#NAME?</v>
      </c>
      <c r="X119" s="30" t="e">
        <f ca="1">IF($B119="","",_xll.BDP($A119&amp;" Corp",X$14))</f>
        <v>#NAME?</v>
      </c>
      <c r="Y119" s="33" t="e">
        <f ca="1">IF($B119="","",_xll.BDP($A119&amp;" Corp",Y$14))</f>
        <v>#NAME?</v>
      </c>
      <c r="Z119" s="52" t="e">
        <f ca="1">IF($B119="","",_xll.BDP($A119&amp;" Corp",Z$14))</f>
        <v>#NAME?</v>
      </c>
      <c r="AA119" s="53" t="e">
        <f ca="1">IF($B119="","",_xll.BDP($A119&amp;" Corp",AA$14))</f>
        <v>#NAME?</v>
      </c>
      <c r="AB119" s="54" t="e">
        <f ca="1">IF($B119="","",_xll.BDP($A119&amp;" Corp",AB$14))</f>
        <v>#NAME?</v>
      </c>
      <c r="AC119" s="54" t="e">
        <f ca="1">IF($B119="","",_xll.BDP($A119&amp;" Corp",AC$14))</f>
        <v>#NAME?</v>
      </c>
      <c r="AD119" s="55" t="e">
        <f ca="1">IF($B119="","",_xll.BDP($A119&amp;" Corp",AD$14))</f>
        <v>#NAME?</v>
      </c>
      <c r="AE119" s="56" t="e">
        <f ca="1">IF($B119="","",_xll.BDP($A119&amp;" Corp",AE$14))</f>
        <v>#NAME?</v>
      </c>
      <c r="AF119" s="29" t="e">
        <f ca="1">IF($B119="","",_xll.BDP($A119&amp;" Corp",AF$14))</f>
        <v>#NAME?</v>
      </c>
      <c r="AG119" s="33" t="e">
        <f ca="1">IF($B119="","",_xll.BDP($A119&amp;" Corp",AG$14))</f>
        <v>#NAME?</v>
      </c>
      <c r="AH119" s="30" t="e">
        <f ca="1">IF($B119="","",_xll.BDP($A119&amp;" Corp",AH$14))</f>
        <v>#NAME?</v>
      </c>
      <c r="AI119" s="30" t="e">
        <f ca="1">IF($B119="","",_xll.BDP($A119&amp;" Corp",AI$14))</f>
        <v>#NAME?</v>
      </c>
      <c r="AJ119" s="30" t="e">
        <f ca="1">IF($B119="","",_xll.BDP($A119&amp;" Corp",AJ$14))</f>
        <v>#NAME?</v>
      </c>
      <c r="AK119" s="11" t="e">
        <f ca="1">IF($B119="","",_xll.BDP($A119&amp;" Corp",AK$14))</f>
        <v>#NAME?</v>
      </c>
      <c r="AL119" s="11" t="e">
        <f ca="1">IF($B119="","",_xll.BDP($A119&amp;" Corp",AL$14))</f>
        <v>#NAME?</v>
      </c>
      <c r="AM119" s="11" t="e">
        <f t="shared" ca="1" si="20"/>
        <v>#NAME?</v>
      </c>
      <c r="AN119" s="57" t="e">
        <f t="shared" ca="1" si="14"/>
        <v>#NAME?</v>
      </c>
    </row>
    <row r="120" spans="1:40" x14ac:dyDescent="0.3">
      <c r="A120" s="67" t="str">
        <f t="shared" si="15"/>
        <v>XS2063535970</v>
      </c>
      <c r="B120" s="68" t="s">
        <v>470</v>
      </c>
      <c r="C120" s="75">
        <v>7183</v>
      </c>
      <c r="D120" s="75">
        <v>128</v>
      </c>
      <c r="E120" s="75">
        <v>600000</v>
      </c>
      <c r="F120" s="69">
        <v>0.43995511999999998</v>
      </c>
      <c r="G120" s="70">
        <v>593988</v>
      </c>
      <c r="H120" s="67">
        <f t="shared" si="16"/>
        <v>600000</v>
      </c>
      <c r="I120" s="67">
        <f t="shared" si="17"/>
        <v>0.43995511999999998</v>
      </c>
      <c r="J120" s="67">
        <f t="shared" si="18"/>
        <v>593988</v>
      </c>
      <c r="K120" s="71">
        <f t="shared" si="19"/>
        <v>98.998000000000005</v>
      </c>
      <c r="L120" s="29" t="e">
        <f ca="1">IF(B120="","",_xll.BDP(A120&amp;" Corp","INTERVAL_HIGH","START_DATE_OVERRIDE",TEXT($L$12,"AAAAMMDD"),"END_DATE_OVERRIDE",TEXT($L$13,"AAAAMMDD"),"MARKET_DATA_OVERRIDE",$L$14))</f>
        <v>#NAME?</v>
      </c>
      <c r="M120" s="30" t="e">
        <f ca="1">IF(B120="","",_xll.BDP($A120&amp;" Corp","INTERVAL_LOW","START_DATE_OVERRIDE",TEXT($L$12,"AAAAMMDD"),"END_DATE_OVERRIDE",TEXT($L$13,"AAAAMMDD"),"MARKET_DATA_OVERRIDE",$L$14))</f>
        <v>#NAME?</v>
      </c>
      <c r="N120" s="31" t="e">
        <f ca="1">IF($B120="","",_xll.BDP($A120&amp;" Corp",N$15))</f>
        <v>#NAME?</v>
      </c>
      <c r="O120" s="32" t="e">
        <f ca="1">IF($B120="","",_xll.BDP($A120&amp;" Corp",O$15))</f>
        <v>#NAME?</v>
      </c>
      <c r="P120" s="32" t="e">
        <f ca="1">IF($B120="","",_xll.BDP($A120&amp;" Corp",P$15))</f>
        <v>#NAME?</v>
      </c>
      <c r="Q120" s="30" t="e">
        <f ca="1">IF($B120="","",_xll.BDP($A120&amp;" Corp",Q$14))</f>
        <v>#NAME?</v>
      </c>
      <c r="R120" s="30" t="e">
        <f ca="1">IF($B120="","",_xll.BDP($A120&amp;" Corp",R$14))</f>
        <v>#NAME?</v>
      </c>
      <c r="S120" s="50" t="e">
        <f ca="1">IF($B120="","",_xll.BDP($A120&amp;" Corp",S$14))</f>
        <v>#NAME?</v>
      </c>
      <c r="T120" s="30" t="e">
        <f ca="1">IF($B120="","",_xll.BDP($A120&amp;" Corp",T$14))</f>
        <v>#NAME?</v>
      </c>
      <c r="U120" s="30" t="e">
        <f ca="1">IF($B120="","",_xll.BDP($A120&amp;" Corp",U$14))</f>
        <v>#NAME?</v>
      </c>
      <c r="V120" s="51" t="e">
        <f ca="1">IF($B120="","",IF($T120="VARIABLE",_xll.BDP($A120&amp;" Corp",V$13),_xll.BDP($A120&amp;" Corp",V$14)))</f>
        <v>#NAME?</v>
      </c>
      <c r="W120" s="30" t="e">
        <f ca="1">IF($B120="","",IF($T120="VARIABLE",_xll.BDP($A120&amp;" Corp",W$13),_xll.BDP($A120&amp;" Corp",W$14)))</f>
        <v>#NAME?</v>
      </c>
      <c r="X120" s="30" t="e">
        <f ca="1">IF($B120="","",_xll.BDP($A120&amp;" Corp",X$14))</f>
        <v>#NAME?</v>
      </c>
      <c r="Y120" s="33" t="e">
        <f ca="1">IF($B120="","",_xll.BDP($A120&amp;" Corp",Y$14))</f>
        <v>#NAME?</v>
      </c>
      <c r="Z120" s="52" t="e">
        <f ca="1">IF($B120="","",_xll.BDP($A120&amp;" Corp",Z$14))</f>
        <v>#NAME?</v>
      </c>
      <c r="AA120" s="53" t="e">
        <f ca="1">IF($B120="","",_xll.BDP($A120&amp;" Corp",AA$14))</f>
        <v>#NAME?</v>
      </c>
      <c r="AB120" s="54" t="e">
        <f ca="1">IF($B120="","",_xll.BDP($A120&amp;" Corp",AB$14))</f>
        <v>#NAME?</v>
      </c>
      <c r="AC120" s="54" t="e">
        <f ca="1">IF($B120="","",_xll.BDP($A120&amp;" Corp",AC$14))</f>
        <v>#NAME?</v>
      </c>
      <c r="AD120" s="55" t="e">
        <f ca="1">IF($B120="","",_xll.BDP($A120&amp;" Corp",AD$14))</f>
        <v>#NAME?</v>
      </c>
      <c r="AE120" s="56" t="e">
        <f ca="1">IF($B120="","",_xll.BDP($A120&amp;" Corp",AE$14))</f>
        <v>#NAME?</v>
      </c>
      <c r="AF120" s="29" t="e">
        <f ca="1">IF($B120="","",_xll.BDP($A120&amp;" Corp",AF$14))</f>
        <v>#NAME?</v>
      </c>
      <c r="AG120" s="33" t="e">
        <f ca="1">IF($B120="","",_xll.BDP($A120&amp;" Corp",AG$14))</f>
        <v>#NAME?</v>
      </c>
      <c r="AH120" s="30" t="e">
        <f ca="1">IF($B120="","",_xll.BDP($A120&amp;" Corp",AH$14))</f>
        <v>#NAME?</v>
      </c>
      <c r="AI120" s="30" t="e">
        <f ca="1">IF($B120="","",_xll.BDP($A120&amp;" Corp",AI$14))</f>
        <v>#NAME?</v>
      </c>
      <c r="AJ120" s="30" t="e">
        <f ca="1">IF($B120="","",_xll.BDP($A120&amp;" Corp",AJ$14))</f>
        <v>#NAME?</v>
      </c>
      <c r="AK120" s="11" t="e">
        <f ca="1">IF($B120="","",_xll.BDP($A120&amp;" Corp",AK$14))</f>
        <v>#NAME?</v>
      </c>
      <c r="AL120" s="11" t="e">
        <f ca="1">IF($B120="","",_xll.BDP($A120&amp;" Corp",AL$14))</f>
        <v>#NAME?</v>
      </c>
      <c r="AM120" s="11" t="e">
        <f t="shared" ca="1" si="20"/>
        <v>#NAME?</v>
      </c>
      <c r="AN120" s="57" t="e">
        <f t="shared" ca="1" si="14"/>
        <v>#NAME?</v>
      </c>
    </row>
    <row r="121" spans="1:40" x14ac:dyDescent="0.3">
      <c r="A121" s="67" t="str">
        <f t="shared" si="15"/>
        <v>XS2067213913</v>
      </c>
      <c r="B121" s="68" t="s">
        <v>395</v>
      </c>
      <c r="C121" s="75">
        <v>8456</v>
      </c>
      <c r="D121" s="75">
        <v>128</v>
      </c>
      <c r="E121" s="75">
        <v>250000</v>
      </c>
      <c r="F121" s="69">
        <v>0.19549905000000001</v>
      </c>
      <c r="G121" s="70">
        <v>260012.5</v>
      </c>
      <c r="H121" s="67">
        <f t="shared" si="16"/>
        <v>250000</v>
      </c>
      <c r="I121" s="67">
        <f t="shared" si="17"/>
        <v>0.19549905000000001</v>
      </c>
      <c r="J121" s="67">
        <f t="shared" si="18"/>
        <v>260012.5</v>
      </c>
      <c r="K121" s="71">
        <f t="shared" si="19"/>
        <v>104.005</v>
      </c>
      <c r="L121" s="29" t="e">
        <f ca="1">IF(B121="","",_xll.BDP(A121&amp;" Corp","INTERVAL_HIGH","START_DATE_OVERRIDE",TEXT($L$12,"AAAAMMDD"),"END_DATE_OVERRIDE",TEXT($L$13,"AAAAMMDD"),"MARKET_DATA_OVERRIDE",$L$14))</f>
        <v>#NAME?</v>
      </c>
      <c r="M121" s="30" t="e">
        <f ca="1">IF(B121="","",_xll.BDP($A121&amp;" Corp","INTERVAL_LOW","START_DATE_OVERRIDE",TEXT($L$12,"AAAAMMDD"),"END_DATE_OVERRIDE",TEXT($L$13,"AAAAMMDD"),"MARKET_DATA_OVERRIDE",$L$14))</f>
        <v>#NAME?</v>
      </c>
      <c r="N121" s="31" t="e">
        <f ca="1">IF($B121="","",_xll.BDP($A121&amp;" Corp",N$15))</f>
        <v>#NAME?</v>
      </c>
      <c r="O121" s="32" t="e">
        <f ca="1">IF($B121="","",_xll.BDP($A121&amp;" Corp",O$15))</f>
        <v>#NAME?</v>
      </c>
      <c r="P121" s="32" t="e">
        <f ca="1">IF($B121="","",_xll.BDP($A121&amp;" Corp",P$15))</f>
        <v>#NAME?</v>
      </c>
      <c r="Q121" s="30" t="e">
        <f ca="1">IF($B121="","",_xll.BDP($A121&amp;" Corp",Q$14))</f>
        <v>#NAME?</v>
      </c>
      <c r="R121" s="30" t="e">
        <f ca="1">IF($B121="","",_xll.BDP($A121&amp;" Corp",R$14))</f>
        <v>#NAME?</v>
      </c>
      <c r="S121" s="50" t="e">
        <f ca="1">IF($B121="","",_xll.BDP($A121&amp;" Corp",S$14))</f>
        <v>#NAME?</v>
      </c>
      <c r="T121" s="30" t="e">
        <f ca="1">IF($B121="","",_xll.BDP($A121&amp;" Corp",T$14))</f>
        <v>#NAME?</v>
      </c>
      <c r="U121" s="30" t="e">
        <f ca="1">IF($B121="","",_xll.BDP($A121&amp;" Corp",U$14))</f>
        <v>#NAME?</v>
      </c>
      <c r="V121" s="51" t="e">
        <f ca="1">IF($B121="","",IF($T121="VARIABLE",_xll.BDP($A121&amp;" Corp",V$13),_xll.BDP($A121&amp;" Corp",V$14)))</f>
        <v>#NAME?</v>
      </c>
      <c r="W121" s="30" t="e">
        <f ca="1">IF($B121="","",IF($T121="VARIABLE",_xll.BDP($A121&amp;" Corp",W$13),_xll.BDP($A121&amp;" Corp",W$14)))</f>
        <v>#NAME?</v>
      </c>
      <c r="X121" s="30" t="e">
        <f ca="1">IF($B121="","",_xll.BDP($A121&amp;" Corp",X$14))</f>
        <v>#NAME?</v>
      </c>
      <c r="Y121" s="33" t="e">
        <f ca="1">IF($B121="","",_xll.BDP($A121&amp;" Corp",Y$14))</f>
        <v>#NAME?</v>
      </c>
      <c r="Z121" s="52" t="e">
        <f ca="1">IF($B121="","",_xll.BDP($A121&amp;" Corp",Z$14))</f>
        <v>#NAME?</v>
      </c>
      <c r="AA121" s="53" t="e">
        <f ca="1">IF($B121="","",_xll.BDP($A121&amp;" Corp",AA$14))</f>
        <v>#NAME?</v>
      </c>
      <c r="AB121" s="54" t="e">
        <f ca="1">IF($B121="","",_xll.BDP($A121&amp;" Corp",AB$14))</f>
        <v>#NAME?</v>
      </c>
      <c r="AC121" s="54" t="e">
        <f ca="1">IF($B121="","",_xll.BDP($A121&amp;" Corp",AC$14))</f>
        <v>#NAME?</v>
      </c>
      <c r="AD121" s="55" t="e">
        <f ca="1">IF($B121="","",_xll.BDP($A121&amp;" Corp",AD$14))</f>
        <v>#NAME?</v>
      </c>
      <c r="AE121" s="56" t="e">
        <f ca="1">IF($B121="","",_xll.BDP($A121&amp;" Corp",AE$14))</f>
        <v>#NAME?</v>
      </c>
      <c r="AF121" s="29" t="e">
        <f ca="1">IF($B121="","",_xll.BDP($A121&amp;" Corp",AF$14))</f>
        <v>#NAME?</v>
      </c>
      <c r="AG121" s="33" t="e">
        <f ca="1">IF($B121="","",_xll.BDP($A121&amp;" Corp",AG$14))</f>
        <v>#NAME?</v>
      </c>
      <c r="AH121" s="30" t="e">
        <f ca="1">IF($B121="","",_xll.BDP($A121&amp;" Corp",AH$14))</f>
        <v>#NAME?</v>
      </c>
      <c r="AI121" s="30" t="e">
        <f ca="1">IF($B121="","",_xll.BDP($A121&amp;" Corp",AI$14))</f>
        <v>#NAME?</v>
      </c>
      <c r="AJ121" s="30" t="e">
        <f ca="1">IF($B121="","",_xll.BDP($A121&amp;" Corp",AJ$14))</f>
        <v>#NAME?</v>
      </c>
      <c r="AK121" s="11" t="e">
        <f ca="1">IF($B121="","",_xll.BDP($A121&amp;" Corp",AK$14))</f>
        <v>#NAME?</v>
      </c>
      <c r="AL121" s="11" t="e">
        <f ca="1">IF($B121="","",_xll.BDP($A121&amp;" Corp",AL$14))</f>
        <v>#NAME?</v>
      </c>
      <c r="AM121" s="11" t="e">
        <f t="shared" ca="1" si="20"/>
        <v>#NAME?</v>
      </c>
      <c r="AN121" s="57" t="e">
        <f t="shared" ca="1" si="14"/>
        <v>#NAME?</v>
      </c>
    </row>
    <row r="122" spans="1:40" x14ac:dyDescent="0.3">
      <c r="A122" s="67" t="str">
        <f t="shared" si="15"/>
        <v>XS2069960057</v>
      </c>
      <c r="B122" s="68" t="s">
        <v>397</v>
      </c>
      <c r="C122" s="75">
        <v>8824</v>
      </c>
      <c r="D122" s="75">
        <v>128</v>
      </c>
      <c r="E122" s="75">
        <v>200000</v>
      </c>
      <c r="F122" s="69">
        <v>0.15758695</v>
      </c>
      <c r="G122" s="70">
        <v>204248</v>
      </c>
      <c r="H122" s="67">
        <f t="shared" si="16"/>
        <v>200000</v>
      </c>
      <c r="I122" s="67">
        <f t="shared" si="17"/>
        <v>0.15758695</v>
      </c>
      <c r="J122" s="67">
        <f t="shared" si="18"/>
        <v>204248</v>
      </c>
      <c r="K122" s="71">
        <f t="shared" si="19"/>
        <v>102.124</v>
      </c>
      <c r="L122" s="29" t="e">
        <f ca="1">IF(B122="","",_xll.BDP(A122&amp;" Corp","INTERVAL_HIGH","START_DATE_OVERRIDE",TEXT($L$12,"AAAAMMDD"),"END_DATE_OVERRIDE",TEXT($L$13,"AAAAMMDD"),"MARKET_DATA_OVERRIDE",$L$14))</f>
        <v>#NAME?</v>
      </c>
      <c r="M122" s="30" t="e">
        <f ca="1">IF(B122="","",_xll.BDP($A122&amp;" Corp","INTERVAL_LOW","START_DATE_OVERRIDE",TEXT($L$12,"AAAAMMDD"),"END_DATE_OVERRIDE",TEXT($L$13,"AAAAMMDD"),"MARKET_DATA_OVERRIDE",$L$14))</f>
        <v>#NAME?</v>
      </c>
      <c r="N122" s="31" t="e">
        <f ca="1">IF($B122="","",_xll.BDP($A122&amp;" Corp",N$15))</f>
        <v>#NAME?</v>
      </c>
      <c r="O122" s="32" t="e">
        <f ca="1">IF($B122="","",_xll.BDP($A122&amp;" Corp",O$15))</f>
        <v>#NAME?</v>
      </c>
      <c r="P122" s="32" t="e">
        <f ca="1">IF($B122="","",_xll.BDP($A122&amp;" Corp",P$15))</f>
        <v>#NAME?</v>
      </c>
      <c r="Q122" s="30" t="e">
        <f ca="1">IF($B122="","",_xll.BDP($A122&amp;" Corp",Q$14))</f>
        <v>#NAME?</v>
      </c>
      <c r="R122" s="30" t="e">
        <f ca="1">IF($B122="","",_xll.BDP($A122&amp;" Corp",R$14))</f>
        <v>#NAME?</v>
      </c>
      <c r="S122" s="50" t="e">
        <f ca="1">IF($B122="","",_xll.BDP($A122&amp;" Corp",S$14))</f>
        <v>#NAME?</v>
      </c>
      <c r="T122" s="30" t="e">
        <f ca="1">IF($B122="","",_xll.BDP($A122&amp;" Corp",T$14))</f>
        <v>#NAME?</v>
      </c>
      <c r="U122" s="30" t="e">
        <f ca="1">IF($B122="","",_xll.BDP($A122&amp;" Corp",U$14))</f>
        <v>#NAME?</v>
      </c>
      <c r="V122" s="51" t="e">
        <f ca="1">IF($B122="","",IF($T122="VARIABLE",_xll.BDP($A122&amp;" Corp",V$13),_xll.BDP($A122&amp;" Corp",V$14)))</f>
        <v>#NAME?</v>
      </c>
      <c r="W122" s="30" t="e">
        <f ca="1">IF($B122="","",IF($T122="VARIABLE",_xll.BDP($A122&amp;" Corp",W$13),_xll.BDP($A122&amp;" Corp",W$14)))</f>
        <v>#NAME?</v>
      </c>
      <c r="X122" s="30" t="e">
        <f ca="1">IF($B122="","",_xll.BDP($A122&amp;" Corp",X$14))</f>
        <v>#NAME?</v>
      </c>
      <c r="Y122" s="33" t="e">
        <f ca="1">IF($B122="","",_xll.BDP($A122&amp;" Corp",Y$14))</f>
        <v>#NAME?</v>
      </c>
      <c r="Z122" s="52" t="e">
        <f ca="1">IF($B122="","",_xll.BDP($A122&amp;" Corp",Z$14))</f>
        <v>#NAME?</v>
      </c>
      <c r="AA122" s="53" t="e">
        <f ca="1">IF($B122="","",_xll.BDP($A122&amp;" Corp",AA$14))</f>
        <v>#NAME?</v>
      </c>
      <c r="AB122" s="54" t="e">
        <f ca="1">IF($B122="","",_xll.BDP($A122&amp;" Corp",AB$14))</f>
        <v>#NAME?</v>
      </c>
      <c r="AC122" s="54" t="e">
        <f ca="1">IF($B122="","",_xll.BDP($A122&amp;" Corp",AC$14))</f>
        <v>#NAME?</v>
      </c>
      <c r="AD122" s="55" t="e">
        <f ca="1">IF($B122="","",_xll.BDP($A122&amp;" Corp",AD$14))</f>
        <v>#NAME?</v>
      </c>
      <c r="AE122" s="56" t="e">
        <f ca="1">IF($B122="","",_xll.BDP($A122&amp;" Corp",AE$14))</f>
        <v>#NAME?</v>
      </c>
      <c r="AF122" s="29" t="e">
        <f ca="1">IF($B122="","",_xll.BDP($A122&amp;" Corp",AF$14))</f>
        <v>#NAME?</v>
      </c>
      <c r="AG122" s="33" t="e">
        <f ca="1">IF($B122="","",_xll.BDP($A122&amp;" Corp",AG$14))</f>
        <v>#NAME?</v>
      </c>
      <c r="AH122" s="30" t="e">
        <f ca="1">IF($B122="","",_xll.BDP($A122&amp;" Corp",AH$14))</f>
        <v>#NAME?</v>
      </c>
      <c r="AI122" s="30" t="e">
        <f ca="1">IF($B122="","",_xll.BDP($A122&amp;" Corp",AI$14))</f>
        <v>#NAME?</v>
      </c>
      <c r="AJ122" s="30" t="e">
        <f ca="1">IF($B122="","",_xll.BDP($A122&amp;" Corp",AJ$14))</f>
        <v>#NAME?</v>
      </c>
      <c r="AK122" s="11" t="e">
        <f ca="1">IF($B122="","",_xll.BDP($A122&amp;" Corp",AK$14))</f>
        <v>#NAME?</v>
      </c>
      <c r="AL122" s="11" t="e">
        <f ca="1">IF($B122="","",_xll.BDP($A122&amp;" Corp",AL$14))</f>
        <v>#NAME?</v>
      </c>
      <c r="AM122" s="11" t="e">
        <f t="shared" ca="1" si="20"/>
        <v>#NAME?</v>
      </c>
      <c r="AN122" s="57" t="e">
        <f t="shared" ca="1" si="14"/>
        <v>#NAME?</v>
      </c>
    </row>
    <row r="123" spans="1:40" x14ac:dyDescent="0.3">
      <c r="A123" s="67" t="str">
        <f t="shared" si="15"/>
        <v>XS2078976805</v>
      </c>
      <c r="B123" s="68" t="s">
        <v>275</v>
      </c>
      <c r="C123" s="75">
        <v>8982</v>
      </c>
      <c r="D123" s="75">
        <v>128</v>
      </c>
      <c r="E123" s="75">
        <v>500000</v>
      </c>
      <c r="F123" s="69">
        <v>0.39663352000000002</v>
      </c>
      <c r="G123" s="70">
        <v>515135</v>
      </c>
      <c r="H123" s="67">
        <f t="shared" si="16"/>
        <v>500000</v>
      </c>
      <c r="I123" s="67">
        <f t="shared" si="17"/>
        <v>0.39663352000000002</v>
      </c>
      <c r="J123" s="67">
        <f t="shared" si="18"/>
        <v>515135</v>
      </c>
      <c r="K123" s="71">
        <f t="shared" si="19"/>
        <v>103.027</v>
      </c>
      <c r="L123" s="29" t="e">
        <f ca="1">IF(B123="","",_xll.BDP(A123&amp;" Corp","INTERVAL_HIGH","START_DATE_OVERRIDE",TEXT($L$12,"AAAAMMDD"),"END_DATE_OVERRIDE",TEXT($L$13,"AAAAMMDD"),"MARKET_DATA_OVERRIDE",$L$14))</f>
        <v>#NAME?</v>
      </c>
      <c r="M123" s="30" t="e">
        <f ca="1">IF(B123="","",_xll.BDP($A123&amp;" Corp","INTERVAL_LOW","START_DATE_OVERRIDE",TEXT($L$12,"AAAAMMDD"),"END_DATE_OVERRIDE",TEXT($L$13,"AAAAMMDD"),"MARKET_DATA_OVERRIDE",$L$14))</f>
        <v>#NAME?</v>
      </c>
      <c r="N123" s="31" t="e">
        <f ca="1">IF($B123="","",_xll.BDP($A123&amp;" Corp",N$15))</f>
        <v>#NAME?</v>
      </c>
      <c r="O123" s="32" t="e">
        <f ca="1">IF($B123="","",_xll.BDP($A123&amp;" Corp",O$15))</f>
        <v>#NAME?</v>
      </c>
      <c r="P123" s="32" t="e">
        <f ca="1">IF($B123="","",_xll.BDP($A123&amp;" Corp",P$15))</f>
        <v>#NAME?</v>
      </c>
      <c r="Q123" s="30" t="e">
        <f ca="1">IF($B123="","",_xll.BDP($A123&amp;" Corp",Q$14))</f>
        <v>#NAME?</v>
      </c>
      <c r="R123" s="30" t="e">
        <f ca="1">IF($B123="","",_xll.BDP($A123&amp;" Corp",R$14))</f>
        <v>#NAME?</v>
      </c>
      <c r="S123" s="50" t="e">
        <f ca="1">IF($B123="","",_xll.BDP($A123&amp;" Corp",S$14))</f>
        <v>#NAME?</v>
      </c>
      <c r="T123" s="30" t="e">
        <f ca="1">IF($B123="","",_xll.BDP($A123&amp;" Corp",T$14))</f>
        <v>#NAME?</v>
      </c>
      <c r="U123" s="30" t="e">
        <f ca="1">IF($B123="","",_xll.BDP($A123&amp;" Corp",U$14))</f>
        <v>#NAME?</v>
      </c>
      <c r="V123" s="51" t="e">
        <f ca="1">IF($B123="","",IF($T123="VARIABLE",_xll.BDP($A123&amp;" Corp",V$13),_xll.BDP($A123&amp;" Corp",V$14)))</f>
        <v>#NAME?</v>
      </c>
      <c r="W123" s="30" t="e">
        <f ca="1">IF($B123="","",IF($T123="VARIABLE",_xll.BDP($A123&amp;" Corp",W$13),_xll.BDP($A123&amp;" Corp",W$14)))</f>
        <v>#NAME?</v>
      </c>
      <c r="X123" s="30" t="e">
        <f ca="1">IF($B123="","",_xll.BDP($A123&amp;" Corp",X$14))</f>
        <v>#NAME?</v>
      </c>
      <c r="Y123" s="33" t="e">
        <f ca="1">IF($B123="","",_xll.BDP($A123&amp;" Corp",Y$14))</f>
        <v>#NAME?</v>
      </c>
      <c r="Z123" s="52" t="e">
        <f ca="1">IF($B123="","",_xll.BDP($A123&amp;" Corp",Z$14))</f>
        <v>#NAME?</v>
      </c>
      <c r="AA123" s="53" t="e">
        <f ca="1">IF($B123="","",_xll.BDP($A123&amp;" Corp",AA$14))</f>
        <v>#NAME?</v>
      </c>
      <c r="AB123" s="54" t="e">
        <f ca="1">IF($B123="","",_xll.BDP($A123&amp;" Corp",AB$14))</f>
        <v>#NAME?</v>
      </c>
      <c r="AC123" s="54" t="e">
        <f ca="1">IF($B123="","",_xll.BDP($A123&amp;" Corp",AC$14))</f>
        <v>#NAME?</v>
      </c>
      <c r="AD123" s="55" t="e">
        <f ca="1">IF($B123="","",_xll.BDP($A123&amp;" Corp",AD$14))</f>
        <v>#NAME?</v>
      </c>
      <c r="AE123" s="56" t="e">
        <f ca="1">IF($B123="","",_xll.BDP($A123&amp;" Corp",AE$14))</f>
        <v>#NAME?</v>
      </c>
      <c r="AF123" s="29" t="e">
        <f ca="1">IF($B123="","",_xll.BDP($A123&amp;" Corp",AF$14))</f>
        <v>#NAME?</v>
      </c>
      <c r="AG123" s="33" t="e">
        <f ca="1">IF($B123="","",_xll.BDP($A123&amp;" Corp",AG$14))</f>
        <v>#NAME?</v>
      </c>
      <c r="AH123" s="30" t="e">
        <f ca="1">IF($B123="","",_xll.BDP($A123&amp;" Corp",AH$14))</f>
        <v>#NAME?</v>
      </c>
      <c r="AI123" s="30" t="e">
        <f ca="1">IF($B123="","",_xll.BDP($A123&amp;" Corp",AI$14))</f>
        <v>#NAME?</v>
      </c>
      <c r="AJ123" s="30" t="e">
        <f ca="1">IF($B123="","",_xll.BDP($A123&amp;" Corp",AJ$14))</f>
        <v>#NAME?</v>
      </c>
      <c r="AK123" s="11" t="e">
        <f ca="1">IF($B123="","",_xll.BDP($A123&amp;" Corp",AK$14))</f>
        <v>#NAME?</v>
      </c>
      <c r="AL123" s="11" t="e">
        <f ca="1">IF($B123="","",_xll.BDP($A123&amp;" Corp",AL$14))</f>
        <v>#NAME?</v>
      </c>
      <c r="AM123" s="11" t="e">
        <f t="shared" ca="1" si="20"/>
        <v>#NAME?</v>
      </c>
      <c r="AN123" s="57" t="e">
        <f t="shared" ca="1" si="14"/>
        <v>#NAME?</v>
      </c>
    </row>
    <row r="124" spans="1:40" x14ac:dyDescent="0.3">
      <c r="A124" s="67" t="str">
        <f t="shared" si="15"/>
        <v>XS2081491727</v>
      </c>
      <c r="B124" s="68" t="s">
        <v>555</v>
      </c>
      <c r="C124" s="75">
        <v>7282</v>
      </c>
      <c r="D124" s="75">
        <v>128</v>
      </c>
      <c r="E124" s="75">
        <v>1016000</v>
      </c>
      <c r="F124" s="69">
        <v>0.82263684000000004</v>
      </c>
      <c r="G124" s="70">
        <v>992398.28</v>
      </c>
      <c r="H124" s="67">
        <f t="shared" si="16"/>
        <v>1016000</v>
      </c>
      <c r="I124" s="67">
        <f t="shared" si="17"/>
        <v>0.82263684000000004</v>
      </c>
      <c r="J124" s="67">
        <f t="shared" si="18"/>
        <v>992398.28</v>
      </c>
      <c r="K124" s="71">
        <f t="shared" si="19"/>
        <v>97.676996062992131</v>
      </c>
      <c r="L124" s="29" t="e">
        <f ca="1">IF(B124="","",_xll.BDP(A124&amp;" Corp","INTERVAL_HIGH","START_DATE_OVERRIDE",TEXT($L$12,"AAAAMMDD"),"END_DATE_OVERRIDE",TEXT($L$13,"AAAAMMDD"),"MARKET_DATA_OVERRIDE",$L$14))</f>
        <v>#NAME?</v>
      </c>
      <c r="M124" s="30" t="e">
        <f ca="1">IF(B124="","",_xll.BDP($A124&amp;" Corp","INTERVAL_LOW","START_DATE_OVERRIDE",TEXT($L$12,"AAAAMMDD"),"END_DATE_OVERRIDE",TEXT($L$13,"AAAAMMDD"),"MARKET_DATA_OVERRIDE",$L$14))</f>
        <v>#NAME?</v>
      </c>
      <c r="N124" s="31" t="e">
        <f ca="1">IF($B124="","",_xll.BDP($A124&amp;" Corp",N$15))</f>
        <v>#NAME?</v>
      </c>
      <c r="O124" s="32" t="e">
        <f ca="1">IF($B124="","",_xll.BDP($A124&amp;" Corp",O$15))</f>
        <v>#NAME?</v>
      </c>
      <c r="P124" s="32" t="e">
        <f ca="1">IF($B124="","",_xll.BDP($A124&amp;" Corp",P$15))</f>
        <v>#NAME?</v>
      </c>
      <c r="Q124" s="30" t="e">
        <f ca="1">IF($B124="","",_xll.BDP($A124&amp;" Corp",Q$14))</f>
        <v>#NAME?</v>
      </c>
      <c r="R124" s="30" t="e">
        <f ca="1">IF($B124="","",_xll.BDP($A124&amp;" Corp",R$14))</f>
        <v>#NAME?</v>
      </c>
      <c r="S124" s="50" t="e">
        <f ca="1">IF($B124="","",_xll.BDP($A124&amp;" Corp",S$14))</f>
        <v>#NAME?</v>
      </c>
      <c r="T124" s="30" t="e">
        <f ca="1">IF($B124="","",_xll.BDP($A124&amp;" Corp",T$14))</f>
        <v>#NAME?</v>
      </c>
      <c r="U124" s="30" t="e">
        <f ca="1">IF($B124="","",_xll.BDP($A124&amp;" Corp",U$14))</f>
        <v>#NAME?</v>
      </c>
      <c r="V124" s="51" t="e">
        <f ca="1">IF($B124="","",IF($T124="VARIABLE",_xll.BDP($A124&amp;" Corp",V$13),_xll.BDP($A124&amp;" Corp",V$14)))</f>
        <v>#NAME?</v>
      </c>
      <c r="W124" s="30" t="e">
        <f ca="1">IF($B124="","",IF($T124="VARIABLE",_xll.BDP($A124&amp;" Corp",W$13),_xll.BDP($A124&amp;" Corp",W$14)))</f>
        <v>#NAME?</v>
      </c>
      <c r="X124" s="30" t="e">
        <f ca="1">IF($B124="","",_xll.BDP($A124&amp;" Corp",X$14))</f>
        <v>#NAME?</v>
      </c>
      <c r="Y124" s="33" t="e">
        <f ca="1">IF($B124="","",_xll.BDP($A124&amp;" Corp",Y$14))</f>
        <v>#NAME?</v>
      </c>
      <c r="Z124" s="52" t="e">
        <f ca="1">IF($B124="","",_xll.BDP($A124&amp;" Corp",Z$14))</f>
        <v>#NAME?</v>
      </c>
      <c r="AA124" s="53" t="e">
        <f ca="1">IF($B124="","",_xll.BDP($A124&amp;" Corp",AA$14))</f>
        <v>#NAME?</v>
      </c>
      <c r="AB124" s="54" t="e">
        <f ca="1">IF($B124="","",_xll.BDP($A124&amp;" Corp",AB$14))</f>
        <v>#NAME?</v>
      </c>
      <c r="AC124" s="54" t="e">
        <f ca="1">IF($B124="","",_xll.BDP($A124&amp;" Corp",AC$14))</f>
        <v>#NAME?</v>
      </c>
      <c r="AD124" s="55" t="e">
        <f ca="1">IF($B124="","",_xll.BDP($A124&amp;" Corp",AD$14))</f>
        <v>#NAME?</v>
      </c>
      <c r="AE124" s="56" t="e">
        <f ca="1">IF($B124="","",_xll.BDP($A124&amp;" Corp",AE$14))</f>
        <v>#NAME?</v>
      </c>
      <c r="AF124" s="29" t="e">
        <f ca="1">IF($B124="","",_xll.BDP($A124&amp;" Corp",AF$14))</f>
        <v>#NAME?</v>
      </c>
      <c r="AG124" s="33" t="e">
        <f ca="1">IF($B124="","",_xll.BDP($A124&amp;" Corp",AG$14))</f>
        <v>#NAME?</v>
      </c>
      <c r="AH124" s="30" t="e">
        <f ca="1">IF($B124="","",_xll.BDP($A124&amp;" Corp",AH$14))</f>
        <v>#NAME?</v>
      </c>
      <c r="AI124" s="30" t="e">
        <f ca="1">IF($B124="","",_xll.BDP($A124&amp;" Corp",AI$14))</f>
        <v>#NAME?</v>
      </c>
      <c r="AJ124" s="30" t="e">
        <f ca="1">IF($B124="","",_xll.BDP($A124&amp;" Corp",AJ$14))</f>
        <v>#NAME?</v>
      </c>
      <c r="AK124" s="11" t="e">
        <f ca="1">IF($B124="","",_xll.BDP($A124&amp;" Corp",AK$14))</f>
        <v>#NAME?</v>
      </c>
      <c r="AL124" s="11" t="e">
        <f ca="1">IF($B124="","",_xll.BDP($A124&amp;" Corp",AL$14))</f>
        <v>#NAME?</v>
      </c>
      <c r="AM124" s="11" t="e">
        <f t="shared" ca="1" si="20"/>
        <v>#NAME?</v>
      </c>
      <c r="AN124" s="57" t="e">
        <f t="shared" ca="1" si="14"/>
        <v>#NAME?</v>
      </c>
    </row>
    <row r="125" spans="1:40" x14ac:dyDescent="0.3">
      <c r="A125" s="67" t="str">
        <f t="shared" si="15"/>
        <v>XS2081500907</v>
      </c>
      <c r="B125" s="68" t="s">
        <v>558</v>
      </c>
      <c r="C125" s="75">
        <v>7283</v>
      </c>
      <c r="D125" s="75">
        <v>128</v>
      </c>
      <c r="E125" s="75">
        <v>200000</v>
      </c>
      <c r="F125" s="69">
        <v>0.1507339</v>
      </c>
      <c r="G125" s="70">
        <v>200188</v>
      </c>
      <c r="H125" s="67">
        <f t="shared" si="16"/>
        <v>200000</v>
      </c>
      <c r="I125" s="67">
        <f t="shared" si="17"/>
        <v>0.1507339</v>
      </c>
      <c r="J125" s="67">
        <f t="shared" si="18"/>
        <v>200188</v>
      </c>
      <c r="K125" s="71">
        <f t="shared" si="19"/>
        <v>100.09399999999999</v>
      </c>
      <c r="L125" s="29" t="e">
        <f ca="1">IF(B125="","",_xll.BDP(A125&amp;" Corp","INTERVAL_HIGH","START_DATE_OVERRIDE",TEXT($L$12,"AAAAMMDD"),"END_DATE_OVERRIDE",TEXT($L$13,"AAAAMMDD"),"MARKET_DATA_OVERRIDE",$L$14))</f>
        <v>#NAME?</v>
      </c>
      <c r="M125" s="30" t="e">
        <f ca="1">IF(B125="","",_xll.BDP($A125&amp;" Corp","INTERVAL_LOW","START_DATE_OVERRIDE",TEXT($L$12,"AAAAMMDD"),"END_DATE_OVERRIDE",TEXT($L$13,"AAAAMMDD"),"MARKET_DATA_OVERRIDE",$L$14))</f>
        <v>#NAME?</v>
      </c>
      <c r="N125" s="31" t="e">
        <f ca="1">IF($B125="","",_xll.BDP($A125&amp;" Corp",N$15))</f>
        <v>#NAME?</v>
      </c>
      <c r="O125" s="32" t="e">
        <f ca="1">IF($B125="","",_xll.BDP($A125&amp;" Corp",O$15))</f>
        <v>#NAME?</v>
      </c>
      <c r="P125" s="32" t="e">
        <f ca="1">IF($B125="","",_xll.BDP($A125&amp;" Corp",P$15))</f>
        <v>#NAME?</v>
      </c>
      <c r="Q125" s="30" t="e">
        <f ca="1">IF($B125="","",_xll.BDP($A125&amp;" Corp",Q$14))</f>
        <v>#NAME?</v>
      </c>
      <c r="R125" s="30" t="e">
        <f ca="1">IF($B125="","",_xll.BDP($A125&amp;" Corp",R$14))</f>
        <v>#NAME?</v>
      </c>
      <c r="S125" s="50" t="e">
        <f ca="1">IF($B125="","",_xll.BDP($A125&amp;" Corp",S$14))</f>
        <v>#NAME?</v>
      </c>
      <c r="T125" s="30" t="e">
        <f ca="1">IF($B125="","",_xll.BDP($A125&amp;" Corp",T$14))</f>
        <v>#NAME?</v>
      </c>
      <c r="U125" s="30" t="e">
        <f ca="1">IF($B125="","",_xll.BDP($A125&amp;" Corp",U$14))</f>
        <v>#NAME?</v>
      </c>
      <c r="V125" s="51" t="e">
        <f ca="1">IF($B125="","",IF($T125="VARIABLE",_xll.BDP($A125&amp;" Corp",V$13),_xll.BDP($A125&amp;" Corp",V$14)))</f>
        <v>#NAME?</v>
      </c>
      <c r="W125" s="30" t="e">
        <f ca="1">IF($B125="","",IF($T125="VARIABLE",_xll.BDP($A125&amp;" Corp",W$13),_xll.BDP($A125&amp;" Corp",W$14)))</f>
        <v>#NAME?</v>
      </c>
      <c r="X125" s="30" t="e">
        <f ca="1">IF($B125="","",_xll.BDP($A125&amp;" Corp",X$14))</f>
        <v>#NAME?</v>
      </c>
      <c r="Y125" s="33" t="e">
        <f ca="1">IF($B125="","",_xll.BDP($A125&amp;" Corp",Y$14))</f>
        <v>#NAME?</v>
      </c>
      <c r="Z125" s="52" t="e">
        <f ca="1">IF($B125="","",_xll.BDP($A125&amp;" Corp",Z$14))</f>
        <v>#NAME?</v>
      </c>
      <c r="AA125" s="53" t="e">
        <f ca="1">IF($B125="","",_xll.BDP($A125&amp;" Corp",AA$14))</f>
        <v>#NAME?</v>
      </c>
      <c r="AB125" s="54" t="e">
        <f ca="1">IF($B125="","",_xll.BDP($A125&amp;" Corp",AB$14))</f>
        <v>#NAME?</v>
      </c>
      <c r="AC125" s="54" t="e">
        <f ca="1">IF($B125="","",_xll.BDP($A125&amp;" Corp",AC$14))</f>
        <v>#NAME?</v>
      </c>
      <c r="AD125" s="55" t="e">
        <f ca="1">IF($B125="","",_xll.BDP($A125&amp;" Corp",AD$14))</f>
        <v>#NAME?</v>
      </c>
      <c r="AE125" s="56" t="e">
        <f ca="1">IF($B125="","",_xll.BDP($A125&amp;" Corp",AE$14))</f>
        <v>#NAME?</v>
      </c>
      <c r="AF125" s="29" t="e">
        <f ca="1">IF($B125="","",_xll.BDP($A125&amp;" Corp",AF$14))</f>
        <v>#NAME?</v>
      </c>
      <c r="AG125" s="33" t="e">
        <f ca="1">IF($B125="","",_xll.BDP($A125&amp;" Corp",AG$14))</f>
        <v>#NAME?</v>
      </c>
      <c r="AH125" s="30" t="e">
        <f ca="1">IF($B125="","",_xll.BDP($A125&amp;" Corp",AH$14))</f>
        <v>#NAME?</v>
      </c>
      <c r="AI125" s="30" t="e">
        <f ca="1">IF($B125="","",_xll.BDP($A125&amp;" Corp",AI$14))</f>
        <v>#NAME?</v>
      </c>
      <c r="AJ125" s="30" t="e">
        <f ca="1">IF($B125="","",_xll.BDP($A125&amp;" Corp",AJ$14))</f>
        <v>#NAME?</v>
      </c>
      <c r="AK125" s="11" t="e">
        <f ca="1">IF($B125="","",_xll.BDP($A125&amp;" Corp",AK$14))</f>
        <v>#NAME?</v>
      </c>
      <c r="AL125" s="11" t="e">
        <f ca="1">IF($B125="","",_xll.BDP($A125&amp;" Corp",AL$14))</f>
        <v>#NAME?</v>
      </c>
      <c r="AM125" s="11" t="e">
        <f t="shared" ca="1" si="20"/>
        <v>#NAME?</v>
      </c>
      <c r="AN125" s="57" t="e">
        <f t="shared" ca="1" si="14"/>
        <v>#NAME?</v>
      </c>
    </row>
    <row r="126" spans="1:40" x14ac:dyDescent="0.3">
      <c r="A126" s="67" t="str">
        <f t="shared" si="15"/>
        <v>XS2082324018</v>
      </c>
      <c r="B126" s="68" t="s">
        <v>570</v>
      </c>
      <c r="C126" s="75">
        <v>7239</v>
      </c>
      <c r="D126" s="75">
        <v>128</v>
      </c>
      <c r="E126" s="75">
        <v>400000</v>
      </c>
      <c r="F126" s="69">
        <v>0.31159341000000002</v>
      </c>
      <c r="G126" s="70">
        <v>398218</v>
      </c>
      <c r="H126" s="67">
        <f t="shared" si="16"/>
        <v>400000</v>
      </c>
      <c r="I126" s="67">
        <f t="shared" si="17"/>
        <v>0.31159341000000002</v>
      </c>
      <c r="J126" s="67">
        <f t="shared" si="18"/>
        <v>398218</v>
      </c>
      <c r="K126" s="71">
        <f t="shared" si="19"/>
        <v>99.554500000000004</v>
      </c>
      <c r="L126" s="29" t="e">
        <f ca="1">IF(B126="","",_xll.BDP(A126&amp;" Corp","INTERVAL_HIGH","START_DATE_OVERRIDE",TEXT($L$12,"AAAAMMDD"),"END_DATE_OVERRIDE",TEXT($L$13,"AAAAMMDD"),"MARKET_DATA_OVERRIDE",$L$14))</f>
        <v>#NAME?</v>
      </c>
      <c r="M126" s="30" t="e">
        <f ca="1">IF(B126="","",_xll.BDP($A126&amp;" Corp","INTERVAL_LOW","START_DATE_OVERRIDE",TEXT($L$12,"AAAAMMDD"),"END_DATE_OVERRIDE",TEXT($L$13,"AAAAMMDD"),"MARKET_DATA_OVERRIDE",$L$14))</f>
        <v>#NAME?</v>
      </c>
      <c r="N126" s="31" t="e">
        <f ca="1">IF($B126="","",_xll.BDP($A126&amp;" Corp",N$15))</f>
        <v>#NAME?</v>
      </c>
      <c r="O126" s="32" t="e">
        <f ca="1">IF($B126="","",_xll.BDP($A126&amp;" Corp",O$15))</f>
        <v>#NAME?</v>
      </c>
      <c r="P126" s="32" t="e">
        <f ca="1">IF($B126="","",_xll.BDP($A126&amp;" Corp",P$15))</f>
        <v>#NAME?</v>
      </c>
      <c r="Q126" s="30" t="e">
        <f ca="1">IF($B126="","",_xll.BDP($A126&amp;" Corp",Q$14))</f>
        <v>#NAME?</v>
      </c>
      <c r="R126" s="30" t="e">
        <f ca="1">IF($B126="","",_xll.BDP($A126&amp;" Corp",R$14))</f>
        <v>#NAME?</v>
      </c>
      <c r="S126" s="50" t="e">
        <f ca="1">IF($B126="","",_xll.BDP($A126&amp;" Corp",S$14))</f>
        <v>#NAME?</v>
      </c>
      <c r="T126" s="30" t="e">
        <f ca="1">IF($B126="","",_xll.BDP($A126&amp;" Corp",T$14))</f>
        <v>#NAME?</v>
      </c>
      <c r="U126" s="30" t="e">
        <f ca="1">IF($B126="","",_xll.BDP($A126&amp;" Corp",U$14))</f>
        <v>#NAME?</v>
      </c>
      <c r="V126" s="51" t="e">
        <f ca="1">IF($B126="","",IF($T126="VARIABLE",_xll.BDP($A126&amp;" Corp",V$13),_xll.BDP($A126&amp;" Corp",V$14)))</f>
        <v>#NAME?</v>
      </c>
      <c r="W126" s="30" t="e">
        <f ca="1">IF($B126="","",IF($T126="VARIABLE",_xll.BDP($A126&amp;" Corp",W$13),_xll.BDP($A126&amp;" Corp",W$14)))</f>
        <v>#NAME?</v>
      </c>
      <c r="X126" s="30" t="e">
        <f ca="1">IF($B126="","",_xll.BDP($A126&amp;" Corp",X$14))</f>
        <v>#NAME?</v>
      </c>
      <c r="Y126" s="33" t="e">
        <f ca="1">IF($B126="","",_xll.BDP($A126&amp;" Corp",Y$14))</f>
        <v>#NAME?</v>
      </c>
      <c r="Z126" s="52" t="e">
        <f ca="1">IF($B126="","",_xll.BDP($A126&amp;" Corp",Z$14))</f>
        <v>#NAME?</v>
      </c>
      <c r="AA126" s="53" t="e">
        <f ca="1">IF($B126="","",_xll.BDP($A126&amp;" Corp",AA$14))</f>
        <v>#NAME?</v>
      </c>
      <c r="AB126" s="54" t="e">
        <f ca="1">IF($B126="","",_xll.BDP($A126&amp;" Corp",AB$14))</f>
        <v>#NAME?</v>
      </c>
      <c r="AC126" s="54" t="e">
        <f ca="1">IF($B126="","",_xll.BDP($A126&amp;" Corp",AC$14))</f>
        <v>#NAME?</v>
      </c>
      <c r="AD126" s="55" t="e">
        <f ca="1">IF($B126="","",_xll.BDP($A126&amp;" Corp",AD$14))</f>
        <v>#NAME?</v>
      </c>
      <c r="AE126" s="56" t="e">
        <f ca="1">IF($B126="","",_xll.BDP($A126&amp;" Corp",AE$14))</f>
        <v>#NAME?</v>
      </c>
      <c r="AF126" s="29" t="e">
        <f ca="1">IF($B126="","",_xll.BDP($A126&amp;" Corp",AF$14))</f>
        <v>#NAME?</v>
      </c>
      <c r="AG126" s="33" t="e">
        <f ca="1">IF($B126="","",_xll.BDP($A126&amp;" Corp",AG$14))</f>
        <v>#NAME?</v>
      </c>
      <c r="AH126" s="30" t="e">
        <f ca="1">IF($B126="","",_xll.BDP($A126&amp;" Corp",AH$14))</f>
        <v>#NAME?</v>
      </c>
      <c r="AI126" s="30" t="e">
        <f ca="1">IF($B126="","",_xll.BDP($A126&amp;" Corp",AI$14))</f>
        <v>#NAME?</v>
      </c>
      <c r="AJ126" s="30" t="e">
        <f ca="1">IF($B126="","",_xll.BDP($A126&amp;" Corp",AJ$14))</f>
        <v>#NAME?</v>
      </c>
      <c r="AK126" s="11" t="e">
        <f ca="1">IF($B126="","",_xll.BDP($A126&amp;" Corp",AK$14))</f>
        <v>#NAME?</v>
      </c>
      <c r="AL126" s="11" t="e">
        <f ca="1">IF($B126="","",_xll.BDP($A126&amp;" Corp",AL$14))</f>
        <v>#NAME?</v>
      </c>
      <c r="AM126" s="11" t="e">
        <f t="shared" ca="1" si="20"/>
        <v>#NAME?</v>
      </c>
      <c r="AN126" s="57" t="e">
        <f t="shared" ca="1" si="14"/>
        <v>#NAME?</v>
      </c>
    </row>
    <row r="127" spans="1:40" x14ac:dyDescent="0.3">
      <c r="A127" s="67" t="str">
        <f t="shared" si="15"/>
        <v>XS2084425466</v>
      </c>
      <c r="B127" s="68" t="s">
        <v>437</v>
      </c>
      <c r="C127" s="75">
        <v>7262</v>
      </c>
      <c r="D127" s="75">
        <v>128</v>
      </c>
      <c r="E127" s="75">
        <v>200000</v>
      </c>
      <c r="F127" s="69">
        <v>0.15232850000000001</v>
      </c>
      <c r="G127" s="70">
        <v>199916.4</v>
      </c>
      <c r="H127" s="67">
        <f t="shared" si="16"/>
        <v>200000</v>
      </c>
      <c r="I127" s="67">
        <f t="shared" si="17"/>
        <v>0.15232850000000001</v>
      </c>
      <c r="J127" s="67">
        <f t="shared" si="18"/>
        <v>199916.4</v>
      </c>
      <c r="K127" s="71">
        <f t="shared" si="19"/>
        <v>99.958200000000005</v>
      </c>
      <c r="L127" s="29" t="e">
        <f ca="1">IF(B127="","",_xll.BDP(A127&amp;" Corp","INTERVAL_HIGH","START_DATE_OVERRIDE",TEXT($L$12,"AAAAMMDD"),"END_DATE_OVERRIDE",TEXT($L$13,"AAAAMMDD"),"MARKET_DATA_OVERRIDE",$L$14))</f>
        <v>#NAME?</v>
      </c>
      <c r="M127" s="30" t="e">
        <f ca="1">IF(B127="","",_xll.BDP($A127&amp;" Corp","INTERVAL_LOW","START_DATE_OVERRIDE",TEXT($L$12,"AAAAMMDD"),"END_DATE_OVERRIDE",TEXT($L$13,"AAAAMMDD"),"MARKET_DATA_OVERRIDE",$L$14))</f>
        <v>#NAME?</v>
      </c>
      <c r="N127" s="31" t="e">
        <f ca="1">IF($B127="","",_xll.BDP($A127&amp;" Corp",N$15))</f>
        <v>#NAME?</v>
      </c>
      <c r="O127" s="32" t="e">
        <f ca="1">IF($B127="","",_xll.BDP($A127&amp;" Corp",O$15))</f>
        <v>#NAME?</v>
      </c>
      <c r="P127" s="32" t="e">
        <f ca="1">IF($B127="","",_xll.BDP($A127&amp;" Corp",P$15))</f>
        <v>#NAME?</v>
      </c>
      <c r="Q127" s="30" t="e">
        <f ca="1">IF($B127="","",_xll.BDP($A127&amp;" Corp",Q$14))</f>
        <v>#NAME?</v>
      </c>
      <c r="R127" s="30" t="e">
        <f ca="1">IF($B127="","",_xll.BDP($A127&amp;" Corp",R$14))</f>
        <v>#NAME?</v>
      </c>
      <c r="S127" s="50" t="e">
        <f ca="1">IF($B127="","",_xll.BDP($A127&amp;" Corp",S$14))</f>
        <v>#NAME?</v>
      </c>
      <c r="T127" s="30" t="e">
        <f ca="1">IF($B127="","",_xll.BDP($A127&amp;" Corp",T$14))</f>
        <v>#NAME?</v>
      </c>
      <c r="U127" s="30" t="e">
        <f ca="1">IF($B127="","",_xll.BDP($A127&amp;" Corp",U$14))</f>
        <v>#NAME?</v>
      </c>
      <c r="V127" s="51" t="e">
        <f ca="1">IF($B127="","",IF($T127="VARIABLE",_xll.BDP($A127&amp;" Corp",V$13),_xll.BDP($A127&amp;" Corp",V$14)))</f>
        <v>#NAME?</v>
      </c>
      <c r="W127" s="30" t="e">
        <f ca="1">IF($B127="","",IF($T127="VARIABLE",_xll.BDP($A127&amp;" Corp",W$13),_xll.BDP($A127&amp;" Corp",W$14)))</f>
        <v>#NAME?</v>
      </c>
      <c r="X127" s="30" t="e">
        <f ca="1">IF($B127="","",_xll.BDP($A127&amp;" Corp",X$14))</f>
        <v>#NAME?</v>
      </c>
      <c r="Y127" s="33" t="e">
        <f ca="1">IF($B127="","",_xll.BDP($A127&amp;" Corp",Y$14))</f>
        <v>#NAME?</v>
      </c>
      <c r="Z127" s="52" t="e">
        <f ca="1">IF($B127="","",_xll.BDP($A127&amp;" Corp",Z$14))</f>
        <v>#NAME?</v>
      </c>
      <c r="AA127" s="53" t="e">
        <f ca="1">IF($B127="","",_xll.BDP($A127&amp;" Corp",AA$14))</f>
        <v>#NAME?</v>
      </c>
      <c r="AB127" s="54" t="e">
        <f ca="1">IF($B127="","",_xll.BDP($A127&amp;" Corp",AB$14))</f>
        <v>#NAME?</v>
      </c>
      <c r="AC127" s="54" t="e">
        <f ca="1">IF($B127="","",_xll.BDP($A127&amp;" Corp",AC$14))</f>
        <v>#NAME?</v>
      </c>
      <c r="AD127" s="55" t="e">
        <f ca="1">IF($B127="","",_xll.BDP($A127&amp;" Corp",AD$14))</f>
        <v>#NAME?</v>
      </c>
      <c r="AE127" s="56" t="e">
        <f ca="1">IF($B127="","",_xll.BDP($A127&amp;" Corp",AE$14))</f>
        <v>#NAME?</v>
      </c>
      <c r="AF127" s="29" t="e">
        <f ca="1">IF($B127="","",_xll.BDP($A127&amp;" Corp",AF$14))</f>
        <v>#NAME?</v>
      </c>
      <c r="AG127" s="33" t="e">
        <f ca="1">IF($B127="","",_xll.BDP($A127&amp;" Corp",AG$14))</f>
        <v>#NAME?</v>
      </c>
      <c r="AH127" s="30" t="e">
        <f ca="1">IF($B127="","",_xll.BDP($A127&amp;" Corp",AH$14))</f>
        <v>#NAME?</v>
      </c>
      <c r="AI127" s="30" t="e">
        <f ca="1">IF($B127="","",_xll.BDP($A127&amp;" Corp",AI$14))</f>
        <v>#NAME?</v>
      </c>
      <c r="AJ127" s="30" t="e">
        <f ca="1">IF($B127="","",_xll.BDP($A127&amp;" Corp",AJ$14))</f>
        <v>#NAME?</v>
      </c>
      <c r="AK127" s="11" t="e">
        <f ca="1">IF($B127="","",_xll.BDP($A127&amp;" Corp",AK$14))</f>
        <v>#NAME?</v>
      </c>
      <c r="AL127" s="11" t="e">
        <f ca="1">IF($B127="","",_xll.BDP($A127&amp;" Corp",AL$14))</f>
        <v>#NAME?</v>
      </c>
      <c r="AM127" s="11" t="e">
        <f t="shared" ca="1" si="20"/>
        <v>#NAME?</v>
      </c>
      <c r="AN127" s="57" t="e">
        <f t="shared" ca="1" si="14"/>
        <v>#NAME?</v>
      </c>
    </row>
    <row r="128" spans="1:40" x14ac:dyDescent="0.3">
      <c r="A128" s="67" t="str">
        <f t="shared" si="15"/>
        <v>XS2089229806</v>
      </c>
      <c r="B128" s="68" t="s">
        <v>439</v>
      </c>
      <c r="C128" s="75">
        <v>8294</v>
      </c>
      <c r="D128" s="75">
        <v>128</v>
      </c>
      <c r="E128" s="75">
        <v>300000</v>
      </c>
      <c r="F128" s="69">
        <v>0.17228180000000001</v>
      </c>
      <c r="G128" s="70">
        <v>285557.57</v>
      </c>
      <c r="H128" s="67">
        <f t="shared" si="16"/>
        <v>300000</v>
      </c>
      <c r="I128" s="67">
        <f t="shared" si="17"/>
        <v>0.17228180000000001</v>
      </c>
      <c r="J128" s="67">
        <f t="shared" si="18"/>
        <v>285557.57</v>
      </c>
      <c r="K128" s="71">
        <f t="shared" si="19"/>
        <v>95.185856666666666</v>
      </c>
      <c r="L128" s="29" t="e">
        <f ca="1">IF(B128="","",_xll.BDP(A128&amp;" Corp","INTERVAL_HIGH","START_DATE_OVERRIDE",TEXT($L$12,"AAAAMMDD"),"END_DATE_OVERRIDE",TEXT($L$13,"AAAAMMDD"),"MARKET_DATA_OVERRIDE",$L$14))</f>
        <v>#NAME?</v>
      </c>
      <c r="M128" s="30" t="e">
        <f ca="1">IF(B128="","",_xll.BDP($A128&amp;" Corp","INTERVAL_LOW","START_DATE_OVERRIDE",TEXT($L$12,"AAAAMMDD"),"END_DATE_OVERRIDE",TEXT($L$13,"AAAAMMDD"),"MARKET_DATA_OVERRIDE",$L$14))</f>
        <v>#NAME?</v>
      </c>
      <c r="N128" s="31" t="e">
        <f ca="1">IF($B128="","",_xll.BDP($A128&amp;" Corp",N$15))</f>
        <v>#NAME?</v>
      </c>
      <c r="O128" s="32" t="e">
        <f ca="1">IF($B128="","",_xll.BDP($A128&amp;" Corp",O$15))</f>
        <v>#NAME?</v>
      </c>
      <c r="P128" s="32" t="e">
        <f ca="1">IF($B128="","",_xll.BDP($A128&amp;" Corp",P$15))</f>
        <v>#NAME?</v>
      </c>
      <c r="Q128" s="30" t="e">
        <f ca="1">IF($B128="","",_xll.BDP($A128&amp;" Corp",Q$14))</f>
        <v>#NAME?</v>
      </c>
      <c r="R128" s="30" t="e">
        <f ca="1">IF($B128="","",_xll.BDP($A128&amp;" Corp",R$14))</f>
        <v>#NAME?</v>
      </c>
      <c r="S128" s="50" t="e">
        <f ca="1">IF($B128="","",_xll.BDP($A128&amp;" Corp",S$14))</f>
        <v>#NAME?</v>
      </c>
      <c r="T128" s="30" t="e">
        <f ca="1">IF($B128="","",_xll.BDP($A128&amp;" Corp",T$14))</f>
        <v>#NAME?</v>
      </c>
      <c r="U128" s="30" t="e">
        <f ca="1">IF($B128="","",_xll.BDP($A128&amp;" Corp",U$14))</f>
        <v>#NAME?</v>
      </c>
      <c r="V128" s="51" t="e">
        <f ca="1">IF($B128="","",IF($T128="VARIABLE",_xll.BDP($A128&amp;" Corp",V$13),_xll.BDP($A128&amp;" Corp",V$14)))</f>
        <v>#NAME?</v>
      </c>
      <c r="W128" s="30" t="e">
        <f ca="1">IF($B128="","",IF($T128="VARIABLE",_xll.BDP($A128&amp;" Corp",W$13),_xll.BDP($A128&amp;" Corp",W$14)))</f>
        <v>#NAME?</v>
      </c>
      <c r="X128" s="30" t="e">
        <f ca="1">IF($B128="","",_xll.BDP($A128&amp;" Corp",X$14))</f>
        <v>#NAME?</v>
      </c>
      <c r="Y128" s="33" t="e">
        <f ca="1">IF($B128="","",_xll.BDP($A128&amp;" Corp",Y$14))</f>
        <v>#NAME?</v>
      </c>
      <c r="Z128" s="52" t="e">
        <f ca="1">IF($B128="","",_xll.BDP($A128&amp;" Corp",Z$14))</f>
        <v>#NAME?</v>
      </c>
      <c r="AA128" s="53" t="e">
        <f ca="1">IF($B128="","",_xll.BDP($A128&amp;" Corp",AA$14))</f>
        <v>#NAME?</v>
      </c>
      <c r="AB128" s="54" t="e">
        <f ca="1">IF($B128="","",_xll.BDP($A128&amp;" Corp",AB$14))</f>
        <v>#NAME?</v>
      </c>
      <c r="AC128" s="54" t="e">
        <f ca="1">IF($B128="","",_xll.BDP($A128&amp;" Corp",AC$14))</f>
        <v>#NAME?</v>
      </c>
      <c r="AD128" s="55" t="e">
        <f ca="1">IF($B128="","",_xll.BDP($A128&amp;" Corp",AD$14))</f>
        <v>#NAME?</v>
      </c>
      <c r="AE128" s="56" t="e">
        <f ca="1">IF($B128="","",_xll.BDP($A128&amp;" Corp",AE$14))</f>
        <v>#NAME?</v>
      </c>
      <c r="AF128" s="29" t="e">
        <f ca="1">IF($B128="","",_xll.BDP($A128&amp;" Corp",AF$14))</f>
        <v>#NAME?</v>
      </c>
      <c r="AG128" s="33" t="e">
        <f ca="1">IF($B128="","",_xll.BDP($A128&amp;" Corp",AG$14))</f>
        <v>#NAME?</v>
      </c>
      <c r="AH128" s="30" t="e">
        <f ca="1">IF($B128="","",_xll.BDP($A128&amp;" Corp",AH$14))</f>
        <v>#NAME?</v>
      </c>
      <c r="AI128" s="30" t="e">
        <f ca="1">IF($B128="","",_xll.BDP($A128&amp;" Corp",AI$14))</f>
        <v>#NAME?</v>
      </c>
      <c r="AJ128" s="30" t="e">
        <f ca="1">IF($B128="","",_xll.BDP($A128&amp;" Corp",AJ$14))</f>
        <v>#NAME?</v>
      </c>
      <c r="AK128" s="11" t="e">
        <f ca="1">IF($B128="","",_xll.BDP($A128&amp;" Corp",AK$14))</f>
        <v>#NAME?</v>
      </c>
      <c r="AL128" s="11" t="e">
        <f ca="1">IF($B128="","",_xll.BDP($A128&amp;" Corp",AL$14))</f>
        <v>#NAME?</v>
      </c>
      <c r="AM128" s="11" t="e">
        <f t="shared" ca="1" si="20"/>
        <v>#NAME?</v>
      </c>
      <c r="AN128" s="57" t="e">
        <f t="shared" ca="1" si="14"/>
        <v>#NAME?</v>
      </c>
    </row>
    <row r="129" spans="1:40" x14ac:dyDescent="0.3">
      <c r="A129" s="67" t="str">
        <f t="shared" si="15"/>
        <v>XS2093880735</v>
      </c>
      <c r="B129" s="68" t="s">
        <v>561</v>
      </c>
      <c r="C129" s="75">
        <v>9616</v>
      </c>
      <c r="D129" s="75">
        <v>128</v>
      </c>
      <c r="E129" s="75">
        <v>300000</v>
      </c>
      <c r="F129" s="69">
        <v>0.23267272</v>
      </c>
      <c r="G129" s="70">
        <v>291252</v>
      </c>
      <c r="H129" s="67">
        <f t="shared" si="16"/>
        <v>300000</v>
      </c>
      <c r="I129" s="67">
        <f t="shared" si="17"/>
        <v>0.23267272</v>
      </c>
      <c r="J129" s="67">
        <f t="shared" si="18"/>
        <v>291252</v>
      </c>
      <c r="K129" s="71">
        <f t="shared" si="19"/>
        <v>97.084000000000003</v>
      </c>
      <c r="L129" s="29" t="e">
        <f ca="1">IF(B129="","",_xll.BDP(A129&amp;" Corp","INTERVAL_HIGH","START_DATE_OVERRIDE",TEXT($L$12,"AAAAMMDD"),"END_DATE_OVERRIDE",TEXT($L$13,"AAAAMMDD"),"MARKET_DATA_OVERRIDE",$L$14))</f>
        <v>#NAME?</v>
      </c>
      <c r="M129" s="30" t="e">
        <f ca="1">IF(B129="","",_xll.BDP($A129&amp;" Corp","INTERVAL_LOW","START_DATE_OVERRIDE",TEXT($L$12,"AAAAMMDD"),"END_DATE_OVERRIDE",TEXT($L$13,"AAAAMMDD"),"MARKET_DATA_OVERRIDE",$L$14))</f>
        <v>#NAME?</v>
      </c>
      <c r="N129" s="31" t="e">
        <f ca="1">IF($B129="","",_xll.BDP($A129&amp;" Corp",N$15))</f>
        <v>#NAME?</v>
      </c>
      <c r="O129" s="32" t="e">
        <f ca="1">IF($B129="","",_xll.BDP($A129&amp;" Corp",O$15))</f>
        <v>#NAME?</v>
      </c>
      <c r="P129" s="32" t="e">
        <f ca="1">IF($B129="","",_xll.BDP($A129&amp;" Corp",P$15))</f>
        <v>#NAME?</v>
      </c>
      <c r="Q129" s="30" t="e">
        <f ca="1">IF($B129="","",_xll.BDP($A129&amp;" Corp",Q$14))</f>
        <v>#NAME?</v>
      </c>
      <c r="R129" s="30" t="e">
        <f ca="1">IF($B129="","",_xll.BDP($A129&amp;" Corp",R$14))</f>
        <v>#NAME?</v>
      </c>
      <c r="S129" s="50" t="e">
        <f ca="1">IF($B129="","",_xll.BDP($A129&amp;" Corp",S$14))</f>
        <v>#NAME?</v>
      </c>
      <c r="T129" s="30" t="e">
        <f ca="1">IF($B129="","",_xll.BDP($A129&amp;" Corp",T$14))</f>
        <v>#NAME?</v>
      </c>
      <c r="U129" s="30" t="e">
        <f ca="1">IF($B129="","",_xll.BDP($A129&amp;" Corp",U$14))</f>
        <v>#NAME?</v>
      </c>
      <c r="V129" s="51" t="e">
        <f ca="1">IF($B129="","",IF($T129="VARIABLE",_xll.BDP($A129&amp;" Corp",V$13),_xll.BDP($A129&amp;" Corp",V$14)))</f>
        <v>#NAME?</v>
      </c>
      <c r="W129" s="30" t="e">
        <f ca="1">IF($B129="","",IF($T129="VARIABLE",_xll.BDP($A129&amp;" Corp",W$13),_xll.BDP($A129&amp;" Corp",W$14)))</f>
        <v>#NAME?</v>
      </c>
      <c r="X129" s="30" t="e">
        <f ca="1">IF($B129="","",_xll.BDP($A129&amp;" Corp",X$14))</f>
        <v>#NAME?</v>
      </c>
      <c r="Y129" s="33" t="e">
        <f ca="1">IF($B129="","",_xll.BDP($A129&amp;" Corp",Y$14))</f>
        <v>#NAME?</v>
      </c>
      <c r="Z129" s="52" t="e">
        <f ca="1">IF($B129="","",_xll.BDP($A129&amp;" Corp",Z$14))</f>
        <v>#NAME?</v>
      </c>
      <c r="AA129" s="53" t="e">
        <f ca="1">IF($B129="","",_xll.BDP($A129&amp;" Corp",AA$14))</f>
        <v>#NAME?</v>
      </c>
      <c r="AB129" s="54" t="e">
        <f ca="1">IF($B129="","",_xll.BDP($A129&amp;" Corp",AB$14))</f>
        <v>#NAME?</v>
      </c>
      <c r="AC129" s="54" t="e">
        <f ca="1">IF($B129="","",_xll.BDP($A129&amp;" Corp",AC$14))</f>
        <v>#NAME?</v>
      </c>
      <c r="AD129" s="55" t="e">
        <f ca="1">IF($B129="","",_xll.BDP($A129&amp;" Corp",AD$14))</f>
        <v>#NAME?</v>
      </c>
      <c r="AE129" s="56" t="e">
        <f ca="1">IF($B129="","",_xll.BDP($A129&amp;" Corp",AE$14))</f>
        <v>#NAME?</v>
      </c>
      <c r="AF129" s="29" t="e">
        <f ca="1">IF($B129="","",_xll.BDP($A129&amp;" Corp",AF$14))</f>
        <v>#NAME?</v>
      </c>
      <c r="AG129" s="33" t="e">
        <f ca="1">IF($B129="","",_xll.BDP($A129&amp;" Corp",AG$14))</f>
        <v>#NAME?</v>
      </c>
      <c r="AH129" s="30" t="e">
        <f ca="1">IF($B129="","",_xll.BDP($A129&amp;" Corp",AH$14))</f>
        <v>#NAME?</v>
      </c>
      <c r="AI129" s="30" t="e">
        <f ca="1">IF($B129="","",_xll.BDP($A129&amp;" Corp",AI$14))</f>
        <v>#NAME?</v>
      </c>
      <c r="AJ129" s="30" t="e">
        <f ca="1">IF($B129="","",_xll.BDP($A129&amp;" Corp",AJ$14))</f>
        <v>#NAME?</v>
      </c>
      <c r="AK129" s="11" t="e">
        <f ca="1">IF($B129="","",_xll.BDP($A129&amp;" Corp",AK$14))</f>
        <v>#NAME?</v>
      </c>
      <c r="AL129" s="11" t="e">
        <f ca="1">IF($B129="","",_xll.BDP($A129&amp;" Corp",AL$14))</f>
        <v>#NAME?</v>
      </c>
      <c r="AM129" s="11" t="e">
        <f t="shared" ca="1" si="20"/>
        <v>#NAME?</v>
      </c>
      <c r="AN129" s="57" t="e">
        <f t="shared" ca="1" si="14"/>
        <v>#NAME?</v>
      </c>
    </row>
    <row r="130" spans="1:40" x14ac:dyDescent="0.3">
      <c r="A130" s="67" t="str">
        <f t="shared" si="15"/>
        <v>XS2103230152</v>
      </c>
      <c r="B130" s="68" t="s">
        <v>572</v>
      </c>
      <c r="C130" s="75">
        <v>7349</v>
      </c>
      <c r="D130" s="75">
        <v>128</v>
      </c>
      <c r="E130" s="75">
        <v>300000</v>
      </c>
      <c r="F130" s="69">
        <v>0.24069067</v>
      </c>
      <c r="G130" s="70">
        <v>297567</v>
      </c>
      <c r="H130" s="67">
        <f t="shared" si="16"/>
        <v>300000</v>
      </c>
      <c r="I130" s="67">
        <f t="shared" si="17"/>
        <v>0.24069067</v>
      </c>
      <c r="J130" s="67">
        <f t="shared" si="18"/>
        <v>297567</v>
      </c>
      <c r="K130" s="71">
        <f t="shared" si="19"/>
        <v>99.188999999999993</v>
      </c>
      <c r="L130" s="29" t="e">
        <f ca="1">IF(B130="","",_xll.BDP(A130&amp;" Corp","INTERVAL_HIGH","START_DATE_OVERRIDE",TEXT($L$12,"AAAAMMDD"),"END_DATE_OVERRIDE",TEXT($L$13,"AAAAMMDD"),"MARKET_DATA_OVERRIDE",$L$14))</f>
        <v>#NAME?</v>
      </c>
      <c r="M130" s="30" t="e">
        <f ca="1">IF(B130="","",_xll.BDP($A130&amp;" Corp","INTERVAL_LOW","START_DATE_OVERRIDE",TEXT($L$12,"AAAAMMDD"),"END_DATE_OVERRIDE",TEXT($L$13,"AAAAMMDD"),"MARKET_DATA_OVERRIDE",$L$14))</f>
        <v>#NAME?</v>
      </c>
      <c r="N130" s="31" t="e">
        <f ca="1">IF($B130="","",_xll.BDP($A130&amp;" Corp",N$15))</f>
        <v>#NAME?</v>
      </c>
      <c r="O130" s="32" t="e">
        <f ca="1">IF($B130="","",_xll.BDP($A130&amp;" Corp",O$15))</f>
        <v>#NAME?</v>
      </c>
      <c r="P130" s="32" t="e">
        <f ca="1">IF($B130="","",_xll.BDP($A130&amp;" Corp",P$15))</f>
        <v>#NAME?</v>
      </c>
      <c r="Q130" s="30" t="e">
        <f ca="1">IF($B130="","",_xll.BDP($A130&amp;" Corp",Q$14))</f>
        <v>#NAME?</v>
      </c>
      <c r="R130" s="30" t="e">
        <f ca="1">IF($B130="","",_xll.BDP($A130&amp;" Corp",R$14))</f>
        <v>#NAME?</v>
      </c>
      <c r="S130" s="50" t="e">
        <f ca="1">IF($B130="","",_xll.BDP($A130&amp;" Corp",S$14))</f>
        <v>#NAME?</v>
      </c>
      <c r="T130" s="30" t="e">
        <f ca="1">IF($B130="","",_xll.BDP($A130&amp;" Corp",T$14))</f>
        <v>#NAME?</v>
      </c>
      <c r="U130" s="30" t="e">
        <f ca="1">IF($B130="","",_xll.BDP($A130&amp;" Corp",U$14))</f>
        <v>#NAME?</v>
      </c>
      <c r="V130" s="51" t="e">
        <f ca="1">IF($B130="","",IF($T130="VARIABLE",_xll.BDP($A130&amp;" Corp",V$13),_xll.BDP($A130&amp;" Corp",V$14)))</f>
        <v>#NAME?</v>
      </c>
      <c r="W130" s="30" t="e">
        <f ca="1">IF($B130="","",IF($T130="VARIABLE",_xll.BDP($A130&amp;" Corp",W$13),_xll.BDP($A130&amp;" Corp",W$14)))</f>
        <v>#NAME?</v>
      </c>
      <c r="X130" s="30" t="e">
        <f ca="1">IF($B130="","",_xll.BDP($A130&amp;" Corp",X$14))</f>
        <v>#NAME?</v>
      </c>
      <c r="Y130" s="33" t="e">
        <f ca="1">IF($B130="","",_xll.BDP($A130&amp;" Corp",Y$14))</f>
        <v>#NAME?</v>
      </c>
      <c r="Z130" s="52" t="e">
        <f ca="1">IF($B130="","",_xll.BDP($A130&amp;" Corp",Z$14))</f>
        <v>#NAME?</v>
      </c>
      <c r="AA130" s="53" t="e">
        <f ca="1">IF($B130="","",_xll.BDP($A130&amp;" Corp",AA$14))</f>
        <v>#NAME?</v>
      </c>
      <c r="AB130" s="54" t="e">
        <f ca="1">IF($B130="","",_xll.BDP($A130&amp;" Corp",AB$14))</f>
        <v>#NAME?</v>
      </c>
      <c r="AC130" s="54" t="e">
        <f ca="1">IF($B130="","",_xll.BDP($A130&amp;" Corp",AC$14))</f>
        <v>#NAME?</v>
      </c>
      <c r="AD130" s="55" t="e">
        <f ca="1">IF($B130="","",_xll.BDP($A130&amp;" Corp",AD$14))</f>
        <v>#NAME?</v>
      </c>
      <c r="AE130" s="56" t="e">
        <f ca="1">IF($B130="","",_xll.BDP($A130&amp;" Corp",AE$14))</f>
        <v>#NAME?</v>
      </c>
      <c r="AF130" s="29" t="e">
        <f ca="1">IF($B130="","",_xll.BDP($A130&amp;" Corp",AF$14))</f>
        <v>#NAME?</v>
      </c>
      <c r="AG130" s="33" t="e">
        <f ca="1">IF($B130="","",_xll.BDP($A130&amp;" Corp",AG$14))</f>
        <v>#NAME?</v>
      </c>
      <c r="AH130" s="30" t="e">
        <f ca="1">IF($B130="","",_xll.BDP($A130&amp;" Corp",AH$14))</f>
        <v>#NAME?</v>
      </c>
      <c r="AI130" s="30" t="e">
        <f ca="1">IF($B130="","",_xll.BDP($A130&amp;" Corp",AI$14))</f>
        <v>#NAME?</v>
      </c>
      <c r="AJ130" s="30" t="e">
        <f ca="1">IF($B130="","",_xll.BDP($A130&amp;" Corp",AJ$14))</f>
        <v>#NAME?</v>
      </c>
      <c r="AK130" s="11" t="e">
        <f ca="1">IF($B130="","",_xll.BDP($A130&amp;" Corp",AK$14))</f>
        <v>#NAME?</v>
      </c>
      <c r="AL130" s="11" t="e">
        <f ca="1">IF($B130="","",_xll.BDP($A130&amp;" Corp",AL$14))</f>
        <v>#NAME?</v>
      </c>
      <c r="AM130" s="11" t="e">
        <f t="shared" ca="1" si="20"/>
        <v>#NAME?</v>
      </c>
      <c r="AN130" s="57" t="e">
        <f t="shared" ca="1" si="14"/>
        <v>#NAME?</v>
      </c>
    </row>
    <row r="131" spans="1:40" x14ac:dyDescent="0.3">
      <c r="A131" s="67" t="str">
        <f t="shared" si="15"/>
        <v>XS2107451069</v>
      </c>
      <c r="B131" s="68" t="s">
        <v>261</v>
      </c>
      <c r="C131" s="75">
        <v>7430</v>
      </c>
      <c r="D131" s="75">
        <v>128</v>
      </c>
      <c r="E131" s="75">
        <v>100000</v>
      </c>
      <c r="F131" s="69">
        <v>7.8220810000000002E-2</v>
      </c>
      <c r="G131" s="70">
        <v>94224</v>
      </c>
      <c r="H131" s="67">
        <f t="shared" si="16"/>
        <v>100000</v>
      </c>
      <c r="I131" s="67">
        <f t="shared" si="17"/>
        <v>7.8220810000000002E-2</v>
      </c>
      <c r="J131" s="67">
        <f t="shared" si="18"/>
        <v>94224</v>
      </c>
      <c r="K131" s="71">
        <f t="shared" si="19"/>
        <v>94.224000000000004</v>
      </c>
      <c r="L131" s="29" t="e">
        <f ca="1">IF(B131="","",_xll.BDP(A131&amp;" Corp","INTERVAL_HIGH","START_DATE_OVERRIDE",TEXT($L$12,"AAAAMMDD"),"END_DATE_OVERRIDE",TEXT($L$13,"AAAAMMDD"),"MARKET_DATA_OVERRIDE",$L$14))</f>
        <v>#NAME?</v>
      </c>
      <c r="M131" s="30" t="e">
        <f ca="1">IF(B131="","",_xll.BDP($A131&amp;" Corp","INTERVAL_LOW","START_DATE_OVERRIDE",TEXT($L$12,"AAAAMMDD"),"END_DATE_OVERRIDE",TEXT($L$13,"AAAAMMDD"),"MARKET_DATA_OVERRIDE",$L$14))</f>
        <v>#NAME?</v>
      </c>
      <c r="N131" s="31" t="e">
        <f ca="1">IF($B131="","",_xll.BDP($A131&amp;" Corp",N$15))</f>
        <v>#NAME?</v>
      </c>
      <c r="O131" s="32" t="e">
        <f ca="1">IF($B131="","",_xll.BDP($A131&amp;" Corp",O$15))</f>
        <v>#NAME?</v>
      </c>
      <c r="P131" s="32" t="e">
        <f ca="1">IF($B131="","",_xll.BDP($A131&amp;" Corp",P$15))</f>
        <v>#NAME?</v>
      </c>
      <c r="Q131" s="30" t="e">
        <f ca="1">IF($B131="","",_xll.BDP($A131&amp;" Corp",Q$14))</f>
        <v>#NAME?</v>
      </c>
      <c r="R131" s="30" t="e">
        <f ca="1">IF($B131="","",_xll.BDP($A131&amp;" Corp",R$14))</f>
        <v>#NAME?</v>
      </c>
      <c r="S131" s="50" t="e">
        <f ca="1">IF($B131="","",_xll.BDP($A131&amp;" Corp",S$14))</f>
        <v>#NAME?</v>
      </c>
      <c r="T131" s="30" t="e">
        <f ca="1">IF($B131="","",_xll.BDP($A131&amp;" Corp",T$14))</f>
        <v>#NAME?</v>
      </c>
      <c r="U131" s="30" t="e">
        <f ca="1">IF($B131="","",_xll.BDP($A131&amp;" Corp",U$14))</f>
        <v>#NAME?</v>
      </c>
      <c r="V131" s="51" t="e">
        <f ca="1">IF($B131="","",IF($T131="VARIABLE",_xll.BDP($A131&amp;" Corp",V$13),_xll.BDP($A131&amp;" Corp",V$14)))</f>
        <v>#NAME?</v>
      </c>
      <c r="W131" s="30" t="e">
        <f ca="1">IF($B131="","",IF($T131="VARIABLE",_xll.BDP($A131&amp;" Corp",W$13),_xll.BDP($A131&amp;" Corp",W$14)))</f>
        <v>#NAME?</v>
      </c>
      <c r="X131" s="30" t="e">
        <f ca="1">IF($B131="","",_xll.BDP($A131&amp;" Corp",X$14))</f>
        <v>#NAME?</v>
      </c>
      <c r="Y131" s="33" t="e">
        <f ca="1">IF($B131="","",_xll.BDP($A131&amp;" Corp",Y$14))</f>
        <v>#NAME?</v>
      </c>
      <c r="Z131" s="52" t="e">
        <f ca="1">IF($B131="","",_xll.BDP($A131&amp;" Corp",Z$14))</f>
        <v>#NAME?</v>
      </c>
      <c r="AA131" s="53" t="e">
        <f ca="1">IF($B131="","",_xll.BDP($A131&amp;" Corp",AA$14))</f>
        <v>#NAME?</v>
      </c>
      <c r="AB131" s="54" t="e">
        <f ca="1">IF($B131="","",_xll.BDP($A131&amp;" Corp",AB$14))</f>
        <v>#NAME?</v>
      </c>
      <c r="AC131" s="54" t="e">
        <f ca="1">IF($B131="","",_xll.BDP($A131&amp;" Corp",AC$14))</f>
        <v>#NAME?</v>
      </c>
      <c r="AD131" s="55" t="e">
        <f ca="1">IF($B131="","",_xll.BDP($A131&amp;" Corp",AD$14))</f>
        <v>#NAME?</v>
      </c>
      <c r="AE131" s="56" t="e">
        <f ca="1">IF($B131="","",_xll.BDP($A131&amp;" Corp",AE$14))</f>
        <v>#NAME?</v>
      </c>
      <c r="AF131" s="29" t="e">
        <f ca="1">IF($B131="","",_xll.BDP($A131&amp;" Corp",AF$14))</f>
        <v>#NAME?</v>
      </c>
      <c r="AG131" s="33" t="e">
        <f ca="1">IF($B131="","",_xll.BDP($A131&amp;" Corp",AG$14))</f>
        <v>#NAME?</v>
      </c>
      <c r="AH131" s="30" t="e">
        <f ca="1">IF($B131="","",_xll.BDP($A131&amp;" Corp",AH$14))</f>
        <v>#NAME?</v>
      </c>
      <c r="AI131" s="30" t="e">
        <f ca="1">IF($B131="","",_xll.BDP($A131&amp;" Corp",AI$14))</f>
        <v>#NAME?</v>
      </c>
      <c r="AJ131" s="30" t="e">
        <f ca="1">IF($B131="","",_xll.BDP($A131&amp;" Corp",AJ$14))</f>
        <v>#NAME?</v>
      </c>
      <c r="AK131" s="11" t="e">
        <f ca="1">IF($B131="","",_xll.BDP($A131&amp;" Corp",AK$14))</f>
        <v>#NAME?</v>
      </c>
      <c r="AL131" s="11" t="e">
        <f ca="1">IF($B131="","",_xll.BDP($A131&amp;" Corp",AL$14))</f>
        <v>#NAME?</v>
      </c>
      <c r="AM131" s="11" t="e">
        <f t="shared" ca="1" si="20"/>
        <v>#NAME?</v>
      </c>
      <c r="AN131" s="57" t="e">
        <f t="shared" ca="1" si="14"/>
        <v>#NAME?</v>
      </c>
    </row>
    <row r="132" spans="1:40" x14ac:dyDescent="0.3">
      <c r="A132" s="67" t="str">
        <f t="shared" si="15"/>
        <v>XS2121417989</v>
      </c>
      <c r="B132" s="68" t="s">
        <v>399</v>
      </c>
      <c r="C132" s="75">
        <v>7395</v>
      </c>
      <c r="D132" s="75">
        <v>128</v>
      </c>
      <c r="E132" s="75">
        <v>500000</v>
      </c>
      <c r="F132" s="69">
        <v>0.38947340000000003</v>
      </c>
      <c r="G132" s="70">
        <v>510156.67</v>
      </c>
      <c r="H132" s="67">
        <f t="shared" si="16"/>
        <v>500000</v>
      </c>
      <c r="I132" s="67">
        <f t="shared" si="17"/>
        <v>0.38947340000000003</v>
      </c>
      <c r="J132" s="67">
        <f t="shared" si="18"/>
        <v>510156.67</v>
      </c>
      <c r="K132" s="71">
        <f t="shared" si="19"/>
        <v>102.031334</v>
      </c>
      <c r="L132" s="29" t="e">
        <f ca="1">IF(B132="","",_xll.BDP(A132&amp;" Corp","INTERVAL_HIGH","START_DATE_OVERRIDE",TEXT($L$12,"AAAAMMDD"),"END_DATE_OVERRIDE",TEXT($L$13,"AAAAMMDD"),"MARKET_DATA_OVERRIDE",$L$14))</f>
        <v>#NAME?</v>
      </c>
      <c r="M132" s="30" t="e">
        <f ca="1">IF(B132="","",_xll.BDP($A132&amp;" Corp","INTERVAL_LOW","START_DATE_OVERRIDE",TEXT($L$12,"AAAAMMDD"),"END_DATE_OVERRIDE",TEXT($L$13,"AAAAMMDD"),"MARKET_DATA_OVERRIDE",$L$14))</f>
        <v>#NAME?</v>
      </c>
      <c r="N132" s="31" t="e">
        <f ca="1">IF($B132="","",_xll.BDP($A132&amp;" Corp",N$15))</f>
        <v>#NAME?</v>
      </c>
      <c r="O132" s="32" t="e">
        <f ca="1">IF($B132="","",_xll.BDP($A132&amp;" Corp",O$15))</f>
        <v>#NAME?</v>
      </c>
      <c r="P132" s="32" t="e">
        <f ca="1">IF($B132="","",_xll.BDP($A132&amp;" Corp",P$15))</f>
        <v>#NAME?</v>
      </c>
      <c r="Q132" s="30" t="e">
        <f ca="1">IF($B132="","",_xll.BDP($A132&amp;" Corp",Q$14))</f>
        <v>#NAME?</v>
      </c>
      <c r="R132" s="30" t="e">
        <f ca="1">IF($B132="","",_xll.BDP($A132&amp;" Corp",R$14))</f>
        <v>#NAME?</v>
      </c>
      <c r="S132" s="50" t="e">
        <f ca="1">IF($B132="","",_xll.BDP($A132&amp;" Corp",S$14))</f>
        <v>#NAME?</v>
      </c>
      <c r="T132" s="30" t="e">
        <f ca="1">IF($B132="","",_xll.BDP($A132&amp;" Corp",T$14))</f>
        <v>#NAME?</v>
      </c>
      <c r="U132" s="30" t="e">
        <f ca="1">IF($B132="","",_xll.BDP($A132&amp;" Corp",U$14))</f>
        <v>#NAME?</v>
      </c>
      <c r="V132" s="51" t="e">
        <f ca="1">IF($B132="","",IF($T132="VARIABLE",_xll.BDP($A132&amp;" Corp",V$13),_xll.BDP($A132&amp;" Corp",V$14)))</f>
        <v>#NAME?</v>
      </c>
      <c r="W132" s="30" t="e">
        <f ca="1">IF($B132="","",IF($T132="VARIABLE",_xll.BDP($A132&amp;" Corp",W$13),_xll.BDP($A132&amp;" Corp",W$14)))</f>
        <v>#NAME?</v>
      </c>
      <c r="X132" s="30" t="e">
        <f ca="1">IF($B132="","",_xll.BDP($A132&amp;" Corp",X$14))</f>
        <v>#NAME?</v>
      </c>
      <c r="Y132" s="33" t="e">
        <f ca="1">IF($B132="","",_xll.BDP($A132&amp;" Corp",Y$14))</f>
        <v>#NAME?</v>
      </c>
      <c r="Z132" s="52" t="e">
        <f ca="1">IF($B132="","",_xll.BDP($A132&amp;" Corp",Z$14))</f>
        <v>#NAME?</v>
      </c>
      <c r="AA132" s="53" t="e">
        <f ca="1">IF($B132="","",_xll.BDP($A132&amp;" Corp",AA$14))</f>
        <v>#NAME?</v>
      </c>
      <c r="AB132" s="54" t="e">
        <f ca="1">IF($B132="","",_xll.BDP($A132&amp;" Corp",AB$14))</f>
        <v>#NAME?</v>
      </c>
      <c r="AC132" s="54" t="e">
        <f ca="1">IF($B132="","",_xll.BDP($A132&amp;" Corp",AC$14))</f>
        <v>#NAME?</v>
      </c>
      <c r="AD132" s="55" t="e">
        <f ca="1">IF($B132="","",_xll.BDP($A132&amp;" Corp",AD$14))</f>
        <v>#NAME?</v>
      </c>
      <c r="AE132" s="56" t="e">
        <f ca="1">IF($B132="","",_xll.BDP($A132&amp;" Corp",AE$14))</f>
        <v>#NAME?</v>
      </c>
      <c r="AF132" s="29" t="e">
        <f ca="1">IF($B132="","",_xll.BDP($A132&amp;" Corp",AF$14))</f>
        <v>#NAME?</v>
      </c>
      <c r="AG132" s="33" t="e">
        <f ca="1">IF($B132="","",_xll.BDP($A132&amp;" Corp",AG$14))</f>
        <v>#NAME?</v>
      </c>
      <c r="AH132" s="30" t="e">
        <f ca="1">IF($B132="","",_xll.BDP($A132&amp;" Corp",AH$14))</f>
        <v>#NAME?</v>
      </c>
      <c r="AI132" s="30" t="e">
        <f ca="1">IF($B132="","",_xll.BDP($A132&amp;" Corp",AI$14))</f>
        <v>#NAME?</v>
      </c>
      <c r="AJ132" s="30" t="e">
        <f ca="1">IF($B132="","",_xll.BDP($A132&amp;" Corp",AJ$14))</f>
        <v>#NAME?</v>
      </c>
      <c r="AK132" s="11" t="e">
        <f ca="1">IF($B132="","",_xll.BDP($A132&amp;" Corp",AK$14))</f>
        <v>#NAME?</v>
      </c>
      <c r="AL132" s="11" t="e">
        <f ca="1">IF($B132="","",_xll.BDP($A132&amp;" Corp",AL$14))</f>
        <v>#NAME?</v>
      </c>
      <c r="AM132" s="11" t="e">
        <f t="shared" ca="1" si="20"/>
        <v>#NAME?</v>
      </c>
      <c r="AN132" s="57" t="e">
        <f t="shared" ref="AN132:AN195" ca="1" si="21">IF(ROUND(W132,0)=0,ROUND(W132,1), ROUND(W132,0))</f>
        <v>#NAME?</v>
      </c>
    </row>
    <row r="133" spans="1:40" x14ac:dyDescent="0.3">
      <c r="A133" s="67" t="str">
        <f t="shared" si="15"/>
        <v>XS2121467497</v>
      </c>
      <c r="B133" s="68" t="s">
        <v>401</v>
      </c>
      <c r="C133" s="75">
        <v>7399</v>
      </c>
      <c r="D133" s="75">
        <v>128</v>
      </c>
      <c r="E133" s="75">
        <v>900000</v>
      </c>
      <c r="F133" s="69">
        <v>0.70924025000000002</v>
      </c>
      <c r="G133" s="70">
        <v>890460</v>
      </c>
      <c r="H133" s="67">
        <f t="shared" si="16"/>
        <v>900000</v>
      </c>
      <c r="I133" s="67">
        <f t="shared" si="17"/>
        <v>0.70924025000000002</v>
      </c>
      <c r="J133" s="67">
        <f t="shared" si="18"/>
        <v>890460</v>
      </c>
      <c r="K133" s="71">
        <f t="shared" si="19"/>
        <v>98.94</v>
      </c>
      <c r="L133" s="29" t="e">
        <f ca="1">IF(B133="","",_xll.BDP(A133&amp;" Corp","INTERVAL_HIGH","START_DATE_OVERRIDE",TEXT($L$12,"AAAAMMDD"),"END_DATE_OVERRIDE",TEXT($L$13,"AAAAMMDD"),"MARKET_DATA_OVERRIDE",$L$14))</f>
        <v>#NAME?</v>
      </c>
      <c r="M133" s="30" t="e">
        <f ca="1">IF(B133="","",_xll.BDP($A133&amp;" Corp","INTERVAL_LOW","START_DATE_OVERRIDE",TEXT($L$12,"AAAAMMDD"),"END_DATE_OVERRIDE",TEXT($L$13,"AAAAMMDD"),"MARKET_DATA_OVERRIDE",$L$14))</f>
        <v>#NAME?</v>
      </c>
      <c r="N133" s="31" t="e">
        <f ca="1">IF($B133="","",_xll.BDP($A133&amp;" Corp",N$15))</f>
        <v>#NAME?</v>
      </c>
      <c r="O133" s="32" t="e">
        <f ca="1">IF($B133="","",_xll.BDP($A133&amp;" Corp",O$15))</f>
        <v>#NAME?</v>
      </c>
      <c r="P133" s="32" t="e">
        <f ca="1">IF($B133="","",_xll.BDP($A133&amp;" Corp",P$15))</f>
        <v>#NAME?</v>
      </c>
      <c r="Q133" s="30" t="e">
        <f ca="1">IF($B133="","",_xll.BDP($A133&amp;" Corp",Q$14))</f>
        <v>#NAME?</v>
      </c>
      <c r="R133" s="30" t="e">
        <f ca="1">IF($B133="","",_xll.BDP($A133&amp;" Corp",R$14))</f>
        <v>#NAME?</v>
      </c>
      <c r="S133" s="50" t="e">
        <f ca="1">IF($B133="","",_xll.BDP($A133&amp;" Corp",S$14))</f>
        <v>#NAME?</v>
      </c>
      <c r="T133" s="30" t="e">
        <f ca="1">IF($B133="","",_xll.BDP($A133&amp;" Corp",T$14))</f>
        <v>#NAME?</v>
      </c>
      <c r="U133" s="30" t="e">
        <f ca="1">IF($B133="","",_xll.BDP($A133&amp;" Corp",U$14))</f>
        <v>#NAME?</v>
      </c>
      <c r="V133" s="51" t="e">
        <f ca="1">IF($B133="","",IF($T133="VARIABLE",_xll.BDP($A133&amp;" Corp",V$13),_xll.BDP($A133&amp;" Corp",V$14)))</f>
        <v>#NAME?</v>
      </c>
      <c r="W133" s="30" t="e">
        <f ca="1">IF($B133="","",IF($T133="VARIABLE",_xll.BDP($A133&amp;" Corp",W$13),_xll.BDP($A133&amp;" Corp",W$14)))</f>
        <v>#NAME?</v>
      </c>
      <c r="X133" s="30" t="e">
        <f ca="1">IF($B133="","",_xll.BDP($A133&amp;" Corp",X$14))</f>
        <v>#NAME?</v>
      </c>
      <c r="Y133" s="33" t="e">
        <f ca="1">IF($B133="","",_xll.BDP($A133&amp;" Corp",Y$14))</f>
        <v>#NAME?</v>
      </c>
      <c r="Z133" s="52" t="e">
        <f ca="1">IF($B133="","",_xll.BDP($A133&amp;" Corp",Z$14))</f>
        <v>#NAME?</v>
      </c>
      <c r="AA133" s="53" t="e">
        <f ca="1">IF($B133="","",_xll.BDP($A133&amp;" Corp",AA$14))</f>
        <v>#NAME?</v>
      </c>
      <c r="AB133" s="54" t="e">
        <f ca="1">IF($B133="","",_xll.BDP($A133&amp;" Corp",AB$14))</f>
        <v>#NAME?</v>
      </c>
      <c r="AC133" s="54" t="e">
        <f ca="1">IF($B133="","",_xll.BDP($A133&amp;" Corp",AC$14))</f>
        <v>#NAME?</v>
      </c>
      <c r="AD133" s="55" t="e">
        <f ca="1">IF($B133="","",_xll.BDP($A133&amp;" Corp",AD$14))</f>
        <v>#NAME?</v>
      </c>
      <c r="AE133" s="56" t="e">
        <f ca="1">IF($B133="","",_xll.BDP($A133&amp;" Corp",AE$14))</f>
        <v>#NAME?</v>
      </c>
      <c r="AF133" s="29" t="e">
        <f ca="1">IF($B133="","",_xll.BDP($A133&amp;" Corp",AF$14))</f>
        <v>#NAME?</v>
      </c>
      <c r="AG133" s="33" t="e">
        <f ca="1">IF($B133="","",_xll.BDP($A133&amp;" Corp",AG$14))</f>
        <v>#NAME?</v>
      </c>
      <c r="AH133" s="30" t="e">
        <f ca="1">IF($B133="","",_xll.BDP($A133&amp;" Corp",AH$14))</f>
        <v>#NAME?</v>
      </c>
      <c r="AI133" s="30" t="e">
        <f ca="1">IF($B133="","",_xll.BDP($A133&amp;" Corp",AI$14))</f>
        <v>#NAME?</v>
      </c>
      <c r="AJ133" s="30" t="e">
        <f ca="1">IF($B133="","",_xll.BDP($A133&amp;" Corp",AJ$14))</f>
        <v>#NAME?</v>
      </c>
      <c r="AK133" s="11" t="e">
        <f ca="1">IF($B133="","",_xll.BDP($A133&amp;" Corp",AK$14))</f>
        <v>#NAME?</v>
      </c>
      <c r="AL133" s="11" t="e">
        <f ca="1">IF($B133="","",_xll.BDP($A133&amp;" Corp",AL$14))</f>
        <v>#NAME?</v>
      </c>
      <c r="AM133" s="11" t="e">
        <f t="shared" ca="1" si="20"/>
        <v>#NAME?</v>
      </c>
      <c r="AN133" s="57" t="e">
        <f t="shared" ca="1" si="21"/>
        <v>#NAME?</v>
      </c>
    </row>
    <row r="134" spans="1:40" x14ac:dyDescent="0.3">
      <c r="A134" s="67" t="str">
        <f t="shared" si="15"/>
        <v>XS2178857285</v>
      </c>
      <c r="B134" s="68" t="s">
        <v>541</v>
      </c>
      <c r="C134" s="75">
        <v>9594</v>
      </c>
      <c r="D134" s="75">
        <v>128</v>
      </c>
      <c r="E134" s="75">
        <v>400000</v>
      </c>
      <c r="F134" s="69">
        <v>0.31296810000000003</v>
      </c>
      <c r="G134" s="70">
        <v>429602</v>
      </c>
      <c r="H134" s="67">
        <f t="shared" si="16"/>
        <v>400000</v>
      </c>
      <c r="I134" s="67">
        <f t="shared" si="17"/>
        <v>0.31296810000000003</v>
      </c>
      <c r="J134" s="67">
        <f t="shared" si="18"/>
        <v>429602</v>
      </c>
      <c r="K134" s="71">
        <f t="shared" si="19"/>
        <v>107.40049999999999</v>
      </c>
      <c r="L134" s="29" t="e">
        <f ca="1">IF(B134="","",_xll.BDP(A134&amp;" Corp","INTERVAL_HIGH","START_DATE_OVERRIDE",TEXT($L$12,"AAAAMMDD"),"END_DATE_OVERRIDE",TEXT($L$13,"AAAAMMDD"),"MARKET_DATA_OVERRIDE",$L$14))</f>
        <v>#NAME?</v>
      </c>
      <c r="M134" s="30" t="e">
        <f ca="1">IF(B134="","",_xll.BDP($A134&amp;" Corp","INTERVAL_LOW","START_DATE_OVERRIDE",TEXT($L$12,"AAAAMMDD"),"END_DATE_OVERRIDE",TEXT($L$13,"AAAAMMDD"),"MARKET_DATA_OVERRIDE",$L$14))</f>
        <v>#NAME?</v>
      </c>
      <c r="N134" s="31" t="e">
        <f ca="1">IF($B134="","",_xll.BDP($A134&amp;" Corp",N$15))</f>
        <v>#NAME?</v>
      </c>
      <c r="O134" s="32" t="e">
        <f ca="1">IF($B134="","",_xll.BDP($A134&amp;" Corp",O$15))</f>
        <v>#NAME?</v>
      </c>
      <c r="P134" s="32" t="e">
        <f ca="1">IF($B134="","",_xll.BDP($A134&amp;" Corp",P$15))</f>
        <v>#NAME?</v>
      </c>
      <c r="Q134" s="30" t="e">
        <f ca="1">IF($B134="","",_xll.BDP($A134&amp;" Corp",Q$14))</f>
        <v>#NAME?</v>
      </c>
      <c r="R134" s="30" t="e">
        <f ca="1">IF($B134="","",_xll.BDP($A134&amp;" Corp",R$14))</f>
        <v>#NAME?</v>
      </c>
      <c r="S134" s="50" t="e">
        <f ca="1">IF($B134="","",_xll.BDP($A134&amp;" Corp",S$14))</f>
        <v>#NAME?</v>
      </c>
      <c r="T134" s="30" t="e">
        <f ca="1">IF($B134="","",_xll.BDP($A134&amp;" Corp",T$14))</f>
        <v>#NAME?</v>
      </c>
      <c r="U134" s="30" t="e">
        <f ca="1">IF($B134="","",_xll.BDP($A134&amp;" Corp",U$14))</f>
        <v>#NAME?</v>
      </c>
      <c r="V134" s="51" t="e">
        <f ca="1">IF($B134="","",IF($T134="VARIABLE",_xll.BDP($A134&amp;" Corp",V$13),_xll.BDP($A134&amp;" Corp",V$14)))</f>
        <v>#NAME?</v>
      </c>
      <c r="W134" s="30" t="e">
        <f ca="1">IF($B134="","",IF($T134="VARIABLE",_xll.BDP($A134&amp;" Corp",W$13),_xll.BDP($A134&amp;" Corp",W$14)))</f>
        <v>#NAME?</v>
      </c>
      <c r="X134" s="30" t="e">
        <f ca="1">IF($B134="","",_xll.BDP($A134&amp;" Corp",X$14))</f>
        <v>#NAME?</v>
      </c>
      <c r="Y134" s="33" t="e">
        <f ca="1">IF($B134="","",_xll.BDP($A134&amp;" Corp",Y$14))</f>
        <v>#NAME?</v>
      </c>
      <c r="Z134" s="52" t="e">
        <f ca="1">IF($B134="","",_xll.BDP($A134&amp;" Corp",Z$14))</f>
        <v>#NAME?</v>
      </c>
      <c r="AA134" s="53" t="e">
        <f ca="1">IF($B134="","",_xll.BDP($A134&amp;" Corp",AA$14))</f>
        <v>#NAME?</v>
      </c>
      <c r="AB134" s="54" t="e">
        <f ca="1">IF($B134="","",_xll.BDP($A134&amp;" Corp",AB$14))</f>
        <v>#NAME?</v>
      </c>
      <c r="AC134" s="54" t="e">
        <f ca="1">IF($B134="","",_xll.BDP($A134&amp;" Corp",AC$14))</f>
        <v>#NAME?</v>
      </c>
      <c r="AD134" s="55" t="e">
        <f ca="1">IF($B134="","",_xll.BDP($A134&amp;" Corp",AD$14))</f>
        <v>#NAME?</v>
      </c>
      <c r="AE134" s="56" t="e">
        <f ca="1">IF($B134="","",_xll.BDP($A134&amp;" Corp",AE$14))</f>
        <v>#NAME?</v>
      </c>
      <c r="AF134" s="29" t="e">
        <f ca="1">IF($B134="","",_xll.BDP($A134&amp;" Corp",AF$14))</f>
        <v>#NAME?</v>
      </c>
      <c r="AG134" s="33" t="e">
        <f ca="1">IF($B134="","",_xll.BDP($A134&amp;" Corp",AG$14))</f>
        <v>#NAME?</v>
      </c>
      <c r="AH134" s="30" t="e">
        <f ca="1">IF($B134="","",_xll.BDP($A134&amp;" Corp",AH$14))</f>
        <v>#NAME?</v>
      </c>
      <c r="AI134" s="30" t="e">
        <f ca="1">IF($B134="","",_xll.BDP($A134&amp;" Corp",AI$14))</f>
        <v>#NAME?</v>
      </c>
      <c r="AJ134" s="30" t="e">
        <f ca="1">IF($B134="","",_xll.BDP($A134&amp;" Corp",AJ$14))</f>
        <v>#NAME?</v>
      </c>
      <c r="AK134" s="11" t="e">
        <f ca="1">IF($B134="","",_xll.BDP($A134&amp;" Corp",AK$14))</f>
        <v>#NAME?</v>
      </c>
      <c r="AL134" s="11" t="e">
        <f ca="1">IF($B134="","",_xll.BDP($A134&amp;" Corp",AL$14))</f>
        <v>#NAME?</v>
      </c>
      <c r="AM134" s="11" t="e">
        <f t="shared" ca="1" si="20"/>
        <v>#NAME?</v>
      </c>
      <c r="AN134" s="57" t="e">
        <f t="shared" ca="1" si="21"/>
        <v>#NAME?</v>
      </c>
    </row>
    <row r="135" spans="1:40" x14ac:dyDescent="0.3">
      <c r="A135" s="67" t="str">
        <f t="shared" si="15"/>
        <v>XS2189594315</v>
      </c>
      <c r="B135" s="68" t="s">
        <v>562</v>
      </c>
      <c r="C135" s="75">
        <v>9577</v>
      </c>
      <c r="D135" s="75">
        <v>128</v>
      </c>
      <c r="E135" s="75">
        <v>100000</v>
      </c>
      <c r="F135" s="69">
        <v>7.8148159999999994E-2</v>
      </c>
      <c r="G135" s="70">
        <v>104815</v>
      </c>
      <c r="H135" s="67">
        <f t="shared" si="16"/>
        <v>100000</v>
      </c>
      <c r="I135" s="67">
        <f t="shared" si="17"/>
        <v>7.8148159999999994E-2</v>
      </c>
      <c r="J135" s="67">
        <f t="shared" si="18"/>
        <v>104815</v>
      </c>
      <c r="K135" s="71">
        <f t="shared" si="19"/>
        <v>104.815</v>
      </c>
      <c r="L135" s="29" t="e">
        <f ca="1">IF(B135="","",_xll.BDP(A135&amp;" Corp","INTERVAL_HIGH","START_DATE_OVERRIDE",TEXT($L$12,"AAAAMMDD"),"END_DATE_OVERRIDE",TEXT($L$13,"AAAAMMDD"),"MARKET_DATA_OVERRIDE",$L$14))</f>
        <v>#NAME?</v>
      </c>
      <c r="M135" s="30" t="e">
        <f ca="1">IF(B135="","",_xll.BDP($A135&amp;" Corp","INTERVAL_LOW","START_DATE_OVERRIDE",TEXT($L$12,"AAAAMMDD"),"END_DATE_OVERRIDE",TEXT($L$13,"AAAAMMDD"),"MARKET_DATA_OVERRIDE",$L$14))</f>
        <v>#NAME?</v>
      </c>
      <c r="N135" s="31" t="e">
        <f ca="1">IF($B135="","",_xll.BDP($A135&amp;" Corp",N$15))</f>
        <v>#NAME?</v>
      </c>
      <c r="O135" s="32" t="e">
        <f ca="1">IF($B135="","",_xll.BDP($A135&amp;" Corp",O$15))</f>
        <v>#NAME?</v>
      </c>
      <c r="P135" s="32" t="e">
        <f ca="1">IF($B135="","",_xll.BDP($A135&amp;" Corp",P$15))</f>
        <v>#NAME?</v>
      </c>
      <c r="Q135" s="30" t="e">
        <f ca="1">IF($B135="","",_xll.BDP($A135&amp;" Corp",Q$14))</f>
        <v>#NAME?</v>
      </c>
      <c r="R135" s="30" t="e">
        <f ca="1">IF($B135="","",_xll.BDP($A135&amp;" Corp",R$14))</f>
        <v>#NAME?</v>
      </c>
      <c r="S135" s="50" t="e">
        <f ca="1">IF($B135="","",_xll.BDP($A135&amp;" Corp",S$14))</f>
        <v>#NAME?</v>
      </c>
      <c r="T135" s="30" t="e">
        <f ca="1">IF($B135="","",_xll.BDP($A135&amp;" Corp",T$14))</f>
        <v>#NAME?</v>
      </c>
      <c r="U135" s="30" t="e">
        <f ca="1">IF($B135="","",_xll.BDP($A135&amp;" Corp",U$14))</f>
        <v>#NAME?</v>
      </c>
      <c r="V135" s="51" t="e">
        <f ca="1">IF($B135="","",IF($T135="VARIABLE",_xll.BDP($A135&amp;" Corp",V$13),_xll.BDP($A135&amp;" Corp",V$14)))</f>
        <v>#NAME?</v>
      </c>
      <c r="W135" s="30" t="e">
        <f ca="1">IF($B135="","",IF($T135="VARIABLE",_xll.BDP($A135&amp;" Corp",W$13),_xll.BDP($A135&amp;" Corp",W$14)))</f>
        <v>#NAME?</v>
      </c>
      <c r="X135" s="30" t="e">
        <f ca="1">IF($B135="","",_xll.BDP($A135&amp;" Corp",X$14))</f>
        <v>#NAME?</v>
      </c>
      <c r="Y135" s="33" t="e">
        <f ca="1">IF($B135="","",_xll.BDP($A135&amp;" Corp",Y$14))</f>
        <v>#NAME?</v>
      </c>
      <c r="Z135" s="52" t="e">
        <f ca="1">IF($B135="","",_xll.BDP($A135&amp;" Corp",Z$14))</f>
        <v>#NAME?</v>
      </c>
      <c r="AA135" s="53" t="e">
        <f ca="1">IF($B135="","",_xll.BDP($A135&amp;" Corp",AA$14))</f>
        <v>#NAME?</v>
      </c>
      <c r="AB135" s="54" t="e">
        <f ca="1">IF($B135="","",_xll.BDP($A135&amp;" Corp",AB$14))</f>
        <v>#NAME?</v>
      </c>
      <c r="AC135" s="54" t="e">
        <f ca="1">IF($B135="","",_xll.BDP($A135&amp;" Corp",AC$14))</f>
        <v>#NAME?</v>
      </c>
      <c r="AD135" s="55" t="e">
        <f ca="1">IF($B135="","",_xll.BDP($A135&amp;" Corp",AD$14))</f>
        <v>#NAME?</v>
      </c>
      <c r="AE135" s="56" t="e">
        <f ca="1">IF($B135="","",_xll.BDP($A135&amp;" Corp",AE$14))</f>
        <v>#NAME?</v>
      </c>
      <c r="AF135" s="29" t="e">
        <f ca="1">IF($B135="","",_xll.BDP($A135&amp;" Corp",AF$14))</f>
        <v>#NAME?</v>
      </c>
      <c r="AG135" s="33" t="e">
        <f ca="1">IF($B135="","",_xll.BDP($A135&amp;" Corp",AG$14))</f>
        <v>#NAME?</v>
      </c>
      <c r="AH135" s="30" t="e">
        <f ca="1">IF($B135="","",_xll.BDP($A135&amp;" Corp",AH$14))</f>
        <v>#NAME?</v>
      </c>
      <c r="AI135" s="30" t="e">
        <f ca="1">IF($B135="","",_xll.BDP($A135&amp;" Corp",AI$14))</f>
        <v>#NAME?</v>
      </c>
      <c r="AJ135" s="30" t="e">
        <f ca="1">IF($B135="","",_xll.BDP($A135&amp;" Corp",AJ$14))</f>
        <v>#NAME?</v>
      </c>
      <c r="AK135" s="11" t="e">
        <f ca="1">IF($B135="","",_xll.BDP($A135&amp;" Corp",AK$14))</f>
        <v>#NAME?</v>
      </c>
      <c r="AL135" s="11" t="e">
        <f ca="1">IF($B135="","",_xll.BDP($A135&amp;" Corp",AL$14))</f>
        <v>#NAME?</v>
      </c>
      <c r="AM135" s="11" t="e">
        <f t="shared" ca="1" si="20"/>
        <v>#NAME?</v>
      </c>
      <c r="AN135" s="57" t="e">
        <f t="shared" ca="1" si="21"/>
        <v>#NAME?</v>
      </c>
    </row>
    <row r="136" spans="1:40" x14ac:dyDescent="0.3">
      <c r="A136" s="67" t="str">
        <f t="shared" si="15"/>
        <v>XS2193661324</v>
      </c>
      <c r="B136" s="68" t="s">
        <v>338</v>
      </c>
      <c r="C136" s="75">
        <v>8124</v>
      </c>
      <c r="D136" s="75">
        <v>128</v>
      </c>
      <c r="E136" s="75">
        <v>700000</v>
      </c>
      <c r="F136" s="69">
        <v>0.53570152999999998</v>
      </c>
      <c r="G136" s="70">
        <v>728989</v>
      </c>
      <c r="H136" s="67">
        <f t="shared" si="16"/>
        <v>700000</v>
      </c>
      <c r="I136" s="67">
        <f t="shared" si="17"/>
        <v>0.53570152999999998</v>
      </c>
      <c r="J136" s="67">
        <f t="shared" si="18"/>
        <v>728989</v>
      </c>
      <c r="K136" s="71">
        <f t="shared" si="19"/>
        <v>104.14128571428571</v>
      </c>
      <c r="L136" s="29" t="e">
        <f ca="1">IF(B136="","",_xll.BDP(A136&amp;" Corp","INTERVAL_HIGH","START_DATE_OVERRIDE",TEXT($L$12,"AAAAMMDD"),"END_DATE_OVERRIDE",TEXT($L$13,"AAAAMMDD"),"MARKET_DATA_OVERRIDE",$L$14))</f>
        <v>#NAME?</v>
      </c>
      <c r="M136" s="30" t="e">
        <f ca="1">IF(B136="","",_xll.BDP($A136&amp;" Corp","INTERVAL_LOW","START_DATE_OVERRIDE",TEXT($L$12,"AAAAMMDD"),"END_DATE_OVERRIDE",TEXT($L$13,"AAAAMMDD"),"MARKET_DATA_OVERRIDE",$L$14))</f>
        <v>#NAME?</v>
      </c>
      <c r="N136" s="31" t="e">
        <f ca="1">IF($B136="","",_xll.BDP($A136&amp;" Corp",N$15))</f>
        <v>#NAME?</v>
      </c>
      <c r="O136" s="32" t="e">
        <f ca="1">IF($B136="","",_xll.BDP($A136&amp;" Corp",O$15))</f>
        <v>#NAME?</v>
      </c>
      <c r="P136" s="32" t="e">
        <f ca="1">IF($B136="","",_xll.BDP($A136&amp;" Corp",P$15))</f>
        <v>#NAME?</v>
      </c>
      <c r="Q136" s="30" t="e">
        <f ca="1">IF($B136="","",_xll.BDP($A136&amp;" Corp",Q$14))</f>
        <v>#NAME?</v>
      </c>
      <c r="R136" s="30" t="e">
        <f ca="1">IF($B136="","",_xll.BDP($A136&amp;" Corp",R$14))</f>
        <v>#NAME?</v>
      </c>
      <c r="S136" s="50" t="e">
        <f ca="1">IF($B136="","",_xll.BDP($A136&amp;" Corp",S$14))</f>
        <v>#NAME?</v>
      </c>
      <c r="T136" s="30" t="e">
        <f ca="1">IF($B136="","",_xll.BDP($A136&amp;" Corp",T$14))</f>
        <v>#NAME?</v>
      </c>
      <c r="U136" s="30" t="e">
        <f ca="1">IF($B136="","",_xll.BDP($A136&amp;" Corp",U$14))</f>
        <v>#NAME?</v>
      </c>
      <c r="V136" s="51" t="e">
        <f ca="1">IF($B136="","",IF($T136="VARIABLE",_xll.BDP($A136&amp;" Corp",V$13),_xll.BDP($A136&amp;" Corp",V$14)))</f>
        <v>#NAME?</v>
      </c>
      <c r="W136" s="30" t="e">
        <f ca="1">IF($B136="","",IF($T136="VARIABLE",_xll.BDP($A136&amp;" Corp",W$13),_xll.BDP($A136&amp;" Corp",W$14)))</f>
        <v>#NAME?</v>
      </c>
      <c r="X136" s="30" t="e">
        <f ca="1">IF($B136="","",_xll.BDP($A136&amp;" Corp",X$14))</f>
        <v>#NAME?</v>
      </c>
      <c r="Y136" s="33" t="e">
        <f ca="1">IF($B136="","",_xll.BDP($A136&amp;" Corp",Y$14))</f>
        <v>#NAME?</v>
      </c>
      <c r="Z136" s="52" t="e">
        <f ca="1">IF($B136="","",_xll.BDP($A136&amp;" Corp",Z$14))</f>
        <v>#NAME?</v>
      </c>
      <c r="AA136" s="53" t="e">
        <f ca="1">IF($B136="","",_xll.BDP($A136&amp;" Corp",AA$14))</f>
        <v>#NAME?</v>
      </c>
      <c r="AB136" s="54" t="e">
        <f ca="1">IF($B136="","",_xll.BDP($A136&amp;" Corp",AB$14))</f>
        <v>#NAME?</v>
      </c>
      <c r="AC136" s="54" t="e">
        <f ca="1">IF($B136="","",_xll.BDP($A136&amp;" Corp",AC$14))</f>
        <v>#NAME?</v>
      </c>
      <c r="AD136" s="55" t="e">
        <f ca="1">IF($B136="","",_xll.BDP($A136&amp;" Corp",AD$14))</f>
        <v>#NAME?</v>
      </c>
      <c r="AE136" s="56" t="e">
        <f ca="1">IF($B136="","",_xll.BDP($A136&amp;" Corp",AE$14))</f>
        <v>#NAME?</v>
      </c>
      <c r="AF136" s="29" t="e">
        <f ca="1">IF($B136="","",_xll.BDP($A136&amp;" Corp",AF$14))</f>
        <v>#NAME?</v>
      </c>
      <c r="AG136" s="33" t="e">
        <f ca="1">IF($B136="","",_xll.BDP($A136&amp;" Corp",AG$14))</f>
        <v>#NAME?</v>
      </c>
      <c r="AH136" s="30" t="e">
        <f ca="1">IF($B136="","",_xll.BDP($A136&amp;" Corp",AH$14))</f>
        <v>#NAME?</v>
      </c>
      <c r="AI136" s="30" t="e">
        <f ca="1">IF($B136="","",_xll.BDP($A136&amp;" Corp",AI$14))</f>
        <v>#NAME?</v>
      </c>
      <c r="AJ136" s="30" t="e">
        <f ca="1">IF($B136="","",_xll.BDP($A136&amp;" Corp",AJ$14))</f>
        <v>#NAME?</v>
      </c>
      <c r="AK136" s="11" t="e">
        <f ca="1">IF($B136="","",_xll.BDP($A136&amp;" Corp",AK$14))</f>
        <v>#NAME?</v>
      </c>
      <c r="AL136" s="11" t="e">
        <f ca="1">IF($B136="","",_xll.BDP($A136&amp;" Corp",AL$14))</f>
        <v>#NAME?</v>
      </c>
      <c r="AM136" s="11" t="e">
        <f t="shared" ca="1" si="20"/>
        <v>#NAME?</v>
      </c>
      <c r="AN136" s="57" t="e">
        <f t="shared" ca="1" si="21"/>
        <v>#NAME?</v>
      </c>
    </row>
    <row r="137" spans="1:40" x14ac:dyDescent="0.3">
      <c r="A137" s="67" t="str">
        <f t="shared" si="15"/>
        <v>XS2201946634</v>
      </c>
      <c r="B137" s="68" t="s">
        <v>441</v>
      </c>
      <c r="C137" s="75">
        <v>8275</v>
      </c>
      <c r="D137" s="75">
        <v>128</v>
      </c>
      <c r="E137" s="75">
        <v>300000</v>
      </c>
      <c r="F137" s="69">
        <v>0.22629679</v>
      </c>
      <c r="G137" s="70">
        <v>301917</v>
      </c>
      <c r="H137" s="67">
        <f t="shared" si="16"/>
        <v>300000</v>
      </c>
      <c r="I137" s="67">
        <f t="shared" si="17"/>
        <v>0.22629679</v>
      </c>
      <c r="J137" s="67">
        <f t="shared" si="18"/>
        <v>301917</v>
      </c>
      <c r="K137" s="71">
        <f t="shared" si="19"/>
        <v>100.639</v>
      </c>
      <c r="L137" s="29" t="e">
        <f ca="1">IF(B137="","",_xll.BDP(A137&amp;" Corp","INTERVAL_HIGH","START_DATE_OVERRIDE",TEXT($L$12,"AAAAMMDD"),"END_DATE_OVERRIDE",TEXT($L$13,"AAAAMMDD"),"MARKET_DATA_OVERRIDE",$L$14))</f>
        <v>#NAME?</v>
      </c>
      <c r="M137" s="30" t="e">
        <f ca="1">IF(B137="","",_xll.BDP($A137&amp;" Corp","INTERVAL_LOW","START_DATE_OVERRIDE",TEXT($L$12,"AAAAMMDD"),"END_DATE_OVERRIDE",TEXT($L$13,"AAAAMMDD"),"MARKET_DATA_OVERRIDE",$L$14))</f>
        <v>#NAME?</v>
      </c>
      <c r="N137" s="31" t="e">
        <f ca="1">IF($B137="","",_xll.BDP($A137&amp;" Corp",N$15))</f>
        <v>#NAME?</v>
      </c>
      <c r="O137" s="32" t="e">
        <f ca="1">IF($B137="","",_xll.BDP($A137&amp;" Corp",O$15))</f>
        <v>#NAME?</v>
      </c>
      <c r="P137" s="32" t="e">
        <f ca="1">IF($B137="","",_xll.BDP($A137&amp;" Corp",P$15))</f>
        <v>#NAME?</v>
      </c>
      <c r="Q137" s="30" t="e">
        <f ca="1">IF($B137="","",_xll.BDP($A137&amp;" Corp",Q$14))</f>
        <v>#NAME?</v>
      </c>
      <c r="R137" s="30" t="e">
        <f ca="1">IF($B137="","",_xll.BDP($A137&amp;" Corp",R$14))</f>
        <v>#NAME?</v>
      </c>
      <c r="S137" s="50" t="e">
        <f ca="1">IF($B137="","",_xll.BDP($A137&amp;" Corp",S$14))</f>
        <v>#NAME?</v>
      </c>
      <c r="T137" s="30" t="e">
        <f ca="1">IF($B137="","",_xll.BDP($A137&amp;" Corp",T$14))</f>
        <v>#NAME?</v>
      </c>
      <c r="U137" s="30" t="e">
        <f ca="1">IF($B137="","",_xll.BDP($A137&amp;" Corp",U$14))</f>
        <v>#NAME?</v>
      </c>
      <c r="V137" s="51" t="e">
        <f ca="1">IF($B137="","",IF($T137="VARIABLE",_xll.BDP($A137&amp;" Corp",V$13),_xll.BDP($A137&amp;" Corp",V$14)))</f>
        <v>#NAME?</v>
      </c>
      <c r="W137" s="30" t="e">
        <f ca="1">IF($B137="","",IF($T137="VARIABLE",_xll.BDP($A137&amp;" Corp",W$13),_xll.BDP($A137&amp;" Corp",W$14)))</f>
        <v>#NAME?</v>
      </c>
      <c r="X137" s="30" t="e">
        <f ca="1">IF($B137="","",_xll.BDP($A137&amp;" Corp",X$14))</f>
        <v>#NAME?</v>
      </c>
      <c r="Y137" s="33" t="e">
        <f ca="1">IF($B137="","",_xll.BDP($A137&amp;" Corp",Y$14))</f>
        <v>#NAME?</v>
      </c>
      <c r="Z137" s="52" t="e">
        <f ca="1">IF($B137="","",_xll.BDP($A137&amp;" Corp",Z$14))</f>
        <v>#NAME?</v>
      </c>
      <c r="AA137" s="53" t="e">
        <f ca="1">IF($B137="","",_xll.BDP($A137&amp;" Corp",AA$14))</f>
        <v>#NAME?</v>
      </c>
      <c r="AB137" s="54" t="e">
        <f ca="1">IF($B137="","",_xll.BDP($A137&amp;" Corp",AB$14))</f>
        <v>#NAME?</v>
      </c>
      <c r="AC137" s="54" t="e">
        <f ca="1">IF($B137="","",_xll.BDP($A137&amp;" Corp",AC$14))</f>
        <v>#NAME?</v>
      </c>
      <c r="AD137" s="55" t="e">
        <f ca="1">IF($B137="","",_xll.BDP($A137&amp;" Corp",AD$14))</f>
        <v>#NAME?</v>
      </c>
      <c r="AE137" s="56" t="e">
        <f ca="1">IF($B137="","",_xll.BDP($A137&amp;" Corp",AE$14))</f>
        <v>#NAME?</v>
      </c>
      <c r="AF137" s="29" t="e">
        <f ca="1">IF($B137="","",_xll.BDP($A137&amp;" Corp",AF$14))</f>
        <v>#NAME?</v>
      </c>
      <c r="AG137" s="33" t="e">
        <f ca="1">IF($B137="","",_xll.BDP($A137&amp;" Corp",AG$14))</f>
        <v>#NAME?</v>
      </c>
      <c r="AH137" s="30" t="e">
        <f ca="1">IF($B137="","",_xll.BDP($A137&amp;" Corp",AH$14))</f>
        <v>#NAME?</v>
      </c>
      <c r="AI137" s="30" t="e">
        <f ca="1">IF($B137="","",_xll.BDP($A137&amp;" Corp",AI$14))</f>
        <v>#NAME?</v>
      </c>
      <c r="AJ137" s="30" t="e">
        <f ca="1">IF($B137="","",_xll.BDP($A137&amp;" Corp",AJ$14))</f>
        <v>#NAME?</v>
      </c>
      <c r="AK137" s="11" t="e">
        <f ca="1">IF($B137="","",_xll.BDP($A137&amp;" Corp",AK$14))</f>
        <v>#NAME?</v>
      </c>
      <c r="AL137" s="11" t="e">
        <f ca="1">IF($B137="","",_xll.BDP($A137&amp;" Corp",AL$14))</f>
        <v>#NAME?</v>
      </c>
      <c r="AM137" s="11" t="e">
        <f t="shared" ca="1" si="20"/>
        <v>#NAME?</v>
      </c>
      <c r="AN137" s="57" t="e">
        <f t="shared" ca="1" si="21"/>
        <v>#NAME?</v>
      </c>
    </row>
    <row r="138" spans="1:40" x14ac:dyDescent="0.3">
      <c r="A138" s="67" t="str">
        <f t="shared" si="15"/>
        <v>XS2208868914</v>
      </c>
      <c r="B138" s="68" t="s">
        <v>443</v>
      </c>
      <c r="C138" s="75">
        <v>9386</v>
      </c>
      <c r="D138" s="75">
        <v>128</v>
      </c>
      <c r="E138" s="75">
        <v>200000</v>
      </c>
      <c r="F138" s="69">
        <v>0.12551707000000001</v>
      </c>
      <c r="G138" s="70">
        <v>216968</v>
      </c>
      <c r="H138" s="67">
        <f t="shared" si="16"/>
        <v>200000</v>
      </c>
      <c r="I138" s="67">
        <f t="shared" si="17"/>
        <v>0.12551707000000001</v>
      </c>
      <c r="J138" s="67">
        <f t="shared" si="18"/>
        <v>216968</v>
      </c>
      <c r="K138" s="71">
        <f t="shared" si="19"/>
        <v>108.48399999999999</v>
      </c>
      <c r="L138" s="29" t="e">
        <f ca="1">IF(B138="","",_xll.BDP(A138&amp;" Corp","INTERVAL_HIGH","START_DATE_OVERRIDE",TEXT($L$12,"AAAAMMDD"),"END_DATE_OVERRIDE",TEXT($L$13,"AAAAMMDD"),"MARKET_DATA_OVERRIDE",$L$14))</f>
        <v>#NAME?</v>
      </c>
      <c r="M138" s="30" t="e">
        <f ca="1">IF(B138="","",_xll.BDP($A138&amp;" Corp","INTERVAL_LOW","START_DATE_OVERRIDE",TEXT($L$12,"AAAAMMDD"),"END_DATE_OVERRIDE",TEXT($L$13,"AAAAMMDD"),"MARKET_DATA_OVERRIDE",$L$14))</f>
        <v>#NAME?</v>
      </c>
      <c r="N138" s="31" t="e">
        <f ca="1">IF($B138="","",_xll.BDP($A138&amp;" Corp",N$15))</f>
        <v>#NAME?</v>
      </c>
      <c r="O138" s="32" t="e">
        <f ca="1">IF($B138="","",_xll.BDP($A138&amp;" Corp",O$15))</f>
        <v>#NAME?</v>
      </c>
      <c r="P138" s="32" t="e">
        <f ca="1">IF($B138="","",_xll.BDP($A138&amp;" Corp",P$15))</f>
        <v>#NAME?</v>
      </c>
      <c r="Q138" s="30" t="e">
        <f ca="1">IF($B138="","",_xll.BDP($A138&amp;" Corp",Q$14))</f>
        <v>#NAME?</v>
      </c>
      <c r="R138" s="30" t="e">
        <f ca="1">IF($B138="","",_xll.BDP($A138&amp;" Corp",R$14))</f>
        <v>#NAME?</v>
      </c>
      <c r="S138" s="50" t="e">
        <f ca="1">IF($B138="","",_xll.BDP($A138&amp;" Corp",S$14))</f>
        <v>#NAME?</v>
      </c>
      <c r="T138" s="30" t="e">
        <f ca="1">IF($B138="","",_xll.BDP($A138&amp;" Corp",T$14))</f>
        <v>#NAME?</v>
      </c>
      <c r="U138" s="30" t="e">
        <f ca="1">IF($B138="","",_xll.BDP($A138&amp;" Corp",U$14))</f>
        <v>#NAME?</v>
      </c>
      <c r="V138" s="51" t="e">
        <f ca="1">IF($B138="","",IF($T138="VARIABLE",_xll.BDP($A138&amp;" Corp",V$13),_xll.BDP($A138&amp;" Corp",V$14)))</f>
        <v>#NAME?</v>
      </c>
      <c r="W138" s="30" t="e">
        <f ca="1">IF($B138="","",IF($T138="VARIABLE",_xll.BDP($A138&amp;" Corp",W$13),_xll.BDP($A138&amp;" Corp",W$14)))</f>
        <v>#NAME?</v>
      </c>
      <c r="X138" s="30" t="e">
        <f ca="1">IF($B138="","",_xll.BDP($A138&amp;" Corp",X$14))</f>
        <v>#NAME?</v>
      </c>
      <c r="Y138" s="33" t="e">
        <f ca="1">IF($B138="","",_xll.BDP($A138&amp;" Corp",Y$14))</f>
        <v>#NAME?</v>
      </c>
      <c r="Z138" s="52" t="e">
        <f ca="1">IF($B138="","",_xll.BDP($A138&amp;" Corp",Z$14))</f>
        <v>#NAME?</v>
      </c>
      <c r="AA138" s="53" t="e">
        <f ca="1">IF($B138="","",_xll.BDP($A138&amp;" Corp",AA$14))</f>
        <v>#NAME?</v>
      </c>
      <c r="AB138" s="54" t="e">
        <f ca="1">IF($B138="","",_xll.BDP($A138&amp;" Corp",AB$14))</f>
        <v>#NAME?</v>
      </c>
      <c r="AC138" s="54" t="e">
        <f ca="1">IF($B138="","",_xll.BDP($A138&amp;" Corp",AC$14))</f>
        <v>#NAME?</v>
      </c>
      <c r="AD138" s="55" t="e">
        <f ca="1">IF($B138="","",_xll.BDP($A138&amp;" Corp",AD$14))</f>
        <v>#NAME?</v>
      </c>
      <c r="AE138" s="56" t="e">
        <f ca="1">IF($B138="","",_xll.BDP($A138&amp;" Corp",AE$14))</f>
        <v>#NAME?</v>
      </c>
      <c r="AF138" s="29" t="e">
        <f ca="1">IF($B138="","",_xll.BDP($A138&amp;" Corp",AF$14))</f>
        <v>#NAME?</v>
      </c>
      <c r="AG138" s="33" t="e">
        <f ca="1">IF($B138="","",_xll.BDP($A138&amp;" Corp",AG$14))</f>
        <v>#NAME?</v>
      </c>
      <c r="AH138" s="30" t="e">
        <f ca="1">IF($B138="","",_xll.BDP($A138&amp;" Corp",AH$14))</f>
        <v>#NAME?</v>
      </c>
      <c r="AI138" s="30" t="e">
        <f ca="1">IF($B138="","",_xll.BDP($A138&amp;" Corp",AI$14))</f>
        <v>#NAME?</v>
      </c>
      <c r="AJ138" s="30" t="e">
        <f ca="1">IF($B138="","",_xll.BDP($A138&amp;" Corp",AJ$14))</f>
        <v>#NAME?</v>
      </c>
      <c r="AK138" s="11" t="e">
        <f ca="1">IF($B138="","",_xll.BDP($A138&amp;" Corp",AK$14))</f>
        <v>#NAME?</v>
      </c>
      <c r="AL138" s="11" t="e">
        <f ca="1">IF($B138="","",_xll.BDP($A138&amp;" Corp",AL$14))</f>
        <v>#NAME?</v>
      </c>
      <c r="AM138" s="11" t="e">
        <f t="shared" ca="1" si="20"/>
        <v>#NAME?</v>
      </c>
      <c r="AN138" s="57" t="e">
        <f t="shared" ca="1" si="21"/>
        <v>#NAME?</v>
      </c>
    </row>
    <row r="139" spans="1:40" x14ac:dyDescent="0.3">
      <c r="A139" s="67" t="str">
        <f t="shared" si="15"/>
        <v>XS2231191748</v>
      </c>
      <c r="B139" s="68" t="s">
        <v>472</v>
      </c>
      <c r="C139" s="75">
        <v>8349</v>
      </c>
      <c r="D139" s="75">
        <v>128</v>
      </c>
      <c r="E139" s="75">
        <v>1000000</v>
      </c>
      <c r="F139" s="69">
        <v>0.31925376999999999</v>
      </c>
      <c r="G139" s="70">
        <v>944701</v>
      </c>
      <c r="H139" s="67">
        <f t="shared" si="16"/>
        <v>1000000</v>
      </c>
      <c r="I139" s="67">
        <f t="shared" si="17"/>
        <v>0.31925376999999999</v>
      </c>
      <c r="J139" s="67">
        <f t="shared" si="18"/>
        <v>944701</v>
      </c>
      <c r="K139" s="71">
        <f t="shared" si="19"/>
        <v>94.470100000000002</v>
      </c>
      <c r="L139" s="29" t="e">
        <f ca="1">IF(B139="","",_xll.BDP(A139&amp;" Corp","INTERVAL_HIGH","START_DATE_OVERRIDE",TEXT($L$12,"AAAAMMDD"),"END_DATE_OVERRIDE",TEXT($L$13,"AAAAMMDD"),"MARKET_DATA_OVERRIDE",$L$14))</f>
        <v>#NAME?</v>
      </c>
      <c r="M139" s="30" t="e">
        <f ca="1">IF(B139="","",_xll.BDP($A139&amp;" Corp","INTERVAL_LOW","START_DATE_OVERRIDE",TEXT($L$12,"AAAAMMDD"),"END_DATE_OVERRIDE",TEXT($L$13,"AAAAMMDD"),"MARKET_DATA_OVERRIDE",$L$14))</f>
        <v>#NAME?</v>
      </c>
      <c r="N139" s="31" t="e">
        <f ca="1">IF($B139="","",_xll.BDP($A139&amp;" Corp",N$15))</f>
        <v>#NAME?</v>
      </c>
      <c r="O139" s="32" t="e">
        <f ca="1">IF($B139="","",_xll.BDP($A139&amp;" Corp",O$15))</f>
        <v>#NAME?</v>
      </c>
      <c r="P139" s="32" t="e">
        <f ca="1">IF($B139="","",_xll.BDP($A139&amp;" Corp",P$15))</f>
        <v>#NAME?</v>
      </c>
      <c r="Q139" s="30" t="e">
        <f ca="1">IF($B139="","",_xll.BDP($A139&amp;" Corp",Q$14))</f>
        <v>#NAME?</v>
      </c>
      <c r="R139" s="30" t="e">
        <f ca="1">IF($B139="","",_xll.BDP($A139&amp;" Corp",R$14))</f>
        <v>#NAME?</v>
      </c>
      <c r="S139" s="50" t="e">
        <f ca="1">IF($B139="","",_xll.BDP($A139&amp;" Corp",S$14))</f>
        <v>#NAME?</v>
      </c>
      <c r="T139" s="30" t="e">
        <f ca="1">IF($B139="","",_xll.BDP($A139&amp;" Corp",T$14))</f>
        <v>#NAME?</v>
      </c>
      <c r="U139" s="30" t="e">
        <f ca="1">IF($B139="","",_xll.BDP($A139&amp;" Corp",U$14))</f>
        <v>#NAME?</v>
      </c>
      <c r="V139" s="51" t="e">
        <f ca="1">IF($B139="","",IF($T139="VARIABLE",_xll.BDP($A139&amp;" Corp",V$13),_xll.BDP($A139&amp;" Corp",V$14)))</f>
        <v>#NAME?</v>
      </c>
      <c r="W139" s="30" t="e">
        <f ca="1">IF($B139="","",IF($T139="VARIABLE",_xll.BDP($A139&amp;" Corp",W$13),_xll.BDP($A139&amp;" Corp",W$14)))</f>
        <v>#NAME?</v>
      </c>
      <c r="X139" s="30" t="e">
        <f ca="1">IF($B139="","",_xll.BDP($A139&amp;" Corp",X$14))</f>
        <v>#NAME?</v>
      </c>
      <c r="Y139" s="33" t="e">
        <f ca="1">IF($B139="","",_xll.BDP($A139&amp;" Corp",Y$14))</f>
        <v>#NAME?</v>
      </c>
      <c r="Z139" s="52" t="e">
        <f ca="1">IF($B139="","",_xll.BDP($A139&amp;" Corp",Z$14))</f>
        <v>#NAME?</v>
      </c>
      <c r="AA139" s="53" t="e">
        <f ca="1">IF($B139="","",_xll.BDP($A139&amp;" Corp",AA$14))</f>
        <v>#NAME?</v>
      </c>
      <c r="AB139" s="54" t="e">
        <f ca="1">IF($B139="","",_xll.BDP($A139&amp;" Corp",AB$14))</f>
        <v>#NAME?</v>
      </c>
      <c r="AC139" s="54" t="e">
        <f ca="1">IF($B139="","",_xll.BDP($A139&amp;" Corp",AC$14))</f>
        <v>#NAME?</v>
      </c>
      <c r="AD139" s="55" t="e">
        <f ca="1">IF($B139="","",_xll.BDP($A139&amp;" Corp",AD$14))</f>
        <v>#NAME?</v>
      </c>
      <c r="AE139" s="56" t="e">
        <f ca="1">IF($B139="","",_xll.BDP($A139&amp;" Corp",AE$14))</f>
        <v>#NAME?</v>
      </c>
      <c r="AF139" s="29" t="e">
        <f ca="1">IF($B139="","",_xll.BDP($A139&amp;" Corp",AF$14))</f>
        <v>#NAME?</v>
      </c>
      <c r="AG139" s="33" t="e">
        <f ca="1">IF($B139="","",_xll.BDP($A139&amp;" Corp",AG$14))</f>
        <v>#NAME?</v>
      </c>
      <c r="AH139" s="30" t="e">
        <f ca="1">IF($B139="","",_xll.BDP($A139&amp;" Corp",AH$14))</f>
        <v>#NAME?</v>
      </c>
      <c r="AI139" s="30" t="e">
        <f ca="1">IF($B139="","",_xll.BDP($A139&amp;" Corp",AI$14))</f>
        <v>#NAME?</v>
      </c>
      <c r="AJ139" s="30" t="e">
        <f ca="1">IF($B139="","",_xll.BDP($A139&amp;" Corp",AJ$14))</f>
        <v>#NAME?</v>
      </c>
      <c r="AK139" s="11" t="e">
        <f ca="1">IF($B139="","",_xll.BDP($A139&amp;" Corp",AK$14))</f>
        <v>#NAME?</v>
      </c>
      <c r="AL139" s="11" t="e">
        <f ca="1">IF($B139="","",_xll.BDP($A139&amp;" Corp",AL$14))</f>
        <v>#NAME?</v>
      </c>
      <c r="AM139" s="11" t="e">
        <f t="shared" ca="1" si="20"/>
        <v>#NAME?</v>
      </c>
      <c r="AN139" s="57" t="e">
        <f t="shared" ca="1" si="21"/>
        <v>#NAME?</v>
      </c>
    </row>
    <row r="140" spans="1:40" x14ac:dyDescent="0.3">
      <c r="A140" s="67" t="str">
        <f t="shared" si="15"/>
        <v>XS2231715322</v>
      </c>
      <c r="B140" s="68" t="s">
        <v>306</v>
      </c>
      <c r="C140" s="75">
        <v>9042</v>
      </c>
      <c r="D140" s="75">
        <v>128</v>
      </c>
      <c r="E140" s="75">
        <v>300000</v>
      </c>
      <c r="F140" s="69">
        <v>0.23260955</v>
      </c>
      <c r="G140" s="70">
        <v>315324</v>
      </c>
      <c r="H140" s="67">
        <f t="shared" si="16"/>
        <v>300000</v>
      </c>
      <c r="I140" s="67">
        <f t="shared" si="17"/>
        <v>0.23260955</v>
      </c>
      <c r="J140" s="67">
        <f t="shared" si="18"/>
        <v>315324</v>
      </c>
      <c r="K140" s="71">
        <f t="shared" si="19"/>
        <v>105.108</v>
      </c>
      <c r="L140" s="29" t="e">
        <f ca="1">IF(B140="","",_xll.BDP(A140&amp;" Corp","INTERVAL_HIGH","START_DATE_OVERRIDE",TEXT($L$12,"AAAAMMDD"),"END_DATE_OVERRIDE",TEXT($L$13,"AAAAMMDD"),"MARKET_DATA_OVERRIDE",$L$14))</f>
        <v>#NAME?</v>
      </c>
      <c r="M140" s="30" t="e">
        <f ca="1">IF(B140="","",_xll.BDP($A140&amp;" Corp","INTERVAL_LOW","START_DATE_OVERRIDE",TEXT($L$12,"AAAAMMDD"),"END_DATE_OVERRIDE",TEXT($L$13,"AAAAMMDD"),"MARKET_DATA_OVERRIDE",$L$14))</f>
        <v>#NAME?</v>
      </c>
      <c r="N140" s="31" t="e">
        <f ca="1">IF($B140="","",_xll.BDP($A140&amp;" Corp",N$15))</f>
        <v>#NAME?</v>
      </c>
      <c r="O140" s="32" t="e">
        <f ca="1">IF($B140="","",_xll.BDP($A140&amp;" Corp",O$15))</f>
        <v>#NAME?</v>
      </c>
      <c r="P140" s="32" t="e">
        <f ca="1">IF($B140="","",_xll.BDP($A140&amp;" Corp",P$15))</f>
        <v>#NAME?</v>
      </c>
      <c r="Q140" s="30" t="e">
        <f ca="1">IF($B140="","",_xll.BDP($A140&amp;" Corp",Q$14))</f>
        <v>#NAME?</v>
      </c>
      <c r="R140" s="30" t="e">
        <f ca="1">IF($B140="","",_xll.BDP($A140&amp;" Corp",R$14))</f>
        <v>#NAME?</v>
      </c>
      <c r="S140" s="50" t="e">
        <f ca="1">IF($B140="","",_xll.BDP($A140&amp;" Corp",S$14))</f>
        <v>#NAME?</v>
      </c>
      <c r="T140" s="30" t="e">
        <f ca="1">IF($B140="","",_xll.BDP($A140&amp;" Corp",T$14))</f>
        <v>#NAME?</v>
      </c>
      <c r="U140" s="30" t="e">
        <f ca="1">IF($B140="","",_xll.BDP($A140&amp;" Corp",U$14))</f>
        <v>#NAME?</v>
      </c>
      <c r="V140" s="51" t="e">
        <f ca="1">IF($B140="","",IF($T140="VARIABLE",_xll.BDP($A140&amp;" Corp",V$13),_xll.BDP($A140&amp;" Corp",V$14)))</f>
        <v>#NAME?</v>
      </c>
      <c r="W140" s="30" t="e">
        <f ca="1">IF($B140="","",IF($T140="VARIABLE",_xll.BDP($A140&amp;" Corp",W$13),_xll.BDP($A140&amp;" Corp",W$14)))</f>
        <v>#NAME?</v>
      </c>
      <c r="X140" s="30" t="e">
        <f ca="1">IF($B140="","",_xll.BDP($A140&amp;" Corp",X$14))</f>
        <v>#NAME?</v>
      </c>
      <c r="Y140" s="33" t="e">
        <f ca="1">IF($B140="","",_xll.BDP($A140&amp;" Corp",Y$14))</f>
        <v>#NAME?</v>
      </c>
      <c r="Z140" s="52" t="e">
        <f ca="1">IF($B140="","",_xll.BDP($A140&amp;" Corp",Z$14))</f>
        <v>#NAME?</v>
      </c>
      <c r="AA140" s="53" t="e">
        <f ca="1">IF($B140="","",_xll.BDP($A140&amp;" Corp",AA$14))</f>
        <v>#NAME?</v>
      </c>
      <c r="AB140" s="54" t="e">
        <f ca="1">IF($B140="","",_xll.BDP($A140&amp;" Corp",AB$14))</f>
        <v>#NAME?</v>
      </c>
      <c r="AC140" s="54" t="e">
        <f ca="1">IF($B140="","",_xll.BDP($A140&amp;" Corp",AC$14))</f>
        <v>#NAME?</v>
      </c>
      <c r="AD140" s="55" t="e">
        <f ca="1">IF($B140="","",_xll.BDP($A140&amp;" Corp",AD$14))</f>
        <v>#NAME?</v>
      </c>
      <c r="AE140" s="56" t="e">
        <f ca="1">IF($B140="","",_xll.BDP($A140&amp;" Corp",AE$14))</f>
        <v>#NAME?</v>
      </c>
      <c r="AF140" s="29" t="e">
        <f ca="1">IF($B140="","",_xll.BDP($A140&amp;" Corp",AF$14))</f>
        <v>#NAME?</v>
      </c>
      <c r="AG140" s="33" t="e">
        <f ca="1">IF($B140="","",_xll.BDP($A140&amp;" Corp",AG$14))</f>
        <v>#NAME?</v>
      </c>
      <c r="AH140" s="30" t="e">
        <f ca="1">IF($B140="","",_xll.BDP($A140&amp;" Corp",AH$14))</f>
        <v>#NAME?</v>
      </c>
      <c r="AI140" s="30" t="e">
        <f ca="1">IF($B140="","",_xll.BDP($A140&amp;" Corp",AI$14))</f>
        <v>#NAME?</v>
      </c>
      <c r="AJ140" s="30" t="e">
        <f ca="1">IF($B140="","",_xll.BDP($A140&amp;" Corp",AJ$14))</f>
        <v>#NAME?</v>
      </c>
      <c r="AK140" s="11" t="e">
        <f ca="1">IF($B140="","",_xll.BDP($A140&amp;" Corp",AK$14))</f>
        <v>#NAME?</v>
      </c>
      <c r="AL140" s="11" t="e">
        <f ca="1">IF($B140="","",_xll.BDP($A140&amp;" Corp",AL$14))</f>
        <v>#NAME?</v>
      </c>
      <c r="AM140" s="11" t="e">
        <f t="shared" ca="1" si="20"/>
        <v>#NAME?</v>
      </c>
      <c r="AN140" s="57" t="e">
        <f t="shared" ca="1" si="21"/>
        <v>#NAME?</v>
      </c>
    </row>
    <row r="141" spans="1:40" x14ac:dyDescent="0.3">
      <c r="A141" s="67" t="str">
        <f t="shared" si="15"/>
        <v>XS2237434803</v>
      </c>
      <c r="B141" s="68" t="s">
        <v>454</v>
      </c>
      <c r="C141" s="75">
        <v>8365</v>
      </c>
      <c r="D141" s="75">
        <v>128</v>
      </c>
      <c r="E141" s="75">
        <v>300000</v>
      </c>
      <c r="F141" s="69">
        <v>0.2259563</v>
      </c>
      <c r="G141" s="70">
        <v>303306</v>
      </c>
      <c r="H141" s="67">
        <f t="shared" si="16"/>
        <v>300000</v>
      </c>
      <c r="I141" s="67">
        <f t="shared" si="17"/>
        <v>0.2259563</v>
      </c>
      <c r="J141" s="67">
        <f t="shared" si="18"/>
        <v>303306</v>
      </c>
      <c r="K141" s="71">
        <f t="shared" si="19"/>
        <v>101.102</v>
      </c>
      <c r="L141" s="29" t="e">
        <f ca="1">IF(B141="","",_xll.BDP(A141&amp;" Corp","INTERVAL_HIGH","START_DATE_OVERRIDE",TEXT($L$12,"AAAAMMDD"),"END_DATE_OVERRIDE",TEXT($L$13,"AAAAMMDD"),"MARKET_DATA_OVERRIDE",$L$14))</f>
        <v>#NAME?</v>
      </c>
      <c r="M141" s="30" t="e">
        <f ca="1">IF(B141="","",_xll.BDP($A141&amp;" Corp","INTERVAL_LOW","START_DATE_OVERRIDE",TEXT($L$12,"AAAAMMDD"),"END_DATE_OVERRIDE",TEXT($L$13,"AAAAMMDD"),"MARKET_DATA_OVERRIDE",$L$14))</f>
        <v>#NAME?</v>
      </c>
      <c r="N141" s="31" t="e">
        <f ca="1">IF($B141="","",_xll.BDP($A141&amp;" Corp",N$15))</f>
        <v>#NAME?</v>
      </c>
      <c r="O141" s="32" t="e">
        <f ca="1">IF($B141="","",_xll.BDP($A141&amp;" Corp",O$15))</f>
        <v>#NAME?</v>
      </c>
      <c r="P141" s="32" t="e">
        <f ca="1">IF($B141="","",_xll.BDP($A141&amp;" Corp",P$15))</f>
        <v>#NAME?</v>
      </c>
      <c r="Q141" s="30" t="e">
        <f ca="1">IF($B141="","",_xll.BDP($A141&amp;" Corp",Q$14))</f>
        <v>#NAME?</v>
      </c>
      <c r="R141" s="30" t="e">
        <f ca="1">IF($B141="","",_xll.BDP($A141&amp;" Corp",R$14))</f>
        <v>#NAME?</v>
      </c>
      <c r="S141" s="50" t="e">
        <f ca="1">IF($B141="","",_xll.BDP($A141&amp;" Corp",S$14))</f>
        <v>#NAME?</v>
      </c>
      <c r="T141" s="30" t="e">
        <f ca="1">IF($B141="","",_xll.BDP($A141&amp;" Corp",T$14))</f>
        <v>#NAME?</v>
      </c>
      <c r="U141" s="30" t="e">
        <f ca="1">IF($B141="","",_xll.BDP($A141&amp;" Corp",U$14))</f>
        <v>#NAME?</v>
      </c>
      <c r="V141" s="51" t="e">
        <f ca="1">IF($B141="","",IF($T141="VARIABLE",_xll.BDP($A141&amp;" Corp",V$13),_xll.BDP($A141&amp;" Corp",V$14)))</f>
        <v>#NAME?</v>
      </c>
      <c r="W141" s="30" t="e">
        <f ca="1">IF($B141="","",IF($T141="VARIABLE",_xll.BDP($A141&amp;" Corp",W$13),_xll.BDP($A141&amp;" Corp",W$14)))</f>
        <v>#NAME?</v>
      </c>
      <c r="X141" s="30" t="e">
        <f ca="1">IF($B141="","",_xll.BDP($A141&amp;" Corp",X$14))</f>
        <v>#NAME?</v>
      </c>
      <c r="Y141" s="33" t="e">
        <f ca="1">IF($B141="","",_xll.BDP($A141&amp;" Corp",Y$14))</f>
        <v>#NAME?</v>
      </c>
      <c r="Z141" s="52" t="e">
        <f ca="1">IF($B141="","",_xll.BDP($A141&amp;" Corp",Z$14))</f>
        <v>#NAME?</v>
      </c>
      <c r="AA141" s="53" t="e">
        <f ca="1">IF($B141="","",_xll.BDP($A141&amp;" Corp",AA$14))</f>
        <v>#NAME?</v>
      </c>
      <c r="AB141" s="54" t="e">
        <f ca="1">IF($B141="","",_xll.BDP($A141&amp;" Corp",AB$14))</f>
        <v>#NAME?</v>
      </c>
      <c r="AC141" s="54" t="e">
        <f ca="1">IF($B141="","",_xll.BDP($A141&amp;" Corp",AC$14))</f>
        <v>#NAME?</v>
      </c>
      <c r="AD141" s="55" t="e">
        <f ca="1">IF($B141="","",_xll.BDP($A141&amp;" Corp",AD$14))</f>
        <v>#NAME?</v>
      </c>
      <c r="AE141" s="56" t="e">
        <f ca="1">IF($B141="","",_xll.BDP($A141&amp;" Corp",AE$14))</f>
        <v>#NAME?</v>
      </c>
      <c r="AF141" s="29" t="e">
        <f ca="1">IF($B141="","",_xll.BDP($A141&amp;" Corp",AF$14))</f>
        <v>#NAME?</v>
      </c>
      <c r="AG141" s="33" t="e">
        <f ca="1">IF($B141="","",_xll.BDP($A141&amp;" Corp",AG$14))</f>
        <v>#NAME?</v>
      </c>
      <c r="AH141" s="30" t="e">
        <f ca="1">IF($B141="","",_xll.BDP($A141&amp;" Corp",AH$14))</f>
        <v>#NAME?</v>
      </c>
      <c r="AI141" s="30" t="e">
        <f ca="1">IF($B141="","",_xll.BDP($A141&amp;" Corp",AI$14))</f>
        <v>#NAME?</v>
      </c>
      <c r="AJ141" s="30" t="e">
        <f ca="1">IF($B141="","",_xll.BDP($A141&amp;" Corp",AJ$14))</f>
        <v>#NAME?</v>
      </c>
      <c r="AK141" s="11" t="e">
        <f ca="1">IF($B141="","",_xll.BDP($A141&amp;" Corp",AK$14))</f>
        <v>#NAME?</v>
      </c>
      <c r="AL141" s="11" t="e">
        <f ca="1">IF($B141="","",_xll.BDP($A141&amp;" Corp",AL$14))</f>
        <v>#NAME?</v>
      </c>
      <c r="AM141" s="11" t="e">
        <f t="shared" ca="1" si="20"/>
        <v>#NAME?</v>
      </c>
      <c r="AN141" s="57" t="e">
        <f t="shared" ca="1" si="21"/>
        <v>#NAME?</v>
      </c>
    </row>
    <row r="142" spans="1:40" x14ac:dyDescent="0.3">
      <c r="A142" s="67" t="str">
        <f t="shared" si="15"/>
        <v>XS2238342484</v>
      </c>
      <c r="B142" s="68" t="s">
        <v>474</v>
      </c>
      <c r="C142" s="75">
        <v>9076</v>
      </c>
      <c r="D142" s="75">
        <v>128</v>
      </c>
      <c r="E142" s="75">
        <v>400000</v>
      </c>
      <c r="F142" s="69">
        <v>0.30114341999999999</v>
      </c>
      <c r="G142" s="70">
        <v>425848</v>
      </c>
      <c r="H142" s="67">
        <f t="shared" si="16"/>
        <v>400000</v>
      </c>
      <c r="I142" s="67">
        <f t="shared" si="17"/>
        <v>0.30114341999999999</v>
      </c>
      <c r="J142" s="67">
        <f t="shared" si="18"/>
        <v>425848</v>
      </c>
      <c r="K142" s="71">
        <f t="shared" si="19"/>
        <v>106.462</v>
      </c>
      <c r="L142" s="29" t="e">
        <f ca="1">IF(B142="","",_xll.BDP(A142&amp;" Corp","INTERVAL_HIGH","START_DATE_OVERRIDE",TEXT($L$12,"AAAAMMDD"),"END_DATE_OVERRIDE",TEXT($L$13,"AAAAMMDD"),"MARKET_DATA_OVERRIDE",$L$14))</f>
        <v>#NAME?</v>
      </c>
      <c r="M142" s="30" t="e">
        <f ca="1">IF(B142="","",_xll.BDP($A142&amp;" Corp","INTERVAL_LOW","START_DATE_OVERRIDE",TEXT($L$12,"AAAAMMDD"),"END_DATE_OVERRIDE",TEXT($L$13,"AAAAMMDD"),"MARKET_DATA_OVERRIDE",$L$14))</f>
        <v>#NAME?</v>
      </c>
      <c r="N142" s="31" t="e">
        <f ca="1">IF($B142="","",_xll.BDP($A142&amp;" Corp",N$15))</f>
        <v>#NAME?</v>
      </c>
      <c r="O142" s="32" t="e">
        <f ca="1">IF($B142="","",_xll.BDP($A142&amp;" Corp",O$15))</f>
        <v>#NAME?</v>
      </c>
      <c r="P142" s="32" t="e">
        <f ca="1">IF($B142="","",_xll.BDP($A142&amp;" Corp",P$15))</f>
        <v>#NAME?</v>
      </c>
      <c r="Q142" s="30" t="e">
        <f ca="1">IF($B142="","",_xll.BDP($A142&amp;" Corp",Q$14))</f>
        <v>#NAME?</v>
      </c>
      <c r="R142" s="30" t="e">
        <f ca="1">IF($B142="","",_xll.BDP($A142&amp;" Corp",R$14))</f>
        <v>#NAME?</v>
      </c>
      <c r="S142" s="50" t="e">
        <f ca="1">IF($B142="","",_xll.BDP($A142&amp;" Corp",S$14))</f>
        <v>#NAME?</v>
      </c>
      <c r="T142" s="30" t="e">
        <f ca="1">IF($B142="","",_xll.BDP($A142&amp;" Corp",T$14))</f>
        <v>#NAME?</v>
      </c>
      <c r="U142" s="30" t="e">
        <f ca="1">IF($B142="","",_xll.BDP($A142&amp;" Corp",U$14))</f>
        <v>#NAME?</v>
      </c>
      <c r="V142" s="51" t="e">
        <f ca="1">IF($B142="","",IF($T142="VARIABLE",_xll.BDP($A142&amp;" Corp",V$13),_xll.BDP($A142&amp;" Corp",V$14)))</f>
        <v>#NAME?</v>
      </c>
      <c r="W142" s="30" t="e">
        <f ca="1">IF($B142="","",IF($T142="VARIABLE",_xll.BDP($A142&amp;" Corp",W$13),_xll.BDP($A142&amp;" Corp",W$14)))</f>
        <v>#NAME?</v>
      </c>
      <c r="X142" s="30" t="e">
        <f ca="1">IF($B142="","",_xll.BDP($A142&amp;" Corp",X$14))</f>
        <v>#NAME?</v>
      </c>
      <c r="Y142" s="33" t="e">
        <f ca="1">IF($B142="","",_xll.BDP($A142&amp;" Corp",Y$14))</f>
        <v>#NAME?</v>
      </c>
      <c r="Z142" s="52" t="e">
        <f ca="1">IF($B142="","",_xll.BDP($A142&amp;" Corp",Z$14))</f>
        <v>#NAME?</v>
      </c>
      <c r="AA142" s="53" t="e">
        <f ca="1">IF($B142="","",_xll.BDP($A142&amp;" Corp",AA$14))</f>
        <v>#NAME?</v>
      </c>
      <c r="AB142" s="54" t="e">
        <f ca="1">IF($B142="","",_xll.BDP($A142&amp;" Corp",AB$14))</f>
        <v>#NAME?</v>
      </c>
      <c r="AC142" s="54" t="e">
        <f ca="1">IF($B142="","",_xll.BDP($A142&amp;" Corp",AC$14))</f>
        <v>#NAME?</v>
      </c>
      <c r="AD142" s="55" t="e">
        <f ca="1">IF($B142="","",_xll.BDP($A142&amp;" Corp",AD$14))</f>
        <v>#NAME?</v>
      </c>
      <c r="AE142" s="56" t="e">
        <f ca="1">IF($B142="","",_xll.BDP($A142&amp;" Corp",AE$14))</f>
        <v>#NAME?</v>
      </c>
      <c r="AF142" s="29" t="e">
        <f ca="1">IF($B142="","",_xll.BDP($A142&amp;" Corp",AF$14))</f>
        <v>#NAME?</v>
      </c>
      <c r="AG142" s="33" t="e">
        <f ca="1">IF($B142="","",_xll.BDP($A142&amp;" Corp",AG$14))</f>
        <v>#NAME?</v>
      </c>
      <c r="AH142" s="30" t="e">
        <f ca="1">IF($B142="","",_xll.BDP($A142&amp;" Corp",AH$14))</f>
        <v>#NAME?</v>
      </c>
      <c r="AI142" s="30" t="e">
        <f ca="1">IF($B142="","",_xll.BDP($A142&amp;" Corp",AI$14))</f>
        <v>#NAME?</v>
      </c>
      <c r="AJ142" s="30" t="e">
        <f ca="1">IF($B142="","",_xll.BDP($A142&amp;" Corp",AJ$14))</f>
        <v>#NAME?</v>
      </c>
      <c r="AK142" s="11" t="e">
        <f ca="1">IF($B142="","",_xll.BDP($A142&amp;" Corp",AK$14))</f>
        <v>#NAME?</v>
      </c>
      <c r="AL142" s="11" t="e">
        <f ca="1">IF($B142="","",_xll.BDP($A142&amp;" Corp",AL$14))</f>
        <v>#NAME?</v>
      </c>
      <c r="AM142" s="11" t="e">
        <f t="shared" ca="1" si="20"/>
        <v>#NAME?</v>
      </c>
      <c r="AN142" s="57" t="e">
        <f t="shared" ca="1" si="21"/>
        <v>#NAME?</v>
      </c>
    </row>
    <row r="143" spans="1:40" x14ac:dyDescent="0.3">
      <c r="A143" s="67" t="str">
        <f t="shared" si="15"/>
        <v>XS2247549731</v>
      </c>
      <c r="B143" s="68" t="s">
        <v>254</v>
      </c>
      <c r="C143" s="75">
        <v>8413</v>
      </c>
      <c r="D143" s="75">
        <v>128</v>
      </c>
      <c r="E143" s="75">
        <v>400000</v>
      </c>
      <c r="F143" s="69">
        <v>0.26762591000000002</v>
      </c>
      <c r="G143" s="70">
        <v>397151.2</v>
      </c>
      <c r="H143" s="67">
        <f t="shared" si="16"/>
        <v>400000</v>
      </c>
      <c r="I143" s="67">
        <f t="shared" si="17"/>
        <v>0.26762591000000002</v>
      </c>
      <c r="J143" s="67">
        <f t="shared" si="18"/>
        <v>397151.2</v>
      </c>
      <c r="K143" s="71">
        <f t="shared" si="19"/>
        <v>99.287800000000004</v>
      </c>
      <c r="L143" s="29" t="e">
        <f ca="1">IF(B143="","",_xll.BDP(A143&amp;" Corp","INTERVAL_HIGH","START_DATE_OVERRIDE",TEXT($L$12,"AAAAMMDD"),"END_DATE_OVERRIDE",TEXT($L$13,"AAAAMMDD"),"MARKET_DATA_OVERRIDE",$L$14))</f>
        <v>#NAME?</v>
      </c>
      <c r="M143" s="30" t="e">
        <f ca="1">IF(B143="","",_xll.BDP($A143&amp;" Corp","INTERVAL_LOW","START_DATE_OVERRIDE",TEXT($L$12,"AAAAMMDD"),"END_DATE_OVERRIDE",TEXT($L$13,"AAAAMMDD"),"MARKET_DATA_OVERRIDE",$L$14))</f>
        <v>#NAME?</v>
      </c>
      <c r="N143" s="31" t="e">
        <f ca="1">IF($B143="","",_xll.BDP($A143&amp;" Corp",N$15))</f>
        <v>#NAME?</v>
      </c>
      <c r="O143" s="32" t="e">
        <f ca="1">IF($B143="","",_xll.BDP($A143&amp;" Corp",O$15))</f>
        <v>#NAME?</v>
      </c>
      <c r="P143" s="32" t="e">
        <f ca="1">IF($B143="","",_xll.BDP($A143&amp;" Corp",P$15))</f>
        <v>#NAME?</v>
      </c>
      <c r="Q143" s="30" t="e">
        <f ca="1">IF($B143="","",_xll.BDP($A143&amp;" Corp",Q$14))</f>
        <v>#NAME?</v>
      </c>
      <c r="R143" s="30" t="e">
        <f ca="1">IF($B143="","",_xll.BDP($A143&amp;" Corp",R$14))</f>
        <v>#NAME?</v>
      </c>
      <c r="S143" s="50" t="e">
        <f ca="1">IF($B143="","",_xll.BDP($A143&amp;" Corp",S$14))</f>
        <v>#NAME?</v>
      </c>
      <c r="T143" s="30" t="e">
        <f ca="1">IF($B143="","",_xll.BDP($A143&amp;" Corp",T$14))</f>
        <v>#NAME?</v>
      </c>
      <c r="U143" s="30" t="e">
        <f ca="1">IF($B143="","",_xll.BDP($A143&amp;" Corp",U$14))</f>
        <v>#NAME?</v>
      </c>
      <c r="V143" s="51" t="e">
        <f ca="1">IF($B143="","",IF($T143="VARIABLE",_xll.BDP($A143&amp;" Corp",V$13),_xll.BDP($A143&amp;" Corp",V$14)))</f>
        <v>#NAME?</v>
      </c>
      <c r="W143" s="30" t="e">
        <f ca="1">IF($B143="","",IF($T143="VARIABLE",_xll.BDP($A143&amp;" Corp",W$13),_xll.BDP($A143&amp;" Corp",W$14)))</f>
        <v>#NAME?</v>
      </c>
      <c r="X143" s="30" t="e">
        <f ca="1">IF($B143="","",_xll.BDP($A143&amp;" Corp",X$14))</f>
        <v>#NAME?</v>
      </c>
      <c r="Y143" s="33" t="e">
        <f ca="1">IF($B143="","",_xll.BDP($A143&amp;" Corp",Y$14))</f>
        <v>#NAME?</v>
      </c>
      <c r="Z143" s="52" t="e">
        <f ca="1">IF($B143="","",_xll.BDP($A143&amp;" Corp",Z$14))</f>
        <v>#NAME?</v>
      </c>
      <c r="AA143" s="53" t="e">
        <f ca="1">IF($B143="","",_xll.BDP($A143&amp;" Corp",AA$14))</f>
        <v>#NAME?</v>
      </c>
      <c r="AB143" s="54" t="e">
        <f ca="1">IF($B143="","",_xll.BDP($A143&amp;" Corp",AB$14))</f>
        <v>#NAME?</v>
      </c>
      <c r="AC143" s="54" t="e">
        <f ca="1">IF($B143="","",_xll.BDP($A143&amp;" Corp",AC$14))</f>
        <v>#NAME?</v>
      </c>
      <c r="AD143" s="55" t="e">
        <f ca="1">IF($B143="","",_xll.BDP($A143&amp;" Corp",AD$14))</f>
        <v>#NAME?</v>
      </c>
      <c r="AE143" s="56" t="e">
        <f ca="1">IF($B143="","",_xll.BDP($A143&amp;" Corp",AE$14))</f>
        <v>#NAME?</v>
      </c>
      <c r="AF143" s="29" t="e">
        <f ca="1">IF($B143="","",_xll.BDP($A143&amp;" Corp",AF$14))</f>
        <v>#NAME?</v>
      </c>
      <c r="AG143" s="33" t="e">
        <f ca="1">IF($B143="","",_xll.BDP($A143&amp;" Corp",AG$14))</f>
        <v>#NAME?</v>
      </c>
      <c r="AH143" s="30" t="e">
        <f ca="1">IF($B143="","",_xll.BDP($A143&amp;" Corp",AH$14))</f>
        <v>#NAME?</v>
      </c>
      <c r="AI143" s="30" t="e">
        <f ca="1">IF($B143="","",_xll.BDP($A143&amp;" Corp",AI$14))</f>
        <v>#NAME?</v>
      </c>
      <c r="AJ143" s="30" t="e">
        <f ca="1">IF($B143="","",_xll.BDP($A143&amp;" Corp",AJ$14))</f>
        <v>#NAME?</v>
      </c>
      <c r="AK143" s="11" t="e">
        <f ca="1">IF($B143="","",_xll.BDP($A143&amp;" Corp",AK$14))</f>
        <v>#NAME?</v>
      </c>
      <c r="AL143" s="11" t="e">
        <f ca="1">IF($B143="","",_xll.BDP($A143&amp;" Corp",AL$14))</f>
        <v>#NAME?</v>
      </c>
      <c r="AM143" s="11" t="e">
        <f t="shared" ca="1" si="20"/>
        <v>#NAME?</v>
      </c>
      <c r="AN143" s="57" t="e">
        <f t="shared" ca="1" si="21"/>
        <v>#NAME?</v>
      </c>
    </row>
    <row r="144" spans="1:40" x14ac:dyDescent="0.3">
      <c r="A144" s="67" t="str">
        <f t="shared" si="15"/>
        <v>XS2264074647</v>
      </c>
      <c r="B144" s="68" t="s">
        <v>315</v>
      </c>
      <c r="C144" s="75">
        <v>8816</v>
      </c>
      <c r="D144" s="75">
        <v>128</v>
      </c>
      <c r="E144" s="75">
        <v>400000</v>
      </c>
      <c r="F144" s="69">
        <v>0.31648090000000001</v>
      </c>
      <c r="G144" s="70">
        <v>419730</v>
      </c>
      <c r="H144" s="67">
        <f t="shared" si="16"/>
        <v>400000</v>
      </c>
      <c r="I144" s="67">
        <f t="shared" si="17"/>
        <v>0.31648090000000001</v>
      </c>
      <c r="J144" s="67">
        <f t="shared" si="18"/>
        <v>419730</v>
      </c>
      <c r="K144" s="71">
        <f t="shared" si="19"/>
        <v>104.9325</v>
      </c>
      <c r="L144" s="29" t="e">
        <f ca="1">IF(B144="","",_xll.BDP(A144&amp;" Corp","INTERVAL_HIGH","START_DATE_OVERRIDE",TEXT($L$12,"AAAAMMDD"),"END_DATE_OVERRIDE",TEXT($L$13,"AAAAMMDD"),"MARKET_DATA_OVERRIDE",$L$14))</f>
        <v>#NAME?</v>
      </c>
      <c r="M144" s="30" t="e">
        <f ca="1">IF(B144="","",_xll.BDP($A144&amp;" Corp","INTERVAL_LOW","START_DATE_OVERRIDE",TEXT($L$12,"AAAAMMDD"),"END_DATE_OVERRIDE",TEXT($L$13,"AAAAMMDD"),"MARKET_DATA_OVERRIDE",$L$14))</f>
        <v>#NAME?</v>
      </c>
      <c r="N144" s="31" t="e">
        <f ca="1">IF($B144="","",_xll.BDP($A144&amp;" Corp",N$15))</f>
        <v>#NAME?</v>
      </c>
      <c r="O144" s="32" t="e">
        <f ca="1">IF($B144="","",_xll.BDP($A144&amp;" Corp",O$15))</f>
        <v>#NAME?</v>
      </c>
      <c r="P144" s="32" t="e">
        <f ca="1">IF($B144="","",_xll.BDP($A144&amp;" Corp",P$15))</f>
        <v>#NAME?</v>
      </c>
      <c r="Q144" s="30" t="e">
        <f ca="1">IF($B144="","",_xll.BDP($A144&amp;" Corp",Q$14))</f>
        <v>#NAME?</v>
      </c>
      <c r="R144" s="30" t="e">
        <f ca="1">IF($B144="","",_xll.BDP($A144&amp;" Corp",R$14))</f>
        <v>#NAME?</v>
      </c>
      <c r="S144" s="50" t="e">
        <f ca="1">IF($B144="","",_xll.BDP($A144&amp;" Corp",S$14))</f>
        <v>#NAME?</v>
      </c>
      <c r="T144" s="30" t="e">
        <f ca="1">IF($B144="","",_xll.BDP($A144&amp;" Corp",T$14))</f>
        <v>#NAME?</v>
      </c>
      <c r="U144" s="30" t="e">
        <f ca="1">IF($B144="","",_xll.BDP($A144&amp;" Corp",U$14))</f>
        <v>#NAME?</v>
      </c>
      <c r="V144" s="51" t="e">
        <f ca="1">IF($B144="","",IF($T144="VARIABLE",_xll.BDP($A144&amp;" Corp",V$13),_xll.BDP($A144&amp;" Corp",V$14)))</f>
        <v>#NAME?</v>
      </c>
      <c r="W144" s="30" t="e">
        <f ca="1">IF($B144="","",IF($T144="VARIABLE",_xll.BDP($A144&amp;" Corp",W$13),_xll.BDP($A144&amp;" Corp",W$14)))</f>
        <v>#NAME?</v>
      </c>
      <c r="X144" s="30" t="e">
        <f ca="1">IF($B144="","",_xll.BDP($A144&amp;" Corp",X$14))</f>
        <v>#NAME?</v>
      </c>
      <c r="Y144" s="33" t="e">
        <f ca="1">IF($B144="","",_xll.BDP($A144&amp;" Corp",Y$14))</f>
        <v>#NAME?</v>
      </c>
      <c r="Z144" s="52" t="e">
        <f ca="1">IF($B144="","",_xll.BDP($A144&amp;" Corp",Z$14))</f>
        <v>#NAME?</v>
      </c>
      <c r="AA144" s="53" t="e">
        <f ca="1">IF($B144="","",_xll.BDP($A144&amp;" Corp",AA$14))</f>
        <v>#NAME?</v>
      </c>
      <c r="AB144" s="54" t="e">
        <f ca="1">IF($B144="","",_xll.BDP($A144&amp;" Corp",AB$14))</f>
        <v>#NAME?</v>
      </c>
      <c r="AC144" s="54" t="e">
        <f ca="1">IF($B144="","",_xll.BDP($A144&amp;" Corp",AC$14))</f>
        <v>#NAME?</v>
      </c>
      <c r="AD144" s="55" t="e">
        <f ca="1">IF($B144="","",_xll.BDP($A144&amp;" Corp",AD$14))</f>
        <v>#NAME?</v>
      </c>
      <c r="AE144" s="56" t="e">
        <f ca="1">IF($B144="","",_xll.BDP($A144&amp;" Corp",AE$14))</f>
        <v>#NAME?</v>
      </c>
      <c r="AF144" s="29" t="e">
        <f ca="1">IF($B144="","",_xll.BDP($A144&amp;" Corp",AF$14))</f>
        <v>#NAME?</v>
      </c>
      <c r="AG144" s="33" t="e">
        <f ca="1">IF($B144="","",_xll.BDP($A144&amp;" Corp",AG$14))</f>
        <v>#NAME?</v>
      </c>
      <c r="AH144" s="30" t="e">
        <f ca="1">IF($B144="","",_xll.BDP($A144&amp;" Corp",AH$14))</f>
        <v>#NAME?</v>
      </c>
      <c r="AI144" s="30" t="e">
        <f ca="1">IF($B144="","",_xll.BDP($A144&amp;" Corp",AI$14))</f>
        <v>#NAME?</v>
      </c>
      <c r="AJ144" s="30" t="e">
        <f ca="1">IF($B144="","",_xll.BDP($A144&amp;" Corp",AJ$14))</f>
        <v>#NAME?</v>
      </c>
      <c r="AK144" s="11" t="e">
        <f ca="1">IF($B144="","",_xll.BDP($A144&amp;" Corp",AK$14))</f>
        <v>#NAME?</v>
      </c>
      <c r="AL144" s="11" t="e">
        <f ca="1">IF($B144="","",_xll.BDP($A144&amp;" Corp",AL$14))</f>
        <v>#NAME?</v>
      </c>
      <c r="AM144" s="11" t="e">
        <f t="shared" ca="1" si="20"/>
        <v>#NAME?</v>
      </c>
      <c r="AN144" s="57" t="e">
        <f t="shared" ca="1" si="21"/>
        <v>#NAME?</v>
      </c>
    </row>
    <row r="145" spans="1:40" x14ac:dyDescent="0.3">
      <c r="A145" s="67" t="str">
        <f t="shared" ref="A145:A208" si="22">IF(LEN(B145)=12,B145,"")</f>
        <v>XS2267889991</v>
      </c>
      <c r="B145" s="68" t="s">
        <v>334</v>
      </c>
      <c r="C145" s="75">
        <v>9259</v>
      </c>
      <c r="D145" s="75">
        <v>128</v>
      </c>
      <c r="E145" s="75">
        <v>100000</v>
      </c>
      <c r="F145" s="69">
        <v>7.2023539999999997E-2</v>
      </c>
      <c r="G145" s="70">
        <v>105058</v>
      </c>
      <c r="H145" s="67">
        <f t="shared" ref="H145:H208" si="23">GETPIVOTDATA("Suma de nominal_dis",B145,"nombre_instrumento",$B145)</f>
        <v>100000</v>
      </c>
      <c r="I145" s="67">
        <f t="shared" ref="I145:I208" si="24">GETPIVOTDATA("Suma de porcentaje_contado",$B$15,"nombre_instrumento",B145)</f>
        <v>7.2023539999999997E-2</v>
      </c>
      <c r="J145" s="67">
        <f t="shared" ref="J145:J208" si="25">GETPIVOTDATA("Suma de coste_ini_div",$B$15,"nombre_instrumento",B145)</f>
        <v>105058</v>
      </c>
      <c r="K145" s="71">
        <f t="shared" ref="K145:K208" si="26">IF(B145="","",J145*100/H145)</f>
        <v>105.05800000000001</v>
      </c>
      <c r="L145" s="29" t="e">
        <f ca="1">IF(B145="","",_xll.BDP(A145&amp;" Corp","INTERVAL_HIGH","START_DATE_OVERRIDE",TEXT($L$12,"AAAAMMDD"),"END_DATE_OVERRIDE",TEXT($L$13,"AAAAMMDD"),"MARKET_DATA_OVERRIDE",$L$14))</f>
        <v>#NAME?</v>
      </c>
      <c r="M145" s="30" t="e">
        <f ca="1">IF(B145="","",_xll.BDP($A145&amp;" Corp","INTERVAL_LOW","START_DATE_OVERRIDE",TEXT($L$12,"AAAAMMDD"),"END_DATE_OVERRIDE",TEXT($L$13,"AAAAMMDD"),"MARKET_DATA_OVERRIDE",$L$14))</f>
        <v>#NAME?</v>
      </c>
      <c r="N145" s="31" t="e">
        <f ca="1">IF($B145="","",_xll.BDP($A145&amp;" Corp",N$15))</f>
        <v>#NAME?</v>
      </c>
      <c r="O145" s="32" t="e">
        <f ca="1">IF($B145="","",_xll.BDP($A145&amp;" Corp",O$15))</f>
        <v>#NAME?</v>
      </c>
      <c r="P145" s="32" t="e">
        <f ca="1">IF($B145="","",_xll.BDP($A145&amp;" Corp",P$15))</f>
        <v>#NAME?</v>
      </c>
      <c r="Q145" s="30" t="e">
        <f ca="1">IF($B145="","",_xll.BDP($A145&amp;" Corp",Q$14))</f>
        <v>#NAME?</v>
      </c>
      <c r="R145" s="30" t="e">
        <f ca="1">IF($B145="","",_xll.BDP($A145&amp;" Corp",R$14))</f>
        <v>#NAME?</v>
      </c>
      <c r="S145" s="50" t="e">
        <f ca="1">IF($B145="","",_xll.BDP($A145&amp;" Corp",S$14))</f>
        <v>#NAME?</v>
      </c>
      <c r="T145" s="30" t="e">
        <f ca="1">IF($B145="","",_xll.BDP($A145&amp;" Corp",T$14))</f>
        <v>#NAME?</v>
      </c>
      <c r="U145" s="30" t="e">
        <f ca="1">IF($B145="","",_xll.BDP($A145&amp;" Corp",U$14))</f>
        <v>#NAME?</v>
      </c>
      <c r="V145" s="51" t="e">
        <f ca="1">IF($B145="","",IF($T145="VARIABLE",_xll.BDP($A145&amp;" Corp",V$13),_xll.BDP($A145&amp;" Corp",V$14)))</f>
        <v>#NAME?</v>
      </c>
      <c r="W145" s="30" t="e">
        <f ca="1">IF($B145="","",IF($T145="VARIABLE",_xll.BDP($A145&amp;" Corp",W$13),_xll.BDP($A145&amp;" Corp",W$14)))</f>
        <v>#NAME?</v>
      </c>
      <c r="X145" s="30" t="e">
        <f ca="1">IF($B145="","",_xll.BDP($A145&amp;" Corp",X$14))</f>
        <v>#NAME?</v>
      </c>
      <c r="Y145" s="33" t="e">
        <f ca="1">IF($B145="","",_xll.BDP($A145&amp;" Corp",Y$14))</f>
        <v>#NAME?</v>
      </c>
      <c r="Z145" s="52" t="e">
        <f ca="1">IF($B145="","",_xll.BDP($A145&amp;" Corp",Z$14))</f>
        <v>#NAME?</v>
      </c>
      <c r="AA145" s="53" t="e">
        <f ca="1">IF($B145="","",_xll.BDP($A145&amp;" Corp",AA$14))</f>
        <v>#NAME?</v>
      </c>
      <c r="AB145" s="54" t="e">
        <f ca="1">IF($B145="","",_xll.BDP($A145&amp;" Corp",AB$14))</f>
        <v>#NAME?</v>
      </c>
      <c r="AC145" s="54" t="e">
        <f ca="1">IF($B145="","",_xll.BDP($A145&amp;" Corp",AC$14))</f>
        <v>#NAME?</v>
      </c>
      <c r="AD145" s="55" t="e">
        <f ca="1">IF($B145="","",_xll.BDP($A145&amp;" Corp",AD$14))</f>
        <v>#NAME?</v>
      </c>
      <c r="AE145" s="56" t="e">
        <f ca="1">IF($B145="","",_xll.BDP($A145&amp;" Corp",AE$14))</f>
        <v>#NAME?</v>
      </c>
      <c r="AF145" s="29" t="e">
        <f ca="1">IF($B145="","",_xll.BDP($A145&amp;" Corp",AF$14))</f>
        <v>#NAME?</v>
      </c>
      <c r="AG145" s="33" t="e">
        <f ca="1">IF($B145="","",_xll.BDP($A145&amp;" Corp",AG$14))</f>
        <v>#NAME?</v>
      </c>
      <c r="AH145" s="30" t="e">
        <f ca="1">IF($B145="","",_xll.BDP($A145&amp;" Corp",AH$14))</f>
        <v>#NAME?</v>
      </c>
      <c r="AI145" s="30" t="e">
        <f ca="1">IF($B145="","",_xll.BDP($A145&amp;" Corp",AI$14))</f>
        <v>#NAME?</v>
      </c>
      <c r="AJ145" s="30" t="e">
        <f ca="1">IF($B145="","",_xll.BDP($A145&amp;" Corp",AJ$14))</f>
        <v>#NAME?</v>
      </c>
      <c r="AK145" s="11" t="e">
        <f ca="1">IF($B145="","",_xll.BDP($A145&amp;" Corp",AK$14))</f>
        <v>#NAME?</v>
      </c>
      <c r="AL145" s="11" t="e">
        <f ca="1">IF($B145="","",_xll.BDP($A145&amp;" Corp",AL$14))</f>
        <v>#NAME?</v>
      </c>
      <c r="AM145" s="11" t="e">
        <f t="shared" ref="AM145:AM208" ca="1" si="27">IF(V145="","",TRUNC((V145-TODAY())/365)+1)</f>
        <v>#NAME?</v>
      </c>
      <c r="AN145" s="57" t="e">
        <f t="shared" ca="1" si="21"/>
        <v>#NAME?</v>
      </c>
    </row>
    <row r="146" spans="1:40" x14ac:dyDescent="0.3">
      <c r="A146" s="67" t="str">
        <f t="shared" si="22"/>
        <v>XS2287744721</v>
      </c>
      <c r="B146" s="68" t="s">
        <v>476</v>
      </c>
      <c r="C146" s="75">
        <v>8766</v>
      </c>
      <c r="D146" s="75">
        <v>128</v>
      </c>
      <c r="E146" s="75">
        <v>200000</v>
      </c>
      <c r="F146" s="69">
        <v>5.5228069999999997E-2</v>
      </c>
      <c r="G146" s="70">
        <v>183921</v>
      </c>
      <c r="H146" s="67">
        <f t="shared" si="23"/>
        <v>200000</v>
      </c>
      <c r="I146" s="67">
        <f t="shared" si="24"/>
        <v>5.5228069999999997E-2</v>
      </c>
      <c r="J146" s="67">
        <f t="shared" si="25"/>
        <v>183921</v>
      </c>
      <c r="K146" s="71">
        <f t="shared" si="26"/>
        <v>91.960499999999996</v>
      </c>
      <c r="L146" s="29" t="e">
        <f ca="1">IF(B146="","",_xll.BDP(A146&amp;" Corp","INTERVAL_HIGH","START_DATE_OVERRIDE",TEXT($L$12,"AAAAMMDD"),"END_DATE_OVERRIDE",TEXT($L$13,"AAAAMMDD"),"MARKET_DATA_OVERRIDE",$L$14))</f>
        <v>#NAME?</v>
      </c>
      <c r="M146" s="30" t="e">
        <f ca="1">IF(B146="","",_xll.BDP($A146&amp;" Corp","INTERVAL_LOW","START_DATE_OVERRIDE",TEXT($L$12,"AAAAMMDD"),"END_DATE_OVERRIDE",TEXT($L$13,"AAAAMMDD"),"MARKET_DATA_OVERRIDE",$L$14))</f>
        <v>#NAME?</v>
      </c>
      <c r="N146" s="31" t="e">
        <f ca="1">IF($B146="","",_xll.BDP($A146&amp;" Corp",N$15))</f>
        <v>#NAME?</v>
      </c>
      <c r="O146" s="32" t="e">
        <f ca="1">IF($B146="","",_xll.BDP($A146&amp;" Corp",O$15))</f>
        <v>#NAME?</v>
      </c>
      <c r="P146" s="32" t="e">
        <f ca="1">IF($B146="","",_xll.BDP($A146&amp;" Corp",P$15))</f>
        <v>#NAME?</v>
      </c>
      <c r="Q146" s="30" t="e">
        <f ca="1">IF($B146="","",_xll.BDP($A146&amp;" Corp",Q$14))</f>
        <v>#NAME?</v>
      </c>
      <c r="R146" s="30" t="e">
        <f ca="1">IF($B146="","",_xll.BDP($A146&amp;" Corp",R$14))</f>
        <v>#NAME?</v>
      </c>
      <c r="S146" s="50" t="e">
        <f ca="1">IF($B146="","",_xll.BDP($A146&amp;" Corp",S$14))</f>
        <v>#NAME?</v>
      </c>
      <c r="T146" s="30" t="e">
        <f ca="1">IF($B146="","",_xll.BDP($A146&amp;" Corp",T$14))</f>
        <v>#NAME?</v>
      </c>
      <c r="U146" s="30" t="e">
        <f ca="1">IF($B146="","",_xll.BDP($A146&amp;" Corp",U$14))</f>
        <v>#NAME?</v>
      </c>
      <c r="V146" s="51" t="e">
        <f ca="1">IF($B146="","",IF($T146="VARIABLE",_xll.BDP($A146&amp;" Corp",V$13),_xll.BDP($A146&amp;" Corp",V$14)))</f>
        <v>#NAME?</v>
      </c>
      <c r="W146" s="30" t="e">
        <f ca="1">IF($B146="","",IF($T146="VARIABLE",_xll.BDP($A146&amp;" Corp",W$13),_xll.BDP($A146&amp;" Corp",W$14)))</f>
        <v>#NAME?</v>
      </c>
      <c r="X146" s="30" t="e">
        <f ca="1">IF($B146="","",_xll.BDP($A146&amp;" Corp",X$14))</f>
        <v>#NAME?</v>
      </c>
      <c r="Y146" s="33" t="e">
        <f ca="1">IF($B146="","",_xll.BDP($A146&amp;" Corp",Y$14))</f>
        <v>#NAME?</v>
      </c>
      <c r="Z146" s="52" t="e">
        <f ca="1">IF($B146="","",_xll.BDP($A146&amp;" Corp",Z$14))</f>
        <v>#NAME?</v>
      </c>
      <c r="AA146" s="53" t="e">
        <f ca="1">IF($B146="","",_xll.BDP($A146&amp;" Corp",AA$14))</f>
        <v>#NAME?</v>
      </c>
      <c r="AB146" s="54" t="e">
        <f ca="1">IF($B146="","",_xll.BDP($A146&amp;" Corp",AB$14))</f>
        <v>#NAME?</v>
      </c>
      <c r="AC146" s="54" t="e">
        <f ca="1">IF($B146="","",_xll.BDP($A146&amp;" Corp",AC$14))</f>
        <v>#NAME?</v>
      </c>
      <c r="AD146" s="55" t="e">
        <f ca="1">IF($B146="","",_xll.BDP($A146&amp;" Corp",AD$14))</f>
        <v>#NAME?</v>
      </c>
      <c r="AE146" s="56" t="e">
        <f ca="1">IF($B146="","",_xll.BDP($A146&amp;" Corp",AE$14))</f>
        <v>#NAME?</v>
      </c>
      <c r="AF146" s="29" t="e">
        <f ca="1">IF($B146="","",_xll.BDP($A146&amp;" Corp",AF$14))</f>
        <v>#NAME?</v>
      </c>
      <c r="AG146" s="33" t="e">
        <f ca="1">IF($B146="","",_xll.BDP($A146&amp;" Corp",AG$14))</f>
        <v>#NAME?</v>
      </c>
      <c r="AH146" s="30" t="e">
        <f ca="1">IF($B146="","",_xll.BDP($A146&amp;" Corp",AH$14))</f>
        <v>#NAME?</v>
      </c>
      <c r="AI146" s="30" t="e">
        <f ca="1">IF($B146="","",_xll.BDP($A146&amp;" Corp",AI$14))</f>
        <v>#NAME?</v>
      </c>
      <c r="AJ146" s="30" t="e">
        <f ca="1">IF($B146="","",_xll.BDP($A146&amp;" Corp",AJ$14))</f>
        <v>#NAME?</v>
      </c>
      <c r="AK146" s="11" t="e">
        <f ca="1">IF($B146="","",_xll.BDP($A146&amp;" Corp",AK$14))</f>
        <v>#NAME?</v>
      </c>
      <c r="AL146" s="11" t="e">
        <f ca="1">IF($B146="","",_xll.BDP($A146&amp;" Corp",AL$14))</f>
        <v>#NAME?</v>
      </c>
      <c r="AM146" s="11" t="e">
        <f t="shared" ca="1" si="27"/>
        <v>#NAME?</v>
      </c>
      <c r="AN146" s="57" t="e">
        <f t="shared" ca="1" si="21"/>
        <v>#NAME?</v>
      </c>
    </row>
    <row r="147" spans="1:40" x14ac:dyDescent="0.3">
      <c r="A147" s="67" t="str">
        <f t="shared" si="22"/>
        <v>XS2300292617</v>
      </c>
      <c r="B147" s="68" t="s">
        <v>277</v>
      </c>
      <c r="C147" s="75">
        <v>8901</v>
      </c>
      <c r="D147" s="75">
        <v>128</v>
      </c>
      <c r="E147" s="75">
        <v>100000</v>
      </c>
      <c r="F147" s="69">
        <v>7.240808E-2</v>
      </c>
      <c r="G147" s="70">
        <v>99507</v>
      </c>
      <c r="H147" s="67">
        <f t="shared" si="23"/>
        <v>100000</v>
      </c>
      <c r="I147" s="67">
        <f t="shared" si="24"/>
        <v>7.240808E-2</v>
      </c>
      <c r="J147" s="67">
        <f t="shared" si="25"/>
        <v>99507</v>
      </c>
      <c r="K147" s="71">
        <f t="shared" si="26"/>
        <v>99.507000000000005</v>
      </c>
      <c r="L147" s="29" t="e">
        <f ca="1">IF(B147="","",_xll.BDP(A147&amp;" Corp","INTERVAL_HIGH","START_DATE_OVERRIDE",TEXT($L$12,"AAAAMMDD"),"END_DATE_OVERRIDE",TEXT($L$13,"AAAAMMDD"),"MARKET_DATA_OVERRIDE",$L$14))</f>
        <v>#NAME?</v>
      </c>
      <c r="M147" s="30" t="e">
        <f ca="1">IF(B147="","",_xll.BDP($A147&amp;" Corp","INTERVAL_LOW","START_DATE_OVERRIDE",TEXT($L$12,"AAAAMMDD"),"END_DATE_OVERRIDE",TEXT($L$13,"AAAAMMDD"),"MARKET_DATA_OVERRIDE",$L$14))</f>
        <v>#NAME?</v>
      </c>
      <c r="N147" s="31" t="e">
        <f ca="1">IF($B147="","",_xll.BDP($A147&amp;" Corp",N$15))</f>
        <v>#NAME?</v>
      </c>
      <c r="O147" s="32" t="e">
        <f ca="1">IF($B147="","",_xll.BDP($A147&amp;" Corp",O$15))</f>
        <v>#NAME?</v>
      </c>
      <c r="P147" s="32" t="e">
        <f ca="1">IF($B147="","",_xll.BDP($A147&amp;" Corp",P$15))</f>
        <v>#NAME?</v>
      </c>
      <c r="Q147" s="30" t="e">
        <f ca="1">IF($B147="","",_xll.BDP($A147&amp;" Corp",Q$14))</f>
        <v>#NAME?</v>
      </c>
      <c r="R147" s="30" t="e">
        <f ca="1">IF($B147="","",_xll.BDP($A147&amp;" Corp",R$14))</f>
        <v>#NAME?</v>
      </c>
      <c r="S147" s="50" t="e">
        <f ca="1">IF($B147="","",_xll.BDP($A147&amp;" Corp",S$14))</f>
        <v>#NAME?</v>
      </c>
      <c r="T147" s="30" t="e">
        <f ca="1">IF($B147="","",_xll.BDP($A147&amp;" Corp",T$14))</f>
        <v>#NAME?</v>
      </c>
      <c r="U147" s="30" t="e">
        <f ca="1">IF($B147="","",_xll.BDP($A147&amp;" Corp",U$14))</f>
        <v>#NAME?</v>
      </c>
      <c r="V147" s="51" t="e">
        <f ca="1">IF($B147="","",IF($T147="VARIABLE",_xll.BDP($A147&amp;" Corp",V$13),_xll.BDP($A147&amp;" Corp",V$14)))</f>
        <v>#NAME?</v>
      </c>
      <c r="W147" s="30" t="e">
        <f ca="1">IF($B147="","",IF($T147="VARIABLE",_xll.BDP($A147&amp;" Corp",W$13),_xll.BDP($A147&amp;" Corp",W$14)))</f>
        <v>#NAME?</v>
      </c>
      <c r="X147" s="30" t="e">
        <f ca="1">IF($B147="","",_xll.BDP($A147&amp;" Corp",X$14))</f>
        <v>#NAME?</v>
      </c>
      <c r="Y147" s="33" t="e">
        <f ca="1">IF($B147="","",_xll.BDP($A147&amp;" Corp",Y$14))</f>
        <v>#NAME?</v>
      </c>
      <c r="Z147" s="52" t="e">
        <f ca="1">IF($B147="","",_xll.BDP($A147&amp;" Corp",Z$14))</f>
        <v>#NAME?</v>
      </c>
      <c r="AA147" s="53" t="e">
        <f ca="1">IF($B147="","",_xll.BDP($A147&amp;" Corp",AA$14))</f>
        <v>#NAME?</v>
      </c>
      <c r="AB147" s="54" t="e">
        <f ca="1">IF($B147="","",_xll.BDP($A147&amp;" Corp",AB$14))</f>
        <v>#NAME?</v>
      </c>
      <c r="AC147" s="54" t="e">
        <f ca="1">IF($B147="","",_xll.BDP($A147&amp;" Corp",AC$14))</f>
        <v>#NAME?</v>
      </c>
      <c r="AD147" s="55" t="e">
        <f ca="1">IF($B147="","",_xll.BDP($A147&amp;" Corp",AD$14))</f>
        <v>#NAME?</v>
      </c>
      <c r="AE147" s="56" t="e">
        <f ca="1">IF($B147="","",_xll.BDP($A147&amp;" Corp",AE$14))</f>
        <v>#NAME?</v>
      </c>
      <c r="AF147" s="29" t="e">
        <f ca="1">IF($B147="","",_xll.BDP($A147&amp;" Corp",AF$14))</f>
        <v>#NAME?</v>
      </c>
      <c r="AG147" s="33" t="e">
        <f ca="1">IF($B147="","",_xll.BDP($A147&amp;" Corp",AG$14))</f>
        <v>#NAME?</v>
      </c>
      <c r="AH147" s="30" t="e">
        <f ca="1">IF($B147="","",_xll.BDP($A147&amp;" Corp",AH$14))</f>
        <v>#NAME?</v>
      </c>
      <c r="AI147" s="30" t="e">
        <f ca="1">IF($B147="","",_xll.BDP($A147&amp;" Corp",AI$14))</f>
        <v>#NAME?</v>
      </c>
      <c r="AJ147" s="30" t="e">
        <f ca="1">IF($B147="","",_xll.BDP($A147&amp;" Corp",AJ$14))</f>
        <v>#NAME?</v>
      </c>
      <c r="AK147" s="11" t="e">
        <f ca="1">IF($B147="","",_xll.BDP($A147&amp;" Corp",AK$14))</f>
        <v>#NAME?</v>
      </c>
      <c r="AL147" s="11" t="e">
        <f ca="1">IF($B147="","",_xll.BDP($A147&amp;" Corp",AL$14))</f>
        <v>#NAME?</v>
      </c>
      <c r="AM147" s="11" t="e">
        <f t="shared" ca="1" si="27"/>
        <v>#NAME?</v>
      </c>
      <c r="AN147" s="57" t="e">
        <f t="shared" ca="1" si="21"/>
        <v>#NAME?</v>
      </c>
    </row>
    <row r="148" spans="1:40" x14ac:dyDescent="0.3">
      <c r="A148" s="67" t="str">
        <f t="shared" si="22"/>
        <v>XS2306601746</v>
      </c>
      <c r="B148" s="68" t="s">
        <v>286</v>
      </c>
      <c r="C148" s="75">
        <v>9414</v>
      </c>
      <c r="D148" s="75">
        <v>128</v>
      </c>
      <c r="E148" s="75">
        <v>300000</v>
      </c>
      <c r="F148" s="69">
        <v>0.21530384</v>
      </c>
      <c r="G148" s="70">
        <v>300511</v>
      </c>
      <c r="H148" s="67">
        <f t="shared" si="23"/>
        <v>300000</v>
      </c>
      <c r="I148" s="67">
        <f t="shared" si="24"/>
        <v>0.21530384</v>
      </c>
      <c r="J148" s="67">
        <f t="shared" si="25"/>
        <v>300511</v>
      </c>
      <c r="K148" s="71">
        <f t="shared" si="26"/>
        <v>100.17033333333333</v>
      </c>
      <c r="L148" s="29" t="e">
        <f ca="1">IF(B148="","",_xll.BDP(A148&amp;" Corp","INTERVAL_HIGH","START_DATE_OVERRIDE",TEXT($L$12,"AAAAMMDD"),"END_DATE_OVERRIDE",TEXT($L$13,"AAAAMMDD"),"MARKET_DATA_OVERRIDE",$L$14))</f>
        <v>#NAME?</v>
      </c>
      <c r="M148" s="30" t="e">
        <f ca="1">IF(B148="","",_xll.BDP($A148&amp;" Corp","INTERVAL_LOW","START_DATE_OVERRIDE",TEXT($L$12,"AAAAMMDD"),"END_DATE_OVERRIDE",TEXT($L$13,"AAAAMMDD"),"MARKET_DATA_OVERRIDE",$L$14))</f>
        <v>#NAME?</v>
      </c>
      <c r="N148" s="31" t="e">
        <f ca="1">IF($B148="","",_xll.BDP($A148&amp;" Corp",N$15))</f>
        <v>#NAME?</v>
      </c>
      <c r="O148" s="32" t="e">
        <f ca="1">IF($B148="","",_xll.BDP($A148&amp;" Corp",O$15))</f>
        <v>#NAME?</v>
      </c>
      <c r="P148" s="32" t="e">
        <f ca="1">IF($B148="","",_xll.BDP($A148&amp;" Corp",P$15))</f>
        <v>#NAME?</v>
      </c>
      <c r="Q148" s="30" t="e">
        <f ca="1">IF($B148="","",_xll.BDP($A148&amp;" Corp",Q$14))</f>
        <v>#NAME?</v>
      </c>
      <c r="R148" s="30" t="e">
        <f ca="1">IF($B148="","",_xll.BDP($A148&amp;" Corp",R$14))</f>
        <v>#NAME?</v>
      </c>
      <c r="S148" s="50" t="e">
        <f ca="1">IF($B148="","",_xll.BDP($A148&amp;" Corp",S$14))</f>
        <v>#NAME?</v>
      </c>
      <c r="T148" s="30" t="e">
        <f ca="1">IF($B148="","",_xll.BDP($A148&amp;" Corp",T$14))</f>
        <v>#NAME?</v>
      </c>
      <c r="U148" s="30" t="e">
        <f ca="1">IF($B148="","",_xll.BDP($A148&amp;" Corp",U$14))</f>
        <v>#NAME?</v>
      </c>
      <c r="V148" s="51" t="e">
        <f ca="1">IF($B148="","",IF($T148="VARIABLE",_xll.BDP($A148&amp;" Corp",V$13),_xll.BDP($A148&amp;" Corp",V$14)))</f>
        <v>#NAME?</v>
      </c>
      <c r="W148" s="30" t="e">
        <f ca="1">IF($B148="","",IF($T148="VARIABLE",_xll.BDP($A148&amp;" Corp",W$13),_xll.BDP($A148&amp;" Corp",W$14)))</f>
        <v>#NAME?</v>
      </c>
      <c r="X148" s="30" t="e">
        <f ca="1">IF($B148="","",_xll.BDP($A148&amp;" Corp",X$14))</f>
        <v>#NAME?</v>
      </c>
      <c r="Y148" s="33" t="e">
        <f ca="1">IF($B148="","",_xll.BDP($A148&amp;" Corp",Y$14))</f>
        <v>#NAME?</v>
      </c>
      <c r="Z148" s="52" t="e">
        <f ca="1">IF($B148="","",_xll.BDP($A148&amp;" Corp",Z$14))</f>
        <v>#NAME?</v>
      </c>
      <c r="AA148" s="53" t="e">
        <f ca="1">IF($B148="","",_xll.BDP($A148&amp;" Corp",AA$14))</f>
        <v>#NAME?</v>
      </c>
      <c r="AB148" s="54" t="e">
        <f ca="1">IF($B148="","",_xll.BDP($A148&amp;" Corp",AB$14))</f>
        <v>#NAME?</v>
      </c>
      <c r="AC148" s="54" t="e">
        <f ca="1">IF($B148="","",_xll.BDP($A148&amp;" Corp",AC$14))</f>
        <v>#NAME?</v>
      </c>
      <c r="AD148" s="55" t="e">
        <f ca="1">IF($B148="","",_xll.BDP($A148&amp;" Corp",AD$14))</f>
        <v>#NAME?</v>
      </c>
      <c r="AE148" s="56" t="e">
        <f ca="1">IF($B148="","",_xll.BDP($A148&amp;" Corp",AE$14))</f>
        <v>#NAME?</v>
      </c>
      <c r="AF148" s="29" t="e">
        <f ca="1">IF($B148="","",_xll.BDP($A148&amp;" Corp",AF$14))</f>
        <v>#NAME?</v>
      </c>
      <c r="AG148" s="33" t="e">
        <f ca="1">IF($B148="","",_xll.BDP($A148&amp;" Corp",AG$14))</f>
        <v>#NAME?</v>
      </c>
      <c r="AH148" s="30" t="e">
        <f ca="1">IF($B148="","",_xll.BDP($A148&amp;" Corp",AH$14))</f>
        <v>#NAME?</v>
      </c>
      <c r="AI148" s="30" t="e">
        <f ca="1">IF($B148="","",_xll.BDP($A148&amp;" Corp",AI$14))</f>
        <v>#NAME?</v>
      </c>
      <c r="AJ148" s="30" t="e">
        <f ca="1">IF($B148="","",_xll.BDP($A148&amp;" Corp",AJ$14))</f>
        <v>#NAME?</v>
      </c>
      <c r="AK148" s="11" t="e">
        <f ca="1">IF($B148="","",_xll.BDP($A148&amp;" Corp",AK$14))</f>
        <v>#NAME?</v>
      </c>
      <c r="AL148" s="11" t="e">
        <f ca="1">IF($B148="","",_xll.BDP($A148&amp;" Corp",AL$14))</f>
        <v>#NAME?</v>
      </c>
      <c r="AM148" s="11" t="e">
        <f t="shared" ca="1" si="27"/>
        <v>#NAME?</v>
      </c>
      <c r="AN148" s="57" t="e">
        <f t="shared" ca="1" si="21"/>
        <v>#NAME?</v>
      </c>
    </row>
    <row r="149" spans="1:40" x14ac:dyDescent="0.3">
      <c r="A149" s="67" t="str">
        <f t="shared" si="22"/>
        <v>XS2306621934</v>
      </c>
      <c r="B149" s="68" t="s">
        <v>403</v>
      </c>
      <c r="C149" s="75">
        <v>8972</v>
      </c>
      <c r="D149" s="75">
        <v>128</v>
      </c>
      <c r="E149" s="75">
        <v>200000</v>
      </c>
      <c r="F149" s="69">
        <v>0.15003321</v>
      </c>
      <c r="G149" s="70">
        <v>199132</v>
      </c>
      <c r="H149" s="67">
        <f t="shared" si="23"/>
        <v>200000</v>
      </c>
      <c r="I149" s="67">
        <f t="shared" si="24"/>
        <v>0.15003321</v>
      </c>
      <c r="J149" s="67">
        <f t="shared" si="25"/>
        <v>199132</v>
      </c>
      <c r="K149" s="71">
        <f t="shared" si="26"/>
        <v>99.566000000000003</v>
      </c>
      <c r="L149" s="29" t="e">
        <f ca="1">IF(B149="","",_xll.BDP(A149&amp;" Corp","INTERVAL_HIGH","START_DATE_OVERRIDE",TEXT($L$12,"AAAAMMDD"),"END_DATE_OVERRIDE",TEXT($L$13,"AAAAMMDD"),"MARKET_DATA_OVERRIDE",$L$14))</f>
        <v>#NAME?</v>
      </c>
      <c r="M149" s="30" t="e">
        <f ca="1">IF(B149="","",_xll.BDP($A149&amp;" Corp","INTERVAL_LOW","START_DATE_OVERRIDE",TEXT($L$12,"AAAAMMDD"),"END_DATE_OVERRIDE",TEXT($L$13,"AAAAMMDD"),"MARKET_DATA_OVERRIDE",$L$14))</f>
        <v>#NAME?</v>
      </c>
      <c r="N149" s="31" t="e">
        <f ca="1">IF($B149="","",_xll.BDP($A149&amp;" Corp",N$15))</f>
        <v>#NAME?</v>
      </c>
      <c r="O149" s="32" t="e">
        <f ca="1">IF($B149="","",_xll.BDP($A149&amp;" Corp",O$15))</f>
        <v>#NAME?</v>
      </c>
      <c r="P149" s="32" t="e">
        <f ca="1">IF($B149="","",_xll.BDP($A149&amp;" Corp",P$15))</f>
        <v>#NAME?</v>
      </c>
      <c r="Q149" s="30" t="e">
        <f ca="1">IF($B149="","",_xll.BDP($A149&amp;" Corp",Q$14))</f>
        <v>#NAME?</v>
      </c>
      <c r="R149" s="30" t="e">
        <f ca="1">IF($B149="","",_xll.BDP($A149&amp;" Corp",R$14))</f>
        <v>#NAME?</v>
      </c>
      <c r="S149" s="50" t="e">
        <f ca="1">IF($B149="","",_xll.BDP($A149&amp;" Corp",S$14))</f>
        <v>#NAME?</v>
      </c>
      <c r="T149" s="30" t="e">
        <f ca="1">IF($B149="","",_xll.BDP($A149&amp;" Corp",T$14))</f>
        <v>#NAME?</v>
      </c>
      <c r="U149" s="30" t="e">
        <f ca="1">IF($B149="","",_xll.BDP($A149&amp;" Corp",U$14))</f>
        <v>#NAME?</v>
      </c>
      <c r="V149" s="51" t="e">
        <f ca="1">IF($B149="","",IF($T149="VARIABLE",_xll.BDP($A149&amp;" Corp",V$13),_xll.BDP($A149&amp;" Corp",V$14)))</f>
        <v>#NAME?</v>
      </c>
      <c r="W149" s="30" t="e">
        <f ca="1">IF($B149="","",IF($T149="VARIABLE",_xll.BDP($A149&amp;" Corp",W$13),_xll.BDP($A149&amp;" Corp",W$14)))</f>
        <v>#NAME?</v>
      </c>
      <c r="X149" s="30" t="e">
        <f ca="1">IF($B149="","",_xll.BDP($A149&amp;" Corp",X$14))</f>
        <v>#NAME?</v>
      </c>
      <c r="Y149" s="33" t="e">
        <f ca="1">IF($B149="","",_xll.BDP($A149&amp;" Corp",Y$14))</f>
        <v>#NAME?</v>
      </c>
      <c r="Z149" s="52" t="e">
        <f ca="1">IF($B149="","",_xll.BDP($A149&amp;" Corp",Z$14))</f>
        <v>#NAME?</v>
      </c>
      <c r="AA149" s="53" t="e">
        <f ca="1">IF($B149="","",_xll.BDP($A149&amp;" Corp",AA$14))</f>
        <v>#NAME?</v>
      </c>
      <c r="AB149" s="54" t="e">
        <f ca="1">IF($B149="","",_xll.BDP($A149&amp;" Corp",AB$14))</f>
        <v>#NAME?</v>
      </c>
      <c r="AC149" s="54" t="e">
        <f ca="1">IF($B149="","",_xll.BDP($A149&amp;" Corp",AC$14))</f>
        <v>#NAME?</v>
      </c>
      <c r="AD149" s="55" t="e">
        <f ca="1">IF($B149="","",_xll.BDP($A149&amp;" Corp",AD$14))</f>
        <v>#NAME?</v>
      </c>
      <c r="AE149" s="56" t="e">
        <f ca="1">IF($B149="","",_xll.BDP($A149&amp;" Corp",AE$14))</f>
        <v>#NAME?</v>
      </c>
      <c r="AF149" s="29" t="e">
        <f ca="1">IF($B149="","",_xll.BDP($A149&amp;" Corp",AF$14))</f>
        <v>#NAME?</v>
      </c>
      <c r="AG149" s="33" t="e">
        <f ca="1">IF($B149="","",_xll.BDP($A149&amp;" Corp",AG$14))</f>
        <v>#NAME?</v>
      </c>
      <c r="AH149" s="30" t="e">
        <f ca="1">IF($B149="","",_xll.BDP($A149&amp;" Corp",AH$14))</f>
        <v>#NAME?</v>
      </c>
      <c r="AI149" s="30" t="e">
        <f ca="1">IF($B149="","",_xll.BDP($A149&amp;" Corp",AI$14))</f>
        <v>#NAME?</v>
      </c>
      <c r="AJ149" s="30" t="e">
        <f ca="1">IF($B149="","",_xll.BDP($A149&amp;" Corp",AJ$14))</f>
        <v>#NAME?</v>
      </c>
      <c r="AK149" s="11" t="e">
        <f ca="1">IF($B149="","",_xll.BDP($A149&amp;" Corp",AK$14))</f>
        <v>#NAME?</v>
      </c>
      <c r="AL149" s="11" t="e">
        <f ca="1">IF($B149="","",_xll.BDP($A149&amp;" Corp",AL$14))</f>
        <v>#NAME?</v>
      </c>
      <c r="AM149" s="11" t="e">
        <f t="shared" ca="1" si="27"/>
        <v>#NAME?</v>
      </c>
      <c r="AN149" s="57" t="e">
        <f t="shared" ca="1" si="21"/>
        <v>#NAME?</v>
      </c>
    </row>
    <row r="150" spans="1:40" x14ac:dyDescent="0.3">
      <c r="A150" s="67" t="str">
        <f t="shared" si="22"/>
        <v>XS2310118893</v>
      </c>
      <c r="B150" s="68" t="s">
        <v>543</v>
      </c>
      <c r="C150" s="75">
        <v>9001</v>
      </c>
      <c r="D150" s="75">
        <v>128</v>
      </c>
      <c r="E150" s="75">
        <v>100000</v>
      </c>
      <c r="F150" s="69">
        <v>6.6679669999999996E-2</v>
      </c>
      <c r="G150" s="70">
        <v>97446</v>
      </c>
      <c r="H150" s="67">
        <f t="shared" si="23"/>
        <v>100000</v>
      </c>
      <c r="I150" s="67">
        <f t="shared" si="24"/>
        <v>6.6679669999999996E-2</v>
      </c>
      <c r="J150" s="67">
        <f t="shared" si="25"/>
        <v>97446</v>
      </c>
      <c r="K150" s="71">
        <f t="shared" si="26"/>
        <v>97.445999999999998</v>
      </c>
      <c r="L150" s="29" t="e">
        <f ca="1">IF(B150="","",_xll.BDP(A150&amp;" Corp","INTERVAL_HIGH","START_DATE_OVERRIDE",TEXT($L$12,"AAAAMMDD"),"END_DATE_OVERRIDE",TEXT($L$13,"AAAAMMDD"),"MARKET_DATA_OVERRIDE",$L$14))</f>
        <v>#NAME?</v>
      </c>
      <c r="M150" s="30" t="e">
        <f ca="1">IF(B150="","",_xll.BDP($A150&amp;" Corp","INTERVAL_LOW","START_DATE_OVERRIDE",TEXT($L$12,"AAAAMMDD"),"END_DATE_OVERRIDE",TEXT($L$13,"AAAAMMDD"),"MARKET_DATA_OVERRIDE",$L$14))</f>
        <v>#NAME?</v>
      </c>
      <c r="N150" s="31" t="e">
        <f ca="1">IF($B150="","",_xll.BDP($A150&amp;" Corp",N$15))</f>
        <v>#NAME?</v>
      </c>
      <c r="O150" s="32" t="e">
        <f ca="1">IF($B150="","",_xll.BDP($A150&amp;" Corp",O$15))</f>
        <v>#NAME?</v>
      </c>
      <c r="P150" s="32" t="e">
        <f ca="1">IF($B150="","",_xll.BDP($A150&amp;" Corp",P$15))</f>
        <v>#NAME?</v>
      </c>
      <c r="Q150" s="30" t="e">
        <f ca="1">IF($B150="","",_xll.BDP($A150&amp;" Corp",Q$14))</f>
        <v>#NAME?</v>
      </c>
      <c r="R150" s="30" t="e">
        <f ca="1">IF($B150="","",_xll.BDP($A150&amp;" Corp",R$14))</f>
        <v>#NAME?</v>
      </c>
      <c r="S150" s="50" t="e">
        <f ca="1">IF($B150="","",_xll.BDP($A150&amp;" Corp",S$14))</f>
        <v>#NAME?</v>
      </c>
      <c r="T150" s="30" t="e">
        <f ca="1">IF($B150="","",_xll.BDP($A150&amp;" Corp",T$14))</f>
        <v>#NAME?</v>
      </c>
      <c r="U150" s="30" t="e">
        <f ca="1">IF($B150="","",_xll.BDP($A150&amp;" Corp",U$14))</f>
        <v>#NAME?</v>
      </c>
      <c r="V150" s="51" t="e">
        <f ca="1">IF($B150="","",IF($T150="VARIABLE",_xll.BDP($A150&amp;" Corp",V$13),_xll.BDP($A150&amp;" Corp",V$14)))</f>
        <v>#NAME?</v>
      </c>
      <c r="W150" s="30" t="e">
        <f ca="1">IF($B150="","",IF($T150="VARIABLE",_xll.BDP($A150&amp;" Corp",W$13),_xll.BDP($A150&amp;" Corp",W$14)))</f>
        <v>#NAME?</v>
      </c>
      <c r="X150" s="30" t="e">
        <f ca="1">IF($B150="","",_xll.BDP($A150&amp;" Corp",X$14))</f>
        <v>#NAME?</v>
      </c>
      <c r="Y150" s="33" t="e">
        <f ca="1">IF($B150="","",_xll.BDP($A150&amp;" Corp",Y$14))</f>
        <v>#NAME?</v>
      </c>
      <c r="Z150" s="52" t="e">
        <f ca="1">IF($B150="","",_xll.BDP($A150&amp;" Corp",Z$14))</f>
        <v>#NAME?</v>
      </c>
      <c r="AA150" s="53" t="e">
        <f ca="1">IF($B150="","",_xll.BDP($A150&amp;" Corp",AA$14))</f>
        <v>#NAME?</v>
      </c>
      <c r="AB150" s="54" t="e">
        <f ca="1">IF($B150="","",_xll.BDP($A150&amp;" Corp",AB$14))</f>
        <v>#NAME?</v>
      </c>
      <c r="AC150" s="54" t="e">
        <f ca="1">IF($B150="","",_xll.BDP($A150&amp;" Corp",AC$14))</f>
        <v>#NAME?</v>
      </c>
      <c r="AD150" s="55" t="e">
        <f ca="1">IF($B150="","",_xll.BDP($A150&amp;" Corp",AD$14))</f>
        <v>#NAME?</v>
      </c>
      <c r="AE150" s="56" t="e">
        <f ca="1">IF($B150="","",_xll.BDP($A150&amp;" Corp",AE$14))</f>
        <v>#NAME?</v>
      </c>
      <c r="AF150" s="29" t="e">
        <f ca="1">IF($B150="","",_xll.BDP($A150&amp;" Corp",AF$14))</f>
        <v>#NAME?</v>
      </c>
      <c r="AG150" s="33" t="e">
        <f ca="1">IF($B150="","",_xll.BDP($A150&amp;" Corp",AG$14))</f>
        <v>#NAME?</v>
      </c>
      <c r="AH150" s="30" t="e">
        <f ca="1">IF($B150="","",_xll.BDP($A150&amp;" Corp",AH$14))</f>
        <v>#NAME?</v>
      </c>
      <c r="AI150" s="30" t="e">
        <f ca="1">IF($B150="","",_xll.BDP($A150&amp;" Corp",AI$14))</f>
        <v>#NAME?</v>
      </c>
      <c r="AJ150" s="30" t="e">
        <f ca="1">IF($B150="","",_xll.BDP($A150&amp;" Corp",AJ$14))</f>
        <v>#NAME?</v>
      </c>
      <c r="AK150" s="11" t="e">
        <f ca="1">IF($B150="","",_xll.BDP($A150&amp;" Corp",AK$14))</f>
        <v>#NAME?</v>
      </c>
      <c r="AL150" s="11" t="e">
        <f ca="1">IF($B150="","",_xll.BDP($A150&amp;" Corp",AL$14))</f>
        <v>#NAME?</v>
      </c>
      <c r="AM150" s="11" t="e">
        <f t="shared" ca="1" si="27"/>
        <v>#NAME?</v>
      </c>
      <c r="AN150" s="57" t="e">
        <f t="shared" ca="1" si="21"/>
        <v>#NAME?</v>
      </c>
    </row>
    <row r="151" spans="1:40" x14ac:dyDescent="0.3">
      <c r="A151" s="67" t="str">
        <f t="shared" si="22"/>
        <v>XS2321651031</v>
      </c>
      <c r="B151" s="68" t="s">
        <v>477</v>
      </c>
      <c r="C151" s="75">
        <v>9070</v>
      </c>
      <c r="D151" s="75">
        <v>128</v>
      </c>
      <c r="E151" s="75">
        <v>100000</v>
      </c>
      <c r="F151" s="69">
        <v>7.6230740000000005E-2</v>
      </c>
      <c r="G151" s="70">
        <v>104191</v>
      </c>
      <c r="H151" s="67">
        <f t="shared" si="23"/>
        <v>100000</v>
      </c>
      <c r="I151" s="67">
        <f t="shared" si="24"/>
        <v>7.6230740000000005E-2</v>
      </c>
      <c r="J151" s="67">
        <f t="shared" si="25"/>
        <v>104191</v>
      </c>
      <c r="K151" s="71">
        <f t="shared" si="26"/>
        <v>104.191</v>
      </c>
      <c r="L151" s="29" t="e">
        <f ca="1">IF(B151="","",_xll.BDP(A151&amp;" Corp","INTERVAL_HIGH","START_DATE_OVERRIDE",TEXT($L$12,"AAAAMMDD"),"END_DATE_OVERRIDE",TEXT($L$13,"AAAAMMDD"),"MARKET_DATA_OVERRIDE",$L$14))</f>
        <v>#NAME?</v>
      </c>
      <c r="M151" s="30" t="e">
        <f ca="1">IF(B151="","",_xll.BDP($A151&amp;" Corp","INTERVAL_LOW","START_DATE_OVERRIDE",TEXT($L$12,"AAAAMMDD"),"END_DATE_OVERRIDE",TEXT($L$13,"AAAAMMDD"),"MARKET_DATA_OVERRIDE",$L$14))</f>
        <v>#NAME?</v>
      </c>
      <c r="N151" s="31" t="e">
        <f ca="1">IF($B151="","",_xll.BDP($A151&amp;" Corp",N$15))</f>
        <v>#NAME?</v>
      </c>
      <c r="O151" s="32" t="e">
        <f ca="1">IF($B151="","",_xll.BDP($A151&amp;" Corp",O$15))</f>
        <v>#NAME?</v>
      </c>
      <c r="P151" s="32" t="e">
        <f ca="1">IF($B151="","",_xll.BDP($A151&amp;" Corp",P$15))</f>
        <v>#NAME?</v>
      </c>
      <c r="Q151" s="30" t="e">
        <f ca="1">IF($B151="","",_xll.BDP($A151&amp;" Corp",Q$14))</f>
        <v>#NAME?</v>
      </c>
      <c r="R151" s="30" t="e">
        <f ca="1">IF($B151="","",_xll.BDP($A151&amp;" Corp",R$14))</f>
        <v>#NAME?</v>
      </c>
      <c r="S151" s="50" t="e">
        <f ca="1">IF($B151="","",_xll.BDP($A151&amp;" Corp",S$14))</f>
        <v>#NAME?</v>
      </c>
      <c r="T151" s="30" t="e">
        <f ca="1">IF($B151="","",_xll.BDP($A151&amp;" Corp",T$14))</f>
        <v>#NAME?</v>
      </c>
      <c r="U151" s="30" t="e">
        <f ca="1">IF($B151="","",_xll.BDP($A151&amp;" Corp",U$14))</f>
        <v>#NAME?</v>
      </c>
      <c r="V151" s="51" t="e">
        <f ca="1">IF($B151="","",IF($T151="VARIABLE",_xll.BDP($A151&amp;" Corp",V$13),_xll.BDP($A151&amp;" Corp",V$14)))</f>
        <v>#NAME?</v>
      </c>
      <c r="W151" s="30" t="e">
        <f ca="1">IF($B151="","",IF($T151="VARIABLE",_xll.BDP($A151&amp;" Corp",W$13),_xll.BDP($A151&amp;" Corp",W$14)))</f>
        <v>#NAME?</v>
      </c>
      <c r="X151" s="30" t="e">
        <f ca="1">IF($B151="","",_xll.BDP($A151&amp;" Corp",X$14))</f>
        <v>#NAME?</v>
      </c>
      <c r="Y151" s="33" t="e">
        <f ca="1">IF($B151="","",_xll.BDP($A151&amp;" Corp",Y$14))</f>
        <v>#NAME?</v>
      </c>
      <c r="Z151" s="52" t="e">
        <f ca="1">IF($B151="","",_xll.BDP($A151&amp;" Corp",Z$14))</f>
        <v>#NAME?</v>
      </c>
      <c r="AA151" s="53" t="e">
        <f ca="1">IF($B151="","",_xll.BDP($A151&amp;" Corp",AA$14))</f>
        <v>#NAME?</v>
      </c>
      <c r="AB151" s="54" t="e">
        <f ca="1">IF($B151="","",_xll.BDP($A151&amp;" Corp",AB$14))</f>
        <v>#NAME?</v>
      </c>
      <c r="AC151" s="54" t="e">
        <f ca="1">IF($B151="","",_xll.BDP($A151&amp;" Corp",AC$14))</f>
        <v>#NAME?</v>
      </c>
      <c r="AD151" s="55" t="e">
        <f ca="1">IF($B151="","",_xll.BDP($A151&amp;" Corp",AD$14))</f>
        <v>#NAME?</v>
      </c>
      <c r="AE151" s="56" t="e">
        <f ca="1">IF($B151="","",_xll.BDP($A151&amp;" Corp",AE$14))</f>
        <v>#NAME?</v>
      </c>
      <c r="AF151" s="29" t="e">
        <f ca="1">IF($B151="","",_xll.BDP($A151&amp;" Corp",AF$14))</f>
        <v>#NAME?</v>
      </c>
      <c r="AG151" s="33" t="e">
        <f ca="1">IF($B151="","",_xll.BDP($A151&amp;" Corp",AG$14))</f>
        <v>#NAME?</v>
      </c>
      <c r="AH151" s="30" t="e">
        <f ca="1">IF($B151="","",_xll.BDP($A151&amp;" Corp",AH$14))</f>
        <v>#NAME?</v>
      </c>
      <c r="AI151" s="30" t="e">
        <f ca="1">IF($B151="","",_xll.BDP($A151&amp;" Corp",AI$14))</f>
        <v>#NAME?</v>
      </c>
      <c r="AJ151" s="30" t="e">
        <f ca="1">IF($B151="","",_xll.BDP($A151&amp;" Corp",AJ$14))</f>
        <v>#NAME?</v>
      </c>
      <c r="AK151" s="11" t="e">
        <f ca="1">IF($B151="","",_xll.BDP($A151&amp;" Corp",AK$14))</f>
        <v>#NAME?</v>
      </c>
      <c r="AL151" s="11" t="e">
        <f ca="1">IF($B151="","",_xll.BDP($A151&amp;" Corp",AL$14))</f>
        <v>#NAME?</v>
      </c>
      <c r="AM151" s="11" t="e">
        <f t="shared" ca="1" si="27"/>
        <v>#NAME?</v>
      </c>
      <c r="AN151" s="57" t="e">
        <f t="shared" ca="1" si="21"/>
        <v>#NAME?</v>
      </c>
    </row>
    <row r="152" spans="1:40" x14ac:dyDescent="0.3">
      <c r="A152" s="67" t="str">
        <f t="shared" si="22"/>
        <v>XS2322423455</v>
      </c>
      <c r="B152" s="68" t="s">
        <v>288</v>
      </c>
      <c r="C152" s="75">
        <v>9072</v>
      </c>
      <c r="D152" s="75">
        <v>128</v>
      </c>
      <c r="E152" s="75">
        <v>300000</v>
      </c>
      <c r="F152" s="69">
        <v>0.23763369000000001</v>
      </c>
      <c r="G152" s="70">
        <v>301255.5</v>
      </c>
      <c r="H152" s="67">
        <f t="shared" si="23"/>
        <v>300000</v>
      </c>
      <c r="I152" s="67">
        <f t="shared" si="24"/>
        <v>0.23763369000000001</v>
      </c>
      <c r="J152" s="67">
        <f t="shared" si="25"/>
        <v>301255.5</v>
      </c>
      <c r="K152" s="71">
        <f t="shared" si="26"/>
        <v>100.41849999999999</v>
      </c>
      <c r="L152" s="29" t="e">
        <f ca="1">IF(B152="","",_xll.BDP(A152&amp;" Corp","INTERVAL_HIGH","START_DATE_OVERRIDE",TEXT($L$12,"AAAAMMDD"),"END_DATE_OVERRIDE",TEXT($L$13,"AAAAMMDD"),"MARKET_DATA_OVERRIDE",$L$14))</f>
        <v>#NAME?</v>
      </c>
      <c r="M152" s="30" t="e">
        <f ca="1">IF(B152="","",_xll.BDP($A152&amp;" Corp","INTERVAL_LOW","START_DATE_OVERRIDE",TEXT($L$12,"AAAAMMDD"),"END_DATE_OVERRIDE",TEXT($L$13,"AAAAMMDD"),"MARKET_DATA_OVERRIDE",$L$14))</f>
        <v>#NAME?</v>
      </c>
      <c r="N152" s="31" t="e">
        <f ca="1">IF($B152="","",_xll.BDP($A152&amp;" Corp",N$15))</f>
        <v>#NAME?</v>
      </c>
      <c r="O152" s="32" t="e">
        <f ca="1">IF($B152="","",_xll.BDP($A152&amp;" Corp",O$15))</f>
        <v>#NAME?</v>
      </c>
      <c r="P152" s="32" t="e">
        <f ca="1">IF($B152="","",_xll.BDP($A152&amp;" Corp",P$15))</f>
        <v>#NAME?</v>
      </c>
      <c r="Q152" s="30" t="e">
        <f ca="1">IF($B152="","",_xll.BDP($A152&amp;" Corp",Q$14))</f>
        <v>#NAME?</v>
      </c>
      <c r="R152" s="30" t="e">
        <f ca="1">IF($B152="","",_xll.BDP($A152&amp;" Corp",R$14))</f>
        <v>#NAME?</v>
      </c>
      <c r="S152" s="50" t="e">
        <f ca="1">IF($B152="","",_xll.BDP($A152&amp;" Corp",S$14))</f>
        <v>#NAME?</v>
      </c>
      <c r="T152" s="30" t="e">
        <f ca="1">IF($B152="","",_xll.BDP($A152&amp;" Corp",T$14))</f>
        <v>#NAME?</v>
      </c>
      <c r="U152" s="30" t="e">
        <f ca="1">IF($B152="","",_xll.BDP($A152&amp;" Corp",U$14))</f>
        <v>#NAME?</v>
      </c>
      <c r="V152" s="51" t="e">
        <f ca="1">IF($B152="","",IF($T152="VARIABLE",_xll.BDP($A152&amp;" Corp",V$13),_xll.BDP($A152&amp;" Corp",V$14)))</f>
        <v>#NAME?</v>
      </c>
      <c r="W152" s="30" t="e">
        <f ca="1">IF($B152="","",IF($T152="VARIABLE",_xll.BDP($A152&amp;" Corp",W$13),_xll.BDP($A152&amp;" Corp",W$14)))</f>
        <v>#NAME?</v>
      </c>
      <c r="X152" s="30" t="e">
        <f ca="1">IF($B152="","",_xll.BDP($A152&amp;" Corp",X$14))</f>
        <v>#NAME?</v>
      </c>
      <c r="Y152" s="33" t="e">
        <f ca="1">IF($B152="","",_xll.BDP($A152&amp;" Corp",Y$14))</f>
        <v>#NAME?</v>
      </c>
      <c r="Z152" s="52" t="e">
        <f ca="1">IF($B152="","",_xll.BDP($A152&amp;" Corp",Z$14))</f>
        <v>#NAME?</v>
      </c>
      <c r="AA152" s="53" t="e">
        <f ca="1">IF($B152="","",_xll.BDP($A152&amp;" Corp",AA$14))</f>
        <v>#NAME?</v>
      </c>
      <c r="AB152" s="54" t="e">
        <f ca="1">IF($B152="","",_xll.BDP($A152&amp;" Corp",AB$14))</f>
        <v>#NAME?</v>
      </c>
      <c r="AC152" s="54" t="e">
        <f ca="1">IF($B152="","",_xll.BDP($A152&amp;" Corp",AC$14))</f>
        <v>#NAME?</v>
      </c>
      <c r="AD152" s="55" t="e">
        <f ca="1">IF($B152="","",_xll.BDP($A152&amp;" Corp",AD$14))</f>
        <v>#NAME?</v>
      </c>
      <c r="AE152" s="56" t="e">
        <f ca="1">IF($B152="","",_xll.BDP($A152&amp;" Corp",AE$14))</f>
        <v>#NAME?</v>
      </c>
      <c r="AF152" s="29" t="e">
        <f ca="1">IF($B152="","",_xll.BDP($A152&amp;" Corp",AF$14))</f>
        <v>#NAME?</v>
      </c>
      <c r="AG152" s="33" t="e">
        <f ca="1">IF($B152="","",_xll.BDP($A152&amp;" Corp",AG$14))</f>
        <v>#NAME?</v>
      </c>
      <c r="AH152" s="30" t="e">
        <f ca="1">IF($B152="","",_xll.BDP($A152&amp;" Corp",AH$14))</f>
        <v>#NAME?</v>
      </c>
      <c r="AI152" s="30" t="e">
        <f ca="1">IF($B152="","",_xll.BDP($A152&amp;" Corp",AI$14))</f>
        <v>#NAME?</v>
      </c>
      <c r="AJ152" s="30" t="e">
        <f ca="1">IF($B152="","",_xll.BDP($A152&amp;" Corp",AJ$14))</f>
        <v>#NAME?</v>
      </c>
      <c r="AK152" s="11" t="e">
        <f ca="1">IF($B152="","",_xll.BDP($A152&amp;" Corp",AK$14))</f>
        <v>#NAME?</v>
      </c>
      <c r="AL152" s="11" t="e">
        <f ca="1">IF($B152="","",_xll.BDP($A152&amp;" Corp",AL$14))</f>
        <v>#NAME?</v>
      </c>
      <c r="AM152" s="11" t="e">
        <f t="shared" ca="1" si="27"/>
        <v>#NAME?</v>
      </c>
      <c r="AN152" s="57" t="e">
        <f t="shared" ca="1" si="21"/>
        <v>#NAME?</v>
      </c>
    </row>
    <row r="153" spans="1:40" x14ac:dyDescent="0.3">
      <c r="A153" s="67" t="str">
        <f t="shared" si="22"/>
        <v>XS2322423539</v>
      </c>
      <c r="B153" s="68" t="s">
        <v>290</v>
      </c>
      <c r="C153" s="75">
        <v>9301</v>
      </c>
      <c r="D153" s="75">
        <v>128</v>
      </c>
      <c r="E153" s="75">
        <v>100000</v>
      </c>
      <c r="F153" s="69">
        <v>7.2032390000000002E-2</v>
      </c>
      <c r="G153" s="70">
        <v>100274</v>
      </c>
      <c r="H153" s="67">
        <f t="shared" si="23"/>
        <v>100000</v>
      </c>
      <c r="I153" s="67">
        <f t="shared" si="24"/>
        <v>7.2032390000000002E-2</v>
      </c>
      <c r="J153" s="67">
        <f t="shared" si="25"/>
        <v>100274</v>
      </c>
      <c r="K153" s="71">
        <f t="shared" si="26"/>
        <v>100.274</v>
      </c>
      <c r="L153" s="29" t="e">
        <f ca="1">IF(B153="","",_xll.BDP(A153&amp;" Corp","INTERVAL_HIGH","START_DATE_OVERRIDE",TEXT($L$12,"AAAAMMDD"),"END_DATE_OVERRIDE",TEXT($L$13,"AAAAMMDD"),"MARKET_DATA_OVERRIDE",$L$14))</f>
        <v>#NAME?</v>
      </c>
      <c r="M153" s="30" t="e">
        <f ca="1">IF(B153="","",_xll.BDP($A153&amp;" Corp","INTERVAL_LOW","START_DATE_OVERRIDE",TEXT($L$12,"AAAAMMDD"),"END_DATE_OVERRIDE",TEXT($L$13,"AAAAMMDD"),"MARKET_DATA_OVERRIDE",$L$14))</f>
        <v>#NAME?</v>
      </c>
      <c r="N153" s="31" t="e">
        <f ca="1">IF($B153="","",_xll.BDP($A153&amp;" Corp",N$15))</f>
        <v>#NAME?</v>
      </c>
      <c r="O153" s="32" t="e">
        <f ca="1">IF($B153="","",_xll.BDP($A153&amp;" Corp",O$15))</f>
        <v>#NAME?</v>
      </c>
      <c r="P153" s="32" t="e">
        <f ca="1">IF($B153="","",_xll.BDP($A153&amp;" Corp",P$15))</f>
        <v>#NAME?</v>
      </c>
      <c r="Q153" s="30" t="e">
        <f ca="1">IF($B153="","",_xll.BDP($A153&amp;" Corp",Q$14))</f>
        <v>#NAME?</v>
      </c>
      <c r="R153" s="30" t="e">
        <f ca="1">IF($B153="","",_xll.BDP($A153&amp;" Corp",R$14))</f>
        <v>#NAME?</v>
      </c>
      <c r="S153" s="50" t="e">
        <f ca="1">IF($B153="","",_xll.BDP($A153&amp;" Corp",S$14))</f>
        <v>#NAME?</v>
      </c>
      <c r="T153" s="30" t="e">
        <f ca="1">IF($B153="","",_xll.BDP($A153&amp;" Corp",T$14))</f>
        <v>#NAME?</v>
      </c>
      <c r="U153" s="30" t="e">
        <f ca="1">IF($B153="","",_xll.BDP($A153&amp;" Corp",U$14))</f>
        <v>#NAME?</v>
      </c>
      <c r="V153" s="51" t="e">
        <f ca="1">IF($B153="","",IF($T153="VARIABLE",_xll.BDP($A153&amp;" Corp",V$13),_xll.BDP($A153&amp;" Corp",V$14)))</f>
        <v>#NAME?</v>
      </c>
      <c r="W153" s="30" t="e">
        <f ca="1">IF($B153="","",IF($T153="VARIABLE",_xll.BDP($A153&amp;" Corp",W$13),_xll.BDP($A153&amp;" Corp",W$14)))</f>
        <v>#NAME?</v>
      </c>
      <c r="X153" s="30" t="e">
        <f ca="1">IF($B153="","",_xll.BDP($A153&amp;" Corp",X$14))</f>
        <v>#NAME?</v>
      </c>
      <c r="Y153" s="33" t="e">
        <f ca="1">IF($B153="","",_xll.BDP($A153&amp;" Corp",Y$14))</f>
        <v>#NAME?</v>
      </c>
      <c r="Z153" s="52" t="e">
        <f ca="1">IF($B153="","",_xll.BDP($A153&amp;" Corp",Z$14))</f>
        <v>#NAME?</v>
      </c>
      <c r="AA153" s="53" t="e">
        <f ca="1">IF($B153="","",_xll.BDP($A153&amp;" Corp",AA$14))</f>
        <v>#NAME?</v>
      </c>
      <c r="AB153" s="54" t="e">
        <f ca="1">IF($B153="","",_xll.BDP($A153&amp;" Corp",AB$14))</f>
        <v>#NAME?</v>
      </c>
      <c r="AC153" s="54" t="e">
        <f ca="1">IF($B153="","",_xll.BDP($A153&amp;" Corp",AC$14))</f>
        <v>#NAME?</v>
      </c>
      <c r="AD153" s="55" t="e">
        <f ca="1">IF($B153="","",_xll.BDP($A153&amp;" Corp",AD$14))</f>
        <v>#NAME?</v>
      </c>
      <c r="AE153" s="56" t="e">
        <f ca="1">IF($B153="","",_xll.BDP($A153&amp;" Corp",AE$14))</f>
        <v>#NAME?</v>
      </c>
      <c r="AF153" s="29" t="e">
        <f ca="1">IF($B153="","",_xll.BDP($A153&amp;" Corp",AF$14))</f>
        <v>#NAME?</v>
      </c>
      <c r="AG153" s="33" t="e">
        <f ca="1">IF($B153="","",_xll.BDP($A153&amp;" Corp",AG$14))</f>
        <v>#NAME?</v>
      </c>
      <c r="AH153" s="30" t="e">
        <f ca="1">IF($B153="","",_xll.BDP($A153&amp;" Corp",AH$14))</f>
        <v>#NAME?</v>
      </c>
      <c r="AI153" s="30" t="e">
        <f ca="1">IF($B153="","",_xll.BDP($A153&amp;" Corp",AI$14))</f>
        <v>#NAME?</v>
      </c>
      <c r="AJ153" s="30" t="e">
        <f ca="1">IF($B153="","",_xll.BDP($A153&amp;" Corp",AJ$14))</f>
        <v>#NAME?</v>
      </c>
      <c r="AK153" s="11" t="e">
        <f ca="1">IF($B153="","",_xll.BDP($A153&amp;" Corp",AK$14))</f>
        <v>#NAME?</v>
      </c>
      <c r="AL153" s="11" t="e">
        <f ca="1">IF($B153="","",_xll.BDP($A153&amp;" Corp",AL$14))</f>
        <v>#NAME?</v>
      </c>
      <c r="AM153" s="11" t="e">
        <f t="shared" ca="1" si="27"/>
        <v>#NAME?</v>
      </c>
      <c r="AN153" s="57" t="e">
        <f t="shared" ca="1" si="21"/>
        <v>#NAME?</v>
      </c>
    </row>
    <row r="154" spans="1:40" x14ac:dyDescent="0.3">
      <c r="A154" s="67" t="str">
        <f t="shared" si="22"/>
        <v>XS2333301674</v>
      </c>
      <c r="B154" s="68" t="s">
        <v>563</v>
      </c>
      <c r="C154" s="75">
        <v>9136</v>
      </c>
      <c r="D154" s="75">
        <v>128</v>
      </c>
      <c r="E154" s="75">
        <v>900000</v>
      </c>
      <c r="F154" s="69">
        <v>0.58663681000000001</v>
      </c>
      <c r="G154" s="70">
        <v>918138</v>
      </c>
      <c r="H154" s="67">
        <f t="shared" si="23"/>
        <v>900000</v>
      </c>
      <c r="I154" s="67">
        <f t="shared" si="24"/>
        <v>0.58663681000000001</v>
      </c>
      <c r="J154" s="67">
        <f t="shared" si="25"/>
        <v>918138</v>
      </c>
      <c r="K154" s="71">
        <f t="shared" si="26"/>
        <v>102.01533333333333</v>
      </c>
      <c r="L154" s="29" t="e">
        <f ca="1">IF(B154="","",_xll.BDP(A154&amp;" Corp","INTERVAL_HIGH","START_DATE_OVERRIDE",TEXT($L$12,"AAAAMMDD"),"END_DATE_OVERRIDE",TEXT($L$13,"AAAAMMDD"),"MARKET_DATA_OVERRIDE",$L$14))</f>
        <v>#NAME?</v>
      </c>
      <c r="M154" s="30" t="e">
        <f ca="1">IF(B154="","",_xll.BDP($A154&amp;" Corp","INTERVAL_LOW","START_DATE_OVERRIDE",TEXT($L$12,"AAAAMMDD"),"END_DATE_OVERRIDE",TEXT($L$13,"AAAAMMDD"),"MARKET_DATA_OVERRIDE",$L$14))</f>
        <v>#NAME?</v>
      </c>
      <c r="N154" s="31" t="e">
        <f ca="1">IF($B154="","",_xll.BDP($A154&amp;" Corp",N$15))</f>
        <v>#NAME?</v>
      </c>
      <c r="O154" s="32" t="e">
        <f ca="1">IF($B154="","",_xll.BDP($A154&amp;" Corp",O$15))</f>
        <v>#NAME?</v>
      </c>
      <c r="P154" s="32" t="e">
        <f ca="1">IF($B154="","",_xll.BDP($A154&amp;" Corp",P$15))</f>
        <v>#NAME?</v>
      </c>
      <c r="Q154" s="30" t="e">
        <f ca="1">IF($B154="","",_xll.BDP($A154&amp;" Corp",Q$14))</f>
        <v>#NAME?</v>
      </c>
      <c r="R154" s="30" t="e">
        <f ca="1">IF($B154="","",_xll.BDP($A154&amp;" Corp",R$14))</f>
        <v>#NAME?</v>
      </c>
      <c r="S154" s="50" t="e">
        <f ca="1">IF($B154="","",_xll.BDP($A154&amp;" Corp",S$14))</f>
        <v>#NAME?</v>
      </c>
      <c r="T154" s="30" t="e">
        <f ca="1">IF($B154="","",_xll.BDP($A154&amp;" Corp",T$14))</f>
        <v>#NAME?</v>
      </c>
      <c r="U154" s="30" t="e">
        <f ca="1">IF($B154="","",_xll.BDP($A154&amp;" Corp",U$14))</f>
        <v>#NAME?</v>
      </c>
      <c r="V154" s="51" t="e">
        <f ca="1">IF($B154="","",IF($T154="VARIABLE",_xll.BDP($A154&amp;" Corp",V$13),_xll.BDP($A154&amp;" Corp",V$14)))</f>
        <v>#NAME?</v>
      </c>
      <c r="W154" s="30" t="e">
        <f ca="1">IF($B154="","",IF($T154="VARIABLE",_xll.BDP($A154&amp;" Corp",W$13),_xll.BDP($A154&amp;" Corp",W$14)))</f>
        <v>#NAME?</v>
      </c>
      <c r="X154" s="30" t="e">
        <f ca="1">IF($B154="","",_xll.BDP($A154&amp;" Corp",X$14))</f>
        <v>#NAME?</v>
      </c>
      <c r="Y154" s="33" t="e">
        <f ca="1">IF($B154="","",_xll.BDP($A154&amp;" Corp",Y$14))</f>
        <v>#NAME?</v>
      </c>
      <c r="Z154" s="52" t="e">
        <f ca="1">IF($B154="","",_xll.BDP($A154&amp;" Corp",Z$14))</f>
        <v>#NAME?</v>
      </c>
      <c r="AA154" s="53" t="e">
        <f ca="1">IF($B154="","",_xll.BDP($A154&amp;" Corp",AA$14))</f>
        <v>#NAME?</v>
      </c>
      <c r="AB154" s="54" t="e">
        <f ca="1">IF($B154="","",_xll.BDP($A154&amp;" Corp",AB$14))</f>
        <v>#NAME?</v>
      </c>
      <c r="AC154" s="54" t="e">
        <f ca="1">IF($B154="","",_xll.BDP($A154&amp;" Corp",AC$14))</f>
        <v>#NAME?</v>
      </c>
      <c r="AD154" s="55" t="e">
        <f ca="1">IF($B154="","",_xll.BDP($A154&amp;" Corp",AD$14))</f>
        <v>#NAME?</v>
      </c>
      <c r="AE154" s="56" t="e">
        <f ca="1">IF($B154="","",_xll.BDP($A154&amp;" Corp",AE$14))</f>
        <v>#NAME?</v>
      </c>
      <c r="AF154" s="29" t="e">
        <f ca="1">IF($B154="","",_xll.BDP($A154&amp;" Corp",AF$14))</f>
        <v>#NAME?</v>
      </c>
      <c r="AG154" s="33" t="e">
        <f ca="1">IF($B154="","",_xll.BDP($A154&amp;" Corp",AG$14))</f>
        <v>#NAME?</v>
      </c>
      <c r="AH154" s="30" t="e">
        <f ca="1">IF($B154="","",_xll.BDP($A154&amp;" Corp",AH$14))</f>
        <v>#NAME?</v>
      </c>
      <c r="AI154" s="30" t="e">
        <f ca="1">IF($B154="","",_xll.BDP($A154&amp;" Corp",AI$14))</f>
        <v>#NAME?</v>
      </c>
      <c r="AJ154" s="30" t="e">
        <f ca="1">IF($B154="","",_xll.BDP($A154&amp;" Corp",AJ$14))</f>
        <v>#NAME?</v>
      </c>
      <c r="AK154" s="11" t="e">
        <f ca="1">IF($B154="","",_xll.BDP($A154&amp;" Corp",AK$14))</f>
        <v>#NAME?</v>
      </c>
      <c r="AL154" s="11" t="e">
        <f ca="1">IF($B154="","",_xll.BDP($A154&amp;" Corp",AL$14))</f>
        <v>#NAME?</v>
      </c>
      <c r="AM154" s="11" t="e">
        <f t="shared" ca="1" si="27"/>
        <v>#NAME?</v>
      </c>
      <c r="AN154" s="57" t="e">
        <f t="shared" ca="1" si="21"/>
        <v>#NAME?</v>
      </c>
    </row>
    <row r="155" spans="1:40" x14ac:dyDescent="0.3">
      <c r="A155" s="67" t="str">
        <f t="shared" si="22"/>
        <v>XS2334852253</v>
      </c>
      <c r="B155" s="68" t="s">
        <v>341</v>
      </c>
      <c r="C155" s="75">
        <v>9184</v>
      </c>
      <c r="D155" s="75">
        <v>128</v>
      </c>
      <c r="E155" s="75">
        <v>200000</v>
      </c>
      <c r="F155" s="69">
        <v>0.1399378</v>
      </c>
      <c r="G155" s="70">
        <v>199122</v>
      </c>
      <c r="H155" s="67">
        <f t="shared" si="23"/>
        <v>200000</v>
      </c>
      <c r="I155" s="67">
        <f t="shared" si="24"/>
        <v>0.1399378</v>
      </c>
      <c r="J155" s="67">
        <f t="shared" si="25"/>
        <v>199122</v>
      </c>
      <c r="K155" s="71">
        <f t="shared" si="26"/>
        <v>99.561000000000007</v>
      </c>
      <c r="L155" s="29" t="e">
        <f ca="1">IF(B155="","",_xll.BDP(A155&amp;" Corp","INTERVAL_HIGH","START_DATE_OVERRIDE",TEXT($L$12,"AAAAMMDD"),"END_DATE_OVERRIDE",TEXT($L$13,"AAAAMMDD"),"MARKET_DATA_OVERRIDE",$L$14))</f>
        <v>#NAME?</v>
      </c>
      <c r="M155" s="30" t="e">
        <f ca="1">IF(B155="","",_xll.BDP($A155&amp;" Corp","INTERVAL_LOW","START_DATE_OVERRIDE",TEXT($L$12,"AAAAMMDD"),"END_DATE_OVERRIDE",TEXT($L$13,"AAAAMMDD"),"MARKET_DATA_OVERRIDE",$L$14))</f>
        <v>#NAME?</v>
      </c>
      <c r="N155" s="31" t="e">
        <f ca="1">IF($B155="","",_xll.BDP($A155&amp;" Corp",N$15))</f>
        <v>#NAME?</v>
      </c>
      <c r="O155" s="32" t="e">
        <f ca="1">IF($B155="","",_xll.BDP($A155&amp;" Corp",O$15))</f>
        <v>#NAME?</v>
      </c>
      <c r="P155" s="32" t="e">
        <f ca="1">IF($B155="","",_xll.BDP($A155&amp;" Corp",P$15))</f>
        <v>#NAME?</v>
      </c>
      <c r="Q155" s="30" t="e">
        <f ca="1">IF($B155="","",_xll.BDP($A155&amp;" Corp",Q$14))</f>
        <v>#NAME?</v>
      </c>
      <c r="R155" s="30" t="e">
        <f ca="1">IF($B155="","",_xll.BDP($A155&amp;" Corp",R$14))</f>
        <v>#NAME?</v>
      </c>
      <c r="S155" s="50" t="e">
        <f ca="1">IF($B155="","",_xll.BDP($A155&amp;" Corp",S$14))</f>
        <v>#NAME?</v>
      </c>
      <c r="T155" s="30" t="e">
        <f ca="1">IF($B155="","",_xll.BDP($A155&amp;" Corp",T$14))</f>
        <v>#NAME?</v>
      </c>
      <c r="U155" s="30" t="e">
        <f ca="1">IF($B155="","",_xll.BDP($A155&amp;" Corp",U$14))</f>
        <v>#NAME?</v>
      </c>
      <c r="V155" s="51" t="e">
        <f ca="1">IF($B155="","",IF($T155="VARIABLE",_xll.BDP($A155&amp;" Corp",V$13),_xll.BDP($A155&amp;" Corp",V$14)))</f>
        <v>#NAME?</v>
      </c>
      <c r="W155" s="30" t="e">
        <f ca="1">IF($B155="","",IF($T155="VARIABLE",_xll.BDP($A155&amp;" Corp",W$13),_xll.BDP($A155&amp;" Corp",W$14)))</f>
        <v>#NAME?</v>
      </c>
      <c r="X155" s="30" t="e">
        <f ca="1">IF($B155="","",_xll.BDP($A155&amp;" Corp",X$14))</f>
        <v>#NAME?</v>
      </c>
      <c r="Y155" s="33" t="e">
        <f ca="1">IF($B155="","",_xll.BDP($A155&amp;" Corp",Y$14))</f>
        <v>#NAME?</v>
      </c>
      <c r="Z155" s="52" t="e">
        <f ca="1">IF($B155="","",_xll.BDP($A155&amp;" Corp",Z$14))</f>
        <v>#NAME?</v>
      </c>
      <c r="AA155" s="53" t="e">
        <f ca="1">IF($B155="","",_xll.BDP($A155&amp;" Corp",AA$14))</f>
        <v>#NAME?</v>
      </c>
      <c r="AB155" s="54" t="e">
        <f ca="1">IF($B155="","",_xll.BDP($A155&amp;" Corp",AB$14))</f>
        <v>#NAME?</v>
      </c>
      <c r="AC155" s="54" t="e">
        <f ca="1">IF($B155="","",_xll.BDP($A155&amp;" Corp",AC$14))</f>
        <v>#NAME?</v>
      </c>
      <c r="AD155" s="55" t="e">
        <f ca="1">IF($B155="","",_xll.BDP($A155&amp;" Corp",AD$14))</f>
        <v>#NAME?</v>
      </c>
      <c r="AE155" s="56" t="e">
        <f ca="1">IF($B155="","",_xll.BDP($A155&amp;" Corp",AE$14))</f>
        <v>#NAME?</v>
      </c>
      <c r="AF155" s="29" t="e">
        <f ca="1">IF($B155="","",_xll.BDP($A155&amp;" Corp",AF$14))</f>
        <v>#NAME?</v>
      </c>
      <c r="AG155" s="33" t="e">
        <f ca="1">IF($B155="","",_xll.BDP($A155&amp;" Corp",AG$14))</f>
        <v>#NAME?</v>
      </c>
      <c r="AH155" s="30" t="e">
        <f ca="1">IF($B155="","",_xll.BDP($A155&amp;" Corp",AH$14))</f>
        <v>#NAME?</v>
      </c>
      <c r="AI155" s="30" t="e">
        <f ca="1">IF($B155="","",_xll.BDP($A155&amp;" Corp",AI$14))</f>
        <v>#NAME?</v>
      </c>
      <c r="AJ155" s="30" t="e">
        <f ca="1">IF($B155="","",_xll.BDP($A155&amp;" Corp",AJ$14))</f>
        <v>#NAME?</v>
      </c>
      <c r="AK155" s="11" t="e">
        <f ca="1">IF($B155="","",_xll.BDP($A155&amp;" Corp",AK$14))</f>
        <v>#NAME?</v>
      </c>
      <c r="AL155" s="11" t="e">
        <f ca="1">IF($B155="","",_xll.BDP($A155&amp;" Corp",AL$14))</f>
        <v>#NAME?</v>
      </c>
      <c r="AM155" s="11" t="e">
        <f t="shared" ca="1" si="27"/>
        <v>#NAME?</v>
      </c>
      <c r="AN155" s="57" t="e">
        <f t="shared" ca="1" si="21"/>
        <v>#NAME?</v>
      </c>
    </row>
    <row r="156" spans="1:40" x14ac:dyDescent="0.3">
      <c r="A156" s="67" t="str">
        <f t="shared" si="22"/>
        <v>XS2343532417</v>
      </c>
      <c r="B156" s="68" t="s">
        <v>554</v>
      </c>
      <c r="C156" s="75">
        <v>9461</v>
      </c>
      <c r="D156" s="75">
        <v>128</v>
      </c>
      <c r="E156" s="75">
        <v>100000</v>
      </c>
      <c r="F156" s="69">
        <v>7.7458949999999999E-2</v>
      </c>
      <c r="G156" s="70">
        <v>100388</v>
      </c>
      <c r="H156" s="67">
        <f t="shared" si="23"/>
        <v>100000</v>
      </c>
      <c r="I156" s="67">
        <f t="shared" si="24"/>
        <v>7.7458949999999999E-2</v>
      </c>
      <c r="J156" s="67">
        <f t="shared" si="25"/>
        <v>100388</v>
      </c>
      <c r="K156" s="71">
        <f t="shared" si="26"/>
        <v>100.38800000000001</v>
      </c>
      <c r="L156" s="29" t="e">
        <f ca="1">IF(B156="","",_xll.BDP(A156&amp;" Corp","INTERVAL_HIGH","START_DATE_OVERRIDE",TEXT($L$12,"AAAAMMDD"),"END_DATE_OVERRIDE",TEXT($L$13,"AAAAMMDD"),"MARKET_DATA_OVERRIDE",$L$14))</f>
        <v>#NAME?</v>
      </c>
      <c r="M156" s="30" t="e">
        <f ca="1">IF(B156="","",_xll.BDP($A156&amp;" Corp","INTERVAL_LOW","START_DATE_OVERRIDE",TEXT($L$12,"AAAAMMDD"),"END_DATE_OVERRIDE",TEXT($L$13,"AAAAMMDD"),"MARKET_DATA_OVERRIDE",$L$14))</f>
        <v>#NAME?</v>
      </c>
      <c r="N156" s="31" t="e">
        <f ca="1">IF($B156="","",_xll.BDP($A156&amp;" Corp",N$15))</f>
        <v>#NAME?</v>
      </c>
      <c r="O156" s="32" t="e">
        <f ca="1">IF($B156="","",_xll.BDP($A156&amp;" Corp",O$15))</f>
        <v>#NAME?</v>
      </c>
      <c r="P156" s="32" t="e">
        <f ca="1">IF($B156="","",_xll.BDP($A156&amp;" Corp",P$15))</f>
        <v>#NAME?</v>
      </c>
      <c r="Q156" s="30" t="e">
        <f ca="1">IF($B156="","",_xll.BDP($A156&amp;" Corp",Q$14))</f>
        <v>#NAME?</v>
      </c>
      <c r="R156" s="30" t="e">
        <f ca="1">IF($B156="","",_xll.BDP($A156&amp;" Corp",R$14))</f>
        <v>#NAME?</v>
      </c>
      <c r="S156" s="50" t="e">
        <f ca="1">IF($B156="","",_xll.BDP($A156&amp;" Corp",S$14))</f>
        <v>#NAME?</v>
      </c>
      <c r="T156" s="30" t="e">
        <f ca="1">IF($B156="","",_xll.BDP($A156&amp;" Corp",T$14))</f>
        <v>#NAME?</v>
      </c>
      <c r="U156" s="30" t="e">
        <f ca="1">IF($B156="","",_xll.BDP($A156&amp;" Corp",U$14))</f>
        <v>#NAME?</v>
      </c>
      <c r="V156" s="51" t="e">
        <f ca="1">IF($B156="","",IF($T156="VARIABLE",_xll.BDP($A156&amp;" Corp",V$13),_xll.BDP($A156&amp;" Corp",V$14)))</f>
        <v>#NAME?</v>
      </c>
      <c r="W156" s="30" t="e">
        <f ca="1">IF($B156="","",IF($T156="VARIABLE",_xll.BDP($A156&amp;" Corp",W$13),_xll.BDP($A156&amp;" Corp",W$14)))</f>
        <v>#NAME?</v>
      </c>
      <c r="X156" s="30" t="e">
        <f ca="1">IF($B156="","",_xll.BDP($A156&amp;" Corp",X$14))</f>
        <v>#NAME?</v>
      </c>
      <c r="Y156" s="33" t="e">
        <f ca="1">IF($B156="","",_xll.BDP($A156&amp;" Corp",Y$14))</f>
        <v>#NAME?</v>
      </c>
      <c r="Z156" s="52" t="e">
        <f ca="1">IF($B156="","",_xll.BDP($A156&amp;" Corp",Z$14))</f>
        <v>#NAME?</v>
      </c>
      <c r="AA156" s="53" t="e">
        <f ca="1">IF($B156="","",_xll.BDP($A156&amp;" Corp",AA$14))</f>
        <v>#NAME?</v>
      </c>
      <c r="AB156" s="54" t="e">
        <f ca="1">IF($B156="","",_xll.BDP($A156&amp;" Corp",AB$14))</f>
        <v>#NAME?</v>
      </c>
      <c r="AC156" s="54" t="e">
        <f ca="1">IF($B156="","",_xll.BDP($A156&amp;" Corp",AC$14))</f>
        <v>#NAME?</v>
      </c>
      <c r="AD156" s="55" t="e">
        <f ca="1">IF($B156="","",_xll.BDP($A156&amp;" Corp",AD$14))</f>
        <v>#NAME?</v>
      </c>
      <c r="AE156" s="56" t="e">
        <f ca="1">IF($B156="","",_xll.BDP($A156&amp;" Corp",AE$14))</f>
        <v>#NAME?</v>
      </c>
      <c r="AF156" s="29" t="e">
        <f ca="1">IF($B156="","",_xll.BDP($A156&amp;" Corp",AF$14))</f>
        <v>#NAME?</v>
      </c>
      <c r="AG156" s="33" t="e">
        <f ca="1">IF($B156="","",_xll.BDP($A156&amp;" Corp",AG$14))</f>
        <v>#NAME?</v>
      </c>
      <c r="AH156" s="30" t="e">
        <f ca="1">IF($B156="","",_xll.BDP($A156&amp;" Corp",AH$14))</f>
        <v>#NAME?</v>
      </c>
      <c r="AI156" s="30" t="e">
        <f ca="1">IF($B156="","",_xll.BDP($A156&amp;" Corp",AI$14))</f>
        <v>#NAME?</v>
      </c>
      <c r="AJ156" s="30" t="e">
        <f ca="1">IF($B156="","",_xll.BDP($A156&amp;" Corp",AJ$14))</f>
        <v>#NAME?</v>
      </c>
      <c r="AK156" s="11" t="e">
        <f ca="1">IF($B156="","",_xll.BDP($A156&amp;" Corp",AK$14))</f>
        <v>#NAME?</v>
      </c>
      <c r="AL156" s="11" t="e">
        <f ca="1">IF($B156="","",_xll.BDP($A156&amp;" Corp",AL$14))</f>
        <v>#NAME?</v>
      </c>
      <c r="AM156" s="11" t="e">
        <f t="shared" ca="1" si="27"/>
        <v>#NAME?</v>
      </c>
      <c r="AN156" s="57" t="e">
        <f t="shared" ca="1" si="21"/>
        <v>#NAME?</v>
      </c>
    </row>
    <row r="157" spans="1:40" x14ac:dyDescent="0.3">
      <c r="A157" s="67" t="str">
        <f t="shared" si="22"/>
        <v>XS2347367018</v>
      </c>
      <c r="B157" s="68" t="s">
        <v>445</v>
      </c>
      <c r="C157" s="75">
        <v>9246</v>
      </c>
      <c r="D157" s="75">
        <v>128</v>
      </c>
      <c r="E157" s="75">
        <v>300000</v>
      </c>
      <c r="F157" s="69">
        <v>0.19051768999999999</v>
      </c>
      <c r="G157" s="70">
        <v>297822</v>
      </c>
      <c r="H157" s="67">
        <f t="shared" si="23"/>
        <v>300000</v>
      </c>
      <c r="I157" s="67">
        <f t="shared" si="24"/>
        <v>0.19051768999999999</v>
      </c>
      <c r="J157" s="67">
        <f t="shared" si="25"/>
        <v>297822</v>
      </c>
      <c r="K157" s="71">
        <f t="shared" si="26"/>
        <v>99.274000000000001</v>
      </c>
      <c r="L157" s="29" t="e">
        <f ca="1">IF(B157="","",_xll.BDP(A157&amp;" Corp","INTERVAL_HIGH","START_DATE_OVERRIDE",TEXT($L$12,"AAAAMMDD"),"END_DATE_OVERRIDE",TEXT($L$13,"AAAAMMDD"),"MARKET_DATA_OVERRIDE",$L$14))</f>
        <v>#NAME?</v>
      </c>
      <c r="M157" s="30" t="e">
        <f ca="1">IF(B157="","",_xll.BDP($A157&amp;" Corp","INTERVAL_LOW","START_DATE_OVERRIDE",TEXT($L$12,"AAAAMMDD"),"END_DATE_OVERRIDE",TEXT($L$13,"AAAAMMDD"),"MARKET_DATA_OVERRIDE",$L$14))</f>
        <v>#NAME?</v>
      </c>
      <c r="N157" s="31" t="e">
        <f ca="1">IF($B157="","",_xll.BDP($A157&amp;" Corp",N$15))</f>
        <v>#NAME?</v>
      </c>
      <c r="O157" s="32" t="e">
        <f ca="1">IF($B157="","",_xll.BDP($A157&amp;" Corp",O$15))</f>
        <v>#NAME?</v>
      </c>
      <c r="P157" s="32" t="e">
        <f ca="1">IF($B157="","",_xll.BDP($A157&amp;" Corp",P$15))</f>
        <v>#NAME?</v>
      </c>
      <c r="Q157" s="30" t="e">
        <f ca="1">IF($B157="","",_xll.BDP($A157&amp;" Corp",Q$14))</f>
        <v>#NAME?</v>
      </c>
      <c r="R157" s="30" t="e">
        <f ca="1">IF($B157="","",_xll.BDP($A157&amp;" Corp",R$14))</f>
        <v>#NAME?</v>
      </c>
      <c r="S157" s="50" t="e">
        <f ca="1">IF($B157="","",_xll.BDP($A157&amp;" Corp",S$14))</f>
        <v>#NAME?</v>
      </c>
      <c r="T157" s="30" t="e">
        <f ca="1">IF($B157="","",_xll.BDP($A157&amp;" Corp",T$14))</f>
        <v>#NAME?</v>
      </c>
      <c r="U157" s="30" t="e">
        <f ca="1">IF($B157="","",_xll.BDP($A157&amp;" Corp",U$14))</f>
        <v>#NAME?</v>
      </c>
      <c r="V157" s="51" t="e">
        <f ca="1">IF($B157="","",IF($T157="VARIABLE",_xll.BDP($A157&amp;" Corp",V$13),_xll.BDP($A157&amp;" Corp",V$14)))</f>
        <v>#NAME?</v>
      </c>
      <c r="W157" s="30" t="e">
        <f ca="1">IF($B157="","",IF($T157="VARIABLE",_xll.BDP($A157&amp;" Corp",W$13),_xll.BDP($A157&amp;" Corp",W$14)))</f>
        <v>#NAME?</v>
      </c>
      <c r="X157" s="30" t="e">
        <f ca="1">IF($B157="","",_xll.BDP($A157&amp;" Corp",X$14))</f>
        <v>#NAME?</v>
      </c>
      <c r="Y157" s="33" t="e">
        <f ca="1">IF($B157="","",_xll.BDP($A157&amp;" Corp",Y$14))</f>
        <v>#NAME?</v>
      </c>
      <c r="Z157" s="52" t="e">
        <f ca="1">IF($B157="","",_xll.BDP($A157&amp;" Corp",Z$14))</f>
        <v>#NAME?</v>
      </c>
      <c r="AA157" s="53" t="e">
        <f ca="1">IF($B157="","",_xll.BDP($A157&amp;" Corp",AA$14))</f>
        <v>#NAME?</v>
      </c>
      <c r="AB157" s="54" t="e">
        <f ca="1">IF($B157="","",_xll.BDP($A157&amp;" Corp",AB$14))</f>
        <v>#NAME?</v>
      </c>
      <c r="AC157" s="54" t="e">
        <f ca="1">IF($B157="","",_xll.BDP($A157&amp;" Corp",AC$14))</f>
        <v>#NAME?</v>
      </c>
      <c r="AD157" s="55" t="e">
        <f ca="1">IF($B157="","",_xll.BDP($A157&amp;" Corp",AD$14))</f>
        <v>#NAME?</v>
      </c>
      <c r="AE157" s="56" t="e">
        <f ca="1">IF($B157="","",_xll.BDP($A157&amp;" Corp",AE$14))</f>
        <v>#NAME?</v>
      </c>
      <c r="AF157" s="29" t="e">
        <f ca="1">IF($B157="","",_xll.BDP($A157&amp;" Corp",AF$14))</f>
        <v>#NAME?</v>
      </c>
      <c r="AG157" s="33" t="e">
        <f ca="1">IF($B157="","",_xll.BDP($A157&amp;" Corp",AG$14))</f>
        <v>#NAME?</v>
      </c>
      <c r="AH157" s="30" t="e">
        <f ca="1">IF($B157="","",_xll.BDP($A157&amp;" Corp",AH$14))</f>
        <v>#NAME?</v>
      </c>
      <c r="AI157" s="30" t="e">
        <f ca="1">IF($B157="","",_xll.BDP($A157&amp;" Corp",AI$14))</f>
        <v>#NAME?</v>
      </c>
      <c r="AJ157" s="30" t="e">
        <f ca="1">IF($B157="","",_xll.BDP($A157&amp;" Corp",AJ$14))</f>
        <v>#NAME?</v>
      </c>
      <c r="AK157" s="11" t="e">
        <f ca="1">IF($B157="","",_xll.BDP($A157&amp;" Corp",AK$14))</f>
        <v>#NAME?</v>
      </c>
      <c r="AL157" s="11" t="e">
        <f ca="1">IF($B157="","",_xll.BDP($A157&amp;" Corp",AL$14))</f>
        <v>#NAME?</v>
      </c>
      <c r="AM157" s="11" t="e">
        <f t="shared" ca="1" si="27"/>
        <v>#NAME?</v>
      </c>
      <c r="AN157" s="57" t="e">
        <f t="shared" ca="1" si="21"/>
        <v>#NAME?</v>
      </c>
    </row>
    <row r="158" spans="1:40" x14ac:dyDescent="0.3">
      <c r="A158" s="67" t="str">
        <f t="shared" si="22"/>
        <v>XS2356030556</v>
      </c>
      <c r="B158" s="68" t="s">
        <v>479</v>
      </c>
      <c r="C158" s="75">
        <v>9311</v>
      </c>
      <c r="D158" s="75">
        <v>128</v>
      </c>
      <c r="E158" s="75">
        <v>200000</v>
      </c>
      <c r="F158" s="69">
        <v>0.12217409</v>
      </c>
      <c r="G158" s="70">
        <v>198052</v>
      </c>
      <c r="H158" s="67">
        <f t="shared" si="23"/>
        <v>200000</v>
      </c>
      <c r="I158" s="67">
        <f t="shared" si="24"/>
        <v>0.12217409</v>
      </c>
      <c r="J158" s="67">
        <f t="shared" si="25"/>
        <v>198052</v>
      </c>
      <c r="K158" s="71">
        <f t="shared" si="26"/>
        <v>99.025999999999996</v>
      </c>
      <c r="L158" s="29" t="e">
        <f ca="1">IF(B158="","",_xll.BDP(A158&amp;" Corp","INTERVAL_HIGH","START_DATE_OVERRIDE",TEXT($L$12,"AAAAMMDD"),"END_DATE_OVERRIDE",TEXT($L$13,"AAAAMMDD"),"MARKET_DATA_OVERRIDE",$L$14))</f>
        <v>#NAME?</v>
      </c>
      <c r="M158" s="30" t="e">
        <f ca="1">IF(B158="","",_xll.BDP($A158&amp;" Corp","INTERVAL_LOW","START_DATE_OVERRIDE",TEXT($L$12,"AAAAMMDD"),"END_DATE_OVERRIDE",TEXT($L$13,"AAAAMMDD"),"MARKET_DATA_OVERRIDE",$L$14))</f>
        <v>#NAME?</v>
      </c>
      <c r="N158" s="31" t="e">
        <f ca="1">IF($B158="","",_xll.BDP($A158&amp;" Corp",N$15))</f>
        <v>#NAME?</v>
      </c>
      <c r="O158" s="32" t="e">
        <f ca="1">IF($B158="","",_xll.BDP($A158&amp;" Corp",O$15))</f>
        <v>#NAME?</v>
      </c>
      <c r="P158" s="32" t="e">
        <f ca="1">IF($B158="","",_xll.BDP($A158&amp;" Corp",P$15))</f>
        <v>#NAME?</v>
      </c>
      <c r="Q158" s="30" t="e">
        <f ca="1">IF($B158="","",_xll.BDP($A158&amp;" Corp",Q$14))</f>
        <v>#NAME?</v>
      </c>
      <c r="R158" s="30" t="e">
        <f ca="1">IF($B158="","",_xll.BDP($A158&amp;" Corp",R$14))</f>
        <v>#NAME?</v>
      </c>
      <c r="S158" s="50" t="e">
        <f ca="1">IF($B158="","",_xll.BDP($A158&amp;" Corp",S$14))</f>
        <v>#NAME?</v>
      </c>
      <c r="T158" s="30" t="e">
        <f ca="1">IF($B158="","",_xll.BDP($A158&amp;" Corp",T$14))</f>
        <v>#NAME?</v>
      </c>
      <c r="U158" s="30" t="e">
        <f ca="1">IF($B158="","",_xll.BDP($A158&amp;" Corp",U$14))</f>
        <v>#NAME?</v>
      </c>
      <c r="V158" s="51" t="e">
        <f ca="1">IF($B158="","",IF($T158="VARIABLE",_xll.BDP($A158&amp;" Corp",V$13),_xll.BDP($A158&amp;" Corp",V$14)))</f>
        <v>#NAME?</v>
      </c>
      <c r="W158" s="30" t="e">
        <f ca="1">IF($B158="","",IF($T158="VARIABLE",_xll.BDP($A158&amp;" Corp",W$13),_xll.BDP($A158&amp;" Corp",W$14)))</f>
        <v>#NAME?</v>
      </c>
      <c r="X158" s="30" t="e">
        <f ca="1">IF($B158="","",_xll.BDP($A158&amp;" Corp",X$14))</f>
        <v>#NAME?</v>
      </c>
      <c r="Y158" s="33" t="e">
        <f ca="1">IF($B158="","",_xll.BDP($A158&amp;" Corp",Y$14))</f>
        <v>#NAME?</v>
      </c>
      <c r="Z158" s="52" t="e">
        <f ca="1">IF($B158="","",_xll.BDP($A158&amp;" Corp",Z$14))</f>
        <v>#NAME?</v>
      </c>
      <c r="AA158" s="53" t="e">
        <f ca="1">IF($B158="","",_xll.BDP($A158&amp;" Corp",AA$14))</f>
        <v>#NAME?</v>
      </c>
      <c r="AB158" s="54" t="e">
        <f ca="1">IF($B158="","",_xll.BDP($A158&amp;" Corp",AB$14))</f>
        <v>#NAME?</v>
      </c>
      <c r="AC158" s="54" t="e">
        <f ca="1">IF($B158="","",_xll.BDP($A158&amp;" Corp",AC$14))</f>
        <v>#NAME?</v>
      </c>
      <c r="AD158" s="55" t="e">
        <f ca="1">IF($B158="","",_xll.BDP($A158&amp;" Corp",AD$14))</f>
        <v>#NAME?</v>
      </c>
      <c r="AE158" s="56" t="e">
        <f ca="1">IF($B158="","",_xll.BDP($A158&amp;" Corp",AE$14))</f>
        <v>#NAME?</v>
      </c>
      <c r="AF158" s="29" t="e">
        <f ca="1">IF($B158="","",_xll.BDP($A158&amp;" Corp",AF$14))</f>
        <v>#NAME?</v>
      </c>
      <c r="AG158" s="33" t="e">
        <f ca="1">IF($B158="","",_xll.BDP($A158&amp;" Corp",AG$14))</f>
        <v>#NAME?</v>
      </c>
      <c r="AH158" s="30" t="e">
        <f ca="1">IF($B158="","",_xll.BDP($A158&amp;" Corp",AH$14))</f>
        <v>#NAME?</v>
      </c>
      <c r="AI158" s="30" t="e">
        <f ca="1">IF($B158="","",_xll.BDP($A158&amp;" Corp",AI$14))</f>
        <v>#NAME?</v>
      </c>
      <c r="AJ158" s="30" t="e">
        <f ca="1">IF($B158="","",_xll.BDP($A158&amp;" Corp",AJ$14))</f>
        <v>#NAME?</v>
      </c>
      <c r="AK158" s="11" t="e">
        <f ca="1">IF($B158="","",_xll.BDP($A158&amp;" Corp",AK$14))</f>
        <v>#NAME?</v>
      </c>
      <c r="AL158" s="11" t="e">
        <f ca="1">IF($B158="","",_xll.BDP($A158&amp;" Corp",AL$14))</f>
        <v>#NAME?</v>
      </c>
      <c r="AM158" s="11" t="e">
        <f t="shared" ca="1" si="27"/>
        <v>#NAME?</v>
      </c>
      <c r="AN158" s="57" t="e">
        <f t="shared" ca="1" si="21"/>
        <v>#NAME?</v>
      </c>
    </row>
    <row r="159" spans="1:40" x14ac:dyDescent="0.3">
      <c r="A159" s="67" t="str">
        <f t="shared" si="22"/>
        <v>XS2356571559</v>
      </c>
      <c r="B159" s="68" t="s">
        <v>549</v>
      </c>
      <c r="C159" s="75">
        <v>9352</v>
      </c>
      <c r="D159" s="75">
        <v>128</v>
      </c>
      <c r="E159" s="75">
        <v>167700.82</v>
      </c>
      <c r="F159" s="69">
        <v>0.12862614</v>
      </c>
      <c r="G159" s="70">
        <v>199932</v>
      </c>
      <c r="H159" s="67">
        <f t="shared" si="23"/>
        <v>167700.82</v>
      </c>
      <c r="I159" s="67">
        <f t="shared" si="24"/>
        <v>0.12862614</v>
      </c>
      <c r="J159" s="67">
        <f t="shared" si="25"/>
        <v>199932</v>
      </c>
      <c r="K159" s="71">
        <f t="shared" si="26"/>
        <v>119.21945283272913</v>
      </c>
      <c r="L159" s="29" t="e">
        <f ca="1">IF(B159="","",_xll.BDP(A159&amp;" Corp","INTERVAL_HIGH","START_DATE_OVERRIDE",TEXT($L$12,"AAAAMMDD"),"END_DATE_OVERRIDE",TEXT($L$13,"AAAAMMDD"),"MARKET_DATA_OVERRIDE",$L$14))</f>
        <v>#NAME?</v>
      </c>
      <c r="M159" s="30" t="e">
        <f ca="1">IF(B159="","",_xll.BDP($A159&amp;" Corp","INTERVAL_LOW","START_DATE_OVERRIDE",TEXT($L$12,"AAAAMMDD"),"END_DATE_OVERRIDE",TEXT($L$13,"AAAAMMDD"),"MARKET_DATA_OVERRIDE",$L$14))</f>
        <v>#NAME?</v>
      </c>
      <c r="N159" s="31" t="e">
        <f ca="1">IF($B159="","",_xll.BDP($A159&amp;" Corp",N$15))</f>
        <v>#NAME?</v>
      </c>
      <c r="O159" s="32" t="e">
        <f ca="1">IF($B159="","",_xll.BDP($A159&amp;" Corp",O$15))</f>
        <v>#NAME?</v>
      </c>
      <c r="P159" s="32" t="e">
        <f ca="1">IF($B159="","",_xll.BDP($A159&amp;" Corp",P$15))</f>
        <v>#NAME?</v>
      </c>
      <c r="Q159" s="30" t="e">
        <f ca="1">IF($B159="","",_xll.BDP($A159&amp;" Corp",Q$14))</f>
        <v>#NAME?</v>
      </c>
      <c r="R159" s="30" t="e">
        <f ca="1">IF($B159="","",_xll.BDP($A159&amp;" Corp",R$14))</f>
        <v>#NAME?</v>
      </c>
      <c r="S159" s="50" t="e">
        <f ca="1">IF($B159="","",_xll.BDP($A159&amp;" Corp",S$14))</f>
        <v>#NAME?</v>
      </c>
      <c r="T159" s="30" t="e">
        <f ca="1">IF($B159="","",_xll.BDP($A159&amp;" Corp",T$14))</f>
        <v>#NAME?</v>
      </c>
      <c r="U159" s="30" t="e">
        <f ca="1">IF($B159="","",_xll.BDP($A159&amp;" Corp",U$14))</f>
        <v>#NAME?</v>
      </c>
      <c r="V159" s="51" t="e">
        <f ca="1">IF($B159="","",IF($T159="VARIABLE",_xll.BDP($A159&amp;" Corp",V$13),_xll.BDP($A159&amp;" Corp",V$14)))</f>
        <v>#NAME?</v>
      </c>
      <c r="W159" s="30" t="e">
        <f ca="1">IF($B159="","",IF($T159="VARIABLE",_xll.BDP($A159&amp;" Corp",W$13),_xll.BDP($A159&amp;" Corp",W$14)))</f>
        <v>#NAME?</v>
      </c>
      <c r="X159" s="30" t="e">
        <f ca="1">IF($B159="","",_xll.BDP($A159&amp;" Corp",X$14))</f>
        <v>#NAME?</v>
      </c>
      <c r="Y159" s="33" t="e">
        <f ca="1">IF($B159="","",_xll.BDP($A159&amp;" Corp",Y$14))</f>
        <v>#NAME?</v>
      </c>
      <c r="Z159" s="52" t="e">
        <f ca="1">IF($B159="","",_xll.BDP($A159&amp;" Corp",Z$14))</f>
        <v>#NAME?</v>
      </c>
      <c r="AA159" s="53" t="e">
        <f ca="1">IF($B159="","",_xll.BDP($A159&amp;" Corp",AA$14))</f>
        <v>#NAME?</v>
      </c>
      <c r="AB159" s="54" t="e">
        <f ca="1">IF($B159="","",_xll.BDP($A159&amp;" Corp",AB$14))</f>
        <v>#NAME?</v>
      </c>
      <c r="AC159" s="54" t="e">
        <f ca="1">IF($B159="","",_xll.BDP($A159&amp;" Corp",AC$14))</f>
        <v>#NAME?</v>
      </c>
      <c r="AD159" s="55" t="e">
        <f ca="1">IF($B159="","",_xll.BDP($A159&amp;" Corp",AD$14))</f>
        <v>#NAME?</v>
      </c>
      <c r="AE159" s="56" t="e">
        <f ca="1">IF($B159="","",_xll.BDP($A159&amp;" Corp",AE$14))</f>
        <v>#NAME?</v>
      </c>
      <c r="AF159" s="29" t="e">
        <f ca="1">IF($B159="","",_xll.BDP($A159&amp;" Corp",AF$14))</f>
        <v>#NAME?</v>
      </c>
      <c r="AG159" s="33" t="e">
        <f ca="1">IF($B159="","",_xll.BDP($A159&amp;" Corp",AG$14))</f>
        <v>#NAME?</v>
      </c>
      <c r="AH159" s="30" t="e">
        <f ca="1">IF($B159="","",_xll.BDP($A159&amp;" Corp",AH$14))</f>
        <v>#NAME?</v>
      </c>
      <c r="AI159" s="30" t="e">
        <f ca="1">IF($B159="","",_xll.BDP($A159&amp;" Corp",AI$14))</f>
        <v>#NAME?</v>
      </c>
      <c r="AJ159" s="30" t="e">
        <f ca="1">IF($B159="","",_xll.BDP($A159&amp;" Corp",AJ$14))</f>
        <v>#NAME?</v>
      </c>
      <c r="AK159" s="11" t="e">
        <f ca="1">IF($B159="","",_xll.BDP($A159&amp;" Corp",AK$14))</f>
        <v>#NAME?</v>
      </c>
      <c r="AL159" s="11" t="e">
        <f ca="1">IF($B159="","",_xll.BDP($A159&amp;" Corp",AL$14))</f>
        <v>#NAME?</v>
      </c>
      <c r="AM159" s="11" t="e">
        <f t="shared" ca="1" si="27"/>
        <v>#NAME?</v>
      </c>
      <c r="AN159" s="57" t="e">
        <f t="shared" ca="1" si="21"/>
        <v>#NAME?</v>
      </c>
    </row>
    <row r="160" spans="1:40" x14ac:dyDescent="0.3">
      <c r="A160" s="67" t="str">
        <f t="shared" si="22"/>
        <v>XS2357281174</v>
      </c>
      <c r="B160" s="68" t="s">
        <v>311</v>
      </c>
      <c r="C160" s="75">
        <v>9326</v>
      </c>
      <c r="D160" s="75">
        <v>128</v>
      </c>
      <c r="E160" s="75">
        <v>400000</v>
      </c>
      <c r="F160" s="69">
        <v>0.31153340000000002</v>
      </c>
      <c r="G160" s="70">
        <v>401946</v>
      </c>
      <c r="H160" s="67">
        <f t="shared" si="23"/>
        <v>400000</v>
      </c>
      <c r="I160" s="67">
        <f t="shared" si="24"/>
        <v>0.31153340000000002</v>
      </c>
      <c r="J160" s="67">
        <f t="shared" si="25"/>
        <v>401946</v>
      </c>
      <c r="K160" s="71">
        <f t="shared" si="26"/>
        <v>100.48650000000001</v>
      </c>
      <c r="L160" s="29" t="e">
        <f ca="1">IF(B160="","",_xll.BDP(A160&amp;" Corp","INTERVAL_HIGH","START_DATE_OVERRIDE",TEXT($L$12,"AAAAMMDD"),"END_DATE_OVERRIDE",TEXT($L$13,"AAAAMMDD"),"MARKET_DATA_OVERRIDE",$L$14))</f>
        <v>#NAME?</v>
      </c>
      <c r="M160" s="30" t="e">
        <f ca="1">IF(B160="","",_xll.BDP($A160&amp;" Corp","INTERVAL_LOW","START_DATE_OVERRIDE",TEXT($L$12,"AAAAMMDD"),"END_DATE_OVERRIDE",TEXT($L$13,"AAAAMMDD"),"MARKET_DATA_OVERRIDE",$L$14))</f>
        <v>#NAME?</v>
      </c>
      <c r="N160" s="31" t="e">
        <f ca="1">IF($B160="","",_xll.BDP($A160&amp;" Corp",N$15))</f>
        <v>#NAME?</v>
      </c>
      <c r="O160" s="32" t="e">
        <f ca="1">IF($B160="","",_xll.BDP($A160&amp;" Corp",O$15))</f>
        <v>#NAME?</v>
      </c>
      <c r="P160" s="32" t="e">
        <f ca="1">IF($B160="","",_xll.BDP($A160&amp;" Corp",P$15))</f>
        <v>#NAME?</v>
      </c>
      <c r="Q160" s="30" t="e">
        <f ca="1">IF($B160="","",_xll.BDP($A160&amp;" Corp",Q$14))</f>
        <v>#NAME?</v>
      </c>
      <c r="R160" s="30" t="e">
        <f ca="1">IF($B160="","",_xll.BDP($A160&amp;" Corp",R$14))</f>
        <v>#NAME?</v>
      </c>
      <c r="S160" s="50" t="e">
        <f ca="1">IF($B160="","",_xll.BDP($A160&amp;" Corp",S$14))</f>
        <v>#NAME?</v>
      </c>
      <c r="T160" s="30" t="e">
        <f ca="1">IF($B160="","",_xll.BDP($A160&amp;" Corp",T$14))</f>
        <v>#NAME?</v>
      </c>
      <c r="U160" s="30" t="e">
        <f ca="1">IF($B160="","",_xll.BDP($A160&amp;" Corp",U$14))</f>
        <v>#NAME?</v>
      </c>
      <c r="V160" s="51" t="e">
        <f ca="1">IF($B160="","",IF($T160="VARIABLE",_xll.BDP($A160&amp;" Corp",V$13),_xll.BDP($A160&amp;" Corp",V$14)))</f>
        <v>#NAME?</v>
      </c>
      <c r="W160" s="30" t="e">
        <f ca="1">IF($B160="","",IF($T160="VARIABLE",_xll.BDP($A160&amp;" Corp",W$13),_xll.BDP($A160&amp;" Corp",W$14)))</f>
        <v>#NAME?</v>
      </c>
      <c r="X160" s="30" t="e">
        <f ca="1">IF($B160="","",_xll.BDP($A160&amp;" Corp",X$14))</f>
        <v>#NAME?</v>
      </c>
      <c r="Y160" s="33" t="e">
        <f ca="1">IF($B160="","",_xll.BDP($A160&amp;" Corp",Y$14))</f>
        <v>#NAME?</v>
      </c>
      <c r="Z160" s="52" t="e">
        <f ca="1">IF($B160="","",_xll.BDP($A160&amp;" Corp",Z$14))</f>
        <v>#NAME?</v>
      </c>
      <c r="AA160" s="53" t="e">
        <f ca="1">IF($B160="","",_xll.BDP($A160&amp;" Corp",AA$14))</f>
        <v>#NAME?</v>
      </c>
      <c r="AB160" s="54" t="e">
        <f ca="1">IF($B160="","",_xll.BDP($A160&amp;" Corp",AB$14))</f>
        <v>#NAME?</v>
      </c>
      <c r="AC160" s="54" t="e">
        <f ca="1">IF($B160="","",_xll.BDP($A160&amp;" Corp",AC$14))</f>
        <v>#NAME?</v>
      </c>
      <c r="AD160" s="55" t="e">
        <f ca="1">IF($B160="","",_xll.BDP($A160&amp;" Corp",AD$14))</f>
        <v>#NAME?</v>
      </c>
      <c r="AE160" s="56" t="e">
        <f ca="1">IF($B160="","",_xll.BDP($A160&amp;" Corp",AE$14))</f>
        <v>#NAME?</v>
      </c>
      <c r="AF160" s="29" t="e">
        <f ca="1">IF($B160="","",_xll.BDP($A160&amp;" Corp",AF$14))</f>
        <v>#NAME?</v>
      </c>
      <c r="AG160" s="33" t="e">
        <f ca="1">IF($B160="","",_xll.BDP($A160&amp;" Corp",AG$14))</f>
        <v>#NAME?</v>
      </c>
      <c r="AH160" s="30" t="e">
        <f ca="1">IF($B160="","",_xll.BDP($A160&amp;" Corp",AH$14))</f>
        <v>#NAME?</v>
      </c>
      <c r="AI160" s="30" t="e">
        <f ca="1">IF($B160="","",_xll.BDP($A160&amp;" Corp",AI$14))</f>
        <v>#NAME?</v>
      </c>
      <c r="AJ160" s="30" t="e">
        <f ca="1">IF($B160="","",_xll.BDP($A160&amp;" Corp",AJ$14))</f>
        <v>#NAME?</v>
      </c>
      <c r="AK160" s="11" t="e">
        <f ca="1">IF($B160="","",_xll.BDP($A160&amp;" Corp",AK$14))</f>
        <v>#NAME?</v>
      </c>
      <c r="AL160" s="11" t="e">
        <f ca="1">IF($B160="","",_xll.BDP($A160&amp;" Corp",AL$14))</f>
        <v>#NAME?</v>
      </c>
      <c r="AM160" s="11" t="e">
        <f t="shared" ca="1" si="27"/>
        <v>#NAME?</v>
      </c>
      <c r="AN160" s="57" t="e">
        <f t="shared" ca="1" si="21"/>
        <v>#NAME?</v>
      </c>
    </row>
    <row r="161" spans="1:40" x14ac:dyDescent="0.3">
      <c r="A161" s="67" t="str">
        <f t="shared" si="22"/>
        <v>XS2357357768</v>
      </c>
      <c r="B161" s="68" t="s">
        <v>481</v>
      </c>
      <c r="C161" s="75">
        <v>9331</v>
      </c>
      <c r="D161" s="75">
        <v>128</v>
      </c>
      <c r="E161" s="75">
        <v>400000</v>
      </c>
      <c r="F161" s="69">
        <v>0.14807155</v>
      </c>
      <c r="G161" s="70">
        <v>400244</v>
      </c>
      <c r="H161" s="67">
        <f t="shared" si="23"/>
        <v>400000</v>
      </c>
      <c r="I161" s="67">
        <f t="shared" si="24"/>
        <v>0.14807155</v>
      </c>
      <c r="J161" s="67">
        <f t="shared" si="25"/>
        <v>400244</v>
      </c>
      <c r="K161" s="71">
        <f t="shared" si="26"/>
        <v>100.06100000000001</v>
      </c>
      <c r="L161" s="29" t="e">
        <f ca="1">IF(B161="","",_xll.BDP(A161&amp;" Corp","INTERVAL_HIGH","START_DATE_OVERRIDE",TEXT($L$12,"AAAAMMDD"),"END_DATE_OVERRIDE",TEXT($L$13,"AAAAMMDD"),"MARKET_DATA_OVERRIDE",$L$14))</f>
        <v>#NAME?</v>
      </c>
      <c r="M161" s="30" t="e">
        <f ca="1">IF(B161="","",_xll.BDP($A161&amp;" Corp","INTERVAL_LOW","START_DATE_OVERRIDE",TEXT($L$12,"AAAAMMDD"),"END_DATE_OVERRIDE",TEXT($L$13,"AAAAMMDD"),"MARKET_DATA_OVERRIDE",$L$14))</f>
        <v>#NAME?</v>
      </c>
      <c r="N161" s="31" t="e">
        <f ca="1">IF($B161="","",_xll.BDP($A161&amp;" Corp",N$15))</f>
        <v>#NAME?</v>
      </c>
      <c r="O161" s="32" t="e">
        <f ca="1">IF($B161="","",_xll.BDP($A161&amp;" Corp",O$15))</f>
        <v>#NAME?</v>
      </c>
      <c r="P161" s="32" t="e">
        <f ca="1">IF($B161="","",_xll.BDP($A161&amp;" Corp",P$15))</f>
        <v>#NAME?</v>
      </c>
      <c r="Q161" s="30" t="e">
        <f ca="1">IF($B161="","",_xll.BDP($A161&amp;" Corp",Q$14))</f>
        <v>#NAME?</v>
      </c>
      <c r="R161" s="30" t="e">
        <f ca="1">IF($B161="","",_xll.BDP($A161&amp;" Corp",R$14))</f>
        <v>#NAME?</v>
      </c>
      <c r="S161" s="50" t="e">
        <f ca="1">IF($B161="","",_xll.BDP($A161&amp;" Corp",S$14))</f>
        <v>#NAME?</v>
      </c>
      <c r="T161" s="30" t="e">
        <f ca="1">IF($B161="","",_xll.BDP($A161&amp;" Corp",T$14))</f>
        <v>#NAME?</v>
      </c>
      <c r="U161" s="30" t="e">
        <f ca="1">IF($B161="","",_xll.BDP($A161&amp;" Corp",U$14))</f>
        <v>#NAME?</v>
      </c>
      <c r="V161" s="51" t="e">
        <f ca="1">IF($B161="","",IF($T161="VARIABLE",_xll.BDP($A161&amp;" Corp",V$13),_xll.BDP($A161&amp;" Corp",V$14)))</f>
        <v>#NAME?</v>
      </c>
      <c r="W161" s="30" t="e">
        <f ca="1">IF($B161="","",IF($T161="VARIABLE",_xll.BDP($A161&amp;" Corp",W$13),_xll.BDP($A161&amp;" Corp",W$14)))</f>
        <v>#NAME?</v>
      </c>
      <c r="X161" s="30" t="e">
        <f ca="1">IF($B161="","",_xll.BDP($A161&amp;" Corp",X$14))</f>
        <v>#NAME?</v>
      </c>
      <c r="Y161" s="33" t="e">
        <f ca="1">IF($B161="","",_xll.BDP($A161&amp;" Corp",Y$14))</f>
        <v>#NAME?</v>
      </c>
      <c r="Z161" s="52" t="e">
        <f ca="1">IF($B161="","",_xll.BDP($A161&amp;" Corp",Z$14))</f>
        <v>#NAME?</v>
      </c>
      <c r="AA161" s="53" t="e">
        <f ca="1">IF($B161="","",_xll.BDP($A161&amp;" Corp",AA$14))</f>
        <v>#NAME?</v>
      </c>
      <c r="AB161" s="54" t="e">
        <f ca="1">IF($B161="","",_xll.BDP($A161&amp;" Corp",AB$14))</f>
        <v>#NAME?</v>
      </c>
      <c r="AC161" s="54" t="e">
        <f ca="1">IF($B161="","",_xll.BDP($A161&amp;" Corp",AC$14))</f>
        <v>#NAME?</v>
      </c>
      <c r="AD161" s="55" t="e">
        <f ca="1">IF($B161="","",_xll.BDP($A161&amp;" Corp",AD$14))</f>
        <v>#NAME?</v>
      </c>
      <c r="AE161" s="56" t="e">
        <f ca="1">IF($B161="","",_xll.BDP($A161&amp;" Corp",AE$14))</f>
        <v>#NAME?</v>
      </c>
      <c r="AF161" s="29" t="e">
        <f ca="1">IF($B161="","",_xll.BDP($A161&amp;" Corp",AF$14))</f>
        <v>#NAME?</v>
      </c>
      <c r="AG161" s="33" t="e">
        <f ca="1">IF($B161="","",_xll.BDP($A161&amp;" Corp",AG$14))</f>
        <v>#NAME?</v>
      </c>
      <c r="AH161" s="30" t="e">
        <f ca="1">IF($B161="","",_xll.BDP($A161&amp;" Corp",AH$14))</f>
        <v>#NAME?</v>
      </c>
      <c r="AI161" s="30" t="e">
        <f ca="1">IF($B161="","",_xll.BDP($A161&amp;" Corp",AI$14))</f>
        <v>#NAME?</v>
      </c>
      <c r="AJ161" s="30" t="e">
        <f ca="1">IF($B161="","",_xll.BDP($A161&amp;" Corp",AJ$14))</f>
        <v>#NAME?</v>
      </c>
      <c r="AK161" s="11" t="e">
        <f ca="1">IF($B161="","",_xll.BDP($A161&amp;" Corp",AK$14))</f>
        <v>#NAME?</v>
      </c>
      <c r="AL161" s="11" t="e">
        <f ca="1">IF($B161="","",_xll.BDP($A161&amp;" Corp",AL$14))</f>
        <v>#NAME?</v>
      </c>
      <c r="AM161" s="11" t="e">
        <f t="shared" ca="1" si="27"/>
        <v>#NAME?</v>
      </c>
      <c r="AN161" s="57" t="e">
        <f t="shared" ca="1" si="21"/>
        <v>#NAME?</v>
      </c>
    </row>
    <row r="162" spans="1:40" x14ac:dyDescent="0.3">
      <c r="A162" s="67" t="str">
        <f t="shared" si="22"/>
        <v>XS2362994068</v>
      </c>
      <c r="B162" s="68" t="s">
        <v>308</v>
      </c>
      <c r="C162" s="75">
        <v>9395</v>
      </c>
      <c r="D162" s="75">
        <v>128</v>
      </c>
      <c r="E162" s="75">
        <v>600000</v>
      </c>
      <c r="F162" s="69">
        <v>0.39333309</v>
      </c>
      <c r="G162" s="70">
        <v>599850</v>
      </c>
      <c r="H162" s="67">
        <f t="shared" si="23"/>
        <v>600000</v>
      </c>
      <c r="I162" s="67">
        <f t="shared" si="24"/>
        <v>0.39333309</v>
      </c>
      <c r="J162" s="67">
        <f t="shared" si="25"/>
        <v>599850</v>
      </c>
      <c r="K162" s="71">
        <f t="shared" si="26"/>
        <v>99.974999999999994</v>
      </c>
      <c r="L162" s="29" t="e">
        <f ca="1">IF(B162="","",_xll.BDP(A162&amp;" Corp","INTERVAL_HIGH","START_DATE_OVERRIDE",TEXT($L$12,"AAAAMMDD"),"END_DATE_OVERRIDE",TEXT($L$13,"AAAAMMDD"),"MARKET_DATA_OVERRIDE",$L$14))</f>
        <v>#NAME?</v>
      </c>
      <c r="M162" s="30" t="e">
        <f ca="1">IF(B162="","",_xll.BDP($A162&amp;" Corp","INTERVAL_LOW","START_DATE_OVERRIDE",TEXT($L$12,"AAAAMMDD"),"END_DATE_OVERRIDE",TEXT($L$13,"AAAAMMDD"),"MARKET_DATA_OVERRIDE",$L$14))</f>
        <v>#NAME?</v>
      </c>
      <c r="N162" s="31" t="e">
        <f ca="1">IF($B162="","",_xll.BDP($A162&amp;" Corp",N$15))</f>
        <v>#NAME?</v>
      </c>
      <c r="O162" s="32" t="e">
        <f ca="1">IF($B162="","",_xll.BDP($A162&amp;" Corp",O$15))</f>
        <v>#NAME?</v>
      </c>
      <c r="P162" s="32" t="e">
        <f ca="1">IF($B162="","",_xll.BDP($A162&amp;" Corp",P$15))</f>
        <v>#NAME?</v>
      </c>
      <c r="Q162" s="30" t="e">
        <f ca="1">IF($B162="","",_xll.BDP($A162&amp;" Corp",Q$14))</f>
        <v>#NAME?</v>
      </c>
      <c r="R162" s="30" t="e">
        <f ca="1">IF($B162="","",_xll.BDP($A162&amp;" Corp",R$14))</f>
        <v>#NAME?</v>
      </c>
      <c r="S162" s="50" t="e">
        <f ca="1">IF($B162="","",_xll.BDP($A162&amp;" Corp",S$14))</f>
        <v>#NAME?</v>
      </c>
      <c r="T162" s="30" t="e">
        <f ca="1">IF($B162="","",_xll.BDP($A162&amp;" Corp",T$14))</f>
        <v>#NAME?</v>
      </c>
      <c r="U162" s="30" t="e">
        <f ca="1">IF($B162="","",_xll.BDP($A162&amp;" Corp",U$14))</f>
        <v>#NAME?</v>
      </c>
      <c r="V162" s="51" t="e">
        <f ca="1">IF($B162="","",IF($T162="VARIABLE",_xll.BDP($A162&amp;" Corp",V$13),_xll.BDP($A162&amp;" Corp",V$14)))</f>
        <v>#NAME?</v>
      </c>
      <c r="W162" s="30" t="e">
        <f ca="1">IF($B162="","",IF($T162="VARIABLE",_xll.BDP($A162&amp;" Corp",W$13),_xll.BDP($A162&amp;" Corp",W$14)))</f>
        <v>#NAME?</v>
      </c>
      <c r="X162" s="30" t="e">
        <f ca="1">IF($B162="","",_xll.BDP($A162&amp;" Corp",X$14))</f>
        <v>#NAME?</v>
      </c>
      <c r="Y162" s="33" t="e">
        <f ca="1">IF($B162="","",_xll.BDP($A162&amp;" Corp",Y$14))</f>
        <v>#NAME?</v>
      </c>
      <c r="Z162" s="52" t="e">
        <f ca="1">IF($B162="","",_xll.BDP($A162&amp;" Corp",Z$14))</f>
        <v>#NAME?</v>
      </c>
      <c r="AA162" s="53" t="e">
        <f ca="1">IF($B162="","",_xll.BDP($A162&amp;" Corp",AA$14))</f>
        <v>#NAME?</v>
      </c>
      <c r="AB162" s="54" t="e">
        <f ca="1">IF($B162="","",_xll.BDP($A162&amp;" Corp",AB$14))</f>
        <v>#NAME?</v>
      </c>
      <c r="AC162" s="54" t="e">
        <f ca="1">IF($B162="","",_xll.BDP($A162&amp;" Corp",AC$14))</f>
        <v>#NAME?</v>
      </c>
      <c r="AD162" s="55" t="e">
        <f ca="1">IF($B162="","",_xll.BDP($A162&amp;" Corp",AD$14))</f>
        <v>#NAME?</v>
      </c>
      <c r="AE162" s="56" t="e">
        <f ca="1">IF($B162="","",_xll.BDP($A162&amp;" Corp",AE$14))</f>
        <v>#NAME?</v>
      </c>
      <c r="AF162" s="29" t="e">
        <f ca="1">IF($B162="","",_xll.BDP($A162&amp;" Corp",AF$14))</f>
        <v>#NAME?</v>
      </c>
      <c r="AG162" s="33" t="e">
        <f ca="1">IF($B162="","",_xll.BDP($A162&amp;" Corp",AG$14))</f>
        <v>#NAME?</v>
      </c>
      <c r="AH162" s="30" t="e">
        <f ca="1">IF($B162="","",_xll.BDP($A162&amp;" Corp",AH$14))</f>
        <v>#NAME?</v>
      </c>
      <c r="AI162" s="30" t="e">
        <f ca="1">IF($B162="","",_xll.BDP($A162&amp;" Corp",AI$14))</f>
        <v>#NAME?</v>
      </c>
      <c r="AJ162" s="30" t="e">
        <f ca="1">IF($B162="","",_xll.BDP($A162&amp;" Corp",AJ$14))</f>
        <v>#NAME?</v>
      </c>
      <c r="AK162" s="11" t="e">
        <f ca="1">IF($B162="","",_xll.BDP($A162&amp;" Corp",AK$14))</f>
        <v>#NAME?</v>
      </c>
      <c r="AL162" s="11" t="e">
        <f ca="1">IF($B162="","",_xll.BDP($A162&amp;" Corp",AL$14))</f>
        <v>#NAME?</v>
      </c>
      <c r="AM162" s="11" t="e">
        <f t="shared" ca="1" si="27"/>
        <v>#NAME?</v>
      </c>
      <c r="AN162" s="57" t="e">
        <f t="shared" ca="1" si="21"/>
        <v>#NAME?</v>
      </c>
    </row>
    <row r="163" spans="1:40" x14ac:dyDescent="0.3">
      <c r="A163" s="67" t="str">
        <f t="shared" si="22"/>
        <v>XS2363244513</v>
      </c>
      <c r="B163" s="68" t="s">
        <v>292</v>
      </c>
      <c r="C163" s="75">
        <v>9392</v>
      </c>
      <c r="D163" s="75">
        <v>128</v>
      </c>
      <c r="E163" s="75">
        <v>100000</v>
      </c>
      <c r="F163" s="69">
        <v>7.9433279999999995E-2</v>
      </c>
      <c r="G163" s="70">
        <v>99550</v>
      </c>
      <c r="H163" s="67">
        <f t="shared" si="23"/>
        <v>100000</v>
      </c>
      <c r="I163" s="67">
        <f t="shared" si="24"/>
        <v>7.9433279999999995E-2</v>
      </c>
      <c r="J163" s="67">
        <f t="shared" si="25"/>
        <v>99550</v>
      </c>
      <c r="K163" s="71">
        <f t="shared" si="26"/>
        <v>99.55</v>
      </c>
      <c r="L163" s="29" t="e">
        <f ca="1">IF(B163="","",_xll.BDP(A163&amp;" Corp","INTERVAL_HIGH","START_DATE_OVERRIDE",TEXT($L$12,"AAAAMMDD"),"END_DATE_OVERRIDE",TEXT($L$13,"AAAAMMDD"),"MARKET_DATA_OVERRIDE",$L$14))</f>
        <v>#NAME?</v>
      </c>
      <c r="M163" s="30" t="e">
        <f ca="1">IF(B163="","",_xll.BDP($A163&amp;" Corp","INTERVAL_LOW","START_DATE_OVERRIDE",TEXT($L$12,"AAAAMMDD"),"END_DATE_OVERRIDE",TEXT($L$13,"AAAAMMDD"),"MARKET_DATA_OVERRIDE",$L$14))</f>
        <v>#NAME?</v>
      </c>
      <c r="N163" s="31" t="e">
        <f ca="1">IF($B163="","",_xll.BDP($A163&amp;" Corp",N$15))</f>
        <v>#NAME?</v>
      </c>
      <c r="O163" s="32" t="e">
        <f ca="1">IF($B163="","",_xll.BDP($A163&amp;" Corp",O$15))</f>
        <v>#NAME?</v>
      </c>
      <c r="P163" s="32" t="e">
        <f ca="1">IF($B163="","",_xll.BDP($A163&amp;" Corp",P$15))</f>
        <v>#NAME?</v>
      </c>
      <c r="Q163" s="30" t="e">
        <f ca="1">IF($B163="","",_xll.BDP($A163&amp;" Corp",Q$14))</f>
        <v>#NAME?</v>
      </c>
      <c r="R163" s="30" t="e">
        <f ca="1">IF($B163="","",_xll.BDP($A163&amp;" Corp",R$14))</f>
        <v>#NAME?</v>
      </c>
      <c r="S163" s="50" t="e">
        <f ca="1">IF($B163="","",_xll.BDP($A163&amp;" Corp",S$14))</f>
        <v>#NAME?</v>
      </c>
      <c r="T163" s="30" t="e">
        <f ca="1">IF($B163="","",_xll.BDP($A163&amp;" Corp",T$14))</f>
        <v>#NAME?</v>
      </c>
      <c r="U163" s="30" t="e">
        <f ca="1">IF($B163="","",_xll.BDP($A163&amp;" Corp",U$14))</f>
        <v>#NAME?</v>
      </c>
      <c r="V163" s="51" t="e">
        <f ca="1">IF($B163="","",IF($T163="VARIABLE",_xll.BDP($A163&amp;" Corp",V$13),_xll.BDP($A163&amp;" Corp",V$14)))</f>
        <v>#NAME?</v>
      </c>
      <c r="W163" s="30" t="e">
        <f ca="1">IF($B163="","",IF($T163="VARIABLE",_xll.BDP($A163&amp;" Corp",W$13),_xll.BDP($A163&amp;" Corp",W$14)))</f>
        <v>#NAME?</v>
      </c>
      <c r="X163" s="30" t="e">
        <f ca="1">IF($B163="","",_xll.BDP($A163&amp;" Corp",X$14))</f>
        <v>#NAME?</v>
      </c>
      <c r="Y163" s="33" t="e">
        <f ca="1">IF($B163="","",_xll.BDP($A163&amp;" Corp",Y$14))</f>
        <v>#NAME?</v>
      </c>
      <c r="Z163" s="52" t="e">
        <f ca="1">IF($B163="","",_xll.BDP($A163&amp;" Corp",Z$14))</f>
        <v>#NAME?</v>
      </c>
      <c r="AA163" s="53" t="e">
        <f ca="1">IF($B163="","",_xll.BDP($A163&amp;" Corp",AA$14))</f>
        <v>#NAME?</v>
      </c>
      <c r="AB163" s="54" t="e">
        <f ca="1">IF($B163="","",_xll.BDP($A163&amp;" Corp",AB$14))</f>
        <v>#NAME?</v>
      </c>
      <c r="AC163" s="54" t="e">
        <f ca="1">IF($B163="","",_xll.BDP($A163&amp;" Corp",AC$14))</f>
        <v>#NAME?</v>
      </c>
      <c r="AD163" s="55" t="e">
        <f ca="1">IF($B163="","",_xll.BDP($A163&amp;" Corp",AD$14))</f>
        <v>#NAME?</v>
      </c>
      <c r="AE163" s="56" t="e">
        <f ca="1">IF($B163="","",_xll.BDP($A163&amp;" Corp",AE$14))</f>
        <v>#NAME?</v>
      </c>
      <c r="AF163" s="29" t="e">
        <f ca="1">IF($B163="","",_xll.BDP($A163&amp;" Corp",AF$14))</f>
        <v>#NAME?</v>
      </c>
      <c r="AG163" s="33" t="e">
        <f ca="1">IF($B163="","",_xll.BDP($A163&amp;" Corp",AG$14))</f>
        <v>#NAME?</v>
      </c>
      <c r="AH163" s="30" t="e">
        <f ca="1">IF($B163="","",_xll.BDP($A163&amp;" Corp",AH$14))</f>
        <v>#NAME?</v>
      </c>
      <c r="AI163" s="30" t="e">
        <f ca="1">IF($B163="","",_xll.BDP($A163&amp;" Corp",AI$14))</f>
        <v>#NAME?</v>
      </c>
      <c r="AJ163" s="30" t="e">
        <f ca="1">IF($B163="","",_xll.BDP($A163&amp;" Corp",AJ$14))</f>
        <v>#NAME?</v>
      </c>
      <c r="AK163" s="11" t="e">
        <f ca="1">IF($B163="","",_xll.BDP($A163&amp;" Corp",AK$14))</f>
        <v>#NAME?</v>
      </c>
      <c r="AL163" s="11" t="e">
        <f ca="1">IF($B163="","",_xll.BDP($A163&amp;" Corp",AL$14))</f>
        <v>#NAME?</v>
      </c>
      <c r="AM163" s="11" t="e">
        <f t="shared" ca="1" si="27"/>
        <v>#NAME?</v>
      </c>
      <c r="AN163" s="57" t="e">
        <f t="shared" ca="1" si="21"/>
        <v>#NAME?</v>
      </c>
    </row>
    <row r="164" spans="1:40" x14ac:dyDescent="0.3">
      <c r="A164" s="67" t="str">
        <f t="shared" si="22"/>
        <v>XS2363989273</v>
      </c>
      <c r="B164" s="68" t="s">
        <v>566</v>
      </c>
      <c r="C164" s="75">
        <v>9406</v>
      </c>
      <c r="D164" s="75">
        <v>128</v>
      </c>
      <c r="E164" s="75">
        <v>400000</v>
      </c>
      <c r="F164" s="69">
        <v>0.28568440000000001</v>
      </c>
      <c r="G164" s="70">
        <v>406944.57</v>
      </c>
      <c r="H164" s="67">
        <f t="shared" si="23"/>
        <v>400000</v>
      </c>
      <c r="I164" s="67">
        <f t="shared" si="24"/>
        <v>0.28568440000000001</v>
      </c>
      <c r="J164" s="67">
        <f t="shared" si="25"/>
        <v>406944.57</v>
      </c>
      <c r="K164" s="71">
        <f t="shared" si="26"/>
        <v>101.7361425</v>
      </c>
      <c r="L164" s="29" t="e">
        <f ca="1">IF(B164="","",_xll.BDP(A164&amp;" Corp","INTERVAL_HIGH","START_DATE_OVERRIDE",TEXT($L$12,"AAAAMMDD"),"END_DATE_OVERRIDE",TEXT($L$13,"AAAAMMDD"),"MARKET_DATA_OVERRIDE",$L$14))</f>
        <v>#NAME?</v>
      </c>
      <c r="M164" s="30" t="e">
        <f ca="1">IF(B164="","",_xll.BDP($A164&amp;" Corp","INTERVAL_LOW","START_DATE_OVERRIDE",TEXT($L$12,"AAAAMMDD"),"END_DATE_OVERRIDE",TEXT($L$13,"AAAAMMDD"),"MARKET_DATA_OVERRIDE",$L$14))</f>
        <v>#NAME?</v>
      </c>
      <c r="N164" s="31" t="e">
        <f ca="1">IF($B164="","",_xll.BDP($A164&amp;" Corp",N$15))</f>
        <v>#NAME?</v>
      </c>
      <c r="O164" s="32" t="e">
        <f ca="1">IF($B164="","",_xll.BDP($A164&amp;" Corp",O$15))</f>
        <v>#NAME?</v>
      </c>
      <c r="P164" s="32" t="e">
        <f ca="1">IF($B164="","",_xll.BDP($A164&amp;" Corp",P$15))</f>
        <v>#NAME?</v>
      </c>
      <c r="Q164" s="30" t="e">
        <f ca="1">IF($B164="","",_xll.BDP($A164&amp;" Corp",Q$14))</f>
        <v>#NAME?</v>
      </c>
      <c r="R164" s="30" t="e">
        <f ca="1">IF($B164="","",_xll.BDP($A164&amp;" Corp",R$14))</f>
        <v>#NAME?</v>
      </c>
      <c r="S164" s="50" t="e">
        <f ca="1">IF($B164="","",_xll.BDP($A164&amp;" Corp",S$14))</f>
        <v>#NAME?</v>
      </c>
      <c r="T164" s="30" t="e">
        <f ca="1">IF($B164="","",_xll.BDP($A164&amp;" Corp",T$14))</f>
        <v>#NAME?</v>
      </c>
      <c r="U164" s="30" t="e">
        <f ca="1">IF($B164="","",_xll.BDP($A164&amp;" Corp",U$14))</f>
        <v>#NAME?</v>
      </c>
      <c r="V164" s="51" t="e">
        <f ca="1">IF($B164="","",IF($T164="VARIABLE",_xll.BDP($A164&amp;" Corp",V$13),_xll.BDP($A164&amp;" Corp",V$14)))</f>
        <v>#NAME?</v>
      </c>
      <c r="W164" s="30" t="e">
        <f ca="1">IF($B164="","",IF($T164="VARIABLE",_xll.BDP($A164&amp;" Corp",W$13),_xll.BDP($A164&amp;" Corp",W$14)))</f>
        <v>#NAME?</v>
      </c>
      <c r="X164" s="30" t="e">
        <f ca="1">IF($B164="","",_xll.BDP($A164&amp;" Corp",X$14))</f>
        <v>#NAME?</v>
      </c>
      <c r="Y164" s="33" t="e">
        <f ca="1">IF($B164="","",_xll.BDP($A164&amp;" Corp",Y$14))</f>
        <v>#NAME?</v>
      </c>
      <c r="Z164" s="52" t="e">
        <f ca="1">IF($B164="","",_xll.BDP($A164&amp;" Corp",Z$14))</f>
        <v>#NAME?</v>
      </c>
      <c r="AA164" s="53" t="e">
        <f ca="1">IF($B164="","",_xll.BDP($A164&amp;" Corp",AA$14))</f>
        <v>#NAME?</v>
      </c>
      <c r="AB164" s="54" t="e">
        <f ca="1">IF($B164="","",_xll.BDP($A164&amp;" Corp",AB$14))</f>
        <v>#NAME?</v>
      </c>
      <c r="AC164" s="54" t="e">
        <f ca="1">IF($B164="","",_xll.BDP($A164&amp;" Corp",AC$14))</f>
        <v>#NAME?</v>
      </c>
      <c r="AD164" s="55" t="e">
        <f ca="1">IF($B164="","",_xll.BDP($A164&amp;" Corp",AD$14))</f>
        <v>#NAME?</v>
      </c>
      <c r="AE164" s="56" t="e">
        <f ca="1">IF($B164="","",_xll.BDP($A164&amp;" Corp",AE$14))</f>
        <v>#NAME?</v>
      </c>
      <c r="AF164" s="29" t="e">
        <f ca="1">IF($B164="","",_xll.BDP($A164&amp;" Corp",AF$14))</f>
        <v>#NAME?</v>
      </c>
      <c r="AG164" s="33" t="e">
        <f ca="1">IF($B164="","",_xll.BDP($A164&amp;" Corp",AG$14))</f>
        <v>#NAME?</v>
      </c>
      <c r="AH164" s="30" t="e">
        <f ca="1">IF($B164="","",_xll.BDP($A164&amp;" Corp",AH$14))</f>
        <v>#NAME?</v>
      </c>
      <c r="AI164" s="30" t="e">
        <f ca="1">IF($B164="","",_xll.BDP($A164&amp;" Corp",AI$14))</f>
        <v>#NAME?</v>
      </c>
      <c r="AJ164" s="30" t="e">
        <f ca="1">IF($B164="","",_xll.BDP($A164&amp;" Corp",AJ$14))</f>
        <v>#NAME?</v>
      </c>
      <c r="AK164" s="11" t="e">
        <f ca="1">IF($B164="","",_xll.BDP($A164&amp;" Corp",AK$14))</f>
        <v>#NAME?</v>
      </c>
      <c r="AL164" s="11" t="e">
        <f ca="1">IF($B164="","",_xll.BDP($A164&amp;" Corp",AL$14))</f>
        <v>#NAME?</v>
      </c>
      <c r="AM164" s="11" t="e">
        <f t="shared" ca="1" si="27"/>
        <v>#NAME?</v>
      </c>
      <c r="AN164" s="57" t="e">
        <f t="shared" ca="1" si="21"/>
        <v>#NAME?</v>
      </c>
    </row>
    <row r="165" spans="1:40" x14ac:dyDescent="0.3">
      <c r="A165" s="67" t="str">
        <f t="shared" si="22"/>
        <v>XS2364754098</v>
      </c>
      <c r="B165" s="68" t="s">
        <v>405</v>
      </c>
      <c r="C165" s="75">
        <v>9396</v>
      </c>
      <c r="D165" s="75">
        <v>128</v>
      </c>
      <c r="E165" s="75">
        <v>700000</v>
      </c>
      <c r="F165" s="69">
        <v>0.52327433000000001</v>
      </c>
      <c r="G165" s="70">
        <v>694884</v>
      </c>
      <c r="H165" s="67">
        <f t="shared" si="23"/>
        <v>700000</v>
      </c>
      <c r="I165" s="67">
        <f t="shared" si="24"/>
        <v>0.52327433000000001</v>
      </c>
      <c r="J165" s="67">
        <f t="shared" si="25"/>
        <v>694884</v>
      </c>
      <c r="K165" s="71">
        <f t="shared" si="26"/>
        <v>99.269142857142853</v>
      </c>
      <c r="L165" s="29" t="e">
        <f ca="1">IF(B165="","",_xll.BDP(A165&amp;" Corp","INTERVAL_HIGH","START_DATE_OVERRIDE",TEXT($L$12,"AAAAMMDD"),"END_DATE_OVERRIDE",TEXT($L$13,"AAAAMMDD"),"MARKET_DATA_OVERRIDE",$L$14))</f>
        <v>#NAME?</v>
      </c>
      <c r="M165" s="30" t="e">
        <f ca="1">IF(B165="","",_xll.BDP($A165&amp;" Corp","INTERVAL_LOW","START_DATE_OVERRIDE",TEXT($L$12,"AAAAMMDD"),"END_DATE_OVERRIDE",TEXT($L$13,"AAAAMMDD"),"MARKET_DATA_OVERRIDE",$L$14))</f>
        <v>#NAME?</v>
      </c>
      <c r="N165" s="31" t="e">
        <f ca="1">IF($B165="","",_xll.BDP($A165&amp;" Corp",N$15))</f>
        <v>#NAME?</v>
      </c>
      <c r="O165" s="32" t="e">
        <f ca="1">IF($B165="","",_xll.BDP($A165&amp;" Corp",O$15))</f>
        <v>#NAME?</v>
      </c>
      <c r="P165" s="32" t="e">
        <f ca="1">IF($B165="","",_xll.BDP($A165&amp;" Corp",P$15))</f>
        <v>#NAME?</v>
      </c>
      <c r="Q165" s="30" t="e">
        <f ca="1">IF($B165="","",_xll.BDP($A165&amp;" Corp",Q$14))</f>
        <v>#NAME?</v>
      </c>
      <c r="R165" s="30" t="e">
        <f ca="1">IF($B165="","",_xll.BDP($A165&amp;" Corp",R$14))</f>
        <v>#NAME?</v>
      </c>
      <c r="S165" s="50" t="e">
        <f ca="1">IF($B165="","",_xll.BDP($A165&amp;" Corp",S$14))</f>
        <v>#NAME?</v>
      </c>
      <c r="T165" s="30" t="e">
        <f ca="1">IF($B165="","",_xll.BDP($A165&amp;" Corp",T$14))</f>
        <v>#NAME?</v>
      </c>
      <c r="U165" s="30" t="e">
        <f ca="1">IF($B165="","",_xll.BDP($A165&amp;" Corp",U$14))</f>
        <v>#NAME?</v>
      </c>
      <c r="V165" s="51" t="e">
        <f ca="1">IF($B165="","",IF($T165="VARIABLE",_xll.BDP($A165&amp;" Corp",V$13),_xll.BDP($A165&amp;" Corp",V$14)))</f>
        <v>#NAME?</v>
      </c>
      <c r="W165" s="30" t="e">
        <f ca="1">IF($B165="","",IF($T165="VARIABLE",_xll.BDP($A165&amp;" Corp",W$13),_xll.BDP($A165&amp;" Corp",W$14)))</f>
        <v>#NAME?</v>
      </c>
      <c r="X165" s="30" t="e">
        <f ca="1">IF($B165="","",_xll.BDP($A165&amp;" Corp",X$14))</f>
        <v>#NAME?</v>
      </c>
      <c r="Y165" s="33" t="e">
        <f ca="1">IF($B165="","",_xll.BDP($A165&amp;" Corp",Y$14))</f>
        <v>#NAME?</v>
      </c>
      <c r="Z165" s="52" t="e">
        <f ca="1">IF($B165="","",_xll.BDP($A165&amp;" Corp",Z$14))</f>
        <v>#NAME?</v>
      </c>
      <c r="AA165" s="53" t="e">
        <f ca="1">IF($B165="","",_xll.BDP($A165&amp;" Corp",AA$14))</f>
        <v>#NAME?</v>
      </c>
      <c r="AB165" s="54" t="e">
        <f ca="1">IF($B165="","",_xll.BDP($A165&amp;" Corp",AB$14))</f>
        <v>#NAME?</v>
      </c>
      <c r="AC165" s="54" t="e">
        <f ca="1">IF($B165="","",_xll.BDP($A165&amp;" Corp",AC$14))</f>
        <v>#NAME?</v>
      </c>
      <c r="AD165" s="55" t="e">
        <f ca="1">IF($B165="","",_xll.BDP($A165&amp;" Corp",AD$14))</f>
        <v>#NAME?</v>
      </c>
      <c r="AE165" s="56" t="e">
        <f ca="1">IF($B165="","",_xll.BDP($A165&amp;" Corp",AE$14))</f>
        <v>#NAME?</v>
      </c>
      <c r="AF165" s="29" t="e">
        <f ca="1">IF($B165="","",_xll.BDP($A165&amp;" Corp",AF$14))</f>
        <v>#NAME?</v>
      </c>
      <c r="AG165" s="33" t="e">
        <f ca="1">IF($B165="","",_xll.BDP($A165&amp;" Corp",AG$14))</f>
        <v>#NAME?</v>
      </c>
      <c r="AH165" s="30" t="e">
        <f ca="1">IF($B165="","",_xll.BDP($A165&amp;" Corp",AH$14))</f>
        <v>#NAME?</v>
      </c>
      <c r="AI165" s="30" t="e">
        <f ca="1">IF($B165="","",_xll.BDP($A165&amp;" Corp",AI$14))</f>
        <v>#NAME?</v>
      </c>
      <c r="AJ165" s="30" t="e">
        <f ca="1">IF($B165="","",_xll.BDP($A165&amp;" Corp",AJ$14))</f>
        <v>#NAME?</v>
      </c>
      <c r="AK165" s="11" t="e">
        <f ca="1">IF($B165="","",_xll.BDP($A165&amp;" Corp",AK$14))</f>
        <v>#NAME?</v>
      </c>
      <c r="AL165" s="11" t="e">
        <f ca="1">IF($B165="","",_xll.BDP($A165&amp;" Corp",AL$14))</f>
        <v>#NAME?</v>
      </c>
      <c r="AM165" s="11" t="e">
        <f t="shared" ca="1" si="27"/>
        <v>#NAME?</v>
      </c>
      <c r="AN165" s="57" t="e">
        <f t="shared" ca="1" si="21"/>
        <v>#NAME?</v>
      </c>
    </row>
    <row r="166" spans="1:40" x14ac:dyDescent="0.3">
      <c r="A166" s="67" t="str">
        <f t="shared" si="22"/>
        <v>XS2367164576</v>
      </c>
      <c r="B166" s="68" t="s">
        <v>588</v>
      </c>
      <c r="C166" s="75">
        <v>9407</v>
      </c>
      <c r="D166" s="75">
        <v>128</v>
      </c>
      <c r="E166" s="75">
        <v>700000</v>
      </c>
      <c r="F166" s="69">
        <v>0.47607219000000001</v>
      </c>
      <c r="G166" s="70">
        <v>695899</v>
      </c>
      <c r="H166" s="67">
        <f t="shared" si="23"/>
        <v>700000</v>
      </c>
      <c r="I166" s="67">
        <f t="shared" si="24"/>
        <v>0.47607219000000001</v>
      </c>
      <c r="J166" s="67">
        <f t="shared" si="25"/>
        <v>695899</v>
      </c>
      <c r="K166" s="71">
        <f t="shared" si="26"/>
        <v>99.414142857142863</v>
      </c>
      <c r="L166" s="29" t="e">
        <f ca="1">IF(B166="","",_xll.BDP(A166&amp;" Corp","INTERVAL_HIGH","START_DATE_OVERRIDE",TEXT($L$12,"AAAAMMDD"),"END_DATE_OVERRIDE",TEXT($L$13,"AAAAMMDD"),"MARKET_DATA_OVERRIDE",$L$14))</f>
        <v>#NAME?</v>
      </c>
      <c r="M166" s="30" t="e">
        <f ca="1">IF(B166="","",_xll.BDP($A166&amp;" Corp","INTERVAL_LOW","START_DATE_OVERRIDE",TEXT($L$12,"AAAAMMDD"),"END_DATE_OVERRIDE",TEXT($L$13,"AAAAMMDD"),"MARKET_DATA_OVERRIDE",$L$14))</f>
        <v>#NAME?</v>
      </c>
      <c r="N166" s="31" t="e">
        <f ca="1">IF($B166="","",_xll.BDP($A166&amp;" Corp",N$15))</f>
        <v>#NAME?</v>
      </c>
      <c r="O166" s="32" t="e">
        <f ca="1">IF($B166="","",_xll.BDP($A166&amp;" Corp",O$15))</f>
        <v>#NAME?</v>
      </c>
      <c r="P166" s="32" t="e">
        <f ca="1">IF($B166="","",_xll.BDP($A166&amp;" Corp",P$15))</f>
        <v>#NAME?</v>
      </c>
      <c r="Q166" s="30" t="e">
        <f ca="1">IF($B166="","",_xll.BDP($A166&amp;" Corp",Q$14))</f>
        <v>#NAME?</v>
      </c>
      <c r="R166" s="30" t="e">
        <f ca="1">IF($B166="","",_xll.BDP($A166&amp;" Corp",R$14))</f>
        <v>#NAME?</v>
      </c>
      <c r="S166" s="50" t="e">
        <f ca="1">IF($B166="","",_xll.BDP($A166&amp;" Corp",S$14))</f>
        <v>#NAME?</v>
      </c>
      <c r="T166" s="30" t="e">
        <f ca="1">IF($B166="","",_xll.BDP($A166&amp;" Corp",T$14))</f>
        <v>#NAME?</v>
      </c>
      <c r="U166" s="30" t="e">
        <f ca="1">IF($B166="","",_xll.BDP($A166&amp;" Corp",U$14))</f>
        <v>#NAME?</v>
      </c>
      <c r="V166" s="51" t="e">
        <f ca="1">IF($B166="","",IF($T166="VARIABLE",_xll.BDP($A166&amp;" Corp",V$13),_xll.BDP($A166&amp;" Corp",V$14)))</f>
        <v>#NAME?</v>
      </c>
      <c r="W166" s="30" t="e">
        <f ca="1">IF($B166="","",IF($T166="VARIABLE",_xll.BDP($A166&amp;" Corp",W$13),_xll.BDP($A166&amp;" Corp",W$14)))</f>
        <v>#NAME?</v>
      </c>
      <c r="X166" s="30" t="e">
        <f ca="1">IF($B166="","",_xll.BDP($A166&amp;" Corp",X$14))</f>
        <v>#NAME?</v>
      </c>
      <c r="Y166" s="33" t="e">
        <f ca="1">IF($B166="","",_xll.BDP($A166&amp;" Corp",Y$14))</f>
        <v>#NAME?</v>
      </c>
      <c r="Z166" s="52" t="e">
        <f ca="1">IF($B166="","",_xll.BDP($A166&amp;" Corp",Z$14))</f>
        <v>#NAME?</v>
      </c>
      <c r="AA166" s="53" t="e">
        <f ca="1">IF($B166="","",_xll.BDP($A166&amp;" Corp",AA$14))</f>
        <v>#NAME?</v>
      </c>
      <c r="AB166" s="54" t="e">
        <f ca="1">IF($B166="","",_xll.BDP($A166&amp;" Corp",AB$14))</f>
        <v>#NAME?</v>
      </c>
      <c r="AC166" s="54" t="e">
        <f ca="1">IF($B166="","",_xll.BDP($A166&amp;" Corp",AC$14))</f>
        <v>#NAME?</v>
      </c>
      <c r="AD166" s="55" t="e">
        <f ca="1">IF($B166="","",_xll.BDP($A166&amp;" Corp",AD$14))</f>
        <v>#NAME?</v>
      </c>
      <c r="AE166" s="56" t="e">
        <f ca="1">IF($B166="","",_xll.BDP($A166&amp;" Corp",AE$14))</f>
        <v>#NAME?</v>
      </c>
      <c r="AF166" s="29" t="e">
        <f ca="1">IF($B166="","",_xll.BDP($A166&amp;" Corp",AF$14))</f>
        <v>#NAME?</v>
      </c>
      <c r="AG166" s="33" t="e">
        <f ca="1">IF($B166="","",_xll.BDP($A166&amp;" Corp",AG$14))</f>
        <v>#NAME?</v>
      </c>
      <c r="AH166" s="30" t="e">
        <f ca="1">IF($B166="","",_xll.BDP($A166&amp;" Corp",AH$14))</f>
        <v>#NAME?</v>
      </c>
      <c r="AI166" s="30" t="e">
        <f ca="1">IF($B166="","",_xll.BDP($A166&amp;" Corp",AI$14))</f>
        <v>#NAME?</v>
      </c>
      <c r="AJ166" s="30" t="e">
        <f ca="1">IF($B166="","",_xll.BDP($A166&amp;" Corp",AJ$14))</f>
        <v>#NAME?</v>
      </c>
      <c r="AK166" s="11" t="e">
        <f ca="1">IF($B166="","",_xll.BDP($A166&amp;" Corp",AK$14))</f>
        <v>#NAME?</v>
      </c>
      <c r="AL166" s="11" t="e">
        <f ca="1">IF($B166="","",_xll.BDP($A166&amp;" Corp",AL$14))</f>
        <v>#NAME?</v>
      </c>
      <c r="AM166" s="11" t="e">
        <f t="shared" ca="1" si="27"/>
        <v>#NAME?</v>
      </c>
      <c r="AN166" s="57" t="e">
        <f t="shared" ca="1" si="21"/>
        <v>#NAME?</v>
      </c>
    </row>
    <row r="167" spans="1:40" x14ac:dyDescent="0.3">
      <c r="A167" s="67" t="str">
        <f t="shared" si="22"/>
        <v>XS2378468420</v>
      </c>
      <c r="B167" s="68" t="s">
        <v>456</v>
      </c>
      <c r="C167" s="75">
        <v>9468</v>
      </c>
      <c r="D167" s="75">
        <v>128</v>
      </c>
      <c r="E167" s="75">
        <v>200000</v>
      </c>
      <c r="F167" s="69">
        <v>0.11488128</v>
      </c>
      <c r="G167" s="70">
        <v>198534</v>
      </c>
      <c r="H167" s="67">
        <f t="shared" si="23"/>
        <v>200000</v>
      </c>
      <c r="I167" s="67">
        <f t="shared" si="24"/>
        <v>0.11488128</v>
      </c>
      <c r="J167" s="67">
        <f t="shared" si="25"/>
        <v>198534</v>
      </c>
      <c r="K167" s="71">
        <f t="shared" si="26"/>
        <v>99.266999999999996</v>
      </c>
      <c r="L167" s="29" t="e">
        <f ca="1">IF(B167="","",_xll.BDP(A167&amp;" Corp","INTERVAL_HIGH","START_DATE_OVERRIDE",TEXT($L$12,"AAAAMMDD"),"END_DATE_OVERRIDE",TEXT($L$13,"AAAAMMDD"),"MARKET_DATA_OVERRIDE",$L$14))</f>
        <v>#NAME?</v>
      </c>
      <c r="M167" s="30" t="e">
        <f ca="1">IF(B167="","",_xll.BDP($A167&amp;" Corp","INTERVAL_LOW","START_DATE_OVERRIDE",TEXT($L$12,"AAAAMMDD"),"END_DATE_OVERRIDE",TEXT($L$13,"AAAAMMDD"),"MARKET_DATA_OVERRIDE",$L$14))</f>
        <v>#NAME?</v>
      </c>
      <c r="N167" s="31" t="e">
        <f ca="1">IF($B167="","",_xll.BDP($A167&amp;" Corp",N$15))</f>
        <v>#NAME?</v>
      </c>
      <c r="O167" s="32" t="e">
        <f ca="1">IF($B167="","",_xll.BDP($A167&amp;" Corp",O$15))</f>
        <v>#NAME?</v>
      </c>
      <c r="P167" s="32" t="e">
        <f ca="1">IF($B167="","",_xll.BDP($A167&amp;" Corp",P$15))</f>
        <v>#NAME?</v>
      </c>
      <c r="Q167" s="30" t="e">
        <f ca="1">IF($B167="","",_xll.BDP($A167&amp;" Corp",Q$14))</f>
        <v>#NAME?</v>
      </c>
      <c r="R167" s="30" t="e">
        <f ca="1">IF($B167="","",_xll.BDP($A167&amp;" Corp",R$14))</f>
        <v>#NAME?</v>
      </c>
      <c r="S167" s="50" t="e">
        <f ca="1">IF($B167="","",_xll.BDP($A167&amp;" Corp",S$14))</f>
        <v>#NAME?</v>
      </c>
      <c r="T167" s="30" t="e">
        <f ca="1">IF($B167="","",_xll.BDP($A167&amp;" Corp",T$14))</f>
        <v>#NAME?</v>
      </c>
      <c r="U167" s="30" t="e">
        <f ca="1">IF($B167="","",_xll.BDP($A167&amp;" Corp",U$14))</f>
        <v>#NAME?</v>
      </c>
      <c r="V167" s="51" t="e">
        <f ca="1">IF($B167="","",IF($T167="VARIABLE",_xll.BDP($A167&amp;" Corp",V$13),_xll.BDP($A167&amp;" Corp",V$14)))</f>
        <v>#NAME?</v>
      </c>
      <c r="W167" s="30" t="e">
        <f ca="1">IF($B167="","",IF($T167="VARIABLE",_xll.BDP($A167&amp;" Corp",W$13),_xll.BDP($A167&amp;" Corp",W$14)))</f>
        <v>#NAME?</v>
      </c>
      <c r="X167" s="30" t="e">
        <f ca="1">IF($B167="","",_xll.BDP($A167&amp;" Corp",X$14))</f>
        <v>#NAME?</v>
      </c>
      <c r="Y167" s="33" t="e">
        <f ca="1">IF($B167="","",_xll.BDP($A167&amp;" Corp",Y$14))</f>
        <v>#NAME?</v>
      </c>
      <c r="Z167" s="52" t="e">
        <f ca="1">IF($B167="","",_xll.BDP($A167&amp;" Corp",Z$14))</f>
        <v>#NAME?</v>
      </c>
      <c r="AA167" s="53" t="e">
        <f ca="1">IF($B167="","",_xll.BDP($A167&amp;" Corp",AA$14))</f>
        <v>#NAME?</v>
      </c>
      <c r="AB167" s="54" t="e">
        <f ca="1">IF($B167="","",_xll.BDP($A167&amp;" Corp",AB$14))</f>
        <v>#NAME?</v>
      </c>
      <c r="AC167" s="54" t="e">
        <f ca="1">IF($B167="","",_xll.BDP($A167&amp;" Corp",AC$14))</f>
        <v>#NAME?</v>
      </c>
      <c r="AD167" s="55" t="e">
        <f ca="1">IF($B167="","",_xll.BDP($A167&amp;" Corp",AD$14))</f>
        <v>#NAME?</v>
      </c>
      <c r="AE167" s="56" t="e">
        <f ca="1">IF($B167="","",_xll.BDP($A167&amp;" Corp",AE$14))</f>
        <v>#NAME?</v>
      </c>
      <c r="AF167" s="29" t="e">
        <f ca="1">IF($B167="","",_xll.BDP($A167&amp;" Corp",AF$14))</f>
        <v>#NAME?</v>
      </c>
      <c r="AG167" s="33" t="e">
        <f ca="1">IF($B167="","",_xll.BDP($A167&amp;" Corp",AG$14))</f>
        <v>#NAME?</v>
      </c>
      <c r="AH167" s="30" t="e">
        <f ca="1">IF($B167="","",_xll.BDP($A167&amp;" Corp",AH$14))</f>
        <v>#NAME?</v>
      </c>
      <c r="AI167" s="30" t="e">
        <f ca="1">IF($B167="","",_xll.BDP($A167&amp;" Corp",AI$14))</f>
        <v>#NAME?</v>
      </c>
      <c r="AJ167" s="30" t="e">
        <f ca="1">IF($B167="","",_xll.BDP($A167&amp;" Corp",AJ$14))</f>
        <v>#NAME?</v>
      </c>
      <c r="AK167" s="11" t="e">
        <f ca="1">IF($B167="","",_xll.BDP($A167&amp;" Corp",AK$14))</f>
        <v>#NAME?</v>
      </c>
      <c r="AL167" s="11" t="e">
        <f ca="1">IF($B167="","",_xll.BDP($A167&amp;" Corp",AL$14))</f>
        <v>#NAME?</v>
      </c>
      <c r="AM167" s="11" t="e">
        <f t="shared" ca="1" si="27"/>
        <v>#NAME?</v>
      </c>
      <c r="AN167" s="57" t="e">
        <f t="shared" ca="1" si="21"/>
        <v>#NAME?</v>
      </c>
    </row>
    <row r="168" spans="1:40" x14ac:dyDescent="0.3">
      <c r="A168" s="67" t="str">
        <f t="shared" si="22"/>
        <v>XS2385393405</v>
      </c>
      <c r="B168" s="68" t="s">
        <v>256</v>
      </c>
      <c r="C168" s="75">
        <v>9472</v>
      </c>
      <c r="D168" s="75">
        <v>128</v>
      </c>
      <c r="E168" s="75">
        <v>400000</v>
      </c>
      <c r="F168" s="69">
        <v>0.28040895999999998</v>
      </c>
      <c r="G168" s="70">
        <v>393494</v>
      </c>
      <c r="H168" s="67">
        <f t="shared" si="23"/>
        <v>400000</v>
      </c>
      <c r="I168" s="67">
        <f t="shared" si="24"/>
        <v>0.28040895999999998</v>
      </c>
      <c r="J168" s="67">
        <f t="shared" si="25"/>
        <v>393494</v>
      </c>
      <c r="K168" s="71">
        <f t="shared" si="26"/>
        <v>98.373500000000007</v>
      </c>
      <c r="L168" s="29" t="e">
        <f ca="1">IF(B168="","",_xll.BDP(A168&amp;" Corp","INTERVAL_HIGH","START_DATE_OVERRIDE",TEXT($L$12,"AAAAMMDD"),"END_DATE_OVERRIDE",TEXT($L$13,"AAAAMMDD"),"MARKET_DATA_OVERRIDE",$L$14))</f>
        <v>#NAME?</v>
      </c>
      <c r="M168" s="30" t="e">
        <f ca="1">IF(B168="","",_xll.BDP($A168&amp;" Corp","INTERVAL_LOW","START_DATE_OVERRIDE",TEXT($L$12,"AAAAMMDD"),"END_DATE_OVERRIDE",TEXT($L$13,"AAAAMMDD"),"MARKET_DATA_OVERRIDE",$L$14))</f>
        <v>#NAME?</v>
      </c>
      <c r="N168" s="31" t="e">
        <f ca="1">IF($B168="","",_xll.BDP($A168&amp;" Corp",N$15))</f>
        <v>#NAME?</v>
      </c>
      <c r="O168" s="32" t="e">
        <f ca="1">IF($B168="","",_xll.BDP($A168&amp;" Corp",O$15))</f>
        <v>#NAME?</v>
      </c>
      <c r="P168" s="32" t="e">
        <f ca="1">IF($B168="","",_xll.BDP($A168&amp;" Corp",P$15))</f>
        <v>#NAME?</v>
      </c>
      <c r="Q168" s="30" t="e">
        <f ca="1">IF($B168="","",_xll.BDP($A168&amp;" Corp",Q$14))</f>
        <v>#NAME?</v>
      </c>
      <c r="R168" s="30" t="e">
        <f ca="1">IF($B168="","",_xll.BDP($A168&amp;" Corp",R$14))</f>
        <v>#NAME?</v>
      </c>
      <c r="S168" s="50" t="e">
        <f ca="1">IF($B168="","",_xll.BDP($A168&amp;" Corp",S$14))</f>
        <v>#NAME?</v>
      </c>
      <c r="T168" s="30" t="e">
        <f ca="1">IF($B168="","",_xll.BDP($A168&amp;" Corp",T$14))</f>
        <v>#NAME?</v>
      </c>
      <c r="U168" s="30" t="e">
        <f ca="1">IF($B168="","",_xll.BDP($A168&amp;" Corp",U$14))</f>
        <v>#NAME?</v>
      </c>
      <c r="V168" s="51" t="e">
        <f ca="1">IF($B168="","",IF($T168="VARIABLE",_xll.BDP($A168&amp;" Corp",V$13),_xll.BDP($A168&amp;" Corp",V$14)))</f>
        <v>#NAME?</v>
      </c>
      <c r="W168" s="30" t="e">
        <f ca="1">IF($B168="","",IF($T168="VARIABLE",_xll.BDP($A168&amp;" Corp",W$13),_xll.BDP($A168&amp;" Corp",W$14)))</f>
        <v>#NAME?</v>
      </c>
      <c r="X168" s="30" t="e">
        <f ca="1">IF($B168="","",_xll.BDP($A168&amp;" Corp",X$14))</f>
        <v>#NAME?</v>
      </c>
      <c r="Y168" s="33" t="e">
        <f ca="1">IF($B168="","",_xll.BDP($A168&amp;" Corp",Y$14))</f>
        <v>#NAME?</v>
      </c>
      <c r="Z168" s="52" t="e">
        <f ca="1">IF($B168="","",_xll.BDP($A168&amp;" Corp",Z$14))</f>
        <v>#NAME?</v>
      </c>
      <c r="AA168" s="53" t="e">
        <f ca="1">IF($B168="","",_xll.BDP($A168&amp;" Corp",AA$14))</f>
        <v>#NAME?</v>
      </c>
      <c r="AB168" s="54" t="e">
        <f ca="1">IF($B168="","",_xll.BDP($A168&amp;" Corp",AB$14))</f>
        <v>#NAME?</v>
      </c>
      <c r="AC168" s="54" t="e">
        <f ca="1">IF($B168="","",_xll.BDP($A168&amp;" Corp",AC$14))</f>
        <v>#NAME?</v>
      </c>
      <c r="AD168" s="55" t="e">
        <f ca="1">IF($B168="","",_xll.BDP($A168&amp;" Corp",AD$14))</f>
        <v>#NAME?</v>
      </c>
      <c r="AE168" s="56" t="e">
        <f ca="1">IF($B168="","",_xll.BDP($A168&amp;" Corp",AE$14))</f>
        <v>#NAME?</v>
      </c>
      <c r="AF168" s="29" t="e">
        <f ca="1">IF($B168="","",_xll.BDP($A168&amp;" Corp",AF$14))</f>
        <v>#NAME?</v>
      </c>
      <c r="AG168" s="33" t="e">
        <f ca="1">IF($B168="","",_xll.BDP($A168&amp;" Corp",AG$14))</f>
        <v>#NAME?</v>
      </c>
      <c r="AH168" s="30" t="e">
        <f ca="1">IF($B168="","",_xll.BDP($A168&amp;" Corp",AH$14))</f>
        <v>#NAME?</v>
      </c>
      <c r="AI168" s="30" t="e">
        <f ca="1">IF($B168="","",_xll.BDP($A168&amp;" Corp",AI$14))</f>
        <v>#NAME?</v>
      </c>
      <c r="AJ168" s="30" t="e">
        <f ca="1">IF($B168="","",_xll.BDP($A168&amp;" Corp",AJ$14))</f>
        <v>#NAME?</v>
      </c>
      <c r="AK168" s="11" t="e">
        <f ca="1">IF($B168="","",_xll.BDP($A168&amp;" Corp",AK$14))</f>
        <v>#NAME?</v>
      </c>
      <c r="AL168" s="11" t="e">
        <f ca="1">IF($B168="","",_xll.BDP($A168&amp;" Corp",AL$14))</f>
        <v>#NAME?</v>
      </c>
      <c r="AM168" s="11" t="e">
        <f t="shared" ca="1" si="27"/>
        <v>#NAME?</v>
      </c>
      <c r="AN168" s="57" t="e">
        <f t="shared" ca="1" si="21"/>
        <v>#NAME?</v>
      </c>
    </row>
    <row r="169" spans="1:40" x14ac:dyDescent="0.3">
      <c r="A169" s="67" t="str">
        <f t="shared" si="22"/>
        <v>XS2386287689</v>
      </c>
      <c r="B169" s="68" t="s">
        <v>407</v>
      </c>
      <c r="C169" s="75">
        <v>9471</v>
      </c>
      <c r="D169" s="75">
        <v>128</v>
      </c>
      <c r="E169" s="75">
        <v>250000</v>
      </c>
      <c r="F169" s="69">
        <v>0.17330641999999999</v>
      </c>
      <c r="G169" s="70">
        <v>250477.5</v>
      </c>
      <c r="H169" s="67">
        <f t="shared" si="23"/>
        <v>250000</v>
      </c>
      <c r="I169" s="67">
        <f t="shared" si="24"/>
        <v>0.17330641999999999</v>
      </c>
      <c r="J169" s="67">
        <f t="shared" si="25"/>
        <v>250477.5</v>
      </c>
      <c r="K169" s="71">
        <f t="shared" si="26"/>
        <v>100.191</v>
      </c>
      <c r="L169" s="29" t="e">
        <f ca="1">IF(B169="","",_xll.BDP(A169&amp;" Corp","INTERVAL_HIGH","START_DATE_OVERRIDE",TEXT($L$12,"AAAAMMDD"),"END_DATE_OVERRIDE",TEXT($L$13,"AAAAMMDD"),"MARKET_DATA_OVERRIDE",$L$14))</f>
        <v>#NAME?</v>
      </c>
      <c r="M169" s="30" t="e">
        <f ca="1">IF(B169="","",_xll.BDP($A169&amp;" Corp","INTERVAL_LOW","START_DATE_OVERRIDE",TEXT($L$12,"AAAAMMDD"),"END_DATE_OVERRIDE",TEXT($L$13,"AAAAMMDD"),"MARKET_DATA_OVERRIDE",$L$14))</f>
        <v>#NAME?</v>
      </c>
      <c r="N169" s="31" t="e">
        <f ca="1">IF($B169="","",_xll.BDP($A169&amp;" Corp",N$15))</f>
        <v>#NAME?</v>
      </c>
      <c r="O169" s="32" t="e">
        <f ca="1">IF($B169="","",_xll.BDP($A169&amp;" Corp",O$15))</f>
        <v>#NAME?</v>
      </c>
      <c r="P169" s="32" t="e">
        <f ca="1">IF($B169="","",_xll.BDP($A169&amp;" Corp",P$15))</f>
        <v>#NAME?</v>
      </c>
      <c r="Q169" s="30" t="e">
        <f ca="1">IF($B169="","",_xll.BDP($A169&amp;" Corp",Q$14))</f>
        <v>#NAME?</v>
      </c>
      <c r="R169" s="30" t="e">
        <f ca="1">IF($B169="","",_xll.BDP($A169&amp;" Corp",R$14))</f>
        <v>#NAME?</v>
      </c>
      <c r="S169" s="50" t="e">
        <f ca="1">IF($B169="","",_xll.BDP($A169&amp;" Corp",S$14))</f>
        <v>#NAME?</v>
      </c>
      <c r="T169" s="30" t="e">
        <f ca="1">IF($B169="","",_xll.BDP($A169&amp;" Corp",T$14))</f>
        <v>#NAME?</v>
      </c>
      <c r="U169" s="30" t="e">
        <f ca="1">IF($B169="","",_xll.BDP($A169&amp;" Corp",U$14))</f>
        <v>#NAME?</v>
      </c>
      <c r="V169" s="51" t="e">
        <f ca="1">IF($B169="","",IF($T169="VARIABLE",_xll.BDP($A169&amp;" Corp",V$13),_xll.BDP($A169&amp;" Corp",V$14)))</f>
        <v>#NAME?</v>
      </c>
      <c r="W169" s="30" t="e">
        <f ca="1">IF($B169="","",IF($T169="VARIABLE",_xll.BDP($A169&amp;" Corp",W$13),_xll.BDP($A169&amp;" Corp",W$14)))</f>
        <v>#NAME?</v>
      </c>
      <c r="X169" s="30" t="e">
        <f ca="1">IF($B169="","",_xll.BDP($A169&amp;" Corp",X$14))</f>
        <v>#NAME?</v>
      </c>
      <c r="Y169" s="33" t="e">
        <f ca="1">IF($B169="","",_xll.BDP($A169&amp;" Corp",Y$14))</f>
        <v>#NAME?</v>
      </c>
      <c r="Z169" s="52" t="e">
        <f ca="1">IF($B169="","",_xll.BDP($A169&amp;" Corp",Z$14))</f>
        <v>#NAME?</v>
      </c>
      <c r="AA169" s="53" t="e">
        <f ca="1">IF($B169="","",_xll.BDP($A169&amp;" Corp",AA$14))</f>
        <v>#NAME?</v>
      </c>
      <c r="AB169" s="54" t="e">
        <f ca="1">IF($B169="","",_xll.BDP($A169&amp;" Corp",AB$14))</f>
        <v>#NAME?</v>
      </c>
      <c r="AC169" s="54" t="e">
        <f ca="1">IF($B169="","",_xll.BDP($A169&amp;" Corp",AC$14))</f>
        <v>#NAME?</v>
      </c>
      <c r="AD169" s="55" t="e">
        <f ca="1">IF($B169="","",_xll.BDP($A169&amp;" Corp",AD$14))</f>
        <v>#NAME?</v>
      </c>
      <c r="AE169" s="56" t="e">
        <f ca="1">IF($B169="","",_xll.BDP($A169&amp;" Corp",AE$14))</f>
        <v>#NAME?</v>
      </c>
      <c r="AF169" s="29" t="e">
        <f ca="1">IF($B169="","",_xll.BDP($A169&amp;" Corp",AF$14))</f>
        <v>#NAME?</v>
      </c>
      <c r="AG169" s="33" t="e">
        <f ca="1">IF($B169="","",_xll.BDP($A169&amp;" Corp",AG$14))</f>
        <v>#NAME?</v>
      </c>
      <c r="AH169" s="30" t="e">
        <f ca="1">IF($B169="","",_xll.BDP($A169&amp;" Corp",AH$14))</f>
        <v>#NAME?</v>
      </c>
      <c r="AI169" s="30" t="e">
        <f ca="1">IF($B169="","",_xll.BDP($A169&amp;" Corp",AI$14))</f>
        <v>#NAME?</v>
      </c>
      <c r="AJ169" s="30" t="e">
        <f ca="1">IF($B169="","",_xll.BDP($A169&amp;" Corp",AJ$14))</f>
        <v>#NAME?</v>
      </c>
      <c r="AK169" s="11" t="e">
        <f ca="1">IF($B169="","",_xll.BDP($A169&amp;" Corp",AK$14))</f>
        <v>#NAME?</v>
      </c>
      <c r="AL169" s="11" t="e">
        <f ca="1">IF($B169="","",_xll.BDP($A169&amp;" Corp",AL$14))</f>
        <v>#NAME?</v>
      </c>
      <c r="AM169" s="11" t="e">
        <f t="shared" ca="1" si="27"/>
        <v>#NAME?</v>
      </c>
      <c r="AN169" s="57" t="e">
        <f t="shared" ca="1" si="21"/>
        <v>#NAME?</v>
      </c>
    </row>
    <row r="170" spans="1:40" x14ac:dyDescent="0.3">
      <c r="A170" s="67" t="str">
        <f t="shared" si="22"/>
        <v>XS2407027031</v>
      </c>
      <c r="B170" s="68" t="s">
        <v>483</v>
      </c>
      <c r="C170" s="75">
        <v>9603</v>
      </c>
      <c r="D170" s="75">
        <v>128</v>
      </c>
      <c r="E170" s="75">
        <v>100000</v>
      </c>
      <c r="F170" s="69">
        <v>6.8593699999999994E-2</v>
      </c>
      <c r="G170" s="70">
        <v>100175</v>
      </c>
      <c r="H170" s="67">
        <f t="shared" si="23"/>
        <v>100000</v>
      </c>
      <c r="I170" s="67">
        <f t="shared" si="24"/>
        <v>6.8593699999999994E-2</v>
      </c>
      <c r="J170" s="67">
        <f t="shared" si="25"/>
        <v>100175</v>
      </c>
      <c r="K170" s="71">
        <f t="shared" si="26"/>
        <v>100.175</v>
      </c>
      <c r="L170" s="29" t="e">
        <f ca="1">IF(B170="","",_xll.BDP(A170&amp;" Corp","INTERVAL_HIGH","START_DATE_OVERRIDE",TEXT($L$12,"AAAAMMDD"),"END_DATE_OVERRIDE",TEXT($L$13,"AAAAMMDD"),"MARKET_DATA_OVERRIDE",$L$14))</f>
        <v>#NAME?</v>
      </c>
      <c r="M170" s="30" t="e">
        <f ca="1">IF(B170="","",_xll.BDP($A170&amp;" Corp","INTERVAL_LOW","START_DATE_OVERRIDE",TEXT($L$12,"AAAAMMDD"),"END_DATE_OVERRIDE",TEXT($L$13,"AAAAMMDD"),"MARKET_DATA_OVERRIDE",$L$14))</f>
        <v>#NAME?</v>
      </c>
      <c r="N170" s="31" t="e">
        <f ca="1">IF($B170="","",_xll.BDP($A170&amp;" Corp",N$15))</f>
        <v>#NAME?</v>
      </c>
      <c r="O170" s="32" t="e">
        <f ca="1">IF($B170="","",_xll.BDP($A170&amp;" Corp",O$15))</f>
        <v>#NAME?</v>
      </c>
      <c r="P170" s="32" t="e">
        <f ca="1">IF($B170="","",_xll.BDP($A170&amp;" Corp",P$15))</f>
        <v>#NAME?</v>
      </c>
      <c r="Q170" s="30" t="e">
        <f ca="1">IF($B170="","",_xll.BDP($A170&amp;" Corp",Q$14))</f>
        <v>#NAME?</v>
      </c>
      <c r="R170" s="30" t="e">
        <f ca="1">IF($B170="","",_xll.BDP($A170&amp;" Corp",R$14))</f>
        <v>#NAME?</v>
      </c>
      <c r="S170" s="50" t="e">
        <f ca="1">IF($B170="","",_xll.BDP($A170&amp;" Corp",S$14))</f>
        <v>#NAME?</v>
      </c>
      <c r="T170" s="30" t="e">
        <f ca="1">IF($B170="","",_xll.BDP($A170&amp;" Corp",T$14))</f>
        <v>#NAME?</v>
      </c>
      <c r="U170" s="30" t="e">
        <f ca="1">IF($B170="","",_xll.BDP($A170&amp;" Corp",U$14))</f>
        <v>#NAME?</v>
      </c>
      <c r="V170" s="51" t="e">
        <f ca="1">IF($B170="","",IF($T170="VARIABLE",_xll.BDP($A170&amp;" Corp",V$13),_xll.BDP($A170&amp;" Corp",V$14)))</f>
        <v>#NAME?</v>
      </c>
      <c r="W170" s="30" t="e">
        <f ca="1">IF($B170="","",IF($T170="VARIABLE",_xll.BDP($A170&amp;" Corp",W$13),_xll.BDP($A170&amp;" Corp",W$14)))</f>
        <v>#NAME?</v>
      </c>
      <c r="X170" s="30" t="e">
        <f ca="1">IF($B170="","",_xll.BDP($A170&amp;" Corp",X$14))</f>
        <v>#NAME?</v>
      </c>
      <c r="Y170" s="33" t="e">
        <f ca="1">IF($B170="","",_xll.BDP($A170&amp;" Corp",Y$14))</f>
        <v>#NAME?</v>
      </c>
      <c r="Z170" s="52" t="e">
        <f ca="1">IF($B170="","",_xll.BDP($A170&amp;" Corp",Z$14))</f>
        <v>#NAME?</v>
      </c>
      <c r="AA170" s="53" t="e">
        <f ca="1">IF($B170="","",_xll.BDP($A170&amp;" Corp",AA$14))</f>
        <v>#NAME?</v>
      </c>
      <c r="AB170" s="54" t="e">
        <f ca="1">IF($B170="","",_xll.BDP($A170&amp;" Corp",AB$14))</f>
        <v>#NAME?</v>
      </c>
      <c r="AC170" s="54" t="e">
        <f ca="1">IF($B170="","",_xll.BDP($A170&amp;" Corp",AC$14))</f>
        <v>#NAME?</v>
      </c>
      <c r="AD170" s="55" t="e">
        <f ca="1">IF($B170="","",_xll.BDP($A170&amp;" Corp",AD$14))</f>
        <v>#NAME?</v>
      </c>
      <c r="AE170" s="56" t="e">
        <f ca="1">IF($B170="","",_xll.BDP($A170&amp;" Corp",AE$14))</f>
        <v>#NAME?</v>
      </c>
      <c r="AF170" s="29" t="e">
        <f ca="1">IF($B170="","",_xll.BDP($A170&amp;" Corp",AF$14))</f>
        <v>#NAME?</v>
      </c>
      <c r="AG170" s="33" t="e">
        <f ca="1">IF($B170="","",_xll.BDP($A170&amp;" Corp",AG$14))</f>
        <v>#NAME?</v>
      </c>
      <c r="AH170" s="30" t="e">
        <f ca="1">IF($B170="","",_xll.BDP($A170&amp;" Corp",AH$14))</f>
        <v>#NAME?</v>
      </c>
      <c r="AI170" s="30" t="e">
        <f ca="1">IF($B170="","",_xll.BDP($A170&amp;" Corp",AI$14))</f>
        <v>#NAME?</v>
      </c>
      <c r="AJ170" s="30" t="e">
        <f ca="1">IF($B170="","",_xll.BDP($A170&amp;" Corp",AJ$14))</f>
        <v>#NAME?</v>
      </c>
      <c r="AK170" s="11" t="e">
        <f ca="1">IF($B170="","",_xll.BDP($A170&amp;" Corp",AK$14))</f>
        <v>#NAME?</v>
      </c>
      <c r="AL170" s="11" t="e">
        <f ca="1">IF($B170="","",_xll.BDP($A170&amp;" Corp",AL$14))</f>
        <v>#NAME?</v>
      </c>
      <c r="AM170" s="11" t="e">
        <f t="shared" ca="1" si="27"/>
        <v>#NAME?</v>
      </c>
      <c r="AN170" s="57" t="e">
        <f t="shared" ca="1" si="21"/>
        <v>#NAME?</v>
      </c>
    </row>
    <row r="171" spans="1:40" x14ac:dyDescent="0.3">
      <c r="A171" s="67" t="str">
        <f t="shared" si="22"/>
        <v>XS2408458227</v>
      </c>
      <c r="B171" s="68" t="s">
        <v>294</v>
      </c>
      <c r="C171" s="75">
        <v>9606</v>
      </c>
      <c r="D171" s="75">
        <v>128</v>
      </c>
      <c r="E171" s="75">
        <v>200000</v>
      </c>
      <c r="F171" s="69">
        <v>0.1635867</v>
      </c>
      <c r="G171" s="70">
        <v>200366</v>
      </c>
      <c r="H171" s="67">
        <f t="shared" si="23"/>
        <v>200000</v>
      </c>
      <c r="I171" s="67">
        <f t="shared" si="24"/>
        <v>0.1635867</v>
      </c>
      <c r="J171" s="67">
        <f t="shared" si="25"/>
        <v>200366</v>
      </c>
      <c r="K171" s="71">
        <f t="shared" si="26"/>
        <v>100.18300000000001</v>
      </c>
      <c r="L171" s="29" t="e">
        <f ca="1">IF(B171="","",_xll.BDP(A171&amp;" Corp","INTERVAL_HIGH","START_DATE_OVERRIDE",TEXT($L$12,"AAAAMMDD"),"END_DATE_OVERRIDE",TEXT($L$13,"AAAAMMDD"),"MARKET_DATA_OVERRIDE",$L$14))</f>
        <v>#NAME?</v>
      </c>
      <c r="M171" s="30" t="e">
        <f ca="1">IF(B171="","",_xll.BDP($A171&amp;" Corp","INTERVAL_LOW","START_DATE_OVERRIDE",TEXT($L$12,"AAAAMMDD"),"END_DATE_OVERRIDE",TEXT($L$13,"AAAAMMDD"),"MARKET_DATA_OVERRIDE",$L$14))</f>
        <v>#NAME?</v>
      </c>
      <c r="N171" s="31" t="e">
        <f ca="1">IF($B171="","",_xll.BDP($A171&amp;" Corp",N$15))</f>
        <v>#NAME?</v>
      </c>
      <c r="O171" s="32" t="e">
        <f ca="1">IF($B171="","",_xll.BDP($A171&amp;" Corp",O$15))</f>
        <v>#NAME?</v>
      </c>
      <c r="P171" s="32" t="e">
        <f ca="1">IF($B171="","",_xll.BDP($A171&amp;" Corp",P$15))</f>
        <v>#NAME?</v>
      </c>
      <c r="Q171" s="30" t="e">
        <f ca="1">IF($B171="","",_xll.BDP($A171&amp;" Corp",Q$14))</f>
        <v>#NAME?</v>
      </c>
      <c r="R171" s="30" t="e">
        <f ca="1">IF($B171="","",_xll.BDP($A171&amp;" Corp",R$14))</f>
        <v>#NAME?</v>
      </c>
      <c r="S171" s="50" t="e">
        <f ca="1">IF($B171="","",_xll.BDP($A171&amp;" Corp",S$14))</f>
        <v>#NAME?</v>
      </c>
      <c r="T171" s="30" t="e">
        <f ca="1">IF($B171="","",_xll.BDP($A171&amp;" Corp",T$14))</f>
        <v>#NAME?</v>
      </c>
      <c r="U171" s="30" t="e">
        <f ca="1">IF($B171="","",_xll.BDP($A171&amp;" Corp",U$14))</f>
        <v>#NAME?</v>
      </c>
      <c r="V171" s="51" t="e">
        <f ca="1">IF($B171="","",IF($T171="VARIABLE",_xll.BDP($A171&amp;" Corp",V$13),_xll.BDP($A171&amp;" Corp",V$14)))</f>
        <v>#NAME?</v>
      </c>
      <c r="W171" s="30" t="e">
        <f ca="1">IF($B171="","",IF($T171="VARIABLE",_xll.BDP($A171&amp;" Corp",W$13),_xll.BDP($A171&amp;" Corp",W$14)))</f>
        <v>#NAME?</v>
      </c>
      <c r="X171" s="30" t="e">
        <f ca="1">IF($B171="","",_xll.BDP($A171&amp;" Corp",X$14))</f>
        <v>#NAME?</v>
      </c>
      <c r="Y171" s="33" t="e">
        <f ca="1">IF($B171="","",_xll.BDP($A171&amp;" Corp",Y$14))</f>
        <v>#NAME?</v>
      </c>
      <c r="Z171" s="52" t="e">
        <f ca="1">IF($B171="","",_xll.BDP($A171&amp;" Corp",Z$14))</f>
        <v>#NAME?</v>
      </c>
      <c r="AA171" s="53" t="e">
        <f ca="1">IF($B171="","",_xll.BDP($A171&amp;" Corp",AA$14))</f>
        <v>#NAME?</v>
      </c>
      <c r="AB171" s="54" t="e">
        <f ca="1">IF($B171="","",_xll.BDP($A171&amp;" Corp",AB$14))</f>
        <v>#NAME?</v>
      </c>
      <c r="AC171" s="54" t="e">
        <f ca="1">IF($B171="","",_xll.BDP($A171&amp;" Corp",AC$14))</f>
        <v>#NAME?</v>
      </c>
      <c r="AD171" s="55" t="e">
        <f ca="1">IF($B171="","",_xll.BDP($A171&amp;" Corp",AD$14))</f>
        <v>#NAME?</v>
      </c>
      <c r="AE171" s="56" t="e">
        <f ca="1">IF($B171="","",_xll.BDP($A171&amp;" Corp",AE$14))</f>
        <v>#NAME?</v>
      </c>
      <c r="AF171" s="29" t="e">
        <f ca="1">IF($B171="","",_xll.BDP($A171&amp;" Corp",AF$14))</f>
        <v>#NAME?</v>
      </c>
      <c r="AG171" s="33" t="e">
        <f ca="1">IF($B171="","",_xll.BDP($A171&amp;" Corp",AG$14))</f>
        <v>#NAME?</v>
      </c>
      <c r="AH171" s="30" t="e">
        <f ca="1">IF($B171="","",_xll.BDP($A171&amp;" Corp",AH$14))</f>
        <v>#NAME?</v>
      </c>
      <c r="AI171" s="30" t="e">
        <f ca="1">IF($B171="","",_xll.BDP($A171&amp;" Corp",AI$14))</f>
        <v>#NAME?</v>
      </c>
      <c r="AJ171" s="30" t="e">
        <f ca="1">IF($B171="","",_xll.BDP($A171&amp;" Corp",AJ$14))</f>
        <v>#NAME?</v>
      </c>
      <c r="AK171" s="11" t="e">
        <f ca="1">IF($B171="","",_xll.BDP($A171&amp;" Corp",AK$14))</f>
        <v>#NAME?</v>
      </c>
      <c r="AL171" s="11" t="e">
        <f ca="1">IF($B171="","",_xll.BDP($A171&amp;" Corp",AL$14))</f>
        <v>#NAME?</v>
      </c>
      <c r="AM171" s="11" t="e">
        <f t="shared" ca="1" si="27"/>
        <v>#NAME?</v>
      </c>
      <c r="AN171" s="57" t="e">
        <f t="shared" ca="1" si="21"/>
        <v>#NAME?</v>
      </c>
    </row>
    <row r="172" spans="1:40" x14ac:dyDescent="0.3">
      <c r="A172" s="67" t="str">
        <f t="shared" si="22"/>
        <v>XS2432162654</v>
      </c>
      <c r="B172" s="68" t="s">
        <v>485</v>
      </c>
      <c r="C172" s="75">
        <v>9706</v>
      </c>
      <c r="D172" s="75">
        <v>128</v>
      </c>
      <c r="E172" s="75">
        <v>100000</v>
      </c>
      <c r="F172" s="69">
        <v>5.1566639999999997E-2</v>
      </c>
      <c r="G172" s="70">
        <v>98271</v>
      </c>
      <c r="H172" s="67">
        <f t="shared" si="23"/>
        <v>100000</v>
      </c>
      <c r="I172" s="67">
        <f t="shared" si="24"/>
        <v>5.1566639999999997E-2</v>
      </c>
      <c r="J172" s="67">
        <f t="shared" si="25"/>
        <v>98271</v>
      </c>
      <c r="K172" s="71">
        <f t="shared" si="26"/>
        <v>98.271000000000001</v>
      </c>
      <c r="L172" s="29" t="e">
        <f ca="1">IF(B172="","",_xll.BDP(A172&amp;" Corp","INTERVAL_HIGH","START_DATE_OVERRIDE",TEXT($L$12,"AAAAMMDD"),"END_DATE_OVERRIDE",TEXT($L$13,"AAAAMMDD"),"MARKET_DATA_OVERRIDE",$L$14))</f>
        <v>#NAME?</v>
      </c>
      <c r="M172" s="30" t="e">
        <f ca="1">IF(B172="","",_xll.BDP($A172&amp;" Corp","INTERVAL_LOW","START_DATE_OVERRIDE",TEXT($L$12,"AAAAMMDD"),"END_DATE_OVERRIDE",TEXT($L$13,"AAAAMMDD"),"MARKET_DATA_OVERRIDE",$L$14))</f>
        <v>#NAME?</v>
      </c>
      <c r="N172" s="31" t="e">
        <f ca="1">IF($B172="","",_xll.BDP($A172&amp;" Corp",N$15))</f>
        <v>#NAME?</v>
      </c>
      <c r="O172" s="32" t="e">
        <f ca="1">IF($B172="","",_xll.BDP($A172&amp;" Corp",O$15))</f>
        <v>#NAME?</v>
      </c>
      <c r="P172" s="32" t="e">
        <f ca="1">IF($B172="","",_xll.BDP($A172&amp;" Corp",P$15))</f>
        <v>#NAME?</v>
      </c>
      <c r="Q172" s="30" t="e">
        <f ca="1">IF($B172="","",_xll.BDP($A172&amp;" Corp",Q$14))</f>
        <v>#NAME?</v>
      </c>
      <c r="R172" s="30" t="e">
        <f ca="1">IF($B172="","",_xll.BDP($A172&amp;" Corp",R$14))</f>
        <v>#NAME?</v>
      </c>
      <c r="S172" s="50" t="e">
        <f ca="1">IF($B172="","",_xll.BDP($A172&amp;" Corp",S$14))</f>
        <v>#NAME?</v>
      </c>
      <c r="T172" s="30" t="e">
        <f ca="1">IF($B172="","",_xll.BDP($A172&amp;" Corp",T$14))</f>
        <v>#NAME?</v>
      </c>
      <c r="U172" s="30" t="e">
        <f ca="1">IF($B172="","",_xll.BDP($A172&amp;" Corp",U$14))</f>
        <v>#NAME?</v>
      </c>
      <c r="V172" s="51" t="e">
        <f ca="1">IF($B172="","",IF($T172="VARIABLE",_xll.BDP($A172&amp;" Corp",V$13),_xll.BDP($A172&amp;" Corp",V$14)))</f>
        <v>#NAME?</v>
      </c>
      <c r="W172" s="30" t="e">
        <f ca="1">IF($B172="","",IF($T172="VARIABLE",_xll.BDP($A172&amp;" Corp",W$13),_xll.BDP($A172&amp;" Corp",W$14)))</f>
        <v>#NAME?</v>
      </c>
      <c r="X172" s="30" t="e">
        <f ca="1">IF($B172="","",_xll.BDP($A172&amp;" Corp",X$14))</f>
        <v>#NAME?</v>
      </c>
      <c r="Y172" s="33" t="e">
        <f ca="1">IF($B172="","",_xll.BDP($A172&amp;" Corp",Y$14))</f>
        <v>#NAME?</v>
      </c>
      <c r="Z172" s="52" t="e">
        <f ca="1">IF($B172="","",_xll.BDP($A172&amp;" Corp",Z$14))</f>
        <v>#NAME?</v>
      </c>
      <c r="AA172" s="53" t="e">
        <f ca="1">IF($B172="","",_xll.BDP($A172&amp;" Corp",AA$14))</f>
        <v>#NAME?</v>
      </c>
      <c r="AB172" s="54" t="e">
        <f ca="1">IF($B172="","",_xll.BDP($A172&amp;" Corp",AB$14))</f>
        <v>#NAME?</v>
      </c>
      <c r="AC172" s="54" t="e">
        <f ca="1">IF($B172="","",_xll.BDP($A172&amp;" Corp",AC$14))</f>
        <v>#NAME?</v>
      </c>
      <c r="AD172" s="55" t="e">
        <f ca="1">IF($B172="","",_xll.BDP($A172&amp;" Corp",AD$14))</f>
        <v>#NAME?</v>
      </c>
      <c r="AE172" s="56" t="e">
        <f ca="1">IF($B172="","",_xll.BDP($A172&amp;" Corp",AE$14))</f>
        <v>#NAME?</v>
      </c>
      <c r="AF172" s="29" t="e">
        <f ca="1">IF($B172="","",_xll.BDP($A172&amp;" Corp",AF$14))</f>
        <v>#NAME?</v>
      </c>
      <c r="AG172" s="33" t="e">
        <f ca="1">IF($B172="","",_xll.BDP($A172&amp;" Corp",AG$14))</f>
        <v>#NAME?</v>
      </c>
      <c r="AH172" s="30" t="e">
        <f ca="1">IF($B172="","",_xll.BDP($A172&amp;" Corp",AH$14))</f>
        <v>#NAME?</v>
      </c>
      <c r="AI172" s="30" t="e">
        <f ca="1">IF($B172="","",_xll.BDP($A172&amp;" Corp",AI$14))</f>
        <v>#NAME?</v>
      </c>
      <c r="AJ172" s="30" t="e">
        <f ca="1">IF($B172="","",_xll.BDP($A172&amp;" Corp",AJ$14))</f>
        <v>#NAME?</v>
      </c>
      <c r="AK172" s="11" t="e">
        <f ca="1">IF($B172="","",_xll.BDP($A172&amp;" Corp",AK$14))</f>
        <v>#NAME?</v>
      </c>
      <c r="AL172" s="11" t="e">
        <f ca="1">IF($B172="","",_xll.BDP($A172&amp;" Corp",AL$14))</f>
        <v>#NAME?</v>
      </c>
      <c r="AM172" s="11" t="e">
        <f t="shared" ca="1" si="27"/>
        <v>#NAME?</v>
      </c>
      <c r="AN172" s="57" t="e">
        <f t="shared" ca="1" si="21"/>
        <v>#NAME?</v>
      </c>
    </row>
    <row r="173" spans="1:40" x14ac:dyDescent="0.3">
      <c r="A173" s="67" t="str">
        <f t="shared" si="22"/>
        <v>XS2434763483</v>
      </c>
      <c r="B173" s="68" t="s">
        <v>487</v>
      </c>
      <c r="C173" s="75">
        <v>9713</v>
      </c>
      <c r="D173" s="75">
        <v>128</v>
      </c>
      <c r="E173" s="75">
        <v>200000</v>
      </c>
      <c r="F173" s="69">
        <v>0.12648015000000001</v>
      </c>
      <c r="G173" s="70">
        <v>196856</v>
      </c>
      <c r="H173" s="67">
        <f t="shared" si="23"/>
        <v>200000</v>
      </c>
      <c r="I173" s="67">
        <f t="shared" si="24"/>
        <v>0.12648015000000001</v>
      </c>
      <c r="J173" s="67">
        <f t="shared" si="25"/>
        <v>196856</v>
      </c>
      <c r="K173" s="71">
        <f t="shared" si="26"/>
        <v>98.427999999999997</v>
      </c>
      <c r="L173" s="29" t="e">
        <f ca="1">IF(B173="","",_xll.BDP(A173&amp;" Corp","INTERVAL_HIGH","START_DATE_OVERRIDE",TEXT($L$12,"AAAAMMDD"),"END_DATE_OVERRIDE",TEXT($L$13,"AAAAMMDD"),"MARKET_DATA_OVERRIDE",$L$14))</f>
        <v>#NAME?</v>
      </c>
      <c r="M173" s="30" t="e">
        <f ca="1">IF(B173="","",_xll.BDP($A173&amp;" Corp","INTERVAL_LOW","START_DATE_OVERRIDE",TEXT($L$12,"AAAAMMDD"),"END_DATE_OVERRIDE",TEXT($L$13,"AAAAMMDD"),"MARKET_DATA_OVERRIDE",$L$14))</f>
        <v>#NAME?</v>
      </c>
      <c r="N173" s="31" t="e">
        <f ca="1">IF($B173="","",_xll.BDP($A173&amp;" Corp",N$15))</f>
        <v>#NAME?</v>
      </c>
      <c r="O173" s="32" t="e">
        <f ca="1">IF($B173="","",_xll.BDP($A173&amp;" Corp",O$15))</f>
        <v>#NAME?</v>
      </c>
      <c r="P173" s="32" t="e">
        <f ca="1">IF($B173="","",_xll.BDP($A173&amp;" Corp",P$15))</f>
        <v>#NAME?</v>
      </c>
      <c r="Q173" s="30" t="e">
        <f ca="1">IF($B173="","",_xll.BDP($A173&amp;" Corp",Q$14))</f>
        <v>#NAME?</v>
      </c>
      <c r="R173" s="30" t="e">
        <f ca="1">IF($B173="","",_xll.BDP($A173&amp;" Corp",R$14))</f>
        <v>#NAME?</v>
      </c>
      <c r="S173" s="50" t="e">
        <f ca="1">IF($B173="","",_xll.BDP($A173&amp;" Corp",S$14))</f>
        <v>#NAME?</v>
      </c>
      <c r="T173" s="30" t="e">
        <f ca="1">IF($B173="","",_xll.BDP($A173&amp;" Corp",T$14))</f>
        <v>#NAME?</v>
      </c>
      <c r="U173" s="30" t="e">
        <f ca="1">IF($B173="","",_xll.BDP($A173&amp;" Corp",U$14))</f>
        <v>#NAME?</v>
      </c>
      <c r="V173" s="51" t="e">
        <f ca="1">IF($B173="","",IF($T173="VARIABLE",_xll.BDP($A173&amp;" Corp",V$13),_xll.BDP($A173&amp;" Corp",V$14)))</f>
        <v>#NAME?</v>
      </c>
      <c r="W173" s="30" t="e">
        <f ca="1">IF($B173="","",IF($T173="VARIABLE",_xll.BDP($A173&amp;" Corp",W$13),_xll.BDP($A173&amp;" Corp",W$14)))</f>
        <v>#NAME?</v>
      </c>
      <c r="X173" s="30" t="e">
        <f ca="1">IF($B173="","",_xll.BDP($A173&amp;" Corp",X$14))</f>
        <v>#NAME?</v>
      </c>
      <c r="Y173" s="33" t="e">
        <f ca="1">IF($B173="","",_xll.BDP($A173&amp;" Corp",Y$14))</f>
        <v>#NAME?</v>
      </c>
      <c r="Z173" s="52" t="e">
        <f ca="1">IF($B173="","",_xll.BDP($A173&amp;" Corp",Z$14))</f>
        <v>#NAME?</v>
      </c>
      <c r="AA173" s="53" t="e">
        <f ca="1">IF($B173="","",_xll.BDP($A173&amp;" Corp",AA$14))</f>
        <v>#NAME?</v>
      </c>
      <c r="AB173" s="54" t="e">
        <f ca="1">IF($B173="","",_xll.BDP($A173&amp;" Corp",AB$14))</f>
        <v>#NAME?</v>
      </c>
      <c r="AC173" s="54" t="e">
        <f ca="1">IF($B173="","",_xll.BDP($A173&amp;" Corp",AC$14))</f>
        <v>#NAME?</v>
      </c>
      <c r="AD173" s="55" t="e">
        <f ca="1">IF($B173="","",_xll.BDP($A173&amp;" Corp",AD$14))</f>
        <v>#NAME?</v>
      </c>
      <c r="AE173" s="56" t="e">
        <f ca="1">IF($B173="","",_xll.BDP($A173&amp;" Corp",AE$14))</f>
        <v>#NAME?</v>
      </c>
      <c r="AF173" s="29" t="e">
        <f ca="1">IF($B173="","",_xll.BDP($A173&amp;" Corp",AF$14))</f>
        <v>#NAME?</v>
      </c>
      <c r="AG173" s="33" t="e">
        <f ca="1">IF($B173="","",_xll.BDP($A173&amp;" Corp",AG$14))</f>
        <v>#NAME?</v>
      </c>
      <c r="AH173" s="30" t="e">
        <f ca="1">IF($B173="","",_xll.BDP($A173&amp;" Corp",AH$14))</f>
        <v>#NAME?</v>
      </c>
      <c r="AI173" s="30" t="e">
        <f ca="1">IF($B173="","",_xll.BDP($A173&amp;" Corp",AI$14))</f>
        <v>#NAME?</v>
      </c>
      <c r="AJ173" s="30" t="e">
        <f ca="1">IF($B173="","",_xll.BDP($A173&amp;" Corp",AJ$14))</f>
        <v>#NAME?</v>
      </c>
      <c r="AK173" s="11" t="e">
        <f ca="1">IF($B173="","",_xll.BDP($A173&amp;" Corp",AK$14))</f>
        <v>#NAME?</v>
      </c>
      <c r="AL173" s="11" t="e">
        <f ca="1">IF($B173="","",_xll.BDP($A173&amp;" Corp",AL$14))</f>
        <v>#NAME?</v>
      </c>
      <c r="AM173" s="11" t="e">
        <f t="shared" ca="1" si="27"/>
        <v>#NAME?</v>
      </c>
      <c r="AN173" s="57" t="e">
        <f t="shared" ca="1" si="21"/>
        <v>#NAME?</v>
      </c>
    </row>
    <row r="174" spans="1:40" x14ac:dyDescent="0.3">
      <c r="A174" s="67" t="str">
        <f t="shared" si="22"/>
        <v>XS2435611244</v>
      </c>
      <c r="B174" s="68" t="s">
        <v>489</v>
      </c>
      <c r="C174" s="75">
        <v>9722</v>
      </c>
      <c r="D174" s="75">
        <v>128</v>
      </c>
      <c r="E174" s="75">
        <v>200000</v>
      </c>
      <c r="F174" s="69">
        <v>0.11872729</v>
      </c>
      <c r="G174" s="70">
        <v>198880</v>
      </c>
      <c r="H174" s="67">
        <f t="shared" si="23"/>
        <v>200000</v>
      </c>
      <c r="I174" s="67">
        <f t="shared" si="24"/>
        <v>0.11872729</v>
      </c>
      <c r="J174" s="67">
        <f t="shared" si="25"/>
        <v>198880</v>
      </c>
      <c r="K174" s="71">
        <f t="shared" si="26"/>
        <v>99.44</v>
      </c>
      <c r="L174" s="29" t="e">
        <f ca="1">IF(B174="","",_xll.BDP(A174&amp;" Corp","INTERVAL_HIGH","START_DATE_OVERRIDE",TEXT($L$12,"AAAAMMDD"),"END_DATE_OVERRIDE",TEXT($L$13,"AAAAMMDD"),"MARKET_DATA_OVERRIDE",$L$14))</f>
        <v>#NAME?</v>
      </c>
      <c r="M174" s="30" t="e">
        <f ca="1">IF(B174="","",_xll.BDP($A174&amp;" Corp","INTERVAL_LOW","START_DATE_OVERRIDE",TEXT($L$12,"AAAAMMDD"),"END_DATE_OVERRIDE",TEXT($L$13,"AAAAMMDD"),"MARKET_DATA_OVERRIDE",$L$14))</f>
        <v>#NAME?</v>
      </c>
      <c r="N174" s="31" t="e">
        <f ca="1">IF($B174="","",_xll.BDP($A174&amp;" Corp",N$15))</f>
        <v>#NAME?</v>
      </c>
      <c r="O174" s="32" t="e">
        <f ca="1">IF($B174="","",_xll.BDP($A174&amp;" Corp",O$15))</f>
        <v>#NAME?</v>
      </c>
      <c r="P174" s="32" t="e">
        <f ca="1">IF($B174="","",_xll.BDP($A174&amp;" Corp",P$15))</f>
        <v>#NAME?</v>
      </c>
      <c r="Q174" s="30" t="e">
        <f ca="1">IF($B174="","",_xll.BDP($A174&amp;" Corp",Q$14))</f>
        <v>#NAME?</v>
      </c>
      <c r="R174" s="30" t="e">
        <f ca="1">IF($B174="","",_xll.BDP($A174&amp;" Corp",R$14))</f>
        <v>#NAME?</v>
      </c>
      <c r="S174" s="50" t="e">
        <f ca="1">IF($B174="","",_xll.BDP($A174&amp;" Corp",S$14))</f>
        <v>#NAME?</v>
      </c>
      <c r="T174" s="30" t="e">
        <f ca="1">IF($B174="","",_xll.BDP($A174&amp;" Corp",T$14))</f>
        <v>#NAME?</v>
      </c>
      <c r="U174" s="30" t="e">
        <f ca="1">IF($B174="","",_xll.BDP($A174&amp;" Corp",U$14))</f>
        <v>#NAME?</v>
      </c>
      <c r="V174" s="51" t="e">
        <f ca="1">IF($B174="","",IF($T174="VARIABLE",_xll.BDP($A174&amp;" Corp",V$13),_xll.BDP($A174&amp;" Corp",V$14)))</f>
        <v>#NAME?</v>
      </c>
      <c r="W174" s="30" t="e">
        <f ca="1">IF($B174="","",IF($T174="VARIABLE",_xll.BDP($A174&amp;" Corp",W$13),_xll.BDP($A174&amp;" Corp",W$14)))</f>
        <v>#NAME?</v>
      </c>
      <c r="X174" s="30" t="e">
        <f ca="1">IF($B174="","",_xll.BDP($A174&amp;" Corp",X$14))</f>
        <v>#NAME?</v>
      </c>
      <c r="Y174" s="33" t="e">
        <f ca="1">IF($B174="","",_xll.BDP($A174&amp;" Corp",Y$14))</f>
        <v>#NAME?</v>
      </c>
      <c r="Z174" s="52" t="e">
        <f ca="1">IF($B174="","",_xll.BDP($A174&amp;" Corp",Z$14))</f>
        <v>#NAME?</v>
      </c>
      <c r="AA174" s="53" t="e">
        <f ca="1">IF($B174="","",_xll.BDP($A174&amp;" Corp",AA$14))</f>
        <v>#NAME?</v>
      </c>
      <c r="AB174" s="54" t="e">
        <f ca="1">IF($B174="","",_xll.BDP($A174&amp;" Corp",AB$14))</f>
        <v>#NAME?</v>
      </c>
      <c r="AC174" s="54" t="e">
        <f ca="1">IF($B174="","",_xll.BDP($A174&amp;" Corp",AC$14))</f>
        <v>#NAME?</v>
      </c>
      <c r="AD174" s="55" t="e">
        <f ca="1">IF($B174="","",_xll.BDP($A174&amp;" Corp",AD$14))</f>
        <v>#NAME?</v>
      </c>
      <c r="AE174" s="56" t="e">
        <f ca="1">IF($B174="","",_xll.BDP($A174&amp;" Corp",AE$14))</f>
        <v>#NAME?</v>
      </c>
      <c r="AF174" s="29" t="e">
        <f ca="1">IF($B174="","",_xll.BDP($A174&amp;" Corp",AF$14))</f>
        <v>#NAME?</v>
      </c>
      <c r="AG174" s="33" t="e">
        <f ca="1">IF($B174="","",_xll.BDP($A174&amp;" Corp",AG$14))</f>
        <v>#NAME?</v>
      </c>
      <c r="AH174" s="30" t="e">
        <f ca="1">IF($B174="","",_xll.BDP($A174&amp;" Corp",AH$14))</f>
        <v>#NAME?</v>
      </c>
      <c r="AI174" s="30" t="e">
        <f ca="1">IF($B174="","",_xll.BDP($A174&amp;" Corp",AI$14))</f>
        <v>#NAME?</v>
      </c>
      <c r="AJ174" s="30" t="e">
        <f ca="1">IF($B174="","",_xll.BDP($A174&amp;" Corp",AJ$14))</f>
        <v>#NAME?</v>
      </c>
      <c r="AK174" s="11" t="e">
        <f ca="1">IF($B174="","",_xll.BDP($A174&amp;" Corp",AK$14))</f>
        <v>#NAME?</v>
      </c>
      <c r="AL174" s="11" t="e">
        <f ca="1">IF($B174="","",_xll.BDP($A174&amp;" Corp",AL$14))</f>
        <v>#NAME?</v>
      </c>
      <c r="AM174" s="11" t="e">
        <f t="shared" ca="1" si="27"/>
        <v>#NAME?</v>
      </c>
      <c r="AN174" s="57" t="e">
        <f t="shared" ca="1" si="21"/>
        <v>#NAME?</v>
      </c>
    </row>
    <row r="175" spans="1:40" x14ac:dyDescent="0.3">
      <c r="A175" s="67" t="str">
        <f t="shared" si="22"/>
        <v>XS2438615606</v>
      </c>
      <c r="B175" s="68" t="s">
        <v>590</v>
      </c>
      <c r="C175" s="75">
        <v>9744</v>
      </c>
      <c r="D175" s="75">
        <v>128</v>
      </c>
      <c r="E175" s="75">
        <v>1000000</v>
      </c>
      <c r="F175" s="69">
        <v>0.77052326999999998</v>
      </c>
      <c r="G175" s="70">
        <v>941150</v>
      </c>
      <c r="H175" s="67">
        <f t="shared" si="23"/>
        <v>1000000</v>
      </c>
      <c r="I175" s="67">
        <f t="shared" si="24"/>
        <v>0.77052326999999998</v>
      </c>
      <c r="J175" s="67">
        <f t="shared" si="25"/>
        <v>941150</v>
      </c>
      <c r="K175" s="71">
        <f t="shared" si="26"/>
        <v>94.114999999999995</v>
      </c>
      <c r="L175" s="29" t="e">
        <f ca="1">IF(B175="","",_xll.BDP(A175&amp;" Corp","INTERVAL_HIGH","START_DATE_OVERRIDE",TEXT($L$12,"AAAAMMDD"),"END_DATE_OVERRIDE",TEXT($L$13,"AAAAMMDD"),"MARKET_DATA_OVERRIDE",$L$14))</f>
        <v>#NAME?</v>
      </c>
      <c r="M175" s="30" t="e">
        <f ca="1">IF(B175="","",_xll.BDP($A175&amp;" Corp","INTERVAL_LOW","START_DATE_OVERRIDE",TEXT($L$12,"AAAAMMDD"),"END_DATE_OVERRIDE",TEXT($L$13,"AAAAMMDD"),"MARKET_DATA_OVERRIDE",$L$14))</f>
        <v>#NAME?</v>
      </c>
      <c r="N175" s="31" t="e">
        <f ca="1">IF($B175="","",_xll.BDP($A175&amp;" Corp",N$15))</f>
        <v>#NAME?</v>
      </c>
      <c r="O175" s="32" t="e">
        <f ca="1">IF($B175="","",_xll.BDP($A175&amp;" Corp",O$15))</f>
        <v>#NAME?</v>
      </c>
      <c r="P175" s="32" t="e">
        <f ca="1">IF($B175="","",_xll.BDP($A175&amp;" Corp",P$15))</f>
        <v>#NAME?</v>
      </c>
      <c r="Q175" s="30" t="e">
        <f ca="1">IF($B175="","",_xll.BDP($A175&amp;" Corp",Q$14))</f>
        <v>#NAME?</v>
      </c>
      <c r="R175" s="30" t="e">
        <f ca="1">IF($B175="","",_xll.BDP($A175&amp;" Corp",R$14))</f>
        <v>#NAME?</v>
      </c>
      <c r="S175" s="50" t="e">
        <f ca="1">IF($B175="","",_xll.BDP($A175&amp;" Corp",S$14))</f>
        <v>#NAME?</v>
      </c>
      <c r="T175" s="30" t="e">
        <f ca="1">IF($B175="","",_xll.BDP($A175&amp;" Corp",T$14))</f>
        <v>#NAME?</v>
      </c>
      <c r="U175" s="30" t="e">
        <f ca="1">IF($B175="","",_xll.BDP($A175&amp;" Corp",U$14))</f>
        <v>#NAME?</v>
      </c>
      <c r="V175" s="51" t="e">
        <f ca="1">IF($B175="","",IF($T175="VARIABLE",_xll.BDP($A175&amp;" Corp",V$13),_xll.BDP($A175&amp;" Corp",V$14)))</f>
        <v>#NAME?</v>
      </c>
      <c r="W175" s="30" t="e">
        <f ca="1">IF($B175="","",IF($T175="VARIABLE",_xll.BDP($A175&amp;" Corp",W$13),_xll.BDP($A175&amp;" Corp",W$14)))</f>
        <v>#NAME?</v>
      </c>
      <c r="X175" s="30" t="e">
        <f ca="1">IF($B175="","",_xll.BDP($A175&amp;" Corp",X$14))</f>
        <v>#NAME?</v>
      </c>
      <c r="Y175" s="33" t="e">
        <f ca="1">IF($B175="","",_xll.BDP($A175&amp;" Corp",Y$14))</f>
        <v>#NAME?</v>
      </c>
      <c r="Z175" s="52" t="e">
        <f ca="1">IF($B175="","",_xll.BDP($A175&amp;" Corp",Z$14))</f>
        <v>#NAME?</v>
      </c>
      <c r="AA175" s="53" t="e">
        <f ca="1">IF($B175="","",_xll.BDP($A175&amp;" Corp",AA$14))</f>
        <v>#NAME?</v>
      </c>
      <c r="AB175" s="54" t="e">
        <f ca="1">IF($B175="","",_xll.BDP($A175&amp;" Corp",AB$14))</f>
        <v>#NAME?</v>
      </c>
      <c r="AC175" s="54" t="e">
        <f ca="1">IF($B175="","",_xll.BDP($A175&amp;" Corp",AC$14))</f>
        <v>#NAME?</v>
      </c>
      <c r="AD175" s="55" t="e">
        <f ca="1">IF($B175="","",_xll.BDP($A175&amp;" Corp",AD$14))</f>
        <v>#NAME?</v>
      </c>
      <c r="AE175" s="56" t="e">
        <f ca="1">IF($B175="","",_xll.BDP($A175&amp;" Corp",AE$14))</f>
        <v>#NAME?</v>
      </c>
      <c r="AF175" s="29" t="e">
        <f ca="1">IF($B175="","",_xll.BDP($A175&amp;" Corp",AF$14))</f>
        <v>#NAME?</v>
      </c>
      <c r="AG175" s="33" t="e">
        <f ca="1">IF($B175="","",_xll.BDP($A175&amp;" Corp",AG$14))</f>
        <v>#NAME?</v>
      </c>
      <c r="AH175" s="30" t="e">
        <f ca="1">IF($B175="","",_xll.BDP($A175&amp;" Corp",AH$14))</f>
        <v>#NAME?</v>
      </c>
      <c r="AI175" s="30" t="e">
        <f ca="1">IF($B175="","",_xll.BDP($A175&amp;" Corp",AI$14))</f>
        <v>#NAME?</v>
      </c>
      <c r="AJ175" s="30" t="e">
        <f ca="1">IF($B175="","",_xll.BDP($A175&amp;" Corp",AJ$14))</f>
        <v>#NAME?</v>
      </c>
      <c r="AK175" s="11" t="e">
        <f ca="1">IF($B175="","",_xll.BDP($A175&amp;" Corp",AK$14))</f>
        <v>#NAME?</v>
      </c>
      <c r="AL175" s="11" t="e">
        <f ca="1">IF($B175="","",_xll.BDP($A175&amp;" Corp",AL$14))</f>
        <v>#NAME?</v>
      </c>
      <c r="AM175" s="11" t="e">
        <f t="shared" ca="1" si="27"/>
        <v>#NAME?</v>
      </c>
      <c r="AN175" s="57" t="e">
        <f t="shared" ca="1" si="21"/>
        <v>#NAME?</v>
      </c>
    </row>
    <row r="176" spans="1:40" x14ac:dyDescent="0.3">
      <c r="A176" s="67" t="str">
        <f t="shared" si="22"/>
        <v>XS2455392584</v>
      </c>
      <c r="B176" s="68" t="s">
        <v>409</v>
      </c>
      <c r="C176" s="75">
        <v>9871</v>
      </c>
      <c r="D176" s="75">
        <v>128</v>
      </c>
      <c r="E176" s="75">
        <v>100000</v>
      </c>
      <c r="F176" s="69">
        <v>7.8914830000000005E-2</v>
      </c>
      <c r="G176" s="70">
        <v>100147</v>
      </c>
      <c r="H176" s="67">
        <f t="shared" si="23"/>
        <v>100000</v>
      </c>
      <c r="I176" s="67">
        <f t="shared" si="24"/>
        <v>7.8914830000000005E-2</v>
      </c>
      <c r="J176" s="67">
        <f t="shared" si="25"/>
        <v>100147</v>
      </c>
      <c r="K176" s="71">
        <f t="shared" si="26"/>
        <v>100.14700000000001</v>
      </c>
      <c r="L176" s="29" t="e">
        <f ca="1">IF(B176="","",_xll.BDP(A176&amp;" Corp","INTERVAL_HIGH","START_DATE_OVERRIDE",TEXT($L$12,"AAAAMMDD"),"END_DATE_OVERRIDE",TEXT($L$13,"AAAAMMDD"),"MARKET_DATA_OVERRIDE",$L$14))</f>
        <v>#NAME?</v>
      </c>
      <c r="M176" s="30" t="e">
        <f ca="1">IF(B176="","",_xll.BDP($A176&amp;" Corp","INTERVAL_LOW","START_DATE_OVERRIDE",TEXT($L$12,"AAAAMMDD"),"END_DATE_OVERRIDE",TEXT($L$13,"AAAAMMDD"),"MARKET_DATA_OVERRIDE",$L$14))</f>
        <v>#NAME?</v>
      </c>
      <c r="N176" s="31" t="e">
        <f ca="1">IF($B176="","",_xll.BDP($A176&amp;" Corp",N$15))</f>
        <v>#NAME?</v>
      </c>
      <c r="O176" s="32" t="e">
        <f ca="1">IF($B176="","",_xll.BDP($A176&amp;" Corp",O$15))</f>
        <v>#NAME?</v>
      </c>
      <c r="P176" s="32" t="e">
        <f ca="1">IF($B176="","",_xll.BDP($A176&amp;" Corp",P$15))</f>
        <v>#NAME?</v>
      </c>
      <c r="Q176" s="30" t="e">
        <f ca="1">IF($B176="","",_xll.BDP($A176&amp;" Corp",Q$14))</f>
        <v>#NAME?</v>
      </c>
      <c r="R176" s="30" t="e">
        <f ca="1">IF($B176="","",_xll.BDP($A176&amp;" Corp",R$14))</f>
        <v>#NAME?</v>
      </c>
      <c r="S176" s="50" t="e">
        <f ca="1">IF($B176="","",_xll.BDP($A176&amp;" Corp",S$14))</f>
        <v>#NAME?</v>
      </c>
      <c r="T176" s="30" t="e">
        <f ca="1">IF($B176="","",_xll.BDP($A176&amp;" Corp",T$14))</f>
        <v>#NAME?</v>
      </c>
      <c r="U176" s="30" t="e">
        <f ca="1">IF($B176="","",_xll.BDP($A176&amp;" Corp",U$14))</f>
        <v>#NAME?</v>
      </c>
      <c r="V176" s="51" t="e">
        <f ca="1">IF($B176="","",IF($T176="VARIABLE",_xll.BDP($A176&amp;" Corp",V$13),_xll.BDP($A176&amp;" Corp",V$14)))</f>
        <v>#NAME?</v>
      </c>
      <c r="W176" s="30" t="e">
        <f ca="1">IF($B176="","",IF($T176="VARIABLE",_xll.BDP($A176&amp;" Corp",W$13),_xll.BDP($A176&amp;" Corp",W$14)))</f>
        <v>#NAME?</v>
      </c>
      <c r="X176" s="30" t="e">
        <f ca="1">IF($B176="","",_xll.BDP($A176&amp;" Corp",X$14))</f>
        <v>#NAME?</v>
      </c>
      <c r="Y176" s="33" t="e">
        <f ca="1">IF($B176="","",_xll.BDP($A176&amp;" Corp",Y$14))</f>
        <v>#NAME?</v>
      </c>
      <c r="Z176" s="52" t="e">
        <f ca="1">IF($B176="","",_xll.BDP($A176&amp;" Corp",Z$14))</f>
        <v>#NAME?</v>
      </c>
      <c r="AA176" s="53" t="e">
        <f ca="1">IF($B176="","",_xll.BDP($A176&amp;" Corp",AA$14))</f>
        <v>#NAME?</v>
      </c>
      <c r="AB176" s="54" t="e">
        <f ca="1">IF($B176="","",_xll.BDP($A176&amp;" Corp",AB$14))</f>
        <v>#NAME?</v>
      </c>
      <c r="AC176" s="54" t="e">
        <f ca="1">IF($B176="","",_xll.BDP($A176&amp;" Corp",AC$14))</f>
        <v>#NAME?</v>
      </c>
      <c r="AD176" s="55" t="e">
        <f ca="1">IF($B176="","",_xll.BDP($A176&amp;" Corp",AD$14))</f>
        <v>#NAME?</v>
      </c>
      <c r="AE176" s="56" t="e">
        <f ca="1">IF($B176="","",_xll.BDP($A176&amp;" Corp",AE$14))</f>
        <v>#NAME?</v>
      </c>
      <c r="AF176" s="29" t="e">
        <f ca="1">IF($B176="","",_xll.BDP($A176&amp;" Corp",AF$14))</f>
        <v>#NAME?</v>
      </c>
      <c r="AG176" s="33" t="e">
        <f ca="1">IF($B176="","",_xll.BDP($A176&amp;" Corp",AG$14))</f>
        <v>#NAME?</v>
      </c>
      <c r="AH176" s="30" t="e">
        <f ca="1">IF($B176="","",_xll.BDP($A176&amp;" Corp",AH$14))</f>
        <v>#NAME?</v>
      </c>
      <c r="AI176" s="30" t="e">
        <f ca="1">IF($B176="","",_xll.BDP($A176&amp;" Corp",AI$14))</f>
        <v>#NAME?</v>
      </c>
      <c r="AJ176" s="30" t="e">
        <f ca="1">IF($B176="","",_xll.BDP($A176&amp;" Corp",AJ$14))</f>
        <v>#NAME?</v>
      </c>
      <c r="AK176" s="11" t="e">
        <f ca="1">IF($B176="","",_xll.BDP($A176&amp;" Corp",AK$14))</f>
        <v>#NAME?</v>
      </c>
      <c r="AL176" s="11" t="e">
        <f ca="1">IF($B176="","",_xll.BDP($A176&amp;" Corp",AL$14))</f>
        <v>#NAME?</v>
      </c>
      <c r="AM176" s="11" t="e">
        <f t="shared" ca="1" si="27"/>
        <v>#NAME?</v>
      </c>
      <c r="AN176" s="57" t="e">
        <f t="shared" ca="1" si="21"/>
        <v>#NAME?</v>
      </c>
    </row>
    <row r="177" spans="1:40" x14ac:dyDescent="0.3">
      <c r="A177" s="67" t="str">
        <f t="shared" si="22"/>
        <v>XS2465984289</v>
      </c>
      <c r="B177" s="68" t="s">
        <v>411</v>
      </c>
      <c r="C177" s="75">
        <v>9894</v>
      </c>
      <c r="D177" s="75">
        <v>128</v>
      </c>
      <c r="E177" s="75">
        <v>200000</v>
      </c>
      <c r="F177" s="69">
        <v>0.15533092000000001</v>
      </c>
      <c r="G177" s="70">
        <v>199382</v>
      </c>
      <c r="H177" s="67">
        <f t="shared" si="23"/>
        <v>200000</v>
      </c>
      <c r="I177" s="67">
        <f t="shared" si="24"/>
        <v>0.15533092000000001</v>
      </c>
      <c r="J177" s="67">
        <f t="shared" si="25"/>
        <v>199382</v>
      </c>
      <c r="K177" s="71">
        <f t="shared" si="26"/>
        <v>99.691000000000003</v>
      </c>
      <c r="L177" s="29" t="e">
        <f ca="1">IF(B177="","",_xll.BDP(A177&amp;" Corp","INTERVAL_HIGH","START_DATE_OVERRIDE",TEXT($L$12,"AAAAMMDD"),"END_DATE_OVERRIDE",TEXT($L$13,"AAAAMMDD"),"MARKET_DATA_OVERRIDE",$L$14))</f>
        <v>#NAME?</v>
      </c>
      <c r="M177" s="30" t="e">
        <f ca="1">IF(B177="","",_xll.BDP($A177&amp;" Corp","INTERVAL_LOW","START_DATE_OVERRIDE",TEXT($L$12,"AAAAMMDD"),"END_DATE_OVERRIDE",TEXT($L$13,"AAAAMMDD"),"MARKET_DATA_OVERRIDE",$L$14))</f>
        <v>#NAME?</v>
      </c>
      <c r="N177" s="31" t="e">
        <f ca="1">IF($B177="","",_xll.BDP($A177&amp;" Corp",N$15))</f>
        <v>#NAME?</v>
      </c>
      <c r="O177" s="32" t="e">
        <f ca="1">IF($B177="","",_xll.BDP($A177&amp;" Corp",O$15))</f>
        <v>#NAME?</v>
      </c>
      <c r="P177" s="32" t="e">
        <f ca="1">IF($B177="","",_xll.BDP($A177&amp;" Corp",P$15))</f>
        <v>#NAME?</v>
      </c>
      <c r="Q177" s="30" t="e">
        <f ca="1">IF($B177="","",_xll.BDP($A177&amp;" Corp",Q$14))</f>
        <v>#NAME?</v>
      </c>
      <c r="R177" s="30" t="e">
        <f ca="1">IF($B177="","",_xll.BDP($A177&amp;" Corp",R$14))</f>
        <v>#NAME?</v>
      </c>
      <c r="S177" s="50" t="e">
        <f ca="1">IF($B177="","",_xll.BDP($A177&amp;" Corp",S$14))</f>
        <v>#NAME?</v>
      </c>
      <c r="T177" s="30" t="e">
        <f ca="1">IF($B177="","",_xll.BDP($A177&amp;" Corp",T$14))</f>
        <v>#NAME?</v>
      </c>
      <c r="U177" s="30" t="e">
        <f ca="1">IF($B177="","",_xll.BDP($A177&amp;" Corp",U$14))</f>
        <v>#NAME?</v>
      </c>
      <c r="V177" s="51" t="e">
        <f ca="1">IF($B177="","",IF($T177="VARIABLE",_xll.BDP($A177&amp;" Corp",V$13),_xll.BDP($A177&amp;" Corp",V$14)))</f>
        <v>#NAME?</v>
      </c>
      <c r="W177" s="30" t="e">
        <f ca="1">IF($B177="","",IF($T177="VARIABLE",_xll.BDP($A177&amp;" Corp",W$13),_xll.BDP($A177&amp;" Corp",W$14)))</f>
        <v>#NAME?</v>
      </c>
      <c r="X177" s="30" t="e">
        <f ca="1">IF($B177="","",_xll.BDP($A177&amp;" Corp",X$14))</f>
        <v>#NAME?</v>
      </c>
      <c r="Y177" s="33" t="e">
        <f ca="1">IF($B177="","",_xll.BDP($A177&amp;" Corp",Y$14))</f>
        <v>#NAME?</v>
      </c>
      <c r="Z177" s="52" t="e">
        <f ca="1">IF($B177="","",_xll.BDP($A177&amp;" Corp",Z$14))</f>
        <v>#NAME?</v>
      </c>
      <c r="AA177" s="53" t="e">
        <f ca="1">IF($B177="","",_xll.BDP($A177&amp;" Corp",AA$14))</f>
        <v>#NAME?</v>
      </c>
      <c r="AB177" s="54" t="e">
        <f ca="1">IF($B177="","",_xll.BDP($A177&amp;" Corp",AB$14))</f>
        <v>#NAME?</v>
      </c>
      <c r="AC177" s="54" t="e">
        <f ca="1">IF($B177="","",_xll.BDP($A177&amp;" Corp",AC$14))</f>
        <v>#NAME?</v>
      </c>
      <c r="AD177" s="55" t="e">
        <f ca="1">IF($B177="","",_xll.BDP($A177&amp;" Corp",AD$14))</f>
        <v>#NAME?</v>
      </c>
      <c r="AE177" s="56" t="e">
        <f ca="1">IF($B177="","",_xll.BDP($A177&amp;" Corp",AE$14))</f>
        <v>#NAME?</v>
      </c>
      <c r="AF177" s="29" t="e">
        <f ca="1">IF($B177="","",_xll.BDP($A177&amp;" Corp",AF$14))</f>
        <v>#NAME?</v>
      </c>
      <c r="AG177" s="33" t="e">
        <f ca="1">IF($B177="","",_xll.BDP($A177&amp;" Corp",AG$14))</f>
        <v>#NAME?</v>
      </c>
      <c r="AH177" s="30" t="e">
        <f ca="1">IF($B177="","",_xll.BDP($A177&amp;" Corp",AH$14))</f>
        <v>#NAME?</v>
      </c>
      <c r="AI177" s="30" t="e">
        <f ca="1">IF($B177="","",_xll.BDP($A177&amp;" Corp",AI$14))</f>
        <v>#NAME?</v>
      </c>
      <c r="AJ177" s="30" t="e">
        <f ca="1">IF($B177="","",_xll.BDP($A177&amp;" Corp",AJ$14))</f>
        <v>#NAME?</v>
      </c>
      <c r="AK177" s="11" t="e">
        <f ca="1">IF($B177="","",_xll.BDP($A177&amp;" Corp",AK$14))</f>
        <v>#NAME?</v>
      </c>
      <c r="AL177" s="11" t="e">
        <f ca="1">IF($B177="","",_xll.BDP($A177&amp;" Corp",AL$14))</f>
        <v>#NAME?</v>
      </c>
      <c r="AM177" s="11" t="e">
        <f t="shared" ca="1" si="27"/>
        <v>#NAME?</v>
      </c>
      <c r="AN177" s="57" t="e">
        <f t="shared" ca="1" si="21"/>
        <v>#NAME?</v>
      </c>
    </row>
    <row r="178" spans="1:40" x14ac:dyDescent="0.3">
      <c r="A178" s="67" t="str">
        <f t="shared" si="22"/>
        <v>XS2528155893</v>
      </c>
      <c r="B178" s="68" t="s">
        <v>413</v>
      </c>
      <c r="C178" s="75">
        <v>10137</v>
      </c>
      <c r="D178" s="75">
        <v>128</v>
      </c>
      <c r="E178" s="75">
        <v>300000</v>
      </c>
      <c r="F178" s="69">
        <v>0.24314746000000001</v>
      </c>
      <c r="G178" s="70">
        <v>301389</v>
      </c>
      <c r="H178" s="67">
        <f t="shared" si="23"/>
        <v>300000</v>
      </c>
      <c r="I178" s="67">
        <f t="shared" si="24"/>
        <v>0.24314746000000001</v>
      </c>
      <c r="J178" s="67">
        <f t="shared" si="25"/>
        <v>301389</v>
      </c>
      <c r="K178" s="71">
        <f t="shared" si="26"/>
        <v>100.46299999999999</v>
      </c>
      <c r="L178" s="29" t="e">
        <f ca="1">IF(B178="","",_xll.BDP(A178&amp;" Corp","INTERVAL_HIGH","START_DATE_OVERRIDE",TEXT($L$12,"AAAAMMDD"),"END_DATE_OVERRIDE",TEXT($L$13,"AAAAMMDD"),"MARKET_DATA_OVERRIDE",$L$14))</f>
        <v>#NAME?</v>
      </c>
      <c r="M178" s="30" t="e">
        <f ca="1">IF(B178="","",_xll.BDP($A178&amp;" Corp","INTERVAL_LOW","START_DATE_OVERRIDE",TEXT($L$12,"AAAAMMDD"),"END_DATE_OVERRIDE",TEXT($L$13,"AAAAMMDD"),"MARKET_DATA_OVERRIDE",$L$14))</f>
        <v>#NAME?</v>
      </c>
      <c r="N178" s="31" t="e">
        <f ca="1">IF($B178="","",_xll.BDP($A178&amp;" Corp",N$15))</f>
        <v>#NAME?</v>
      </c>
      <c r="O178" s="32" t="e">
        <f ca="1">IF($B178="","",_xll.BDP($A178&amp;" Corp",O$15))</f>
        <v>#NAME?</v>
      </c>
      <c r="P178" s="32" t="e">
        <f ca="1">IF($B178="","",_xll.BDP($A178&amp;" Corp",P$15))</f>
        <v>#NAME?</v>
      </c>
      <c r="Q178" s="30" t="e">
        <f ca="1">IF($B178="","",_xll.BDP($A178&amp;" Corp",Q$14))</f>
        <v>#NAME?</v>
      </c>
      <c r="R178" s="30" t="e">
        <f ca="1">IF($B178="","",_xll.BDP($A178&amp;" Corp",R$14))</f>
        <v>#NAME?</v>
      </c>
      <c r="S178" s="50" t="e">
        <f ca="1">IF($B178="","",_xll.BDP($A178&amp;" Corp",S$14))</f>
        <v>#NAME?</v>
      </c>
      <c r="T178" s="30" t="e">
        <f ca="1">IF($B178="","",_xll.BDP($A178&amp;" Corp",T$14))</f>
        <v>#NAME?</v>
      </c>
      <c r="U178" s="30" t="e">
        <f ca="1">IF($B178="","",_xll.BDP($A178&amp;" Corp",U$14))</f>
        <v>#NAME?</v>
      </c>
      <c r="V178" s="51" t="e">
        <f ca="1">IF($B178="","",IF($T178="VARIABLE",_xll.BDP($A178&amp;" Corp",V$13),_xll.BDP($A178&amp;" Corp",V$14)))</f>
        <v>#NAME?</v>
      </c>
      <c r="W178" s="30" t="e">
        <f ca="1">IF($B178="","",IF($T178="VARIABLE",_xll.BDP($A178&amp;" Corp",W$13),_xll.BDP($A178&amp;" Corp",W$14)))</f>
        <v>#NAME?</v>
      </c>
      <c r="X178" s="30" t="e">
        <f ca="1">IF($B178="","",_xll.BDP($A178&amp;" Corp",X$14))</f>
        <v>#NAME?</v>
      </c>
      <c r="Y178" s="33" t="e">
        <f ca="1">IF($B178="","",_xll.BDP($A178&amp;" Corp",Y$14))</f>
        <v>#NAME?</v>
      </c>
      <c r="Z178" s="52" t="e">
        <f ca="1">IF($B178="","",_xll.BDP($A178&amp;" Corp",Z$14))</f>
        <v>#NAME?</v>
      </c>
      <c r="AA178" s="53" t="e">
        <f ca="1">IF($B178="","",_xll.BDP($A178&amp;" Corp",AA$14))</f>
        <v>#NAME?</v>
      </c>
      <c r="AB178" s="54" t="e">
        <f ca="1">IF($B178="","",_xll.BDP($A178&amp;" Corp",AB$14))</f>
        <v>#NAME?</v>
      </c>
      <c r="AC178" s="54" t="e">
        <f ca="1">IF($B178="","",_xll.BDP($A178&amp;" Corp",AC$14))</f>
        <v>#NAME?</v>
      </c>
      <c r="AD178" s="55" t="e">
        <f ca="1">IF($B178="","",_xll.BDP($A178&amp;" Corp",AD$14))</f>
        <v>#NAME?</v>
      </c>
      <c r="AE178" s="56" t="e">
        <f ca="1">IF($B178="","",_xll.BDP($A178&amp;" Corp",AE$14))</f>
        <v>#NAME?</v>
      </c>
      <c r="AF178" s="29" t="e">
        <f ca="1">IF($B178="","",_xll.BDP($A178&amp;" Corp",AF$14))</f>
        <v>#NAME?</v>
      </c>
      <c r="AG178" s="33" t="e">
        <f ca="1">IF($B178="","",_xll.BDP($A178&amp;" Corp",AG$14))</f>
        <v>#NAME?</v>
      </c>
      <c r="AH178" s="30" t="e">
        <f ca="1">IF($B178="","",_xll.BDP($A178&amp;" Corp",AH$14))</f>
        <v>#NAME?</v>
      </c>
      <c r="AI178" s="30" t="e">
        <f ca="1">IF($B178="","",_xll.BDP($A178&amp;" Corp",AI$14))</f>
        <v>#NAME?</v>
      </c>
      <c r="AJ178" s="30" t="e">
        <f ca="1">IF($B178="","",_xll.BDP($A178&amp;" Corp",AJ$14))</f>
        <v>#NAME?</v>
      </c>
      <c r="AK178" s="11" t="e">
        <f ca="1">IF($B178="","",_xll.BDP($A178&amp;" Corp",AK$14))</f>
        <v>#NAME?</v>
      </c>
      <c r="AL178" s="11" t="e">
        <f ca="1">IF($B178="","",_xll.BDP($A178&amp;" Corp",AL$14))</f>
        <v>#NAME?</v>
      </c>
      <c r="AM178" s="11" t="e">
        <f t="shared" ca="1" si="27"/>
        <v>#NAME?</v>
      </c>
      <c r="AN178" s="57" t="e">
        <f t="shared" ca="1" si="21"/>
        <v>#NAME?</v>
      </c>
    </row>
    <row r="179" spans="1:40" x14ac:dyDescent="0.3">
      <c r="A179" s="67" t="str">
        <f t="shared" si="22"/>
        <v>XS2544400786</v>
      </c>
      <c r="B179" s="68" t="s">
        <v>415</v>
      </c>
      <c r="C179" s="75">
        <v>10189</v>
      </c>
      <c r="D179" s="75">
        <v>128</v>
      </c>
      <c r="E179" s="75">
        <v>300000</v>
      </c>
      <c r="F179" s="69">
        <v>0.24751635999999999</v>
      </c>
      <c r="G179" s="70">
        <v>296835</v>
      </c>
      <c r="H179" s="67">
        <f t="shared" si="23"/>
        <v>300000</v>
      </c>
      <c r="I179" s="67">
        <f t="shared" si="24"/>
        <v>0.24751635999999999</v>
      </c>
      <c r="J179" s="67">
        <f t="shared" si="25"/>
        <v>296835</v>
      </c>
      <c r="K179" s="71">
        <f t="shared" si="26"/>
        <v>98.944999999999993</v>
      </c>
      <c r="L179" s="29" t="e">
        <f ca="1">IF(B179="","",_xll.BDP(A179&amp;" Corp","INTERVAL_HIGH","START_DATE_OVERRIDE",TEXT($L$12,"AAAAMMDD"),"END_DATE_OVERRIDE",TEXT($L$13,"AAAAMMDD"),"MARKET_DATA_OVERRIDE",$L$14))</f>
        <v>#NAME?</v>
      </c>
      <c r="M179" s="30" t="e">
        <f ca="1">IF(B179="","",_xll.BDP($A179&amp;" Corp","INTERVAL_LOW","START_DATE_OVERRIDE",TEXT($L$12,"AAAAMMDD"),"END_DATE_OVERRIDE",TEXT($L$13,"AAAAMMDD"),"MARKET_DATA_OVERRIDE",$L$14))</f>
        <v>#NAME?</v>
      </c>
      <c r="N179" s="31" t="e">
        <f ca="1">IF($B179="","",_xll.BDP($A179&amp;" Corp",N$15))</f>
        <v>#NAME?</v>
      </c>
      <c r="O179" s="32" t="e">
        <f ca="1">IF($B179="","",_xll.BDP($A179&amp;" Corp",O$15))</f>
        <v>#NAME?</v>
      </c>
      <c r="P179" s="32" t="e">
        <f ca="1">IF($B179="","",_xll.BDP($A179&amp;" Corp",P$15))</f>
        <v>#NAME?</v>
      </c>
      <c r="Q179" s="30" t="e">
        <f ca="1">IF($B179="","",_xll.BDP($A179&amp;" Corp",Q$14))</f>
        <v>#NAME?</v>
      </c>
      <c r="R179" s="30" t="e">
        <f ca="1">IF($B179="","",_xll.BDP($A179&amp;" Corp",R$14))</f>
        <v>#NAME?</v>
      </c>
      <c r="S179" s="50" t="e">
        <f ca="1">IF($B179="","",_xll.BDP($A179&amp;" Corp",S$14))</f>
        <v>#NAME?</v>
      </c>
      <c r="T179" s="30" t="e">
        <f ca="1">IF($B179="","",_xll.BDP($A179&amp;" Corp",T$14))</f>
        <v>#NAME?</v>
      </c>
      <c r="U179" s="30" t="e">
        <f ca="1">IF($B179="","",_xll.BDP($A179&amp;" Corp",U$14))</f>
        <v>#NAME?</v>
      </c>
      <c r="V179" s="51" t="e">
        <f ca="1">IF($B179="","",IF($T179="VARIABLE",_xll.BDP($A179&amp;" Corp",V$13),_xll.BDP($A179&amp;" Corp",V$14)))</f>
        <v>#NAME?</v>
      </c>
      <c r="W179" s="30" t="e">
        <f ca="1">IF($B179="","",IF($T179="VARIABLE",_xll.BDP($A179&amp;" Corp",W$13),_xll.BDP($A179&amp;" Corp",W$14)))</f>
        <v>#NAME?</v>
      </c>
      <c r="X179" s="30" t="e">
        <f ca="1">IF($B179="","",_xll.BDP($A179&amp;" Corp",X$14))</f>
        <v>#NAME?</v>
      </c>
      <c r="Y179" s="33" t="e">
        <f ca="1">IF($B179="","",_xll.BDP($A179&amp;" Corp",Y$14))</f>
        <v>#NAME?</v>
      </c>
      <c r="Z179" s="52" t="e">
        <f ca="1">IF($B179="","",_xll.BDP($A179&amp;" Corp",Z$14))</f>
        <v>#NAME?</v>
      </c>
      <c r="AA179" s="53" t="e">
        <f ca="1">IF($B179="","",_xll.BDP($A179&amp;" Corp",AA$14))</f>
        <v>#NAME?</v>
      </c>
      <c r="AB179" s="54" t="e">
        <f ca="1">IF($B179="","",_xll.BDP($A179&amp;" Corp",AB$14))</f>
        <v>#NAME?</v>
      </c>
      <c r="AC179" s="54" t="e">
        <f ca="1">IF($B179="","",_xll.BDP($A179&amp;" Corp",AC$14))</f>
        <v>#NAME?</v>
      </c>
      <c r="AD179" s="55" t="e">
        <f ca="1">IF($B179="","",_xll.BDP($A179&amp;" Corp",AD$14))</f>
        <v>#NAME?</v>
      </c>
      <c r="AE179" s="56" t="e">
        <f ca="1">IF($B179="","",_xll.BDP($A179&amp;" Corp",AE$14))</f>
        <v>#NAME?</v>
      </c>
      <c r="AF179" s="29" t="e">
        <f ca="1">IF($B179="","",_xll.BDP($A179&amp;" Corp",AF$14))</f>
        <v>#NAME?</v>
      </c>
      <c r="AG179" s="33" t="e">
        <f ca="1">IF($B179="","",_xll.BDP($A179&amp;" Corp",AG$14))</f>
        <v>#NAME?</v>
      </c>
      <c r="AH179" s="30" t="e">
        <f ca="1">IF($B179="","",_xll.BDP($A179&amp;" Corp",AH$14))</f>
        <v>#NAME?</v>
      </c>
      <c r="AI179" s="30" t="e">
        <f ca="1">IF($B179="","",_xll.BDP($A179&amp;" Corp",AI$14))</f>
        <v>#NAME?</v>
      </c>
      <c r="AJ179" s="30" t="e">
        <f ca="1">IF($B179="","",_xll.BDP($A179&amp;" Corp",AJ$14))</f>
        <v>#NAME?</v>
      </c>
      <c r="AK179" s="11" t="e">
        <f ca="1">IF($B179="","",_xll.BDP($A179&amp;" Corp",AK$14))</f>
        <v>#NAME?</v>
      </c>
      <c r="AL179" s="11" t="e">
        <f ca="1">IF($B179="","",_xll.BDP($A179&amp;" Corp",AL$14))</f>
        <v>#NAME?</v>
      </c>
      <c r="AM179" s="11" t="e">
        <f t="shared" ca="1" si="27"/>
        <v>#NAME?</v>
      </c>
      <c r="AN179" s="57" t="e">
        <f t="shared" ca="1" si="21"/>
        <v>#NAME?</v>
      </c>
    </row>
    <row r="180" spans="1:40" x14ac:dyDescent="0.3">
      <c r="A180" s="67" t="str">
        <f t="shared" si="22"/>
        <v>XS2547591474</v>
      </c>
      <c r="B180" s="68" t="s">
        <v>417</v>
      </c>
      <c r="C180" s="75">
        <v>10371</v>
      </c>
      <c r="D180" s="75">
        <v>128</v>
      </c>
      <c r="E180" s="75">
        <v>1000000</v>
      </c>
      <c r="F180" s="69">
        <v>0.81723597000000003</v>
      </c>
      <c r="G180" s="70">
        <v>998950</v>
      </c>
      <c r="H180" s="67">
        <f t="shared" si="23"/>
        <v>1000000</v>
      </c>
      <c r="I180" s="67">
        <f t="shared" si="24"/>
        <v>0.81723597000000003</v>
      </c>
      <c r="J180" s="67">
        <f t="shared" si="25"/>
        <v>998950</v>
      </c>
      <c r="K180" s="71">
        <f t="shared" si="26"/>
        <v>99.894999999999996</v>
      </c>
      <c r="L180" s="29" t="e">
        <f ca="1">IF(B180="","",_xll.BDP(A180&amp;" Corp","INTERVAL_HIGH","START_DATE_OVERRIDE",TEXT($L$12,"AAAAMMDD"),"END_DATE_OVERRIDE",TEXT($L$13,"AAAAMMDD"),"MARKET_DATA_OVERRIDE",$L$14))</f>
        <v>#NAME?</v>
      </c>
      <c r="M180" s="30" t="e">
        <f ca="1">IF(B180="","",_xll.BDP($A180&amp;" Corp","INTERVAL_LOW","START_DATE_OVERRIDE",TEXT($L$12,"AAAAMMDD"),"END_DATE_OVERRIDE",TEXT($L$13,"AAAAMMDD"),"MARKET_DATA_OVERRIDE",$L$14))</f>
        <v>#NAME?</v>
      </c>
      <c r="N180" s="31" t="e">
        <f ca="1">IF($B180="","",_xll.BDP($A180&amp;" Corp",N$15))</f>
        <v>#NAME?</v>
      </c>
      <c r="O180" s="32" t="e">
        <f ca="1">IF($B180="","",_xll.BDP($A180&amp;" Corp",O$15))</f>
        <v>#NAME?</v>
      </c>
      <c r="P180" s="32" t="e">
        <f ca="1">IF($B180="","",_xll.BDP($A180&amp;" Corp",P$15))</f>
        <v>#NAME?</v>
      </c>
      <c r="Q180" s="30" t="e">
        <f ca="1">IF($B180="","",_xll.BDP($A180&amp;" Corp",Q$14))</f>
        <v>#NAME?</v>
      </c>
      <c r="R180" s="30" t="e">
        <f ca="1">IF($B180="","",_xll.BDP($A180&amp;" Corp",R$14))</f>
        <v>#NAME?</v>
      </c>
      <c r="S180" s="50" t="e">
        <f ca="1">IF($B180="","",_xll.BDP($A180&amp;" Corp",S$14))</f>
        <v>#NAME?</v>
      </c>
      <c r="T180" s="30" t="e">
        <f ca="1">IF($B180="","",_xll.BDP($A180&amp;" Corp",T$14))</f>
        <v>#NAME?</v>
      </c>
      <c r="U180" s="30" t="e">
        <f ca="1">IF($B180="","",_xll.BDP($A180&amp;" Corp",U$14))</f>
        <v>#NAME?</v>
      </c>
      <c r="V180" s="51" t="e">
        <f ca="1">IF($B180="","",IF($T180="VARIABLE",_xll.BDP($A180&amp;" Corp",V$13),_xll.BDP($A180&amp;" Corp",V$14)))</f>
        <v>#NAME?</v>
      </c>
      <c r="W180" s="30" t="e">
        <f ca="1">IF($B180="","",IF($T180="VARIABLE",_xll.BDP($A180&amp;" Corp",W$13),_xll.BDP($A180&amp;" Corp",W$14)))</f>
        <v>#NAME?</v>
      </c>
      <c r="X180" s="30" t="e">
        <f ca="1">IF($B180="","",_xll.BDP($A180&amp;" Corp",X$14))</f>
        <v>#NAME?</v>
      </c>
      <c r="Y180" s="33" t="e">
        <f ca="1">IF($B180="","",_xll.BDP($A180&amp;" Corp",Y$14))</f>
        <v>#NAME?</v>
      </c>
      <c r="Z180" s="52" t="e">
        <f ca="1">IF($B180="","",_xll.BDP($A180&amp;" Corp",Z$14))</f>
        <v>#NAME?</v>
      </c>
      <c r="AA180" s="53" t="e">
        <f ca="1">IF($B180="","",_xll.BDP($A180&amp;" Corp",AA$14))</f>
        <v>#NAME?</v>
      </c>
      <c r="AB180" s="54" t="e">
        <f ca="1">IF($B180="","",_xll.BDP($A180&amp;" Corp",AB$14))</f>
        <v>#NAME?</v>
      </c>
      <c r="AC180" s="54" t="e">
        <f ca="1">IF($B180="","",_xll.BDP($A180&amp;" Corp",AC$14))</f>
        <v>#NAME?</v>
      </c>
      <c r="AD180" s="55" t="e">
        <f ca="1">IF($B180="","",_xll.BDP($A180&amp;" Corp",AD$14))</f>
        <v>#NAME?</v>
      </c>
      <c r="AE180" s="56" t="e">
        <f ca="1">IF($B180="","",_xll.BDP($A180&amp;" Corp",AE$14))</f>
        <v>#NAME?</v>
      </c>
      <c r="AF180" s="29" t="e">
        <f ca="1">IF($B180="","",_xll.BDP($A180&amp;" Corp",AF$14))</f>
        <v>#NAME?</v>
      </c>
      <c r="AG180" s="33" t="e">
        <f ca="1">IF($B180="","",_xll.BDP($A180&amp;" Corp",AG$14))</f>
        <v>#NAME?</v>
      </c>
      <c r="AH180" s="30" t="e">
        <f ca="1">IF($B180="","",_xll.BDP($A180&amp;" Corp",AH$14))</f>
        <v>#NAME?</v>
      </c>
      <c r="AI180" s="30" t="e">
        <f ca="1">IF($B180="","",_xll.BDP($A180&amp;" Corp",AI$14))</f>
        <v>#NAME?</v>
      </c>
      <c r="AJ180" s="30" t="e">
        <f ca="1">IF($B180="","",_xll.BDP($A180&amp;" Corp",AJ$14))</f>
        <v>#NAME?</v>
      </c>
      <c r="AK180" s="11" t="e">
        <f ca="1">IF($B180="","",_xll.BDP($A180&amp;" Corp",AK$14))</f>
        <v>#NAME?</v>
      </c>
      <c r="AL180" s="11" t="e">
        <f ca="1">IF($B180="","",_xll.BDP($A180&amp;" Corp",AL$14))</f>
        <v>#NAME?</v>
      </c>
      <c r="AM180" s="11" t="e">
        <f t="shared" ca="1" si="27"/>
        <v>#NAME?</v>
      </c>
      <c r="AN180" s="57" t="e">
        <f t="shared" ca="1" si="21"/>
        <v>#NAME?</v>
      </c>
    </row>
    <row r="181" spans="1:40" x14ac:dyDescent="0.3">
      <c r="A181" s="67" t="str">
        <f t="shared" si="22"/>
        <v>XS2584643113</v>
      </c>
      <c r="B181" s="68" t="s">
        <v>420</v>
      </c>
      <c r="C181" s="75">
        <v>10368</v>
      </c>
      <c r="D181" s="75">
        <v>128</v>
      </c>
      <c r="E181" s="75">
        <v>300000</v>
      </c>
      <c r="F181" s="69">
        <v>0.24535649000000001</v>
      </c>
      <c r="G181" s="70">
        <v>299598</v>
      </c>
      <c r="H181" s="67">
        <f t="shared" si="23"/>
        <v>300000</v>
      </c>
      <c r="I181" s="67">
        <f t="shared" si="24"/>
        <v>0.24535649000000001</v>
      </c>
      <c r="J181" s="67">
        <f t="shared" si="25"/>
        <v>299598</v>
      </c>
      <c r="K181" s="71">
        <f t="shared" si="26"/>
        <v>99.866</v>
      </c>
      <c r="L181" s="29" t="e">
        <f ca="1">IF(B181="","",_xll.BDP(A181&amp;" Corp","INTERVAL_HIGH","START_DATE_OVERRIDE",TEXT($L$12,"AAAAMMDD"),"END_DATE_OVERRIDE",TEXT($L$13,"AAAAMMDD"),"MARKET_DATA_OVERRIDE",$L$14))</f>
        <v>#NAME?</v>
      </c>
      <c r="M181" s="30" t="e">
        <f ca="1">IF(B181="","",_xll.BDP($A181&amp;" Corp","INTERVAL_LOW","START_DATE_OVERRIDE",TEXT($L$12,"AAAAMMDD"),"END_DATE_OVERRIDE",TEXT($L$13,"AAAAMMDD"),"MARKET_DATA_OVERRIDE",$L$14))</f>
        <v>#NAME?</v>
      </c>
      <c r="N181" s="31" t="e">
        <f ca="1">IF($B181="","",_xll.BDP($A181&amp;" Corp",N$15))</f>
        <v>#NAME?</v>
      </c>
      <c r="O181" s="32" t="e">
        <f ca="1">IF($B181="","",_xll.BDP($A181&amp;" Corp",O$15))</f>
        <v>#NAME?</v>
      </c>
      <c r="P181" s="32" t="e">
        <f ca="1">IF($B181="","",_xll.BDP($A181&amp;" Corp",P$15))</f>
        <v>#NAME?</v>
      </c>
      <c r="Q181" s="30" t="e">
        <f ca="1">IF($B181="","",_xll.BDP($A181&amp;" Corp",Q$14))</f>
        <v>#NAME?</v>
      </c>
      <c r="R181" s="30" t="e">
        <f ca="1">IF($B181="","",_xll.BDP($A181&amp;" Corp",R$14))</f>
        <v>#NAME?</v>
      </c>
      <c r="S181" s="50" t="e">
        <f ca="1">IF($B181="","",_xll.BDP($A181&amp;" Corp",S$14))</f>
        <v>#NAME?</v>
      </c>
      <c r="T181" s="30" t="e">
        <f ca="1">IF($B181="","",_xll.BDP($A181&amp;" Corp",T$14))</f>
        <v>#NAME?</v>
      </c>
      <c r="U181" s="30" t="e">
        <f ca="1">IF($B181="","",_xll.BDP($A181&amp;" Corp",U$14))</f>
        <v>#NAME?</v>
      </c>
      <c r="V181" s="51" t="e">
        <f ca="1">IF($B181="","",IF($T181="VARIABLE",_xll.BDP($A181&amp;" Corp",V$13),_xll.BDP($A181&amp;" Corp",V$14)))</f>
        <v>#NAME?</v>
      </c>
      <c r="W181" s="30" t="e">
        <f ca="1">IF($B181="","",IF($T181="VARIABLE",_xll.BDP($A181&amp;" Corp",W$13),_xll.BDP($A181&amp;" Corp",W$14)))</f>
        <v>#NAME?</v>
      </c>
      <c r="X181" s="30" t="e">
        <f ca="1">IF($B181="","",_xll.BDP($A181&amp;" Corp",X$14))</f>
        <v>#NAME?</v>
      </c>
      <c r="Y181" s="33" t="e">
        <f ca="1">IF($B181="","",_xll.BDP($A181&amp;" Corp",Y$14))</f>
        <v>#NAME?</v>
      </c>
      <c r="Z181" s="52" t="e">
        <f ca="1">IF($B181="","",_xll.BDP($A181&amp;" Corp",Z$14))</f>
        <v>#NAME?</v>
      </c>
      <c r="AA181" s="53" t="e">
        <f ca="1">IF($B181="","",_xll.BDP($A181&amp;" Corp",AA$14))</f>
        <v>#NAME?</v>
      </c>
      <c r="AB181" s="54" t="e">
        <f ca="1">IF($B181="","",_xll.BDP($A181&amp;" Corp",AB$14))</f>
        <v>#NAME?</v>
      </c>
      <c r="AC181" s="54" t="e">
        <f ca="1">IF($B181="","",_xll.BDP($A181&amp;" Corp",AC$14))</f>
        <v>#NAME?</v>
      </c>
      <c r="AD181" s="55" t="e">
        <f ca="1">IF($B181="","",_xll.BDP($A181&amp;" Corp",AD$14))</f>
        <v>#NAME?</v>
      </c>
      <c r="AE181" s="56" t="e">
        <f ca="1">IF($B181="","",_xll.BDP($A181&amp;" Corp",AE$14))</f>
        <v>#NAME?</v>
      </c>
      <c r="AF181" s="29" t="e">
        <f ca="1">IF($B181="","",_xll.BDP($A181&amp;" Corp",AF$14))</f>
        <v>#NAME?</v>
      </c>
      <c r="AG181" s="33" t="e">
        <f ca="1">IF($B181="","",_xll.BDP($A181&amp;" Corp",AG$14))</f>
        <v>#NAME?</v>
      </c>
      <c r="AH181" s="30" t="e">
        <f ca="1">IF($B181="","",_xll.BDP($A181&amp;" Corp",AH$14))</f>
        <v>#NAME?</v>
      </c>
      <c r="AI181" s="30" t="e">
        <f ca="1">IF($B181="","",_xll.BDP($A181&amp;" Corp",AI$14))</f>
        <v>#NAME?</v>
      </c>
      <c r="AJ181" s="30" t="e">
        <f ca="1">IF($B181="","",_xll.BDP($A181&amp;" Corp",AJ$14))</f>
        <v>#NAME?</v>
      </c>
      <c r="AK181" s="11" t="e">
        <f ca="1">IF($B181="","",_xll.BDP($A181&amp;" Corp",AK$14))</f>
        <v>#NAME?</v>
      </c>
      <c r="AL181" s="11" t="e">
        <f ca="1">IF($B181="","",_xll.BDP($A181&amp;" Corp",AL$14))</f>
        <v>#NAME?</v>
      </c>
      <c r="AM181" s="11" t="e">
        <f t="shared" ca="1" si="27"/>
        <v>#NAME?</v>
      </c>
      <c r="AN181" s="57" t="e">
        <f t="shared" ca="1" si="21"/>
        <v>#NAME?</v>
      </c>
    </row>
    <row r="182" spans="1:40" x14ac:dyDescent="0.3">
      <c r="A182" s="67" t="str">
        <f t="shared" si="22"/>
        <v>XS2592650373</v>
      </c>
      <c r="B182" s="68" t="s">
        <v>422</v>
      </c>
      <c r="C182" s="75">
        <v>10426</v>
      </c>
      <c r="D182" s="75">
        <v>128</v>
      </c>
      <c r="E182" s="75">
        <v>500000</v>
      </c>
      <c r="F182" s="69">
        <v>0.41483186999999999</v>
      </c>
      <c r="G182" s="70">
        <v>496630</v>
      </c>
      <c r="H182" s="67">
        <f t="shared" si="23"/>
        <v>500000</v>
      </c>
      <c r="I182" s="67">
        <f t="shared" si="24"/>
        <v>0.41483186999999999</v>
      </c>
      <c r="J182" s="67">
        <f t="shared" si="25"/>
        <v>496630</v>
      </c>
      <c r="K182" s="71">
        <f t="shared" si="26"/>
        <v>99.325999999999993</v>
      </c>
      <c r="L182" s="29" t="e">
        <f ca="1">IF(B182="","",_xll.BDP(A182&amp;" Corp","INTERVAL_HIGH","START_DATE_OVERRIDE",TEXT($L$12,"AAAAMMDD"),"END_DATE_OVERRIDE",TEXT($L$13,"AAAAMMDD"),"MARKET_DATA_OVERRIDE",$L$14))</f>
        <v>#NAME?</v>
      </c>
      <c r="M182" s="30" t="e">
        <f ca="1">IF(B182="","",_xll.BDP($A182&amp;" Corp","INTERVAL_LOW","START_DATE_OVERRIDE",TEXT($L$12,"AAAAMMDD"),"END_DATE_OVERRIDE",TEXT($L$13,"AAAAMMDD"),"MARKET_DATA_OVERRIDE",$L$14))</f>
        <v>#NAME?</v>
      </c>
      <c r="N182" s="31" t="e">
        <f ca="1">IF($B182="","",_xll.BDP($A182&amp;" Corp",N$15))</f>
        <v>#NAME?</v>
      </c>
      <c r="O182" s="32" t="e">
        <f ca="1">IF($B182="","",_xll.BDP($A182&amp;" Corp",O$15))</f>
        <v>#NAME?</v>
      </c>
      <c r="P182" s="32" t="e">
        <f ca="1">IF($B182="","",_xll.BDP($A182&amp;" Corp",P$15))</f>
        <v>#NAME?</v>
      </c>
      <c r="Q182" s="30" t="e">
        <f ca="1">IF($B182="","",_xll.BDP($A182&amp;" Corp",Q$14))</f>
        <v>#NAME?</v>
      </c>
      <c r="R182" s="30" t="e">
        <f ca="1">IF($B182="","",_xll.BDP($A182&amp;" Corp",R$14))</f>
        <v>#NAME?</v>
      </c>
      <c r="S182" s="50" t="e">
        <f ca="1">IF($B182="","",_xll.BDP($A182&amp;" Corp",S$14))</f>
        <v>#NAME?</v>
      </c>
      <c r="T182" s="30" t="e">
        <f ca="1">IF($B182="","",_xll.BDP($A182&amp;" Corp",T$14))</f>
        <v>#NAME?</v>
      </c>
      <c r="U182" s="30" t="e">
        <f ca="1">IF($B182="","",_xll.BDP($A182&amp;" Corp",U$14))</f>
        <v>#NAME?</v>
      </c>
      <c r="V182" s="51" t="e">
        <f ca="1">IF($B182="","",IF($T182="VARIABLE",_xll.BDP($A182&amp;" Corp",V$13),_xll.BDP($A182&amp;" Corp",V$14)))</f>
        <v>#NAME?</v>
      </c>
      <c r="W182" s="30" t="e">
        <f ca="1">IF($B182="","",IF($T182="VARIABLE",_xll.BDP($A182&amp;" Corp",W$13),_xll.BDP($A182&amp;" Corp",W$14)))</f>
        <v>#NAME?</v>
      </c>
      <c r="X182" s="30" t="e">
        <f ca="1">IF($B182="","",_xll.BDP($A182&amp;" Corp",X$14))</f>
        <v>#NAME?</v>
      </c>
      <c r="Y182" s="33" t="e">
        <f ca="1">IF($B182="","",_xll.BDP($A182&amp;" Corp",Y$14))</f>
        <v>#NAME?</v>
      </c>
      <c r="Z182" s="52" t="e">
        <f ca="1">IF($B182="","",_xll.BDP($A182&amp;" Corp",Z$14))</f>
        <v>#NAME?</v>
      </c>
      <c r="AA182" s="53" t="e">
        <f ca="1">IF($B182="","",_xll.BDP($A182&amp;" Corp",AA$14))</f>
        <v>#NAME?</v>
      </c>
      <c r="AB182" s="54" t="e">
        <f ca="1">IF($B182="","",_xll.BDP($A182&amp;" Corp",AB$14))</f>
        <v>#NAME?</v>
      </c>
      <c r="AC182" s="54" t="e">
        <f ca="1">IF($B182="","",_xll.BDP($A182&amp;" Corp",AC$14))</f>
        <v>#NAME?</v>
      </c>
      <c r="AD182" s="55" t="e">
        <f ca="1">IF($B182="","",_xll.BDP($A182&amp;" Corp",AD$14))</f>
        <v>#NAME?</v>
      </c>
      <c r="AE182" s="56" t="e">
        <f ca="1">IF($B182="","",_xll.BDP($A182&amp;" Corp",AE$14))</f>
        <v>#NAME?</v>
      </c>
      <c r="AF182" s="29" t="e">
        <f ca="1">IF($B182="","",_xll.BDP($A182&amp;" Corp",AF$14))</f>
        <v>#NAME?</v>
      </c>
      <c r="AG182" s="33" t="e">
        <f ca="1">IF($B182="","",_xll.BDP($A182&amp;" Corp",AG$14))</f>
        <v>#NAME?</v>
      </c>
      <c r="AH182" s="30" t="e">
        <f ca="1">IF($B182="","",_xll.BDP($A182&amp;" Corp",AH$14))</f>
        <v>#NAME?</v>
      </c>
      <c r="AI182" s="30" t="e">
        <f ca="1">IF($B182="","",_xll.BDP($A182&amp;" Corp",AI$14))</f>
        <v>#NAME?</v>
      </c>
      <c r="AJ182" s="30" t="e">
        <f ca="1">IF($B182="","",_xll.BDP($A182&amp;" Corp",AJ$14))</f>
        <v>#NAME?</v>
      </c>
      <c r="AK182" s="11" t="e">
        <f ca="1">IF($B182="","",_xll.BDP($A182&amp;" Corp",AK$14))</f>
        <v>#NAME?</v>
      </c>
      <c r="AL182" s="11" t="e">
        <f ca="1">IF($B182="","",_xll.BDP($A182&amp;" Corp",AL$14))</f>
        <v>#NAME?</v>
      </c>
      <c r="AM182" s="11" t="e">
        <f t="shared" ca="1" si="27"/>
        <v>#NAME?</v>
      </c>
      <c r="AN182" s="57" t="e">
        <f t="shared" ca="1" si="21"/>
        <v>#NAME?</v>
      </c>
    </row>
    <row r="183" spans="1:40" x14ac:dyDescent="0.3">
      <c r="A183" s="67" t="str">
        <f t="shared" si="22"/>
        <v>US91282CGM73</v>
      </c>
      <c r="B183" s="68" t="s">
        <v>661</v>
      </c>
      <c r="C183" s="75">
        <v>10477</v>
      </c>
      <c r="D183" s="75">
        <v>128</v>
      </c>
      <c r="E183" s="75">
        <v>1844167.82</v>
      </c>
      <c r="F183" s="69">
        <v>1.4233463900000001</v>
      </c>
      <c r="G183" s="70">
        <v>1988125</v>
      </c>
      <c r="H183" s="67">
        <f t="shared" si="23"/>
        <v>1844167.82</v>
      </c>
      <c r="I183" s="67">
        <f t="shared" si="24"/>
        <v>1.4233463900000001</v>
      </c>
      <c r="J183" s="67">
        <f t="shared" si="25"/>
        <v>1988125</v>
      </c>
      <c r="K183" s="71">
        <f t="shared" si="26"/>
        <v>107.80607808241659</v>
      </c>
      <c r="L183" s="29" t="e">
        <f ca="1">IF(B183="","",_xll.BDP(A183&amp;" Corp","INTERVAL_HIGH","START_DATE_OVERRIDE",TEXT($L$12,"AAAAMMDD"),"END_DATE_OVERRIDE",TEXT($L$13,"AAAAMMDD"),"MARKET_DATA_OVERRIDE",$L$14))</f>
        <v>#NAME?</v>
      </c>
      <c r="M183" s="30" t="e">
        <f ca="1">IF(B183="","",_xll.BDP($A183&amp;" Corp","INTERVAL_LOW","START_DATE_OVERRIDE",TEXT($L$12,"AAAAMMDD"),"END_DATE_OVERRIDE",TEXT($L$13,"AAAAMMDD"),"MARKET_DATA_OVERRIDE",$L$14))</f>
        <v>#NAME?</v>
      </c>
      <c r="N183" s="31" t="e">
        <f ca="1">IF($B183="","",_xll.BDP($A183&amp;" Corp",N$15))</f>
        <v>#NAME?</v>
      </c>
      <c r="O183" s="32" t="e">
        <f ca="1">IF($B183="","",_xll.BDP($A183&amp;" Corp",O$15))</f>
        <v>#NAME?</v>
      </c>
      <c r="P183" s="32" t="e">
        <f ca="1">IF($B183="","",_xll.BDP($A183&amp;" Corp",P$15))</f>
        <v>#NAME?</v>
      </c>
      <c r="Q183" s="30" t="e">
        <f ca="1">IF($B183="","",_xll.BDP($A183&amp;" Corp",Q$14))</f>
        <v>#NAME?</v>
      </c>
      <c r="R183" s="30" t="e">
        <f ca="1">IF($B183="","",_xll.BDP($A183&amp;" Corp",R$14))</f>
        <v>#NAME?</v>
      </c>
      <c r="S183" s="50" t="e">
        <f ca="1">IF($B183="","",_xll.BDP($A183&amp;" Corp",S$14))</f>
        <v>#NAME?</v>
      </c>
      <c r="T183" s="30" t="e">
        <f ca="1">IF($B183="","",_xll.BDP($A183&amp;" Corp",T$14))</f>
        <v>#NAME?</v>
      </c>
      <c r="U183" s="30" t="e">
        <f ca="1">IF($B183="","",_xll.BDP($A183&amp;" Corp",U$14))</f>
        <v>#NAME?</v>
      </c>
      <c r="V183" s="51" t="e">
        <f ca="1">IF($B183="","",IF($T183="VARIABLE",_xll.BDP($A183&amp;" Corp",V$13),_xll.BDP($A183&amp;" Corp",V$14)))</f>
        <v>#NAME?</v>
      </c>
      <c r="W183" s="30" t="e">
        <f ca="1">IF($B183="","",IF($T183="VARIABLE",_xll.BDP($A183&amp;" Corp",W$13),_xll.BDP($A183&amp;" Corp",W$14)))</f>
        <v>#NAME?</v>
      </c>
      <c r="X183" s="30" t="e">
        <f ca="1">IF($B183="","",_xll.BDP($A183&amp;" Corp",X$14))</f>
        <v>#NAME?</v>
      </c>
      <c r="Y183" s="33" t="e">
        <f ca="1">IF($B183="","",_xll.BDP($A183&amp;" Corp",Y$14))</f>
        <v>#NAME?</v>
      </c>
      <c r="Z183" s="52" t="e">
        <f ca="1">IF($B183="","",_xll.BDP($A183&amp;" Corp",Z$14))</f>
        <v>#NAME?</v>
      </c>
      <c r="AA183" s="53" t="e">
        <f ca="1">IF($B183="","",_xll.BDP($A183&amp;" Corp",AA$14))</f>
        <v>#NAME?</v>
      </c>
      <c r="AB183" s="54" t="e">
        <f ca="1">IF($B183="","",_xll.BDP($A183&amp;" Corp",AB$14))</f>
        <v>#NAME?</v>
      </c>
      <c r="AC183" s="54" t="e">
        <f ca="1">IF($B183="","",_xll.BDP($A183&amp;" Corp",AC$14))</f>
        <v>#NAME?</v>
      </c>
      <c r="AD183" s="55" t="e">
        <f ca="1">IF($B183="","",_xll.BDP($A183&amp;" Corp",AD$14))</f>
        <v>#NAME?</v>
      </c>
      <c r="AE183" s="56" t="e">
        <f ca="1">IF($B183="","",_xll.BDP($A183&amp;" Corp",AE$14))</f>
        <v>#NAME?</v>
      </c>
      <c r="AF183" s="29" t="e">
        <f ca="1">IF($B183="","",_xll.BDP($A183&amp;" Corp",AF$14))</f>
        <v>#NAME?</v>
      </c>
      <c r="AG183" s="33" t="e">
        <f ca="1">IF($B183="","",_xll.BDP($A183&amp;" Corp",AG$14))</f>
        <v>#NAME?</v>
      </c>
      <c r="AH183" s="30" t="e">
        <f ca="1">IF($B183="","",_xll.BDP($A183&amp;" Corp",AH$14))</f>
        <v>#NAME?</v>
      </c>
      <c r="AI183" s="30" t="e">
        <f ca="1">IF($B183="","",_xll.BDP($A183&amp;" Corp",AI$14))</f>
        <v>#NAME?</v>
      </c>
      <c r="AJ183" s="30" t="e">
        <f ca="1">IF($B183="","",_xll.BDP($A183&amp;" Corp",AJ$14))</f>
        <v>#NAME?</v>
      </c>
      <c r="AK183" s="11" t="e">
        <f ca="1">IF($B183="","",_xll.BDP($A183&amp;" Corp",AK$14))</f>
        <v>#NAME?</v>
      </c>
      <c r="AL183" s="11" t="e">
        <f ca="1">IF($B183="","",_xll.BDP($A183&amp;" Corp",AL$14))</f>
        <v>#NAME?</v>
      </c>
      <c r="AM183" s="11" t="e">
        <f t="shared" ca="1" si="27"/>
        <v>#NAME?</v>
      </c>
      <c r="AN183" s="57" t="e">
        <f t="shared" ca="1" si="21"/>
        <v>#NAME?</v>
      </c>
    </row>
    <row r="184" spans="1:40" x14ac:dyDescent="0.3">
      <c r="A184" s="67" t="str">
        <f t="shared" si="22"/>
        <v>EU000A3KSXE1</v>
      </c>
      <c r="B184" s="68" t="s">
        <v>663</v>
      </c>
      <c r="C184" s="75">
        <v>10483</v>
      </c>
      <c r="D184" s="75">
        <v>128</v>
      </c>
      <c r="E184" s="75">
        <v>2000000</v>
      </c>
      <c r="F184" s="69">
        <v>1.2397690699999999</v>
      </c>
      <c r="G184" s="70">
        <v>1577200</v>
      </c>
      <c r="H184" s="67">
        <f t="shared" si="23"/>
        <v>2000000</v>
      </c>
      <c r="I184" s="67">
        <f t="shared" si="24"/>
        <v>1.2397690699999999</v>
      </c>
      <c r="J184" s="67">
        <f t="shared" si="25"/>
        <v>1577200</v>
      </c>
      <c r="K184" s="71">
        <f t="shared" si="26"/>
        <v>78.86</v>
      </c>
      <c r="L184" s="29" t="e">
        <f ca="1">IF(B184="","",_xll.BDP(A184&amp;" Corp","INTERVAL_HIGH","START_DATE_OVERRIDE",TEXT($L$12,"AAAAMMDD"),"END_DATE_OVERRIDE",TEXT($L$13,"AAAAMMDD"),"MARKET_DATA_OVERRIDE",$L$14))</f>
        <v>#NAME?</v>
      </c>
      <c r="M184" s="30" t="e">
        <f ca="1">IF(B184="","",_xll.BDP($A184&amp;" Corp","INTERVAL_LOW","START_DATE_OVERRIDE",TEXT($L$12,"AAAAMMDD"),"END_DATE_OVERRIDE",TEXT($L$13,"AAAAMMDD"),"MARKET_DATA_OVERRIDE",$L$14))</f>
        <v>#NAME?</v>
      </c>
      <c r="N184" s="31" t="e">
        <f ca="1">IF($B184="","",_xll.BDP($A184&amp;" Corp",N$15))</f>
        <v>#NAME?</v>
      </c>
      <c r="O184" s="32" t="e">
        <f ca="1">IF($B184="","",_xll.BDP($A184&amp;" Corp",O$15))</f>
        <v>#NAME?</v>
      </c>
      <c r="P184" s="32" t="e">
        <f ca="1">IF($B184="","",_xll.BDP($A184&amp;" Corp",P$15))</f>
        <v>#NAME?</v>
      </c>
      <c r="Q184" s="30" t="e">
        <f ca="1">IF($B184="","",_xll.BDP($A184&amp;" Corp",Q$14))</f>
        <v>#NAME?</v>
      </c>
      <c r="R184" s="30" t="e">
        <f ca="1">IF($B184="","",_xll.BDP($A184&amp;" Corp",R$14))</f>
        <v>#NAME?</v>
      </c>
      <c r="S184" s="50" t="e">
        <f ca="1">IF($B184="","",_xll.BDP($A184&amp;" Corp",S$14))</f>
        <v>#NAME?</v>
      </c>
      <c r="T184" s="30" t="e">
        <f ca="1">IF($B184="","",_xll.BDP($A184&amp;" Corp",T$14))</f>
        <v>#NAME?</v>
      </c>
      <c r="U184" s="30" t="e">
        <f ca="1">IF($B184="","",_xll.BDP($A184&amp;" Corp",U$14))</f>
        <v>#NAME?</v>
      </c>
      <c r="V184" s="51" t="e">
        <f ca="1">IF($B184="","",IF($T184="VARIABLE",_xll.BDP($A184&amp;" Corp",V$13),_xll.BDP($A184&amp;" Corp",V$14)))</f>
        <v>#NAME?</v>
      </c>
      <c r="W184" s="30" t="e">
        <f ca="1">IF($B184="","",IF($T184="VARIABLE",_xll.BDP($A184&amp;" Corp",W$13),_xll.BDP($A184&amp;" Corp",W$14)))</f>
        <v>#NAME?</v>
      </c>
      <c r="X184" s="30" t="e">
        <f ca="1">IF($B184="","",_xll.BDP($A184&amp;" Corp",X$14))</f>
        <v>#NAME?</v>
      </c>
      <c r="Y184" s="33" t="e">
        <f ca="1">IF($B184="","",_xll.BDP($A184&amp;" Corp",Y$14))</f>
        <v>#NAME?</v>
      </c>
      <c r="Z184" s="52" t="e">
        <f ca="1">IF($B184="","",_xll.BDP($A184&amp;" Corp",Z$14))</f>
        <v>#NAME?</v>
      </c>
      <c r="AA184" s="53" t="e">
        <f ca="1">IF($B184="","",_xll.BDP($A184&amp;" Corp",AA$14))</f>
        <v>#NAME?</v>
      </c>
      <c r="AB184" s="54" t="e">
        <f ca="1">IF($B184="","",_xll.BDP($A184&amp;" Corp",AB$14))</f>
        <v>#NAME?</v>
      </c>
      <c r="AC184" s="54" t="e">
        <f ca="1">IF($B184="","",_xll.BDP($A184&amp;" Corp",AC$14))</f>
        <v>#NAME?</v>
      </c>
      <c r="AD184" s="55" t="e">
        <f ca="1">IF($B184="","",_xll.BDP($A184&amp;" Corp",AD$14))</f>
        <v>#NAME?</v>
      </c>
      <c r="AE184" s="56" t="e">
        <f ca="1">IF($B184="","",_xll.BDP($A184&amp;" Corp",AE$14))</f>
        <v>#NAME?</v>
      </c>
      <c r="AF184" s="29" t="e">
        <f ca="1">IF($B184="","",_xll.BDP($A184&amp;" Corp",AF$14))</f>
        <v>#NAME?</v>
      </c>
      <c r="AG184" s="33" t="e">
        <f ca="1">IF($B184="","",_xll.BDP($A184&amp;" Corp",AG$14))</f>
        <v>#NAME?</v>
      </c>
      <c r="AH184" s="30" t="e">
        <f ca="1">IF($B184="","",_xll.BDP($A184&amp;" Corp",AH$14))</f>
        <v>#NAME?</v>
      </c>
      <c r="AI184" s="30" t="e">
        <f ca="1">IF($B184="","",_xll.BDP($A184&amp;" Corp",AI$14))</f>
        <v>#NAME?</v>
      </c>
      <c r="AJ184" s="30" t="e">
        <f ca="1">IF($B184="","",_xll.BDP($A184&amp;" Corp",AJ$14))</f>
        <v>#NAME?</v>
      </c>
      <c r="AK184" s="11" t="e">
        <f ca="1">IF($B184="","",_xll.BDP($A184&amp;" Corp",AK$14))</f>
        <v>#NAME?</v>
      </c>
      <c r="AL184" s="11" t="e">
        <f ca="1">IF($B184="","",_xll.BDP($A184&amp;" Corp",AL$14))</f>
        <v>#NAME?</v>
      </c>
      <c r="AM184" s="11" t="e">
        <f t="shared" ca="1" si="27"/>
        <v>#NAME?</v>
      </c>
      <c r="AN184" s="57" t="e">
        <f t="shared" ca="1" si="21"/>
        <v>#NAME?</v>
      </c>
    </row>
    <row r="185" spans="1:40" x14ac:dyDescent="0.3">
      <c r="A185" s="67" t="str">
        <f t="shared" si="22"/>
        <v>IT0005359507</v>
      </c>
      <c r="B185" s="68" t="s">
        <v>665</v>
      </c>
      <c r="C185" s="75">
        <v>7614</v>
      </c>
      <c r="D185" s="75">
        <v>128</v>
      </c>
      <c r="E185" s="75">
        <v>1000000</v>
      </c>
      <c r="F185" s="69">
        <v>0.81408952999999995</v>
      </c>
      <c r="G185" s="70">
        <v>985830</v>
      </c>
      <c r="H185" s="67">
        <f t="shared" si="23"/>
        <v>1000000</v>
      </c>
      <c r="I185" s="67">
        <f t="shared" si="24"/>
        <v>0.81408952999999995</v>
      </c>
      <c r="J185" s="67">
        <f t="shared" si="25"/>
        <v>985830</v>
      </c>
      <c r="K185" s="71">
        <f t="shared" si="26"/>
        <v>98.582999999999998</v>
      </c>
      <c r="L185" s="29" t="e">
        <f ca="1">IF(B185="","",_xll.BDP(A185&amp;" Corp","INTERVAL_HIGH","START_DATE_OVERRIDE",TEXT($L$12,"AAAAMMDD"),"END_DATE_OVERRIDE",TEXT($L$13,"AAAAMMDD"),"MARKET_DATA_OVERRIDE",$L$14))</f>
        <v>#NAME?</v>
      </c>
      <c r="M185" s="30" t="e">
        <f ca="1">IF(B185="","",_xll.BDP($A185&amp;" Corp","INTERVAL_LOW","START_DATE_OVERRIDE",TEXT($L$12,"AAAAMMDD"),"END_DATE_OVERRIDE",TEXT($L$13,"AAAAMMDD"),"MARKET_DATA_OVERRIDE",$L$14))</f>
        <v>#NAME?</v>
      </c>
      <c r="N185" s="31" t="e">
        <f ca="1">IF($B185="","",_xll.BDP($A185&amp;" Corp",N$15))</f>
        <v>#NAME?</v>
      </c>
      <c r="O185" s="32" t="e">
        <f ca="1">IF($B185="","",_xll.BDP($A185&amp;" Corp",O$15))</f>
        <v>#NAME?</v>
      </c>
      <c r="P185" s="32" t="e">
        <f ca="1">IF($B185="","",_xll.BDP($A185&amp;" Corp",P$15))</f>
        <v>#NAME?</v>
      </c>
      <c r="Q185" s="30" t="e">
        <f ca="1">IF($B185="","",_xll.BDP($A185&amp;" Corp",Q$14))</f>
        <v>#NAME?</v>
      </c>
      <c r="R185" s="30" t="e">
        <f ca="1">IF($B185="","",_xll.BDP($A185&amp;" Corp",R$14))</f>
        <v>#NAME?</v>
      </c>
      <c r="S185" s="50" t="e">
        <f ca="1">IF($B185="","",_xll.BDP($A185&amp;" Corp",S$14))</f>
        <v>#NAME?</v>
      </c>
      <c r="T185" s="30" t="e">
        <f ca="1">IF($B185="","",_xll.BDP($A185&amp;" Corp",T$14))</f>
        <v>#NAME?</v>
      </c>
      <c r="U185" s="30" t="e">
        <f ca="1">IF($B185="","",_xll.BDP($A185&amp;" Corp",U$14))</f>
        <v>#NAME?</v>
      </c>
      <c r="V185" s="51" t="e">
        <f ca="1">IF($B185="","",IF($T185="VARIABLE",_xll.BDP($A185&amp;" Corp",V$13),_xll.BDP($A185&amp;" Corp",V$14)))</f>
        <v>#NAME?</v>
      </c>
      <c r="W185" s="30" t="e">
        <f ca="1">IF($B185="","",IF($T185="VARIABLE",_xll.BDP($A185&amp;" Corp",W$13),_xll.BDP($A185&amp;" Corp",W$14)))</f>
        <v>#NAME?</v>
      </c>
      <c r="X185" s="30" t="e">
        <f ca="1">IF($B185="","",_xll.BDP($A185&amp;" Corp",X$14))</f>
        <v>#NAME?</v>
      </c>
      <c r="Y185" s="33" t="e">
        <f ca="1">IF($B185="","",_xll.BDP($A185&amp;" Corp",Y$14))</f>
        <v>#NAME?</v>
      </c>
      <c r="Z185" s="52" t="e">
        <f ca="1">IF($B185="","",_xll.BDP($A185&amp;" Corp",Z$14))</f>
        <v>#NAME?</v>
      </c>
      <c r="AA185" s="53" t="e">
        <f ca="1">IF($B185="","",_xll.BDP($A185&amp;" Corp",AA$14))</f>
        <v>#NAME?</v>
      </c>
      <c r="AB185" s="54" t="e">
        <f ca="1">IF($B185="","",_xll.BDP($A185&amp;" Corp",AB$14))</f>
        <v>#NAME?</v>
      </c>
      <c r="AC185" s="54" t="e">
        <f ca="1">IF($B185="","",_xll.BDP($A185&amp;" Corp",AC$14))</f>
        <v>#NAME?</v>
      </c>
      <c r="AD185" s="55" t="e">
        <f ca="1">IF($B185="","",_xll.BDP($A185&amp;" Corp",AD$14))</f>
        <v>#NAME?</v>
      </c>
      <c r="AE185" s="56" t="e">
        <f ca="1">IF($B185="","",_xll.BDP($A185&amp;" Corp",AE$14))</f>
        <v>#NAME?</v>
      </c>
      <c r="AF185" s="29" t="e">
        <f ca="1">IF($B185="","",_xll.BDP($A185&amp;" Corp",AF$14))</f>
        <v>#NAME?</v>
      </c>
      <c r="AG185" s="33" t="e">
        <f ca="1">IF($B185="","",_xll.BDP($A185&amp;" Corp",AG$14))</f>
        <v>#NAME?</v>
      </c>
      <c r="AH185" s="30" t="e">
        <f ca="1">IF($B185="","",_xll.BDP($A185&amp;" Corp",AH$14))</f>
        <v>#NAME?</v>
      </c>
      <c r="AI185" s="30" t="e">
        <f ca="1">IF($B185="","",_xll.BDP($A185&amp;" Corp",AI$14))</f>
        <v>#NAME?</v>
      </c>
      <c r="AJ185" s="30" t="e">
        <f ca="1">IF($B185="","",_xll.BDP($A185&amp;" Corp",AJ$14))</f>
        <v>#NAME?</v>
      </c>
      <c r="AK185" s="11" t="e">
        <f ca="1">IF($B185="","",_xll.BDP($A185&amp;" Corp",AK$14))</f>
        <v>#NAME?</v>
      </c>
      <c r="AL185" s="11" t="e">
        <f ca="1">IF($B185="","",_xll.BDP($A185&amp;" Corp",AL$14))</f>
        <v>#NAME?</v>
      </c>
      <c r="AM185" s="11" t="e">
        <f t="shared" ca="1" si="27"/>
        <v>#NAME?</v>
      </c>
      <c r="AN185" s="57" t="e">
        <f t="shared" ca="1" si="21"/>
        <v>#NAME?</v>
      </c>
    </row>
    <row r="186" spans="1:40" x14ac:dyDescent="0.3">
      <c r="A186" s="67" t="str">
        <f t="shared" si="22"/>
        <v>DE000BU0E030</v>
      </c>
      <c r="B186" s="68" t="s">
        <v>668</v>
      </c>
      <c r="C186" s="75">
        <v>10492</v>
      </c>
      <c r="D186" s="75">
        <v>128</v>
      </c>
      <c r="E186" s="75">
        <v>3000000</v>
      </c>
      <c r="F186" s="69">
        <v>2.3854466099999998</v>
      </c>
      <c r="G186" s="70">
        <v>2917650</v>
      </c>
      <c r="H186" s="67">
        <f t="shared" si="23"/>
        <v>3000000</v>
      </c>
      <c r="I186" s="67">
        <f t="shared" si="24"/>
        <v>2.3854466099999998</v>
      </c>
      <c r="J186" s="67">
        <f t="shared" si="25"/>
        <v>2917650</v>
      </c>
      <c r="K186" s="71">
        <f t="shared" si="26"/>
        <v>97.254999999999995</v>
      </c>
      <c r="L186" s="29" t="e">
        <f ca="1">IF(B186="","",_xll.BDP(A186&amp;" Corp","INTERVAL_HIGH","START_DATE_OVERRIDE",TEXT($L$12,"AAAAMMDD"),"END_DATE_OVERRIDE",TEXT($L$13,"AAAAMMDD"),"MARKET_DATA_OVERRIDE",$L$14))</f>
        <v>#NAME?</v>
      </c>
      <c r="M186" s="30" t="e">
        <f ca="1">IF(B186="","",_xll.BDP($A186&amp;" Corp","INTERVAL_LOW","START_DATE_OVERRIDE",TEXT($L$12,"AAAAMMDD"),"END_DATE_OVERRIDE",TEXT($L$13,"AAAAMMDD"),"MARKET_DATA_OVERRIDE",$L$14))</f>
        <v>#NAME?</v>
      </c>
      <c r="N186" s="31" t="e">
        <f ca="1">IF($B186="","",_xll.BDP($A186&amp;" Corp",N$15))</f>
        <v>#NAME?</v>
      </c>
      <c r="O186" s="32" t="e">
        <f ca="1">IF($B186="","",_xll.BDP($A186&amp;" Corp",O$15))</f>
        <v>#NAME?</v>
      </c>
      <c r="P186" s="32" t="e">
        <f ca="1">IF($B186="","",_xll.BDP($A186&amp;" Corp",P$15))</f>
        <v>#NAME?</v>
      </c>
      <c r="Q186" s="30" t="e">
        <f ca="1">IF($B186="","",_xll.BDP($A186&amp;" Corp",Q$14))</f>
        <v>#NAME?</v>
      </c>
      <c r="R186" s="30" t="e">
        <f ca="1">IF($B186="","",_xll.BDP($A186&amp;" Corp",R$14))</f>
        <v>#NAME?</v>
      </c>
      <c r="S186" s="50" t="e">
        <f ca="1">IF($B186="","",_xll.BDP($A186&amp;" Corp",S$14))</f>
        <v>#NAME?</v>
      </c>
      <c r="T186" s="30" t="e">
        <f ca="1">IF($B186="","",_xll.BDP($A186&amp;" Corp",T$14))</f>
        <v>#NAME?</v>
      </c>
      <c r="U186" s="30" t="e">
        <f ca="1">IF($B186="","",_xll.BDP($A186&amp;" Corp",U$14))</f>
        <v>#NAME?</v>
      </c>
      <c r="V186" s="51" t="e">
        <f ca="1">IF($B186="","",IF($T186="VARIABLE",_xll.BDP($A186&amp;" Corp",V$13),_xll.BDP($A186&amp;" Corp",V$14)))</f>
        <v>#NAME?</v>
      </c>
      <c r="W186" s="30" t="e">
        <f ca="1">IF($B186="","",IF($T186="VARIABLE",_xll.BDP($A186&amp;" Corp",W$13),_xll.BDP($A186&amp;" Corp",W$14)))</f>
        <v>#NAME?</v>
      </c>
      <c r="X186" s="30" t="e">
        <f ca="1">IF($B186="","",_xll.BDP($A186&amp;" Corp",X$14))</f>
        <v>#NAME?</v>
      </c>
      <c r="Y186" s="33" t="e">
        <f ca="1">IF($B186="","",_xll.BDP($A186&amp;" Corp",Y$14))</f>
        <v>#NAME?</v>
      </c>
      <c r="Z186" s="52" t="e">
        <f ca="1">IF($B186="","",_xll.BDP($A186&amp;" Corp",Z$14))</f>
        <v>#NAME?</v>
      </c>
      <c r="AA186" s="53" t="e">
        <f ca="1">IF($B186="","",_xll.BDP($A186&amp;" Corp",AA$14))</f>
        <v>#NAME?</v>
      </c>
      <c r="AB186" s="54" t="e">
        <f ca="1">IF($B186="","",_xll.BDP($A186&amp;" Corp",AB$14))</f>
        <v>#NAME?</v>
      </c>
      <c r="AC186" s="54" t="e">
        <f ca="1">IF($B186="","",_xll.BDP($A186&amp;" Corp",AC$14))</f>
        <v>#NAME?</v>
      </c>
      <c r="AD186" s="55" t="e">
        <f ca="1">IF($B186="","",_xll.BDP($A186&amp;" Corp",AD$14))</f>
        <v>#NAME?</v>
      </c>
      <c r="AE186" s="56" t="e">
        <f ca="1">IF($B186="","",_xll.BDP($A186&amp;" Corp",AE$14))</f>
        <v>#NAME?</v>
      </c>
      <c r="AF186" s="29" t="e">
        <f ca="1">IF($B186="","",_xll.BDP($A186&amp;" Corp",AF$14))</f>
        <v>#NAME?</v>
      </c>
      <c r="AG186" s="33" t="e">
        <f ca="1">IF($B186="","",_xll.BDP($A186&amp;" Corp",AG$14))</f>
        <v>#NAME?</v>
      </c>
      <c r="AH186" s="30" t="e">
        <f ca="1">IF($B186="","",_xll.BDP($A186&amp;" Corp",AH$14))</f>
        <v>#NAME?</v>
      </c>
      <c r="AI186" s="30" t="e">
        <f ca="1">IF($B186="","",_xll.BDP($A186&amp;" Corp",AI$14))</f>
        <v>#NAME?</v>
      </c>
      <c r="AJ186" s="30" t="e">
        <f ca="1">IF($B186="","",_xll.BDP($A186&amp;" Corp",AJ$14))</f>
        <v>#NAME?</v>
      </c>
      <c r="AK186" s="11" t="e">
        <f ca="1">IF($B186="","",_xll.BDP($A186&amp;" Corp",AK$14))</f>
        <v>#NAME?</v>
      </c>
      <c r="AL186" s="11" t="e">
        <f ca="1">IF($B186="","",_xll.BDP($A186&amp;" Corp",AL$14))</f>
        <v>#NAME?</v>
      </c>
      <c r="AM186" s="11" t="e">
        <f t="shared" ca="1" si="27"/>
        <v>#NAME?</v>
      </c>
      <c r="AN186" s="57" t="e">
        <f t="shared" ca="1" si="21"/>
        <v>#NAME?</v>
      </c>
    </row>
    <row r="187" spans="1:40" x14ac:dyDescent="0.3">
      <c r="A187" s="67" t="str">
        <f t="shared" si="22"/>
        <v>FR0127613513</v>
      </c>
      <c r="B187" s="68" t="s">
        <v>669</v>
      </c>
      <c r="C187" s="75">
        <v>10493</v>
      </c>
      <c r="D187" s="75">
        <v>128</v>
      </c>
      <c r="E187" s="75">
        <v>200000</v>
      </c>
      <c r="F187" s="69">
        <v>0.15896425</v>
      </c>
      <c r="G187" s="70">
        <v>194246</v>
      </c>
      <c r="H187" s="67">
        <f t="shared" si="23"/>
        <v>200000</v>
      </c>
      <c r="I187" s="67">
        <f t="shared" si="24"/>
        <v>0.15896425</v>
      </c>
      <c r="J187" s="67">
        <f t="shared" si="25"/>
        <v>194246</v>
      </c>
      <c r="K187" s="71">
        <f t="shared" si="26"/>
        <v>97.123000000000005</v>
      </c>
      <c r="L187" s="29" t="e">
        <f ca="1">IF(B187="","",_xll.BDP(A187&amp;" Corp","INTERVAL_HIGH","START_DATE_OVERRIDE",TEXT($L$12,"AAAAMMDD"),"END_DATE_OVERRIDE",TEXT($L$13,"AAAAMMDD"),"MARKET_DATA_OVERRIDE",$L$14))</f>
        <v>#NAME?</v>
      </c>
      <c r="M187" s="30" t="e">
        <f ca="1">IF(B187="","",_xll.BDP($A187&amp;" Corp","INTERVAL_LOW","START_DATE_OVERRIDE",TEXT($L$12,"AAAAMMDD"),"END_DATE_OVERRIDE",TEXT($L$13,"AAAAMMDD"),"MARKET_DATA_OVERRIDE",$L$14))</f>
        <v>#NAME?</v>
      </c>
      <c r="N187" s="31" t="e">
        <f ca="1">IF($B187="","",_xll.BDP($A187&amp;" Corp",N$15))</f>
        <v>#NAME?</v>
      </c>
      <c r="O187" s="32" t="e">
        <f ca="1">IF($B187="","",_xll.BDP($A187&amp;" Corp",O$15))</f>
        <v>#NAME?</v>
      </c>
      <c r="P187" s="32" t="e">
        <f ca="1">IF($B187="","",_xll.BDP($A187&amp;" Corp",P$15))</f>
        <v>#NAME?</v>
      </c>
      <c r="Q187" s="30" t="e">
        <f ca="1">IF($B187="","",_xll.BDP($A187&amp;" Corp",Q$14))</f>
        <v>#NAME?</v>
      </c>
      <c r="R187" s="30" t="e">
        <f ca="1">IF($B187="","",_xll.BDP($A187&amp;" Corp",R$14))</f>
        <v>#NAME?</v>
      </c>
      <c r="S187" s="50" t="e">
        <f ca="1">IF($B187="","",_xll.BDP($A187&amp;" Corp",S$14))</f>
        <v>#NAME?</v>
      </c>
      <c r="T187" s="30" t="e">
        <f ca="1">IF($B187="","",_xll.BDP($A187&amp;" Corp",T$14))</f>
        <v>#NAME?</v>
      </c>
      <c r="U187" s="30" t="e">
        <f ca="1">IF($B187="","",_xll.BDP($A187&amp;" Corp",U$14))</f>
        <v>#NAME?</v>
      </c>
      <c r="V187" s="51" t="e">
        <f ca="1">IF($B187="","",IF($T187="VARIABLE",_xll.BDP($A187&amp;" Corp",V$13),_xll.BDP($A187&amp;" Corp",V$14)))</f>
        <v>#NAME?</v>
      </c>
      <c r="W187" s="30" t="e">
        <f ca="1">IF($B187="","",IF($T187="VARIABLE",_xll.BDP($A187&amp;" Corp",W$13),_xll.BDP($A187&amp;" Corp",W$14)))</f>
        <v>#NAME?</v>
      </c>
      <c r="X187" s="30" t="e">
        <f ca="1">IF($B187="","",_xll.BDP($A187&amp;" Corp",X$14))</f>
        <v>#NAME?</v>
      </c>
      <c r="Y187" s="33" t="e">
        <f ca="1">IF($B187="","",_xll.BDP($A187&amp;" Corp",Y$14))</f>
        <v>#NAME?</v>
      </c>
      <c r="Z187" s="52" t="e">
        <f ca="1">IF($B187="","",_xll.BDP($A187&amp;" Corp",Z$14))</f>
        <v>#NAME?</v>
      </c>
      <c r="AA187" s="53" t="e">
        <f ca="1">IF($B187="","",_xll.BDP($A187&amp;" Corp",AA$14))</f>
        <v>#NAME?</v>
      </c>
      <c r="AB187" s="54" t="e">
        <f ca="1">IF($B187="","",_xll.BDP($A187&amp;" Corp",AB$14))</f>
        <v>#NAME?</v>
      </c>
      <c r="AC187" s="54" t="e">
        <f ca="1">IF($B187="","",_xll.BDP($A187&amp;" Corp",AC$14))</f>
        <v>#NAME?</v>
      </c>
      <c r="AD187" s="55" t="e">
        <f ca="1">IF($B187="","",_xll.BDP($A187&amp;" Corp",AD$14))</f>
        <v>#NAME?</v>
      </c>
      <c r="AE187" s="56" t="e">
        <f ca="1">IF($B187="","",_xll.BDP($A187&amp;" Corp",AE$14))</f>
        <v>#NAME?</v>
      </c>
      <c r="AF187" s="29" t="e">
        <f ca="1">IF($B187="","",_xll.BDP($A187&amp;" Corp",AF$14))</f>
        <v>#NAME?</v>
      </c>
      <c r="AG187" s="33" t="e">
        <f ca="1">IF($B187="","",_xll.BDP($A187&amp;" Corp",AG$14))</f>
        <v>#NAME?</v>
      </c>
      <c r="AH187" s="30" t="e">
        <f ca="1">IF($B187="","",_xll.BDP($A187&amp;" Corp",AH$14))</f>
        <v>#NAME?</v>
      </c>
      <c r="AI187" s="30" t="e">
        <f ca="1">IF($B187="","",_xll.BDP($A187&amp;" Corp",AI$14))</f>
        <v>#NAME?</v>
      </c>
      <c r="AJ187" s="30" t="e">
        <f ca="1">IF($B187="","",_xll.BDP($A187&amp;" Corp",AJ$14))</f>
        <v>#NAME?</v>
      </c>
      <c r="AK187" s="11" t="e">
        <f ca="1">IF($B187="","",_xll.BDP($A187&amp;" Corp",AK$14))</f>
        <v>#NAME?</v>
      </c>
      <c r="AL187" s="11" t="e">
        <f ca="1">IF($B187="","",_xll.BDP($A187&amp;" Corp",AL$14))</f>
        <v>#NAME?</v>
      </c>
      <c r="AM187" s="11" t="e">
        <f t="shared" ca="1" si="27"/>
        <v>#NAME?</v>
      </c>
      <c r="AN187" s="57" t="e">
        <f t="shared" ca="1" si="21"/>
        <v>#NAME?</v>
      </c>
    </row>
    <row r="188" spans="1:40" x14ac:dyDescent="0.3">
      <c r="A188" s="67" t="str">
        <f t="shared" si="22"/>
        <v>EU000A3K4D58</v>
      </c>
      <c r="B188" s="68" t="s">
        <v>672</v>
      </c>
      <c r="C188" s="75">
        <v>10519</v>
      </c>
      <c r="D188" s="75">
        <v>128</v>
      </c>
      <c r="E188" s="75">
        <v>2500000</v>
      </c>
      <c r="F188" s="69">
        <v>2.0217059800000001</v>
      </c>
      <c r="G188" s="70">
        <v>2463625</v>
      </c>
      <c r="H188" s="67">
        <f t="shared" si="23"/>
        <v>2500000</v>
      </c>
      <c r="I188" s="67">
        <f t="shared" si="24"/>
        <v>2.0217059800000001</v>
      </c>
      <c r="J188" s="67">
        <f t="shared" si="25"/>
        <v>2463625</v>
      </c>
      <c r="K188" s="71">
        <f t="shared" si="26"/>
        <v>98.545000000000002</v>
      </c>
      <c r="L188" s="29" t="e">
        <f ca="1">IF(B188="","",_xll.BDP(A188&amp;" Corp","INTERVAL_HIGH","START_DATE_OVERRIDE",TEXT($L$12,"AAAAMMDD"),"END_DATE_OVERRIDE",TEXT($L$13,"AAAAMMDD"),"MARKET_DATA_OVERRIDE",$L$14))</f>
        <v>#NAME?</v>
      </c>
      <c r="M188" s="30" t="e">
        <f ca="1">IF(B188="","",_xll.BDP($A188&amp;" Corp","INTERVAL_LOW","START_DATE_OVERRIDE",TEXT($L$12,"AAAAMMDD"),"END_DATE_OVERRIDE",TEXT($L$13,"AAAAMMDD"),"MARKET_DATA_OVERRIDE",$L$14))</f>
        <v>#NAME?</v>
      </c>
      <c r="N188" s="31" t="e">
        <f ca="1">IF($B188="","",_xll.BDP($A188&amp;" Corp",N$15))</f>
        <v>#NAME?</v>
      </c>
      <c r="O188" s="32" t="e">
        <f ca="1">IF($B188="","",_xll.BDP($A188&amp;" Corp",O$15))</f>
        <v>#NAME?</v>
      </c>
      <c r="P188" s="32" t="e">
        <f ca="1">IF($B188="","",_xll.BDP($A188&amp;" Corp",P$15))</f>
        <v>#NAME?</v>
      </c>
      <c r="Q188" s="30" t="e">
        <f ca="1">IF($B188="","",_xll.BDP($A188&amp;" Corp",Q$14))</f>
        <v>#NAME?</v>
      </c>
      <c r="R188" s="30" t="e">
        <f ca="1">IF($B188="","",_xll.BDP($A188&amp;" Corp",R$14))</f>
        <v>#NAME?</v>
      </c>
      <c r="S188" s="50" t="e">
        <f ca="1">IF($B188="","",_xll.BDP($A188&amp;" Corp",S$14))</f>
        <v>#NAME?</v>
      </c>
      <c r="T188" s="30" t="e">
        <f ca="1">IF($B188="","",_xll.BDP($A188&amp;" Corp",T$14))</f>
        <v>#NAME?</v>
      </c>
      <c r="U188" s="30" t="e">
        <f ca="1">IF($B188="","",_xll.BDP($A188&amp;" Corp",U$14))</f>
        <v>#NAME?</v>
      </c>
      <c r="V188" s="51" t="e">
        <f ca="1">IF($B188="","",IF($T188="VARIABLE",_xll.BDP($A188&amp;" Corp",V$13),_xll.BDP($A188&amp;" Corp",V$14)))</f>
        <v>#NAME?</v>
      </c>
      <c r="W188" s="30" t="e">
        <f ca="1">IF($B188="","",IF($T188="VARIABLE",_xll.BDP($A188&amp;" Corp",W$13),_xll.BDP($A188&amp;" Corp",W$14)))</f>
        <v>#NAME?</v>
      </c>
      <c r="X188" s="30" t="e">
        <f ca="1">IF($B188="","",_xll.BDP($A188&amp;" Corp",X$14))</f>
        <v>#NAME?</v>
      </c>
      <c r="Y188" s="33" t="e">
        <f ca="1">IF($B188="","",_xll.BDP($A188&amp;" Corp",Y$14))</f>
        <v>#NAME?</v>
      </c>
      <c r="Z188" s="52" t="e">
        <f ca="1">IF($B188="","",_xll.BDP($A188&amp;" Corp",Z$14))</f>
        <v>#NAME?</v>
      </c>
      <c r="AA188" s="53" t="e">
        <f ca="1">IF($B188="","",_xll.BDP($A188&amp;" Corp",AA$14))</f>
        <v>#NAME?</v>
      </c>
      <c r="AB188" s="54" t="e">
        <f ca="1">IF($B188="","",_xll.BDP($A188&amp;" Corp",AB$14))</f>
        <v>#NAME?</v>
      </c>
      <c r="AC188" s="54" t="e">
        <f ca="1">IF($B188="","",_xll.BDP($A188&amp;" Corp",AC$14))</f>
        <v>#NAME?</v>
      </c>
      <c r="AD188" s="55" t="e">
        <f ca="1">IF($B188="","",_xll.BDP($A188&amp;" Corp",AD$14))</f>
        <v>#NAME?</v>
      </c>
      <c r="AE188" s="56" t="e">
        <f ca="1">IF($B188="","",_xll.BDP($A188&amp;" Corp",AE$14))</f>
        <v>#NAME?</v>
      </c>
      <c r="AF188" s="29" t="e">
        <f ca="1">IF($B188="","",_xll.BDP($A188&amp;" Corp",AF$14))</f>
        <v>#NAME?</v>
      </c>
      <c r="AG188" s="33" t="e">
        <f ca="1">IF($B188="","",_xll.BDP($A188&amp;" Corp",AG$14))</f>
        <v>#NAME?</v>
      </c>
      <c r="AH188" s="30" t="e">
        <f ca="1">IF($B188="","",_xll.BDP($A188&amp;" Corp",AH$14))</f>
        <v>#NAME?</v>
      </c>
      <c r="AI188" s="30" t="e">
        <f ca="1">IF($B188="","",_xll.BDP($A188&amp;" Corp",AI$14))</f>
        <v>#NAME?</v>
      </c>
      <c r="AJ188" s="30" t="e">
        <f ca="1">IF($B188="","",_xll.BDP($A188&amp;" Corp",AJ$14))</f>
        <v>#NAME?</v>
      </c>
      <c r="AK188" s="11" t="e">
        <f ca="1">IF($B188="","",_xll.BDP($A188&amp;" Corp",AK$14))</f>
        <v>#NAME?</v>
      </c>
      <c r="AL188" s="11" t="e">
        <f ca="1">IF($B188="","",_xll.BDP($A188&amp;" Corp",AL$14))</f>
        <v>#NAME?</v>
      </c>
      <c r="AM188" s="11" t="e">
        <f t="shared" ca="1" si="27"/>
        <v>#NAME?</v>
      </c>
      <c r="AN188" s="57" t="e">
        <f t="shared" ca="1" si="21"/>
        <v>#NAME?</v>
      </c>
    </row>
    <row r="189" spans="1:40" x14ac:dyDescent="0.3">
      <c r="A189" s="67" t="str">
        <f t="shared" si="22"/>
        <v>ES0365936048</v>
      </c>
      <c r="B189" s="68" t="s">
        <v>684</v>
      </c>
      <c r="C189" s="75">
        <v>10558</v>
      </c>
      <c r="D189" s="75">
        <v>128</v>
      </c>
      <c r="E189" s="75">
        <v>600000</v>
      </c>
      <c r="F189" s="69">
        <v>0.49521892000000001</v>
      </c>
      <c r="G189" s="70">
        <v>598584</v>
      </c>
      <c r="H189" s="67">
        <f t="shared" si="23"/>
        <v>600000</v>
      </c>
      <c r="I189" s="67">
        <f t="shared" si="24"/>
        <v>0.49521892000000001</v>
      </c>
      <c r="J189" s="67">
        <f t="shared" si="25"/>
        <v>598584</v>
      </c>
      <c r="K189" s="71">
        <f t="shared" si="26"/>
        <v>99.763999999999996</v>
      </c>
      <c r="L189" s="29" t="e">
        <f ca="1">IF(B189="","",_xll.BDP(A189&amp;" Corp","INTERVAL_HIGH","START_DATE_OVERRIDE",TEXT($L$12,"AAAAMMDD"),"END_DATE_OVERRIDE",TEXT($L$13,"AAAAMMDD"),"MARKET_DATA_OVERRIDE",$L$14))</f>
        <v>#NAME?</v>
      </c>
      <c r="M189" s="30" t="e">
        <f ca="1">IF(B189="","",_xll.BDP($A189&amp;" Corp","INTERVAL_LOW","START_DATE_OVERRIDE",TEXT($L$12,"AAAAMMDD"),"END_DATE_OVERRIDE",TEXT($L$13,"AAAAMMDD"),"MARKET_DATA_OVERRIDE",$L$14))</f>
        <v>#NAME?</v>
      </c>
      <c r="N189" s="31" t="e">
        <f ca="1">IF($B189="","",_xll.BDP($A189&amp;" Corp",N$15))</f>
        <v>#NAME?</v>
      </c>
      <c r="O189" s="32" t="e">
        <f ca="1">IF($B189="","",_xll.BDP($A189&amp;" Corp",O$15))</f>
        <v>#NAME?</v>
      </c>
      <c r="P189" s="32" t="e">
        <f ca="1">IF($B189="","",_xll.BDP($A189&amp;" Corp",P$15))</f>
        <v>#NAME?</v>
      </c>
      <c r="Q189" s="30" t="e">
        <f ca="1">IF($B189="","",_xll.BDP($A189&amp;" Corp",Q$14))</f>
        <v>#NAME?</v>
      </c>
      <c r="R189" s="30" t="e">
        <f ca="1">IF($B189="","",_xll.BDP($A189&amp;" Corp",R$14))</f>
        <v>#NAME?</v>
      </c>
      <c r="S189" s="50" t="e">
        <f ca="1">IF($B189="","",_xll.BDP($A189&amp;" Corp",S$14))</f>
        <v>#NAME?</v>
      </c>
      <c r="T189" s="30" t="e">
        <f ca="1">IF($B189="","",_xll.BDP($A189&amp;" Corp",T$14))</f>
        <v>#NAME?</v>
      </c>
      <c r="U189" s="30" t="e">
        <f ca="1">IF($B189="","",_xll.BDP($A189&amp;" Corp",U$14))</f>
        <v>#NAME?</v>
      </c>
      <c r="V189" s="51" t="e">
        <f ca="1">IF($B189="","",IF($T189="VARIABLE",_xll.BDP($A189&amp;" Corp",V$13),_xll.BDP($A189&amp;" Corp",V$14)))</f>
        <v>#NAME?</v>
      </c>
      <c r="W189" s="30" t="e">
        <f ca="1">IF($B189="","",IF($T189="VARIABLE",_xll.BDP($A189&amp;" Corp",W$13),_xll.BDP($A189&amp;" Corp",W$14)))</f>
        <v>#NAME?</v>
      </c>
      <c r="X189" s="30" t="e">
        <f ca="1">IF($B189="","",_xll.BDP($A189&amp;" Corp",X$14))</f>
        <v>#NAME?</v>
      </c>
      <c r="Y189" s="33" t="e">
        <f ca="1">IF($B189="","",_xll.BDP($A189&amp;" Corp",Y$14))</f>
        <v>#NAME?</v>
      </c>
      <c r="Z189" s="52" t="e">
        <f ca="1">IF($B189="","",_xll.BDP($A189&amp;" Corp",Z$14))</f>
        <v>#NAME?</v>
      </c>
      <c r="AA189" s="53" t="e">
        <f ca="1">IF($B189="","",_xll.BDP($A189&amp;" Corp",AA$14))</f>
        <v>#NAME?</v>
      </c>
      <c r="AB189" s="54" t="e">
        <f ca="1">IF($B189="","",_xll.BDP($A189&amp;" Corp",AB$14))</f>
        <v>#NAME?</v>
      </c>
      <c r="AC189" s="54" t="e">
        <f ca="1">IF($B189="","",_xll.BDP($A189&amp;" Corp",AC$14))</f>
        <v>#NAME?</v>
      </c>
      <c r="AD189" s="55" t="e">
        <f ca="1">IF($B189="","",_xll.BDP($A189&amp;" Corp",AD$14))</f>
        <v>#NAME?</v>
      </c>
      <c r="AE189" s="56" t="e">
        <f ca="1">IF($B189="","",_xll.BDP($A189&amp;" Corp",AE$14))</f>
        <v>#NAME?</v>
      </c>
      <c r="AF189" s="29" t="e">
        <f ca="1">IF($B189="","",_xll.BDP($A189&amp;" Corp",AF$14))</f>
        <v>#NAME?</v>
      </c>
      <c r="AG189" s="33" t="e">
        <f ca="1">IF($B189="","",_xll.BDP($A189&amp;" Corp",AG$14))</f>
        <v>#NAME?</v>
      </c>
      <c r="AH189" s="30" t="e">
        <f ca="1">IF($B189="","",_xll.BDP($A189&amp;" Corp",AH$14))</f>
        <v>#NAME?</v>
      </c>
      <c r="AI189" s="30" t="e">
        <f ca="1">IF($B189="","",_xll.BDP($A189&amp;" Corp",AI$14))</f>
        <v>#NAME?</v>
      </c>
      <c r="AJ189" s="30" t="e">
        <f ca="1">IF($B189="","",_xll.BDP($A189&amp;" Corp",AJ$14))</f>
        <v>#NAME?</v>
      </c>
      <c r="AK189" s="11" t="e">
        <f ca="1">IF($B189="","",_xll.BDP($A189&amp;" Corp",AK$14))</f>
        <v>#NAME?</v>
      </c>
      <c r="AL189" s="11" t="e">
        <f ca="1">IF($B189="","",_xll.BDP($A189&amp;" Corp",AL$14))</f>
        <v>#NAME?</v>
      </c>
      <c r="AM189" s="11" t="e">
        <f t="shared" ca="1" si="27"/>
        <v>#NAME?</v>
      </c>
      <c r="AN189" s="57" t="e">
        <f t="shared" ca="1" si="21"/>
        <v>#NAME?</v>
      </c>
    </row>
    <row r="190" spans="1:40" x14ac:dyDescent="0.3">
      <c r="A190" s="67" t="str">
        <f t="shared" si="22"/>
        <v>XS2623501181</v>
      </c>
      <c r="B190" s="68" t="s">
        <v>686</v>
      </c>
      <c r="C190" s="75">
        <v>10554</v>
      </c>
      <c r="D190" s="75">
        <v>128</v>
      </c>
      <c r="E190" s="75">
        <v>600000</v>
      </c>
      <c r="F190" s="69">
        <v>0.49109990999999997</v>
      </c>
      <c r="G190" s="70">
        <v>601272</v>
      </c>
      <c r="H190" s="67">
        <f t="shared" si="23"/>
        <v>600000</v>
      </c>
      <c r="I190" s="67">
        <f t="shared" si="24"/>
        <v>0.49109990999999997</v>
      </c>
      <c r="J190" s="67">
        <f t="shared" si="25"/>
        <v>601272</v>
      </c>
      <c r="K190" s="71">
        <f t="shared" si="26"/>
        <v>100.212</v>
      </c>
      <c r="L190" s="29" t="e">
        <f ca="1">IF(B190="","",_xll.BDP(A190&amp;" Corp","INTERVAL_HIGH","START_DATE_OVERRIDE",TEXT($L$12,"AAAAMMDD"),"END_DATE_OVERRIDE",TEXT($L$13,"AAAAMMDD"),"MARKET_DATA_OVERRIDE",$L$14))</f>
        <v>#NAME?</v>
      </c>
      <c r="M190" s="30" t="e">
        <f ca="1">IF(B190="","",_xll.BDP($A190&amp;" Corp","INTERVAL_LOW","START_DATE_OVERRIDE",TEXT($L$12,"AAAAMMDD"),"END_DATE_OVERRIDE",TEXT($L$13,"AAAAMMDD"),"MARKET_DATA_OVERRIDE",$L$14))</f>
        <v>#NAME?</v>
      </c>
      <c r="N190" s="31" t="e">
        <f ca="1">IF($B190="","",_xll.BDP($A190&amp;" Corp",N$15))</f>
        <v>#NAME?</v>
      </c>
      <c r="O190" s="32" t="e">
        <f ca="1">IF($B190="","",_xll.BDP($A190&amp;" Corp",O$15))</f>
        <v>#NAME?</v>
      </c>
      <c r="P190" s="32" t="e">
        <f ca="1">IF($B190="","",_xll.BDP($A190&amp;" Corp",P$15))</f>
        <v>#NAME?</v>
      </c>
      <c r="Q190" s="30" t="e">
        <f ca="1">IF($B190="","",_xll.BDP($A190&amp;" Corp",Q$14))</f>
        <v>#NAME?</v>
      </c>
      <c r="R190" s="30" t="e">
        <f ca="1">IF($B190="","",_xll.BDP($A190&amp;" Corp",R$14))</f>
        <v>#NAME?</v>
      </c>
      <c r="S190" s="50" t="e">
        <f ca="1">IF($B190="","",_xll.BDP($A190&amp;" Corp",S$14))</f>
        <v>#NAME?</v>
      </c>
      <c r="T190" s="30" t="e">
        <f ca="1">IF($B190="","",_xll.BDP($A190&amp;" Corp",T$14))</f>
        <v>#NAME?</v>
      </c>
      <c r="U190" s="30" t="e">
        <f ca="1">IF($B190="","",_xll.BDP($A190&amp;" Corp",U$14))</f>
        <v>#NAME?</v>
      </c>
      <c r="V190" s="51" t="e">
        <f ca="1">IF($B190="","",IF($T190="VARIABLE",_xll.BDP($A190&amp;" Corp",V$13),_xll.BDP($A190&amp;" Corp",V$14)))</f>
        <v>#NAME?</v>
      </c>
      <c r="W190" s="30" t="e">
        <f ca="1">IF($B190="","",IF($T190="VARIABLE",_xll.BDP($A190&amp;" Corp",W$13),_xll.BDP($A190&amp;" Corp",W$14)))</f>
        <v>#NAME?</v>
      </c>
      <c r="X190" s="30" t="e">
        <f ca="1">IF($B190="","",_xll.BDP($A190&amp;" Corp",X$14))</f>
        <v>#NAME?</v>
      </c>
      <c r="Y190" s="33" t="e">
        <f ca="1">IF($B190="","",_xll.BDP($A190&amp;" Corp",Y$14))</f>
        <v>#NAME?</v>
      </c>
      <c r="Z190" s="52" t="e">
        <f ca="1">IF($B190="","",_xll.BDP($A190&amp;" Corp",Z$14))</f>
        <v>#NAME?</v>
      </c>
      <c r="AA190" s="53" t="e">
        <f ca="1">IF($B190="","",_xll.BDP($A190&amp;" Corp",AA$14))</f>
        <v>#NAME?</v>
      </c>
      <c r="AB190" s="54" t="e">
        <f ca="1">IF($B190="","",_xll.BDP($A190&amp;" Corp",AB$14))</f>
        <v>#NAME?</v>
      </c>
      <c r="AC190" s="54" t="e">
        <f ca="1">IF($B190="","",_xll.BDP($A190&amp;" Corp",AC$14))</f>
        <v>#NAME?</v>
      </c>
      <c r="AD190" s="55" t="e">
        <f ca="1">IF($B190="","",_xll.BDP($A190&amp;" Corp",AD$14))</f>
        <v>#NAME?</v>
      </c>
      <c r="AE190" s="56" t="e">
        <f ca="1">IF($B190="","",_xll.BDP($A190&amp;" Corp",AE$14))</f>
        <v>#NAME?</v>
      </c>
      <c r="AF190" s="29" t="e">
        <f ca="1">IF($B190="","",_xll.BDP($A190&amp;" Corp",AF$14))</f>
        <v>#NAME?</v>
      </c>
      <c r="AG190" s="33" t="e">
        <f ca="1">IF($B190="","",_xll.BDP($A190&amp;" Corp",AG$14))</f>
        <v>#NAME?</v>
      </c>
      <c r="AH190" s="30" t="e">
        <f ca="1">IF($B190="","",_xll.BDP($A190&amp;" Corp",AH$14))</f>
        <v>#NAME?</v>
      </c>
      <c r="AI190" s="30" t="e">
        <f ca="1">IF($B190="","",_xll.BDP($A190&amp;" Corp",AI$14))</f>
        <v>#NAME?</v>
      </c>
      <c r="AJ190" s="30" t="e">
        <f ca="1">IF($B190="","",_xll.BDP($A190&amp;" Corp",AJ$14))</f>
        <v>#NAME?</v>
      </c>
      <c r="AK190" s="11" t="e">
        <f ca="1">IF($B190="","",_xll.BDP($A190&amp;" Corp",AK$14))</f>
        <v>#NAME?</v>
      </c>
      <c r="AL190" s="11" t="e">
        <f ca="1">IF($B190="","",_xll.BDP($A190&amp;" Corp",AL$14))</f>
        <v>#NAME?</v>
      </c>
      <c r="AM190" s="11" t="e">
        <f t="shared" ca="1" si="27"/>
        <v>#NAME?</v>
      </c>
      <c r="AN190" s="57" t="e">
        <f t="shared" ca="1" si="21"/>
        <v>#NAME?</v>
      </c>
    </row>
    <row r="191" spans="1:40" x14ac:dyDescent="0.3">
      <c r="A191" s="67" t="str">
        <f t="shared" si="22"/>
        <v>XS2629047254</v>
      </c>
      <c r="B191" s="68" t="s">
        <v>688</v>
      </c>
      <c r="C191" s="75">
        <v>10577</v>
      </c>
      <c r="D191" s="75">
        <v>128</v>
      </c>
      <c r="E191" s="75">
        <v>2000000</v>
      </c>
      <c r="F191" s="69">
        <v>1.64370722</v>
      </c>
      <c r="G191" s="70">
        <v>1997710</v>
      </c>
      <c r="H191" s="67">
        <f t="shared" si="23"/>
        <v>2000000</v>
      </c>
      <c r="I191" s="67">
        <f t="shared" si="24"/>
        <v>1.64370722</v>
      </c>
      <c r="J191" s="67">
        <f t="shared" si="25"/>
        <v>1997710</v>
      </c>
      <c r="K191" s="71">
        <f t="shared" si="26"/>
        <v>99.885499999999993</v>
      </c>
      <c r="L191" s="29" t="e">
        <f ca="1">IF(B191="","",_xll.BDP(A191&amp;" Corp","INTERVAL_HIGH","START_DATE_OVERRIDE",TEXT($L$12,"AAAAMMDD"),"END_DATE_OVERRIDE",TEXT($L$13,"AAAAMMDD"),"MARKET_DATA_OVERRIDE",$L$14))</f>
        <v>#NAME?</v>
      </c>
      <c r="M191" s="30" t="e">
        <f ca="1">IF(B191="","",_xll.BDP($A191&amp;" Corp","INTERVAL_LOW","START_DATE_OVERRIDE",TEXT($L$12,"AAAAMMDD"),"END_DATE_OVERRIDE",TEXT($L$13,"AAAAMMDD"),"MARKET_DATA_OVERRIDE",$L$14))</f>
        <v>#NAME?</v>
      </c>
      <c r="N191" s="31" t="e">
        <f ca="1">IF($B191="","",_xll.BDP($A191&amp;" Corp",N$15))</f>
        <v>#NAME?</v>
      </c>
      <c r="O191" s="32" t="e">
        <f ca="1">IF($B191="","",_xll.BDP($A191&amp;" Corp",O$15))</f>
        <v>#NAME?</v>
      </c>
      <c r="P191" s="32" t="e">
        <f ca="1">IF($B191="","",_xll.BDP($A191&amp;" Corp",P$15))</f>
        <v>#NAME?</v>
      </c>
      <c r="Q191" s="30" t="e">
        <f ca="1">IF($B191="","",_xll.BDP($A191&amp;" Corp",Q$14))</f>
        <v>#NAME?</v>
      </c>
      <c r="R191" s="30" t="e">
        <f ca="1">IF($B191="","",_xll.BDP($A191&amp;" Corp",R$14))</f>
        <v>#NAME?</v>
      </c>
      <c r="S191" s="50" t="e">
        <f ca="1">IF($B191="","",_xll.BDP($A191&amp;" Corp",S$14))</f>
        <v>#NAME?</v>
      </c>
      <c r="T191" s="30" t="e">
        <f ca="1">IF($B191="","",_xll.BDP($A191&amp;" Corp",T$14))</f>
        <v>#NAME?</v>
      </c>
      <c r="U191" s="30" t="e">
        <f ca="1">IF($B191="","",_xll.BDP($A191&amp;" Corp",U$14))</f>
        <v>#NAME?</v>
      </c>
      <c r="V191" s="51" t="e">
        <f ca="1">IF($B191="","",IF($T191="VARIABLE",_xll.BDP($A191&amp;" Corp",V$13),_xll.BDP($A191&amp;" Corp",V$14)))</f>
        <v>#NAME?</v>
      </c>
      <c r="W191" s="30" t="e">
        <f ca="1">IF($B191="","",IF($T191="VARIABLE",_xll.BDP($A191&amp;" Corp",W$13),_xll.BDP($A191&amp;" Corp",W$14)))</f>
        <v>#NAME?</v>
      </c>
      <c r="X191" s="30" t="e">
        <f ca="1">IF($B191="","",_xll.BDP($A191&amp;" Corp",X$14))</f>
        <v>#NAME?</v>
      </c>
      <c r="Y191" s="33" t="e">
        <f ca="1">IF($B191="","",_xll.BDP($A191&amp;" Corp",Y$14))</f>
        <v>#NAME?</v>
      </c>
      <c r="Z191" s="52" t="e">
        <f ca="1">IF($B191="","",_xll.BDP($A191&amp;" Corp",Z$14))</f>
        <v>#NAME?</v>
      </c>
      <c r="AA191" s="53" t="e">
        <f ca="1">IF($B191="","",_xll.BDP($A191&amp;" Corp",AA$14))</f>
        <v>#NAME?</v>
      </c>
      <c r="AB191" s="54" t="e">
        <f ca="1">IF($B191="","",_xll.BDP($A191&amp;" Corp",AB$14))</f>
        <v>#NAME?</v>
      </c>
      <c r="AC191" s="54" t="e">
        <f ca="1">IF($B191="","",_xll.BDP($A191&amp;" Corp",AC$14))</f>
        <v>#NAME?</v>
      </c>
      <c r="AD191" s="55" t="e">
        <f ca="1">IF($B191="","",_xll.BDP($A191&amp;" Corp",AD$14))</f>
        <v>#NAME?</v>
      </c>
      <c r="AE191" s="56" t="e">
        <f ca="1">IF($B191="","",_xll.BDP($A191&amp;" Corp",AE$14))</f>
        <v>#NAME?</v>
      </c>
      <c r="AF191" s="29" t="e">
        <f ca="1">IF($B191="","",_xll.BDP($A191&amp;" Corp",AF$14))</f>
        <v>#NAME?</v>
      </c>
      <c r="AG191" s="33" t="e">
        <f ca="1">IF($B191="","",_xll.BDP($A191&amp;" Corp",AG$14))</f>
        <v>#NAME?</v>
      </c>
      <c r="AH191" s="30" t="e">
        <f ca="1">IF($B191="","",_xll.BDP($A191&amp;" Corp",AH$14))</f>
        <v>#NAME?</v>
      </c>
      <c r="AI191" s="30" t="e">
        <f ca="1">IF($B191="","",_xll.BDP($A191&amp;" Corp",AI$14))</f>
        <v>#NAME?</v>
      </c>
      <c r="AJ191" s="30" t="e">
        <f ca="1">IF($B191="","",_xll.BDP($A191&amp;" Corp",AJ$14))</f>
        <v>#NAME?</v>
      </c>
      <c r="AK191" s="11" t="e">
        <f ca="1">IF($B191="","",_xll.BDP($A191&amp;" Corp",AK$14))</f>
        <v>#NAME?</v>
      </c>
      <c r="AL191" s="11" t="e">
        <f ca="1">IF($B191="","",_xll.BDP($A191&amp;" Corp",AL$14))</f>
        <v>#NAME?</v>
      </c>
      <c r="AM191" s="11" t="e">
        <f t="shared" ca="1" si="27"/>
        <v>#NAME?</v>
      </c>
      <c r="AN191" s="57" t="e">
        <f t="shared" ca="1" si="21"/>
        <v>#NAME?</v>
      </c>
    </row>
    <row r="192" spans="1:40" x14ac:dyDescent="0.3">
      <c r="A192" s="67" t="str">
        <f t="shared" si="22"/>
        <v>BE0002950310</v>
      </c>
      <c r="B192" s="68" t="s">
        <v>690</v>
      </c>
      <c r="C192" s="75">
        <v>10612</v>
      </c>
      <c r="D192" s="75">
        <v>128</v>
      </c>
      <c r="E192" s="75">
        <v>800000</v>
      </c>
      <c r="F192" s="69">
        <v>0.65614912999999997</v>
      </c>
      <c r="G192" s="70">
        <v>798432</v>
      </c>
      <c r="H192" s="67">
        <f t="shared" si="23"/>
        <v>800000</v>
      </c>
      <c r="I192" s="67">
        <f t="shared" si="24"/>
        <v>0.65614912999999997</v>
      </c>
      <c r="J192" s="67">
        <f t="shared" si="25"/>
        <v>798432</v>
      </c>
      <c r="K192" s="71">
        <f t="shared" si="26"/>
        <v>99.804000000000002</v>
      </c>
      <c r="L192" s="29" t="e">
        <f ca="1">IF(B192="","",_xll.BDP(A192&amp;" Corp","INTERVAL_HIGH","START_DATE_OVERRIDE",TEXT($L$12,"AAAAMMDD"),"END_DATE_OVERRIDE",TEXT($L$13,"AAAAMMDD"),"MARKET_DATA_OVERRIDE",$L$14))</f>
        <v>#NAME?</v>
      </c>
      <c r="M192" s="30" t="e">
        <f ca="1">IF(B192="","",_xll.BDP($A192&amp;" Corp","INTERVAL_LOW","START_DATE_OVERRIDE",TEXT($L$12,"AAAAMMDD"),"END_DATE_OVERRIDE",TEXT($L$13,"AAAAMMDD"),"MARKET_DATA_OVERRIDE",$L$14))</f>
        <v>#NAME?</v>
      </c>
      <c r="N192" s="31" t="e">
        <f ca="1">IF($B192="","",_xll.BDP($A192&amp;" Corp",N$15))</f>
        <v>#NAME?</v>
      </c>
      <c r="O192" s="32" t="e">
        <f ca="1">IF($B192="","",_xll.BDP($A192&amp;" Corp",O$15))</f>
        <v>#NAME?</v>
      </c>
      <c r="P192" s="32" t="e">
        <f ca="1">IF($B192="","",_xll.BDP($A192&amp;" Corp",P$15))</f>
        <v>#NAME?</v>
      </c>
      <c r="Q192" s="30" t="e">
        <f ca="1">IF($B192="","",_xll.BDP($A192&amp;" Corp",Q$14))</f>
        <v>#NAME?</v>
      </c>
      <c r="R192" s="30" t="e">
        <f ca="1">IF($B192="","",_xll.BDP($A192&amp;" Corp",R$14))</f>
        <v>#NAME?</v>
      </c>
      <c r="S192" s="50" t="e">
        <f ca="1">IF($B192="","",_xll.BDP($A192&amp;" Corp",S$14))</f>
        <v>#NAME?</v>
      </c>
      <c r="T192" s="30" t="e">
        <f ca="1">IF($B192="","",_xll.BDP($A192&amp;" Corp",T$14))</f>
        <v>#NAME?</v>
      </c>
      <c r="U192" s="30" t="e">
        <f ca="1">IF($B192="","",_xll.BDP($A192&amp;" Corp",U$14))</f>
        <v>#NAME?</v>
      </c>
      <c r="V192" s="51" t="e">
        <f ca="1">IF($B192="","",IF($T192="VARIABLE",_xll.BDP($A192&amp;" Corp",V$13),_xll.BDP($A192&amp;" Corp",V$14)))</f>
        <v>#NAME?</v>
      </c>
      <c r="W192" s="30" t="e">
        <f ca="1">IF($B192="","",IF($T192="VARIABLE",_xll.BDP($A192&amp;" Corp",W$13),_xll.BDP($A192&amp;" Corp",W$14)))</f>
        <v>#NAME?</v>
      </c>
      <c r="X192" s="30" t="e">
        <f ca="1">IF($B192="","",_xll.BDP($A192&amp;" Corp",X$14))</f>
        <v>#NAME?</v>
      </c>
      <c r="Y192" s="33" t="e">
        <f ca="1">IF($B192="","",_xll.BDP($A192&amp;" Corp",Y$14))</f>
        <v>#NAME?</v>
      </c>
      <c r="Z192" s="52" t="e">
        <f ca="1">IF($B192="","",_xll.BDP($A192&amp;" Corp",Z$14))</f>
        <v>#NAME?</v>
      </c>
      <c r="AA192" s="53" t="e">
        <f ca="1">IF($B192="","",_xll.BDP($A192&amp;" Corp",AA$14))</f>
        <v>#NAME?</v>
      </c>
      <c r="AB192" s="54" t="e">
        <f ca="1">IF($B192="","",_xll.BDP($A192&amp;" Corp",AB$14))</f>
        <v>#NAME?</v>
      </c>
      <c r="AC192" s="54" t="e">
        <f ca="1">IF($B192="","",_xll.BDP($A192&amp;" Corp",AC$14))</f>
        <v>#NAME?</v>
      </c>
      <c r="AD192" s="55" t="e">
        <f ca="1">IF($B192="","",_xll.BDP($A192&amp;" Corp",AD$14))</f>
        <v>#NAME?</v>
      </c>
      <c r="AE192" s="56" t="e">
        <f ca="1">IF($B192="","",_xll.BDP($A192&amp;" Corp",AE$14))</f>
        <v>#NAME?</v>
      </c>
      <c r="AF192" s="29" t="e">
        <f ca="1">IF($B192="","",_xll.BDP($A192&amp;" Corp",AF$14))</f>
        <v>#NAME?</v>
      </c>
      <c r="AG192" s="33" t="e">
        <f ca="1">IF($B192="","",_xll.BDP($A192&amp;" Corp",AG$14))</f>
        <v>#NAME?</v>
      </c>
      <c r="AH192" s="30" t="e">
        <f ca="1">IF($B192="","",_xll.BDP($A192&amp;" Corp",AH$14))</f>
        <v>#NAME?</v>
      </c>
      <c r="AI192" s="30" t="e">
        <f ca="1">IF($B192="","",_xll.BDP($A192&amp;" Corp",AI$14))</f>
        <v>#NAME?</v>
      </c>
      <c r="AJ192" s="30" t="e">
        <f ca="1">IF($B192="","",_xll.BDP($A192&amp;" Corp",AJ$14))</f>
        <v>#NAME?</v>
      </c>
      <c r="AK192" s="11" t="e">
        <f ca="1">IF($B192="","",_xll.BDP($A192&amp;" Corp",AK$14))</f>
        <v>#NAME?</v>
      </c>
      <c r="AL192" s="11" t="e">
        <f ca="1">IF($B192="","",_xll.BDP($A192&amp;" Corp",AL$14))</f>
        <v>#NAME?</v>
      </c>
      <c r="AM192" s="11" t="e">
        <f t="shared" ca="1" si="27"/>
        <v>#NAME?</v>
      </c>
      <c r="AN192" s="57" t="e">
        <f t="shared" ca="1" si="21"/>
        <v>#NAME?</v>
      </c>
    </row>
    <row r="193" spans="1:40" x14ac:dyDescent="0.3">
      <c r="A193" s="67" t="str">
        <f t="shared" si="22"/>
        <v>ES0344251014</v>
      </c>
      <c r="B193" s="68" t="s">
        <v>692</v>
      </c>
      <c r="C193" s="75">
        <v>10614</v>
      </c>
      <c r="D193" s="75">
        <v>128</v>
      </c>
      <c r="E193" s="75">
        <v>800000</v>
      </c>
      <c r="F193" s="69">
        <v>0.66163636999999997</v>
      </c>
      <c r="G193" s="70">
        <v>797496</v>
      </c>
      <c r="H193" s="67">
        <f t="shared" si="23"/>
        <v>800000</v>
      </c>
      <c r="I193" s="67">
        <f t="shared" si="24"/>
        <v>0.66163636999999997</v>
      </c>
      <c r="J193" s="67">
        <f t="shared" si="25"/>
        <v>797496</v>
      </c>
      <c r="K193" s="71">
        <f t="shared" si="26"/>
        <v>99.686999999999998</v>
      </c>
      <c r="L193" s="29" t="e">
        <f ca="1">IF(B193="","",_xll.BDP(A193&amp;" Corp","INTERVAL_HIGH","START_DATE_OVERRIDE",TEXT($L$12,"AAAAMMDD"),"END_DATE_OVERRIDE",TEXT($L$13,"AAAAMMDD"),"MARKET_DATA_OVERRIDE",$L$14))</f>
        <v>#NAME?</v>
      </c>
      <c r="M193" s="30" t="e">
        <f ca="1">IF(B193="","",_xll.BDP($A193&amp;" Corp","INTERVAL_LOW","START_DATE_OVERRIDE",TEXT($L$12,"AAAAMMDD"),"END_DATE_OVERRIDE",TEXT($L$13,"AAAAMMDD"),"MARKET_DATA_OVERRIDE",$L$14))</f>
        <v>#NAME?</v>
      </c>
      <c r="N193" s="31" t="e">
        <f ca="1">IF($B193="","",_xll.BDP($A193&amp;" Corp",N$15))</f>
        <v>#NAME?</v>
      </c>
      <c r="O193" s="32" t="e">
        <f ca="1">IF($B193="","",_xll.BDP($A193&amp;" Corp",O$15))</f>
        <v>#NAME?</v>
      </c>
      <c r="P193" s="32" t="e">
        <f ca="1">IF($B193="","",_xll.BDP($A193&amp;" Corp",P$15))</f>
        <v>#NAME?</v>
      </c>
      <c r="Q193" s="30" t="e">
        <f ca="1">IF($B193="","",_xll.BDP($A193&amp;" Corp",Q$14))</f>
        <v>#NAME?</v>
      </c>
      <c r="R193" s="30" t="e">
        <f ca="1">IF($B193="","",_xll.BDP($A193&amp;" Corp",R$14))</f>
        <v>#NAME?</v>
      </c>
      <c r="S193" s="50" t="e">
        <f ca="1">IF($B193="","",_xll.BDP($A193&amp;" Corp",S$14))</f>
        <v>#NAME?</v>
      </c>
      <c r="T193" s="30" t="e">
        <f ca="1">IF($B193="","",_xll.BDP($A193&amp;" Corp",T$14))</f>
        <v>#NAME?</v>
      </c>
      <c r="U193" s="30" t="e">
        <f ca="1">IF($B193="","",_xll.BDP($A193&amp;" Corp",U$14))</f>
        <v>#NAME?</v>
      </c>
      <c r="V193" s="51" t="e">
        <f ca="1">IF($B193="","",IF($T193="VARIABLE",_xll.BDP($A193&amp;" Corp",V$13),_xll.BDP($A193&amp;" Corp",V$14)))</f>
        <v>#NAME?</v>
      </c>
      <c r="W193" s="30" t="e">
        <f ca="1">IF($B193="","",IF($T193="VARIABLE",_xll.BDP($A193&amp;" Corp",W$13),_xll.BDP($A193&amp;" Corp",W$14)))</f>
        <v>#NAME?</v>
      </c>
      <c r="X193" s="30" t="e">
        <f ca="1">IF($B193="","",_xll.BDP($A193&amp;" Corp",X$14))</f>
        <v>#NAME?</v>
      </c>
      <c r="Y193" s="33" t="e">
        <f ca="1">IF($B193="","",_xll.BDP($A193&amp;" Corp",Y$14))</f>
        <v>#NAME?</v>
      </c>
      <c r="Z193" s="52" t="e">
        <f ca="1">IF($B193="","",_xll.BDP($A193&amp;" Corp",Z$14))</f>
        <v>#NAME?</v>
      </c>
      <c r="AA193" s="53" t="e">
        <f ca="1">IF($B193="","",_xll.BDP($A193&amp;" Corp",AA$14))</f>
        <v>#NAME?</v>
      </c>
      <c r="AB193" s="54" t="e">
        <f ca="1">IF($B193="","",_xll.BDP($A193&amp;" Corp",AB$14))</f>
        <v>#NAME?</v>
      </c>
      <c r="AC193" s="54" t="e">
        <f ca="1">IF($B193="","",_xll.BDP($A193&amp;" Corp",AC$14))</f>
        <v>#NAME?</v>
      </c>
      <c r="AD193" s="55" t="e">
        <f ca="1">IF($B193="","",_xll.BDP($A193&amp;" Corp",AD$14))</f>
        <v>#NAME?</v>
      </c>
      <c r="AE193" s="56" t="e">
        <f ca="1">IF($B193="","",_xll.BDP($A193&amp;" Corp",AE$14))</f>
        <v>#NAME?</v>
      </c>
      <c r="AF193" s="29" t="e">
        <f ca="1">IF($B193="","",_xll.BDP($A193&amp;" Corp",AF$14))</f>
        <v>#NAME?</v>
      </c>
      <c r="AG193" s="33" t="e">
        <f ca="1">IF($B193="","",_xll.BDP($A193&amp;" Corp",AG$14))</f>
        <v>#NAME?</v>
      </c>
      <c r="AH193" s="30" t="e">
        <f ca="1">IF($B193="","",_xll.BDP($A193&amp;" Corp",AH$14))</f>
        <v>#NAME?</v>
      </c>
      <c r="AI193" s="30" t="e">
        <f ca="1">IF($B193="","",_xll.BDP($A193&amp;" Corp",AI$14))</f>
        <v>#NAME?</v>
      </c>
      <c r="AJ193" s="30" t="e">
        <f ca="1">IF($B193="","",_xll.BDP($A193&amp;" Corp",AJ$14))</f>
        <v>#NAME?</v>
      </c>
      <c r="AK193" s="11" t="e">
        <f ca="1">IF($B193="","",_xll.BDP($A193&amp;" Corp",AK$14))</f>
        <v>#NAME?</v>
      </c>
      <c r="AL193" s="11" t="e">
        <f ca="1">IF($B193="","",_xll.BDP($A193&amp;" Corp",AL$14))</f>
        <v>#NAME?</v>
      </c>
      <c r="AM193" s="11" t="e">
        <f t="shared" ca="1" si="27"/>
        <v>#NAME?</v>
      </c>
      <c r="AN193" s="57" t="e">
        <f t="shared" ca="1" si="21"/>
        <v>#NAME?</v>
      </c>
    </row>
    <row r="194" spans="1:40" x14ac:dyDescent="0.3">
      <c r="A194" s="67" t="str">
        <f t="shared" si="22"/>
        <v>XS2598331242</v>
      </c>
      <c r="B194" s="68" t="s">
        <v>694</v>
      </c>
      <c r="C194" s="75">
        <v>10613</v>
      </c>
      <c r="D194" s="75">
        <v>128</v>
      </c>
      <c r="E194" s="75">
        <v>500000</v>
      </c>
      <c r="F194" s="69">
        <v>0.40949624000000001</v>
      </c>
      <c r="G194" s="70">
        <v>499180</v>
      </c>
      <c r="H194" s="67">
        <f t="shared" si="23"/>
        <v>500000</v>
      </c>
      <c r="I194" s="67">
        <f t="shared" si="24"/>
        <v>0.40949624000000001</v>
      </c>
      <c r="J194" s="67">
        <f t="shared" si="25"/>
        <v>499180</v>
      </c>
      <c r="K194" s="71">
        <f t="shared" si="26"/>
        <v>99.835999999999999</v>
      </c>
      <c r="L194" s="29" t="e">
        <f ca="1">IF(B194="","",_xll.BDP(A194&amp;" Corp","INTERVAL_HIGH","START_DATE_OVERRIDE",TEXT($L$12,"AAAAMMDD"),"END_DATE_OVERRIDE",TEXT($L$13,"AAAAMMDD"),"MARKET_DATA_OVERRIDE",$L$14))</f>
        <v>#NAME?</v>
      </c>
      <c r="M194" s="30" t="e">
        <f ca="1">IF(B194="","",_xll.BDP($A194&amp;" Corp","INTERVAL_LOW","START_DATE_OVERRIDE",TEXT($L$12,"AAAAMMDD"),"END_DATE_OVERRIDE",TEXT($L$13,"AAAAMMDD"),"MARKET_DATA_OVERRIDE",$L$14))</f>
        <v>#NAME?</v>
      </c>
      <c r="N194" s="31" t="e">
        <f ca="1">IF($B194="","",_xll.BDP($A194&amp;" Corp",N$15))</f>
        <v>#NAME?</v>
      </c>
      <c r="O194" s="32" t="e">
        <f ca="1">IF($B194="","",_xll.BDP($A194&amp;" Corp",O$15))</f>
        <v>#NAME?</v>
      </c>
      <c r="P194" s="32" t="e">
        <f ca="1">IF($B194="","",_xll.BDP($A194&amp;" Corp",P$15))</f>
        <v>#NAME?</v>
      </c>
      <c r="Q194" s="30" t="e">
        <f ca="1">IF($B194="","",_xll.BDP($A194&amp;" Corp",Q$14))</f>
        <v>#NAME?</v>
      </c>
      <c r="R194" s="30" t="e">
        <f ca="1">IF($B194="","",_xll.BDP($A194&amp;" Corp",R$14))</f>
        <v>#NAME?</v>
      </c>
      <c r="S194" s="50" t="e">
        <f ca="1">IF($B194="","",_xll.BDP($A194&amp;" Corp",S$14))</f>
        <v>#NAME?</v>
      </c>
      <c r="T194" s="30" t="e">
        <f ca="1">IF($B194="","",_xll.BDP($A194&amp;" Corp",T$14))</f>
        <v>#NAME?</v>
      </c>
      <c r="U194" s="30" t="e">
        <f ca="1">IF($B194="","",_xll.BDP($A194&amp;" Corp",U$14))</f>
        <v>#NAME?</v>
      </c>
      <c r="V194" s="51" t="e">
        <f ca="1">IF($B194="","",IF($T194="VARIABLE",_xll.BDP($A194&amp;" Corp",V$13),_xll.BDP($A194&amp;" Corp",V$14)))</f>
        <v>#NAME?</v>
      </c>
      <c r="W194" s="30" t="e">
        <f ca="1">IF($B194="","",IF($T194="VARIABLE",_xll.BDP($A194&amp;" Corp",W$13),_xll.BDP($A194&amp;" Corp",W$14)))</f>
        <v>#NAME?</v>
      </c>
      <c r="X194" s="30" t="e">
        <f ca="1">IF($B194="","",_xll.BDP($A194&amp;" Corp",X$14))</f>
        <v>#NAME?</v>
      </c>
      <c r="Y194" s="33" t="e">
        <f ca="1">IF($B194="","",_xll.BDP($A194&amp;" Corp",Y$14))</f>
        <v>#NAME?</v>
      </c>
      <c r="Z194" s="52" t="e">
        <f ca="1">IF($B194="","",_xll.BDP($A194&amp;" Corp",Z$14))</f>
        <v>#NAME?</v>
      </c>
      <c r="AA194" s="53" t="e">
        <f ca="1">IF($B194="","",_xll.BDP($A194&amp;" Corp",AA$14))</f>
        <v>#NAME?</v>
      </c>
      <c r="AB194" s="54" t="e">
        <f ca="1">IF($B194="","",_xll.BDP($A194&amp;" Corp",AB$14))</f>
        <v>#NAME?</v>
      </c>
      <c r="AC194" s="54" t="e">
        <f ca="1">IF($B194="","",_xll.BDP($A194&amp;" Corp",AC$14))</f>
        <v>#NAME?</v>
      </c>
      <c r="AD194" s="55" t="e">
        <f ca="1">IF($B194="","",_xll.BDP($A194&amp;" Corp",AD$14))</f>
        <v>#NAME?</v>
      </c>
      <c r="AE194" s="56" t="e">
        <f ca="1">IF($B194="","",_xll.BDP($A194&amp;" Corp",AE$14))</f>
        <v>#NAME?</v>
      </c>
      <c r="AF194" s="29" t="e">
        <f ca="1">IF($B194="","",_xll.BDP($A194&amp;" Corp",AF$14))</f>
        <v>#NAME?</v>
      </c>
      <c r="AG194" s="33" t="e">
        <f ca="1">IF($B194="","",_xll.BDP($A194&amp;" Corp",AG$14))</f>
        <v>#NAME?</v>
      </c>
      <c r="AH194" s="30" t="e">
        <f ca="1">IF($B194="","",_xll.BDP($A194&amp;" Corp",AH$14))</f>
        <v>#NAME?</v>
      </c>
      <c r="AI194" s="30" t="e">
        <f ca="1">IF($B194="","",_xll.BDP($A194&amp;" Corp",AI$14))</f>
        <v>#NAME?</v>
      </c>
      <c r="AJ194" s="30" t="e">
        <f ca="1">IF($B194="","",_xll.BDP($A194&amp;" Corp",AJ$14))</f>
        <v>#NAME?</v>
      </c>
      <c r="AK194" s="11" t="e">
        <f ca="1">IF($B194="","",_xll.BDP($A194&amp;" Corp",AK$14))</f>
        <v>#NAME?</v>
      </c>
      <c r="AL194" s="11" t="e">
        <f ca="1">IF($B194="","",_xll.BDP($A194&amp;" Corp",AL$14))</f>
        <v>#NAME?</v>
      </c>
      <c r="AM194" s="11" t="e">
        <f t="shared" ca="1" si="27"/>
        <v>#NAME?</v>
      </c>
      <c r="AN194" s="57" t="e">
        <f t="shared" ca="1" si="21"/>
        <v>#NAME?</v>
      </c>
    </row>
    <row r="195" spans="1:40" x14ac:dyDescent="0.3">
      <c r="A195" s="67" t="str">
        <f t="shared" si="22"/>
        <v>ES0343307031</v>
      </c>
      <c r="B195" s="68" t="s">
        <v>696</v>
      </c>
      <c r="C195" s="75">
        <v>10620</v>
      </c>
      <c r="D195" s="75">
        <v>128</v>
      </c>
      <c r="E195" s="75">
        <v>1200000</v>
      </c>
      <c r="F195" s="69">
        <v>0.97574908000000005</v>
      </c>
      <c r="G195" s="70">
        <v>1193916</v>
      </c>
      <c r="H195" s="67">
        <f t="shared" si="23"/>
        <v>1200000</v>
      </c>
      <c r="I195" s="67">
        <f t="shared" si="24"/>
        <v>0.97574908000000005</v>
      </c>
      <c r="J195" s="67">
        <f t="shared" si="25"/>
        <v>1193916</v>
      </c>
      <c r="K195" s="71">
        <f t="shared" si="26"/>
        <v>99.492999999999995</v>
      </c>
      <c r="L195" s="29" t="e">
        <f ca="1">IF(B195="","",_xll.BDP(A195&amp;" Corp","INTERVAL_HIGH","START_DATE_OVERRIDE",TEXT($L$12,"AAAAMMDD"),"END_DATE_OVERRIDE",TEXT($L$13,"AAAAMMDD"),"MARKET_DATA_OVERRIDE",$L$14))</f>
        <v>#NAME?</v>
      </c>
      <c r="M195" s="30" t="e">
        <f ca="1">IF(B195="","",_xll.BDP($A195&amp;" Corp","INTERVAL_LOW","START_DATE_OVERRIDE",TEXT($L$12,"AAAAMMDD"),"END_DATE_OVERRIDE",TEXT($L$13,"AAAAMMDD"),"MARKET_DATA_OVERRIDE",$L$14))</f>
        <v>#NAME?</v>
      </c>
      <c r="N195" s="31" t="e">
        <f ca="1">IF($B195="","",_xll.BDP($A195&amp;" Corp",N$15))</f>
        <v>#NAME?</v>
      </c>
      <c r="O195" s="32" t="e">
        <f ca="1">IF($B195="","",_xll.BDP($A195&amp;" Corp",O$15))</f>
        <v>#NAME?</v>
      </c>
      <c r="P195" s="32" t="e">
        <f ca="1">IF($B195="","",_xll.BDP($A195&amp;" Corp",P$15))</f>
        <v>#NAME?</v>
      </c>
      <c r="Q195" s="30" t="e">
        <f ca="1">IF($B195="","",_xll.BDP($A195&amp;" Corp",Q$14))</f>
        <v>#NAME?</v>
      </c>
      <c r="R195" s="30" t="e">
        <f ca="1">IF($B195="","",_xll.BDP($A195&amp;" Corp",R$14))</f>
        <v>#NAME?</v>
      </c>
      <c r="S195" s="50" t="e">
        <f ca="1">IF($B195="","",_xll.BDP($A195&amp;" Corp",S$14))</f>
        <v>#NAME?</v>
      </c>
      <c r="T195" s="30" t="e">
        <f ca="1">IF($B195="","",_xll.BDP($A195&amp;" Corp",T$14))</f>
        <v>#NAME?</v>
      </c>
      <c r="U195" s="30" t="e">
        <f ca="1">IF($B195="","",_xll.BDP($A195&amp;" Corp",U$14))</f>
        <v>#NAME?</v>
      </c>
      <c r="V195" s="51" t="e">
        <f ca="1">IF($B195="","",IF($T195="VARIABLE",_xll.BDP($A195&amp;" Corp",V$13),_xll.BDP($A195&amp;" Corp",V$14)))</f>
        <v>#NAME?</v>
      </c>
      <c r="W195" s="30" t="e">
        <f ca="1">IF($B195="","",IF($T195="VARIABLE",_xll.BDP($A195&amp;" Corp",W$13),_xll.BDP($A195&amp;" Corp",W$14)))</f>
        <v>#NAME?</v>
      </c>
      <c r="X195" s="30" t="e">
        <f ca="1">IF($B195="","",_xll.BDP($A195&amp;" Corp",X$14))</f>
        <v>#NAME?</v>
      </c>
      <c r="Y195" s="33" t="e">
        <f ca="1">IF($B195="","",_xll.BDP($A195&amp;" Corp",Y$14))</f>
        <v>#NAME?</v>
      </c>
      <c r="Z195" s="52" t="e">
        <f ca="1">IF($B195="","",_xll.BDP($A195&amp;" Corp",Z$14))</f>
        <v>#NAME?</v>
      </c>
      <c r="AA195" s="53" t="e">
        <f ca="1">IF($B195="","",_xll.BDP($A195&amp;" Corp",AA$14))</f>
        <v>#NAME?</v>
      </c>
      <c r="AB195" s="54" t="e">
        <f ca="1">IF($B195="","",_xll.BDP($A195&amp;" Corp",AB$14))</f>
        <v>#NAME?</v>
      </c>
      <c r="AC195" s="54" t="e">
        <f ca="1">IF($B195="","",_xll.BDP($A195&amp;" Corp",AC$14))</f>
        <v>#NAME?</v>
      </c>
      <c r="AD195" s="55" t="e">
        <f ca="1">IF($B195="","",_xll.BDP($A195&amp;" Corp",AD$14))</f>
        <v>#NAME?</v>
      </c>
      <c r="AE195" s="56" t="e">
        <f ca="1">IF($B195="","",_xll.BDP($A195&amp;" Corp",AE$14))</f>
        <v>#NAME?</v>
      </c>
      <c r="AF195" s="29" t="e">
        <f ca="1">IF($B195="","",_xll.BDP($A195&amp;" Corp",AF$14))</f>
        <v>#NAME?</v>
      </c>
      <c r="AG195" s="33" t="e">
        <f ca="1">IF($B195="","",_xll.BDP($A195&amp;" Corp",AG$14))</f>
        <v>#NAME?</v>
      </c>
      <c r="AH195" s="30" t="e">
        <f ca="1">IF($B195="","",_xll.BDP($A195&amp;" Corp",AH$14))</f>
        <v>#NAME?</v>
      </c>
      <c r="AI195" s="30" t="e">
        <f ca="1">IF($B195="","",_xll.BDP($A195&amp;" Corp",AI$14))</f>
        <v>#NAME?</v>
      </c>
      <c r="AJ195" s="30" t="e">
        <f ca="1">IF($B195="","",_xll.BDP($A195&amp;" Corp",AJ$14))</f>
        <v>#NAME?</v>
      </c>
      <c r="AK195" s="11" t="e">
        <f ca="1">IF($B195="","",_xll.BDP($A195&amp;" Corp",AK$14))</f>
        <v>#NAME?</v>
      </c>
      <c r="AL195" s="11" t="e">
        <f ca="1">IF($B195="","",_xll.BDP($A195&amp;" Corp",AL$14))</f>
        <v>#NAME?</v>
      </c>
      <c r="AM195" s="11" t="e">
        <f t="shared" ca="1" si="27"/>
        <v>#NAME?</v>
      </c>
      <c r="AN195" s="57" t="e">
        <f t="shared" ca="1" si="21"/>
        <v>#NAME?</v>
      </c>
    </row>
    <row r="196" spans="1:40" x14ac:dyDescent="0.3">
      <c r="A196" s="67" t="str">
        <f t="shared" si="22"/>
        <v>ES0000012K53</v>
      </c>
      <c r="B196" s="68" t="s">
        <v>698</v>
      </c>
      <c r="C196" s="75">
        <v>9971</v>
      </c>
      <c r="D196" s="75">
        <v>128</v>
      </c>
      <c r="E196" s="75">
        <v>1000000</v>
      </c>
      <c r="F196" s="69">
        <v>0.69253580999999997</v>
      </c>
      <c r="G196" s="70">
        <v>868380</v>
      </c>
      <c r="H196" s="67">
        <f t="shared" si="23"/>
        <v>1000000</v>
      </c>
      <c r="I196" s="67">
        <f t="shared" si="24"/>
        <v>0.69253580999999997</v>
      </c>
      <c r="J196" s="67">
        <f t="shared" si="25"/>
        <v>868380</v>
      </c>
      <c r="K196" s="71">
        <f t="shared" si="26"/>
        <v>86.837999999999994</v>
      </c>
      <c r="L196" s="29" t="e">
        <f ca="1">IF(B196="","",_xll.BDP(A196&amp;" Corp","INTERVAL_HIGH","START_DATE_OVERRIDE",TEXT($L$12,"AAAAMMDD"),"END_DATE_OVERRIDE",TEXT($L$13,"AAAAMMDD"),"MARKET_DATA_OVERRIDE",$L$14))</f>
        <v>#NAME?</v>
      </c>
      <c r="M196" s="30" t="e">
        <f ca="1">IF(B196="","",_xll.BDP($A196&amp;" Corp","INTERVAL_LOW","START_DATE_OVERRIDE",TEXT($L$12,"AAAAMMDD"),"END_DATE_OVERRIDE",TEXT($L$13,"AAAAMMDD"),"MARKET_DATA_OVERRIDE",$L$14))</f>
        <v>#NAME?</v>
      </c>
      <c r="N196" s="31" t="e">
        <f ca="1">IF($B196="","",_xll.BDP($A196&amp;" Corp",N$15))</f>
        <v>#NAME?</v>
      </c>
      <c r="O196" s="32" t="e">
        <f ca="1">IF($B196="","",_xll.BDP($A196&amp;" Corp",O$15))</f>
        <v>#NAME?</v>
      </c>
      <c r="P196" s="32" t="e">
        <f ca="1">IF($B196="","",_xll.BDP($A196&amp;" Corp",P$15))</f>
        <v>#NAME?</v>
      </c>
      <c r="Q196" s="30" t="e">
        <f ca="1">IF($B196="","",_xll.BDP($A196&amp;" Corp",Q$14))</f>
        <v>#NAME?</v>
      </c>
      <c r="R196" s="30" t="e">
        <f ca="1">IF($B196="","",_xll.BDP($A196&amp;" Corp",R$14))</f>
        <v>#NAME?</v>
      </c>
      <c r="S196" s="50" t="e">
        <f ca="1">IF($B196="","",_xll.BDP($A196&amp;" Corp",S$14))</f>
        <v>#NAME?</v>
      </c>
      <c r="T196" s="30" t="e">
        <f ca="1">IF($B196="","",_xll.BDP($A196&amp;" Corp",T$14))</f>
        <v>#NAME?</v>
      </c>
      <c r="U196" s="30" t="e">
        <f ca="1">IF($B196="","",_xll.BDP($A196&amp;" Corp",U$14))</f>
        <v>#NAME?</v>
      </c>
      <c r="V196" s="51" t="e">
        <f ca="1">IF($B196="","",IF($T196="VARIABLE",_xll.BDP($A196&amp;" Corp",V$13),_xll.BDP($A196&amp;" Corp",V$14)))</f>
        <v>#NAME?</v>
      </c>
      <c r="W196" s="30" t="e">
        <f ca="1">IF($B196="","",IF($T196="VARIABLE",_xll.BDP($A196&amp;" Corp",W$13),_xll.BDP($A196&amp;" Corp",W$14)))</f>
        <v>#NAME?</v>
      </c>
      <c r="X196" s="30" t="e">
        <f ca="1">IF($B196="","",_xll.BDP($A196&amp;" Corp",X$14))</f>
        <v>#NAME?</v>
      </c>
      <c r="Y196" s="33" t="e">
        <f ca="1">IF($B196="","",_xll.BDP($A196&amp;" Corp",Y$14))</f>
        <v>#NAME?</v>
      </c>
      <c r="Z196" s="52" t="e">
        <f ca="1">IF($B196="","",_xll.BDP($A196&amp;" Corp",Z$14))</f>
        <v>#NAME?</v>
      </c>
      <c r="AA196" s="53" t="e">
        <f ca="1">IF($B196="","",_xll.BDP($A196&amp;" Corp",AA$14))</f>
        <v>#NAME?</v>
      </c>
      <c r="AB196" s="54" t="e">
        <f ca="1">IF($B196="","",_xll.BDP($A196&amp;" Corp",AB$14))</f>
        <v>#NAME?</v>
      </c>
      <c r="AC196" s="54" t="e">
        <f ca="1">IF($B196="","",_xll.BDP($A196&amp;" Corp",AC$14))</f>
        <v>#NAME?</v>
      </c>
      <c r="AD196" s="55" t="e">
        <f ca="1">IF($B196="","",_xll.BDP($A196&amp;" Corp",AD$14))</f>
        <v>#NAME?</v>
      </c>
      <c r="AE196" s="56" t="e">
        <f ca="1">IF($B196="","",_xll.BDP($A196&amp;" Corp",AE$14))</f>
        <v>#NAME?</v>
      </c>
      <c r="AF196" s="29" t="e">
        <f ca="1">IF($B196="","",_xll.BDP($A196&amp;" Corp",AF$14))</f>
        <v>#NAME?</v>
      </c>
      <c r="AG196" s="33" t="e">
        <f ca="1">IF($B196="","",_xll.BDP($A196&amp;" Corp",AG$14))</f>
        <v>#NAME?</v>
      </c>
      <c r="AH196" s="30" t="e">
        <f ca="1">IF($B196="","",_xll.BDP($A196&amp;" Corp",AH$14))</f>
        <v>#NAME?</v>
      </c>
      <c r="AI196" s="30" t="e">
        <f ca="1">IF($B196="","",_xll.BDP($A196&amp;" Corp",AI$14))</f>
        <v>#NAME?</v>
      </c>
      <c r="AJ196" s="30" t="e">
        <f ca="1">IF($B196="","",_xll.BDP($A196&amp;" Corp",AJ$14))</f>
        <v>#NAME?</v>
      </c>
      <c r="AK196" s="11" t="e">
        <f ca="1">IF($B196="","",_xll.BDP($A196&amp;" Corp",AK$14))</f>
        <v>#NAME?</v>
      </c>
      <c r="AL196" s="11" t="e">
        <f ca="1">IF($B196="","",_xll.BDP($A196&amp;" Corp",AL$14))</f>
        <v>#NAME?</v>
      </c>
      <c r="AM196" s="11" t="e">
        <f t="shared" ca="1" si="27"/>
        <v>#NAME?</v>
      </c>
      <c r="AN196" s="57" t="e">
        <f t="shared" ref="AN196:AN214" ca="1" si="28">IF(ROUND(W196,0)=0,ROUND(W196,1), ROUND(W196,0))</f>
        <v>#NAME?</v>
      </c>
    </row>
    <row r="197" spans="1:40" x14ac:dyDescent="0.3">
      <c r="A197" s="67" t="str">
        <f t="shared" si="22"/>
        <v>PTGGDDOM0008</v>
      </c>
      <c r="B197" s="68" t="s">
        <v>700</v>
      </c>
      <c r="C197" s="75">
        <v>10668</v>
      </c>
      <c r="D197" s="75">
        <v>128</v>
      </c>
      <c r="E197" s="75">
        <v>600000</v>
      </c>
      <c r="F197" s="69">
        <v>0.48638114999999998</v>
      </c>
      <c r="G197" s="70">
        <v>600408</v>
      </c>
      <c r="H197" s="67">
        <f t="shared" si="23"/>
        <v>600000</v>
      </c>
      <c r="I197" s="67">
        <f t="shared" si="24"/>
        <v>0.48638114999999998</v>
      </c>
      <c r="J197" s="67">
        <f t="shared" si="25"/>
        <v>600408</v>
      </c>
      <c r="K197" s="71">
        <f t="shared" si="26"/>
        <v>100.068</v>
      </c>
      <c r="L197" s="29" t="e">
        <f ca="1">IF(B197="","",_xll.BDP(A197&amp;" Corp","INTERVAL_HIGH","START_DATE_OVERRIDE",TEXT($L$12,"AAAAMMDD"),"END_DATE_OVERRIDE",TEXT($L$13,"AAAAMMDD"),"MARKET_DATA_OVERRIDE",$L$14))</f>
        <v>#NAME?</v>
      </c>
      <c r="M197" s="30" t="e">
        <f ca="1">IF(B197="","",_xll.BDP($A197&amp;" Corp","INTERVAL_LOW","START_DATE_OVERRIDE",TEXT($L$12,"AAAAMMDD"),"END_DATE_OVERRIDE",TEXT($L$13,"AAAAMMDD"),"MARKET_DATA_OVERRIDE",$L$14))</f>
        <v>#NAME?</v>
      </c>
      <c r="N197" s="31" t="e">
        <f ca="1">IF($B197="","",_xll.BDP($A197&amp;" Corp",N$15))</f>
        <v>#NAME?</v>
      </c>
      <c r="O197" s="32" t="e">
        <f ca="1">IF($B197="","",_xll.BDP($A197&amp;" Corp",O$15))</f>
        <v>#NAME?</v>
      </c>
      <c r="P197" s="32" t="e">
        <f ca="1">IF($B197="","",_xll.BDP($A197&amp;" Corp",P$15))</f>
        <v>#NAME?</v>
      </c>
      <c r="Q197" s="30" t="e">
        <f ca="1">IF($B197="","",_xll.BDP($A197&amp;" Corp",Q$14))</f>
        <v>#NAME?</v>
      </c>
      <c r="R197" s="30" t="e">
        <f ca="1">IF($B197="","",_xll.BDP($A197&amp;" Corp",R$14))</f>
        <v>#NAME?</v>
      </c>
      <c r="S197" s="50" t="e">
        <f ca="1">IF($B197="","",_xll.BDP($A197&amp;" Corp",S$14))</f>
        <v>#NAME?</v>
      </c>
      <c r="T197" s="30" t="e">
        <f ca="1">IF($B197="","",_xll.BDP($A197&amp;" Corp",T$14))</f>
        <v>#NAME?</v>
      </c>
      <c r="U197" s="30" t="e">
        <f ca="1">IF($B197="","",_xll.BDP($A197&amp;" Corp",U$14))</f>
        <v>#NAME?</v>
      </c>
      <c r="V197" s="51" t="e">
        <f ca="1">IF($B197="","",IF($T197="VARIABLE",_xll.BDP($A197&amp;" Corp",V$13),_xll.BDP($A197&amp;" Corp",V$14)))</f>
        <v>#NAME?</v>
      </c>
      <c r="W197" s="30" t="e">
        <f ca="1">IF($B197="","",IF($T197="VARIABLE",_xll.BDP($A197&amp;" Corp",W$13),_xll.BDP($A197&amp;" Corp",W$14)))</f>
        <v>#NAME?</v>
      </c>
      <c r="X197" s="30" t="e">
        <f ca="1">IF($B197="","",_xll.BDP($A197&amp;" Corp",X$14))</f>
        <v>#NAME?</v>
      </c>
      <c r="Y197" s="33" t="e">
        <f ca="1">IF($B197="","",_xll.BDP($A197&amp;" Corp",Y$14))</f>
        <v>#NAME?</v>
      </c>
      <c r="Z197" s="52" t="e">
        <f ca="1">IF($B197="","",_xll.BDP($A197&amp;" Corp",Z$14))</f>
        <v>#NAME?</v>
      </c>
      <c r="AA197" s="53" t="e">
        <f ca="1">IF($B197="","",_xll.BDP($A197&amp;" Corp",AA$14))</f>
        <v>#NAME?</v>
      </c>
      <c r="AB197" s="54" t="e">
        <f ca="1">IF($B197="","",_xll.BDP($A197&amp;" Corp",AB$14))</f>
        <v>#NAME?</v>
      </c>
      <c r="AC197" s="54" t="e">
        <f ca="1">IF($B197="","",_xll.BDP($A197&amp;" Corp",AC$14))</f>
        <v>#NAME?</v>
      </c>
      <c r="AD197" s="55" t="e">
        <f ca="1">IF($B197="","",_xll.BDP($A197&amp;" Corp",AD$14))</f>
        <v>#NAME?</v>
      </c>
      <c r="AE197" s="56" t="e">
        <f ca="1">IF($B197="","",_xll.BDP($A197&amp;" Corp",AE$14))</f>
        <v>#NAME?</v>
      </c>
      <c r="AF197" s="29" t="e">
        <f ca="1">IF($B197="","",_xll.BDP($A197&amp;" Corp",AF$14))</f>
        <v>#NAME?</v>
      </c>
      <c r="AG197" s="33" t="e">
        <f ca="1">IF($B197="","",_xll.BDP($A197&amp;" Corp",AG$14))</f>
        <v>#NAME?</v>
      </c>
      <c r="AH197" s="30" t="e">
        <f ca="1">IF($B197="","",_xll.BDP($A197&amp;" Corp",AH$14))</f>
        <v>#NAME?</v>
      </c>
      <c r="AI197" s="30" t="e">
        <f ca="1">IF($B197="","",_xll.BDP($A197&amp;" Corp",AI$14))</f>
        <v>#NAME?</v>
      </c>
      <c r="AJ197" s="30" t="e">
        <f ca="1">IF($B197="","",_xll.BDP($A197&amp;" Corp",AJ$14))</f>
        <v>#NAME?</v>
      </c>
      <c r="AK197" s="11" t="e">
        <f ca="1">IF($B197="","",_xll.BDP($A197&amp;" Corp",AK$14))</f>
        <v>#NAME?</v>
      </c>
      <c r="AL197" s="11" t="e">
        <f ca="1">IF($B197="","",_xll.BDP($A197&amp;" Corp",AL$14))</f>
        <v>#NAME?</v>
      </c>
      <c r="AM197" s="11" t="e">
        <f t="shared" ca="1" si="27"/>
        <v>#NAME?</v>
      </c>
      <c r="AN197" s="57" t="e">
        <f t="shared" ca="1" si="28"/>
        <v>#NAME?</v>
      </c>
    </row>
    <row r="198" spans="1:40" x14ac:dyDescent="0.3">
      <c r="A198" s="67" t="str">
        <f t="shared" si="22"/>
        <v>XS1963849440</v>
      </c>
      <c r="B198" s="68" t="s">
        <v>702</v>
      </c>
      <c r="C198" s="75">
        <v>7525</v>
      </c>
      <c r="D198" s="75">
        <v>128</v>
      </c>
      <c r="E198" s="75">
        <v>300000</v>
      </c>
      <c r="F198" s="69">
        <v>0.24214933999999999</v>
      </c>
      <c r="G198" s="70">
        <v>294750</v>
      </c>
      <c r="H198" s="67">
        <f t="shared" si="23"/>
        <v>300000</v>
      </c>
      <c r="I198" s="67">
        <f t="shared" si="24"/>
        <v>0.24214933999999999</v>
      </c>
      <c r="J198" s="67">
        <f t="shared" si="25"/>
        <v>294750</v>
      </c>
      <c r="K198" s="71">
        <f t="shared" si="26"/>
        <v>98.25</v>
      </c>
      <c r="L198" s="29" t="e">
        <f ca="1">IF(B198="","",_xll.BDP(A198&amp;" Corp","INTERVAL_HIGH","START_DATE_OVERRIDE",TEXT($L$12,"AAAAMMDD"),"END_DATE_OVERRIDE",TEXT($L$13,"AAAAMMDD"),"MARKET_DATA_OVERRIDE",$L$14))</f>
        <v>#NAME?</v>
      </c>
      <c r="M198" s="30" t="e">
        <f ca="1">IF(B198="","",_xll.BDP($A198&amp;" Corp","INTERVAL_LOW","START_DATE_OVERRIDE",TEXT($L$12,"AAAAMMDD"),"END_DATE_OVERRIDE",TEXT($L$13,"AAAAMMDD"),"MARKET_DATA_OVERRIDE",$L$14))</f>
        <v>#NAME?</v>
      </c>
      <c r="N198" s="31" t="e">
        <f ca="1">IF($B198="","",_xll.BDP($A198&amp;" Corp",N$15))</f>
        <v>#NAME?</v>
      </c>
      <c r="O198" s="32" t="e">
        <f ca="1">IF($B198="","",_xll.BDP($A198&amp;" Corp",O$15))</f>
        <v>#NAME?</v>
      </c>
      <c r="P198" s="32" t="e">
        <f ca="1">IF($B198="","",_xll.BDP($A198&amp;" Corp",P$15))</f>
        <v>#NAME?</v>
      </c>
      <c r="Q198" s="30" t="e">
        <f ca="1">IF($B198="","",_xll.BDP($A198&amp;" Corp",Q$14))</f>
        <v>#NAME?</v>
      </c>
      <c r="R198" s="30" t="e">
        <f ca="1">IF($B198="","",_xll.BDP($A198&amp;" Corp",R$14))</f>
        <v>#NAME?</v>
      </c>
      <c r="S198" s="50" t="e">
        <f ca="1">IF($B198="","",_xll.BDP($A198&amp;" Corp",S$14))</f>
        <v>#NAME?</v>
      </c>
      <c r="T198" s="30" t="e">
        <f ca="1">IF($B198="","",_xll.BDP($A198&amp;" Corp",T$14))</f>
        <v>#NAME?</v>
      </c>
      <c r="U198" s="30" t="e">
        <f ca="1">IF($B198="","",_xll.BDP($A198&amp;" Corp",U$14))</f>
        <v>#NAME?</v>
      </c>
      <c r="V198" s="51" t="e">
        <f ca="1">IF($B198="","",IF($T198="VARIABLE",_xll.BDP($A198&amp;" Corp",V$13),_xll.BDP($A198&amp;" Corp",V$14)))</f>
        <v>#NAME?</v>
      </c>
      <c r="W198" s="30" t="e">
        <f ca="1">IF($B198="","",IF($T198="VARIABLE",_xll.BDP($A198&amp;" Corp",W$13),_xll.BDP($A198&amp;" Corp",W$14)))</f>
        <v>#NAME?</v>
      </c>
      <c r="X198" s="30" t="e">
        <f ca="1">IF($B198="","",_xll.BDP($A198&amp;" Corp",X$14))</f>
        <v>#NAME?</v>
      </c>
      <c r="Y198" s="33" t="e">
        <f ca="1">IF($B198="","",_xll.BDP($A198&amp;" Corp",Y$14))</f>
        <v>#NAME?</v>
      </c>
      <c r="Z198" s="52" t="e">
        <f ca="1">IF($B198="","",_xll.BDP($A198&amp;" Corp",Z$14))</f>
        <v>#NAME?</v>
      </c>
      <c r="AA198" s="53" t="e">
        <f ca="1">IF($B198="","",_xll.BDP($A198&amp;" Corp",AA$14))</f>
        <v>#NAME?</v>
      </c>
      <c r="AB198" s="54" t="e">
        <f ca="1">IF($B198="","",_xll.BDP($A198&amp;" Corp",AB$14))</f>
        <v>#NAME?</v>
      </c>
      <c r="AC198" s="54" t="e">
        <f ca="1">IF($B198="","",_xll.BDP($A198&amp;" Corp",AC$14))</f>
        <v>#NAME?</v>
      </c>
      <c r="AD198" s="55" t="e">
        <f ca="1">IF($B198="","",_xll.BDP($A198&amp;" Corp",AD$14))</f>
        <v>#NAME?</v>
      </c>
      <c r="AE198" s="56" t="e">
        <f ca="1">IF($B198="","",_xll.BDP($A198&amp;" Corp",AE$14))</f>
        <v>#NAME?</v>
      </c>
      <c r="AF198" s="29" t="e">
        <f ca="1">IF($B198="","",_xll.BDP($A198&amp;" Corp",AF$14))</f>
        <v>#NAME?</v>
      </c>
      <c r="AG198" s="33" t="e">
        <f ca="1">IF($B198="","",_xll.BDP($A198&amp;" Corp",AG$14))</f>
        <v>#NAME?</v>
      </c>
      <c r="AH198" s="30" t="e">
        <f ca="1">IF($B198="","",_xll.BDP($A198&amp;" Corp",AH$14))</f>
        <v>#NAME?</v>
      </c>
      <c r="AI198" s="30" t="e">
        <f ca="1">IF($B198="","",_xll.BDP($A198&amp;" Corp",AI$14))</f>
        <v>#NAME?</v>
      </c>
      <c r="AJ198" s="30" t="e">
        <f ca="1">IF($B198="","",_xll.BDP($A198&amp;" Corp",AJ$14))</f>
        <v>#NAME?</v>
      </c>
      <c r="AK198" s="11" t="e">
        <f ca="1">IF($B198="","",_xll.BDP($A198&amp;" Corp",AK$14))</f>
        <v>#NAME?</v>
      </c>
      <c r="AL198" s="11" t="e">
        <f ca="1">IF($B198="","",_xll.BDP($A198&amp;" Corp",AL$14))</f>
        <v>#NAME?</v>
      </c>
      <c r="AM198" s="11" t="e">
        <f t="shared" ca="1" si="27"/>
        <v>#NAME?</v>
      </c>
      <c r="AN198" s="57" t="e">
        <f t="shared" ca="1" si="28"/>
        <v>#NAME?</v>
      </c>
    </row>
    <row r="199" spans="1:40" x14ac:dyDescent="0.3">
      <c r="A199" s="67" t="str">
        <f t="shared" si="22"/>
        <v>DE000BU0E055</v>
      </c>
      <c r="B199" s="68" t="s">
        <v>704</v>
      </c>
      <c r="C199" s="75">
        <v>10666</v>
      </c>
      <c r="D199" s="75">
        <v>128</v>
      </c>
      <c r="E199" s="75">
        <v>1000000</v>
      </c>
      <c r="F199" s="69">
        <v>0.79052984000000004</v>
      </c>
      <c r="G199" s="70">
        <v>969170</v>
      </c>
      <c r="H199" s="67">
        <f t="shared" si="23"/>
        <v>1000000</v>
      </c>
      <c r="I199" s="67">
        <f t="shared" si="24"/>
        <v>0.79052984000000004</v>
      </c>
      <c r="J199" s="67">
        <f t="shared" si="25"/>
        <v>969170</v>
      </c>
      <c r="K199" s="71">
        <f t="shared" si="26"/>
        <v>96.917000000000002</v>
      </c>
      <c r="L199" s="29" t="e">
        <f ca="1">IF(B199="","",_xll.BDP(A199&amp;" Corp","INTERVAL_HIGH","START_DATE_OVERRIDE",TEXT($L$12,"AAAAMMDD"),"END_DATE_OVERRIDE",TEXT($L$13,"AAAAMMDD"),"MARKET_DATA_OVERRIDE",$L$14))</f>
        <v>#NAME?</v>
      </c>
      <c r="M199" s="30" t="e">
        <f ca="1">IF(B199="","",_xll.BDP($A199&amp;" Corp","INTERVAL_LOW","START_DATE_OVERRIDE",TEXT($L$12,"AAAAMMDD"),"END_DATE_OVERRIDE",TEXT($L$13,"AAAAMMDD"),"MARKET_DATA_OVERRIDE",$L$14))</f>
        <v>#NAME?</v>
      </c>
      <c r="N199" s="31" t="e">
        <f ca="1">IF($B199="","",_xll.BDP($A199&amp;" Corp",N$15))</f>
        <v>#NAME?</v>
      </c>
      <c r="O199" s="32" t="e">
        <f ca="1">IF($B199="","",_xll.BDP($A199&amp;" Corp",O$15))</f>
        <v>#NAME?</v>
      </c>
      <c r="P199" s="32" t="e">
        <f ca="1">IF($B199="","",_xll.BDP($A199&amp;" Corp",P$15))</f>
        <v>#NAME?</v>
      </c>
      <c r="Q199" s="30" t="e">
        <f ca="1">IF($B199="","",_xll.BDP($A199&amp;" Corp",Q$14))</f>
        <v>#NAME?</v>
      </c>
      <c r="R199" s="30" t="e">
        <f ca="1">IF($B199="","",_xll.BDP($A199&amp;" Corp",R$14))</f>
        <v>#NAME?</v>
      </c>
      <c r="S199" s="50" t="e">
        <f ca="1">IF($B199="","",_xll.BDP($A199&amp;" Corp",S$14))</f>
        <v>#NAME?</v>
      </c>
      <c r="T199" s="30" t="e">
        <f ca="1">IF($B199="","",_xll.BDP($A199&amp;" Corp",T$14))</f>
        <v>#NAME?</v>
      </c>
      <c r="U199" s="30" t="e">
        <f ca="1">IF($B199="","",_xll.BDP($A199&amp;" Corp",U$14))</f>
        <v>#NAME?</v>
      </c>
      <c r="V199" s="51" t="e">
        <f ca="1">IF($B199="","",IF($T199="VARIABLE",_xll.BDP($A199&amp;" Corp",V$13),_xll.BDP($A199&amp;" Corp",V$14)))</f>
        <v>#NAME?</v>
      </c>
      <c r="W199" s="30" t="e">
        <f ca="1">IF($B199="","",IF($T199="VARIABLE",_xll.BDP($A199&amp;" Corp",W$13),_xll.BDP($A199&amp;" Corp",W$14)))</f>
        <v>#NAME?</v>
      </c>
      <c r="X199" s="30" t="e">
        <f ca="1">IF($B199="","",_xll.BDP($A199&amp;" Corp",X$14))</f>
        <v>#NAME?</v>
      </c>
      <c r="Y199" s="33" t="e">
        <f ca="1">IF($B199="","",_xll.BDP($A199&amp;" Corp",Y$14))</f>
        <v>#NAME?</v>
      </c>
      <c r="Z199" s="52" t="e">
        <f ca="1">IF($B199="","",_xll.BDP($A199&amp;" Corp",Z$14))</f>
        <v>#NAME?</v>
      </c>
      <c r="AA199" s="53" t="e">
        <f ca="1">IF($B199="","",_xll.BDP($A199&amp;" Corp",AA$14))</f>
        <v>#NAME?</v>
      </c>
      <c r="AB199" s="54" t="e">
        <f ca="1">IF($B199="","",_xll.BDP($A199&amp;" Corp",AB$14))</f>
        <v>#NAME?</v>
      </c>
      <c r="AC199" s="54" t="e">
        <f ca="1">IF($B199="","",_xll.BDP($A199&amp;" Corp",AC$14))</f>
        <v>#NAME?</v>
      </c>
      <c r="AD199" s="55" t="e">
        <f ca="1">IF($B199="","",_xll.BDP($A199&amp;" Corp",AD$14))</f>
        <v>#NAME?</v>
      </c>
      <c r="AE199" s="56" t="e">
        <f ca="1">IF($B199="","",_xll.BDP($A199&amp;" Corp",AE$14))</f>
        <v>#NAME?</v>
      </c>
      <c r="AF199" s="29" t="e">
        <f ca="1">IF($B199="","",_xll.BDP($A199&amp;" Corp",AF$14))</f>
        <v>#NAME?</v>
      </c>
      <c r="AG199" s="33" t="e">
        <f ca="1">IF($B199="","",_xll.BDP($A199&amp;" Corp",AG$14))</f>
        <v>#NAME?</v>
      </c>
      <c r="AH199" s="30" t="e">
        <f ca="1">IF($B199="","",_xll.BDP($A199&amp;" Corp",AH$14))</f>
        <v>#NAME?</v>
      </c>
      <c r="AI199" s="30" t="e">
        <f ca="1">IF($B199="","",_xll.BDP($A199&amp;" Corp",AI$14))</f>
        <v>#NAME?</v>
      </c>
      <c r="AJ199" s="30" t="e">
        <f ca="1">IF($B199="","",_xll.BDP($A199&amp;" Corp",AJ$14))</f>
        <v>#NAME?</v>
      </c>
      <c r="AK199" s="11" t="e">
        <f ca="1">IF($B199="","",_xll.BDP($A199&amp;" Corp",AK$14))</f>
        <v>#NAME?</v>
      </c>
      <c r="AL199" s="11" t="e">
        <f ca="1">IF($B199="","",_xll.BDP($A199&amp;" Corp",AL$14))</f>
        <v>#NAME?</v>
      </c>
      <c r="AM199" s="11" t="e">
        <f t="shared" ca="1" si="27"/>
        <v>#NAME?</v>
      </c>
      <c r="AN199" s="57" t="e">
        <f t="shared" ca="1" si="28"/>
        <v>#NAME?</v>
      </c>
    </row>
    <row r="200" spans="1:40" x14ac:dyDescent="0.3">
      <c r="A200" s="67" t="str">
        <f t="shared" si="22"/>
        <v>XS2468378059</v>
      </c>
      <c r="B200" s="68" t="s">
        <v>764</v>
      </c>
      <c r="C200" s="75">
        <v>10488</v>
      </c>
      <c r="D200" s="75">
        <v>128</v>
      </c>
      <c r="E200" s="75">
        <v>1000000</v>
      </c>
      <c r="F200" s="69">
        <v>0.77741779</v>
      </c>
      <c r="G200" s="70">
        <v>944800</v>
      </c>
      <c r="H200" s="67">
        <f t="shared" si="23"/>
        <v>1000000</v>
      </c>
      <c r="I200" s="67">
        <f t="shared" si="24"/>
        <v>0.77741779</v>
      </c>
      <c r="J200" s="67">
        <f t="shared" si="25"/>
        <v>944800</v>
      </c>
      <c r="K200" s="71">
        <f t="shared" si="26"/>
        <v>94.48</v>
      </c>
      <c r="L200" s="29" t="e">
        <f ca="1">IF(B200="","",_xll.BDP(A200&amp;" Corp","INTERVAL_HIGH","START_DATE_OVERRIDE",TEXT($L$12,"AAAAMMDD"),"END_DATE_OVERRIDE",TEXT($L$13,"AAAAMMDD"),"MARKET_DATA_OVERRIDE",$L$14))</f>
        <v>#NAME?</v>
      </c>
      <c r="M200" s="30" t="e">
        <f ca="1">IF(B200="","",_xll.BDP($A200&amp;" Corp","INTERVAL_LOW","START_DATE_OVERRIDE",TEXT($L$12,"AAAAMMDD"),"END_DATE_OVERRIDE",TEXT($L$13,"AAAAMMDD"),"MARKET_DATA_OVERRIDE",$L$14))</f>
        <v>#NAME?</v>
      </c>
      <c r="N200" s="31" t="e">
        <f ca="1">IF($B200="","",_xll.BDP($A200&amp;" Corp",N$15))</f>
        <v>#NAME?</v>
      </c>
      <c r="O200" s="32" t="e">
        <f ca="1">IF($B200="","",_xll.BDP($A200&amp;" Corp",O$15))</f>
        <v>#NAME?</v>
      </c>
      <c r="P200" s="32" t="e">
        <f ca="1">IF($B200="","",_xll.BDP($A200&amp;" Corp",P$15))</f>
        <v>#NAME?</v>
      </c>
      <c r="Q200" s="30" t="e">
        <f ca="1">IF($B200="","",_xll.BDP($A200&amp;" Corp",Q$14))</f>
        <v>#NAME?</v>
      </c>
      <c r="R200" s="30" t="e">
        <f ca="1">IF($B200="","",_xll.BDP($A200&amp;" Corp",R$14))</f>
        <v>#NAME?</v>
      </c>
      <c r="S200" s="50" t="e">
        <f ca="1">IF($B200="","",_xll.BDP($A200&amp;" Corp",S$14))</f>
        <v>#NAME?</v>
      </c>
      <c r="T200" s="30" t="e">
        <f ca="1">IF($B200="","",_xll.BDP($A200&amp;" Corp",T$14))</f>
        <v>#NAME?</v>
      </c>
      <c r="U200" s="30" t="e">
        <f ca="1">IF($B200="","",_xll.BDP($A200&amp;" Corp",U$14))</f>
        <v>#NAME?</v>
      </c>
      <c r="V200" s="51" t="e">
        <f ca="1">IF($B200="","",IF($T200="VARIABLE",_xll.BDP($A200&amp;" Corp",V$13),_xll.BDP($A200&amp;" Corp",V$14)))</f>
        <v>#NAME?</v>
      </c>
      <c r="W200" s="30" t="e">
        <f ca="1">IF($B200="","",IF($T200="VARIABLE",_xll.BDP($A200&amp;" Corp",W$13),_xll.BDP($A200&amp;" Corp",W$14)))</f>
        <v>#NAME?</v>
      </c>
      <c r="X200" s="30" t="e">
        <f ca="1">IF($B200="","",_xll.BDP($A200&amp;" Corp",X$14))</f>
        <v>#NAME?</v>
      </c>
      <c r="Y200" s="33" t="e">
        <f ca="1">IF($B200="","",_xll.BDP($A200&amp;" Corp",Y$14))</f>
        <v>#NAME?</v>
      </c>
      <c r="Z200" s="52" t="e">
        <f ca="1">IF($B200="","",_xll.BDP($A200&amp;" Corp",Z$14))</f>
        <v>#NAME?</v>
      </c>
      <c r="AA200" s="53" t="e">
        <f ca="1">IF($B200="","",_xll.BDP($A200&amp;" Corp",AA$14))</f>
        <v>#NAME?</v>
      </c>
      <c r="AB200" s="54" t="e">
        <f ca="1">IF($B200="","",_xll.BDP($A200&amp;" Corp",AB$14))</f>
        <v>#NAME?</v>
      </c>
      <c r="AC200" s="54" t="e">
        <f ca="1">IF($B200="","",_xll.BDP($A200&amp;" Corp",AC$14))</f>
        <v>#NAME?</v>
      </c>
      <c r="AD200" s="55" t="e">
        <f ca="1">IF($B200="","",_xll.BDP($A200&amp;" Corp",AD$14))</f>
        <v>#NAME?</v>
      </c>
      <c r="AE200" s="56" t="e">
        <f ca="1">IF($B200="","",_xll.BDP($A200&amp;" Corp",AE$14))</f>
        <v>#NAME?</v>
      </c>
      <c r="AF200" s="29" t="e">
        <f ca="1">IF($B200="","",_xll.BDP($A200&amp;" Corp",AF$14))</f>
        <v>#NAME?</v>
      </c>
      <c r="AG200" s="33" t="e">
        <f ca="1">IF($B200="","",_xll.BDP($A200&amp;" Corp",AG$14))</f>
        <v>#NAME?</v>
      </c>
      <c r="AH200" s="30" t="e">
        <f ca="1">IF($B200="","",_xll.BDP($A200&amp;" Corp",AH$14))</f>
        <v>#NAME?</v>
      </c>
      <c r="AI200" s="30" t="e">
        <f ca="1">IF($B200="","",_xll.BDP($A200&amp;" Corp",AI$14))</f>
        <v>#NAME?</v>
      </c>
      <c r="AJ200" s="30" t="e">
        <f ca="1">IF($B200="","",_xll.BDP($A200&amp;" Corp",AJ$14))</f>
        <v>#NAME?</v>
      </c>
      <c r="AK200" s="11" t="e">
        <f ca="1">IF($B200="","",_xll.BDP($A200&amp;" Corp",AK$14))</f>
        <v>#NAME?</v>
      </c>
      <c r="AL200" s="11" t="e">
        <f ca="1">IF($B200="","",_xll.BDP($A200&amp;" Corp",AL$14))</f>
        <v>#NAME?</v>
      </c>
      <c r="AM200" s="11" t="e">
        <f t="shared" ca="1" si="27"/>
        <v>#NAME?</v>
      </c>
      <c r="AN200" s="57" t="e">
        <f t="shared" ca="1" si="28"/>
        <v>#NAME?</v>
      </c>
    </row>
    <row r="201" spans="1:40" x14ac:dyDescent="0.3">
      <c r="A201" s="67" t="str">
        <f t="shared" si="22"/>
        <v>FR001400IU83</v>
      </c>
      <c r="B201" s="68" t="s">
        <v>766</v>
      </c>
      <c r="C201" s="75">
        <v>10699</v>
      </c>
      <c r="D201" s="75">
        <v>128</v>
      </c>
      <c r="E201" s="75">
        <v>100000</v>
      </c>
      <c r="F201" s="69">
        <v>7.4287149999999996E-2</v>
      </c>
      <c r="G201" s="70">
        <v>98120.33</v>
      </c>
      <c r="H201" s="67">
        <f t="shared" si="23"/>
        <v>100000</v>
      </c>
      <c r="I201" s="67">
        <f t="shared" si="24"/>
        <v>7.4287149999999996E-2</v>
      </c>
      <c r="J201" s="67">
        <f t="shared" si="25"/>
        <v>98120.33</v>
      </c>
      <c r="K201" s="71">
        <f t="shared" si="26"/>
        <v>98.120329999999996</v>
      </c>
      <c r="L201" s="29" t="e">
        <f ca="1">IF(B201="","",_xll.BDP(A201&amp;" Corp","INTERVAL_HIGH","START_DATE_OVERRIDE",TEXT($L$12,"AAAAMMDD"),"END_DATE_OVERRIDE",TEXT($L$13,"AAAAMMDD"),"MARKET_DATA_OVERRIDE",$L$14))</f>
        <v>#NAME?</v>
      </c>
      <c r="M201" s="30" t="e">
        <f ca="1">IF(B201="","",_xll.BDP($A201&amp;" Corp","INTERVAL_LOW","START_DATE_OVERRIDE",TEXT($L$12,"AAAAMMDD"),"END_DATE_OVERRIDE",TEXT($L$13,"AAAAMMDD"),"MARKET_DATA_OVERRIDE",$L$14))</f>
        <v>#NAME?</v>
      </c>
      <c r="N201" s="31" t="e">
        <f ca="1">IF($B201="","",_xll.BDP($A201&amp;" Corp",N$15))</f>
        <v>#NAME?</v>
      </c>
      <c r="O201" s="32" t="e">
        <f ca="1">IF($B201="","",_xll.BDP($A201&amp;" Corp",O$15))</f>
        <v>#NAME?</v>
      </c>
      <c r="P201" s="32" t="e">
        <f ca="1">IF($B201="","",_xll.BDP($A201&amp;" Corp",P$15))</f>
        <v>#NAME?</v>
      </c>
      <c r="Q201" s="30" t="e">
        <f ca="1">IF($B201="","",_xll.BDP($A201&amp;" Corp",Q$14))</f>
        <v>#NAME?</v>
      </c>
      <c r="R201" s="30" t="e">
        <f ca="1">IF($B201="","",_xll.BDP($A201&amp;" Corp",R$14))</f>
        <v>#NAME?</v>
      </c>
      <c r="S201" s="50" t="e">
        <f ca="1">IF($B201="","",_xll.BDP($A201&amp;" Corp",S$14))</f>
        <v>#NAME?</v>
      </c>
      <c r="T201" s="30" t="e">
        <f ca="1">IF($B201="","",_xll.BDP($A201&amp;" Corp",T$14))</f>
        <v>#NAME?</v>
      </c>
      <c r="U201" s="30" t="e">
        <f ca="1">IF($B201="","",_xll.BDP($A201&amp;" Corp",U$14))</f>
        <v>#NAME?</v>
      </c>
      <c r="V201" s="51" t="e">
        <f ca="1">IF($B201="","",IF($T201="VARIABLE",_xll.BDP($A201&amp;" Corp",V$13),_xll.BDP($A201&amp;" Corp",V$14)))</f>
        <v>#NAME?</v>
      </c>
      <c r="W201" s="30" t="e">
        <f ca="1">IF($B201="","",IF($T201="VARIABLE",_xll.BDP($A201&amp;" Corp",W$13),_xll.BDP($A201&amp;" Corp",W$14)))</f>
        <v>#NAME?</v>
      </c>
      <c r="X201" s="30" t="e">
        <f ca="1">IF($B201="","",_xll.BDP($A201&amp;" Corp",X$14))</f>
        <v>#NAME?</v>
      </c>
      <c r="Y201" s="33" t="e">
        <f ca="1">IF($B201="","",_xll.BDP($A201&amp;" Corp",Y$14))</f>
        <v>#NAME?</v>
      </c>
      <c r="Z201" s="52" t="e">
        <f ca="1">IF($B201="","",_xll.BDP($A201&amp;" Corp",Z$14))</f>
        <v>#NAME?</v>
      </c>
      <c r="AA201" s="53" t="e">
        <f ca="1">IF($B201="","",_xll.BDP($A201&amp;" Corp",AA$14))</f>
        <v>#NAME?</v>
      </c>
      <c r="AB201" s="54" t="e">
        <f ca="1">IF($B201="","",_xll.BDP($A201&amp;" Corp",AB$14))</f>
        <v>#NAME?</v>
      </c>
      <c r="AC201" s="54" t="e">
        <f ca="1">IF($B201="","",_xll.BDP($A201&amp;" Corp",AC$14))</f>
        <v>#NAME?</v>
      </c>
      <c r="AD201" s="55" t="e">
        <f ca="1">IF($B201="","",_xll.BDP($A201&amp;" Corp",AD$14))</f>
        <v>#NAME?</v>
      </c>
      <c r="AE201" s="56" t="e">
        <f ca="1">IF($B201="","",_xll.BDP($A201&amp;" Corp",AE$14))</f>
        <v>#NAME?</v>
      </c>
      <c r="AF201" s="29" t="e">
        <f ca="1">IF($B201="","",_xll.BDP($A201&amp;" Corp",AF$14))</f>
        <v>#NAME?</v>
      </c>
      <c r="AG201" s="33" t="e">
        <f ca="1">IF($B201="","",_xll.BDP($A201&amp;" Corp",AG$14))</f>
        <v>#NAME?</v>
      </c>
      <c r="AH201" s="30" t="e">
        <f ca="1">IF($B201="","",_xll.BDP($A201&amp;" Corp",AH$14))</f>
        <v>#NAME?</v>
      </c>
      <c r="AI201" s="30" t="e">
        <f ca="1">IF($B201="","",_xll.BDP($A201&amp;" Corp",AI$14))</f>
        <v>#NAME?</v>
      </c>
      <c r="AJ201" s="30" t="e">
        <f ca="1">IF($B201="","",_xll.BDP($A201&amp;" Corp",AJ$14))</f>
        <v>#NAME?</v>
      </c>
      <c r="AK201" s="11" t="e">
        <f ca="1">IF($B201="","",_xll.BDP($A201&amp;" Corp",AK$14))</f>
        <v>#NAME?</v>
      </c>
      <c r="AL201" s="11" t="e">
        <f ca="1">IF($B201="","",_xll.BDP($A201&amp;" Corp",AL$14))</f>
        <v>#NAME?</v>
      </c>
      <c r="AM201" s="11" t="e">
        <f t="shared" ca="1" si="27"/>
        <v>#NAME?</v>
      </c>
      <c r="AN201" s="57" t="e">
        <f t="shared" ca="1" si="28"/>
        <v>#NAME?</v>
      </c>
    </row>
    <row r="202" spans="1:40" x14ac:dyDescent="0.3">
      <c r="A202" s="67" t="str">
        <f t="shared" si="22"/>
        <v>ES0000012L78</v>
      </c>
      <c r="B202" s="68" t="s">
        <v>769</v>
      </c>
      <c r="C202" s="75">
        <v>10634</v>
      </c>
      <c r="D202" s="75">
        <v>128</v>
      </c>
      <c r="E202" s="75">
        <v>3000000</v>
      </c>
      <c r="F202" s="69">
        <v>2.36540331</v>
      </c>
      <c r="G202" s="70">
        <v>3027870</v>
      </c>
      <c r="H202" s="67">
        <f t="shared" si="23"/>
        <v>3000000</v>
      </c>
      <c r="I202" s="67">
        <f t="shared" si="24"/>
        <v>2.36540331</v>
      </c>
      <c r="J202" s="67">
        <f t="shared" si="25"/>
        <v>3027870</v>
      </c>
      <c r="K202" s="71">
        <f t="shared" si="26"/>
        <v>100.929</v>
      </c>
      <c r="L202" s="29" t="e">
        <f ca="1">IF(B202="","",_xll.BDP(A202&amp;" Corp","INTERVAL_HIGH","START_DATE_OVERRIDE",TEXT($L$12,"AAAAMMDD"),"END_DATE_OVERRIDE",TEXT($L$13,"AAAAMMDD"),"MARKET_DATA_OVERRIDE",$L$14))</f>
        <v>#NAME?</v>
      </c>
      <c r="M202" s="30" t="e">
        <f ca="1">IF(B202="","",_xll.BDP($A202&amp;" Corp","INTERVAL_LOW","START_DATE_OVERRIDE",TEXT($L$12,"AAAAMMDD"),"END_DATE_OVERRIDE",TEXT($L$13,"AAAAMMDD"),"MARKET_DATA_OVERRIDE",$L$14))</f>
        <v>#NAME?</v>
      </c>
      <c r="N202" s="31" t="e">
        <f ca="1">IF($B202="","",_xll.BDP($A202&amp;" Corp",N$15))</f>
        <v>#NAME?</v>
      </c>
      <c r="O202" s="32" t="e">
        <f ca="1">IF($B202="","",_xll.BDP($A202&amp;" Corp",O$15))</f>
        <v>#NAME?</v>
      </c>
      <c r="P202" s="32" t="e">
        <f ca="1">IF($B202="","",_xll.BDP($A202&amp;" Corp",P$15))</f>
        <v>#NAME?</v>
      </c>
      <c r="Q202" s="30" t="e">
        <f ca="1">IF($B202="","",_xll.BDP($A202&amp;" Corp",Q$14))</f>
        <v>#NAME?</v>
      </c>
      <c r="R202" s="30" t="e">
        <f ca="1">IF($B202="","",_xll.BDP($A202&amp;" Corp",R$14))</f>
        <v>#NAME?</v>
      </c>
      <c r="S202" s="50" t="e">
        <f ca="1">IF($B202="","",_xll.BDP($A202&amp;" Corp",S$14))</f>
        <v>#NAME?</v>
      </c>
      <c r="T202" s="30" t="e">
        <f ca="1">IF($B202="","",_xll.BDP($A202&amp;" Corp",T$14))</f>
        <v>#NAME?</v>
      </c>
      <c r="U202" s="30" t="e">
        <f ca="1">IF($B202="","",_xll.BDP($A202&amp;" Corp",U$14))</f>
        <v>#NAME?</v>
      </c>
      <c r="V202" s="51" t="e">
        <f ca="1">IF($B202="","",IF($T202="VARIABLE",_xll.BDP($A202&amp;" Corp",V$13),_xll.BDP($A202&amp;" Corp",V$14)))</f>
        <v>#NAME?</v>
      </c>
      <c r="W202" s="30" t="e">
        <f ca="1">IF($B202="","",IF($T202="VARIABLE",_xll.BDP($A202&amp;" Corp",W$13),_xll.BDP($A202&amp;" Corp",W$14)))</f>
        <v>#NAME?</v>
      </c>
      <c r="X202" s="30" t="e">
        <f ca="1">IF($B202="","",_xll.BDP($A202&amp;" Corp",X$14))</f>
        <v>#NAME?</v>
      </c>
      <c r="Y202" s="33" t="e">
        <f ca="1">IF($B202="","",_xll.BDP($A202&amp;" Corp",Y$14))</f>
        <v>#NAME?</v>
      </c>
      <c r="Z202" s="52" t="e">
        <f ca="1">IF($B202="","",_xll.BDP($A202&amp;" Corp",Z$14))</f>
        <v>#NAME?</v>
      </c>
      <c r="AA202" s="53" t="e">
        <f ca="1">IF($B202="","",_xll.BDP($A202&amp;" Corp",AA$14))</f>
        <v>#NAME?</v>
      </c>
      <c r="AB202" s="54" t="e">
        <f ca="1">IF($B202="","",_xll.BDP($A202&amp;" Corp",AB$14))</f>
        <v>#NAME?</v>
      </c>
      <c r="AC202" s="54" t="e">
        <f ca="1">IF($B202="","",_xll.BDP($A202&amp;" Corp",AC$14))</f>
        <v>#NAME?</v>
      </c>
      <c r="AD202" s="55" t="e">
        <f ca="1">IF($B202="","",_xll.BDP($A202&amp;" Corp",AD$14))</f>
        <v>#NAME?</v>
      </c>
      <c r="AE202" s="56" t="e">
        <f ca="1">IF($B202="","",_xll.BDP($A202&amp;" Corp",AE$14))</f>
        <v>#NAME?</v>
      </c>
      <c r="AF202" s="29" t="e">
        <f ca="1">IF($B202="","",_xll.BDP($A202&amp;" Corp",AF$14))</f>
        <v>#NAME?</v>
      </c>
      <c r="AG202" s="33" t="e">
        <f ca="1">IF($B202="","",_xll.BDP($A202&amp;" Corp",AG$14))</f>
        <v>#NAME?</v>
      </c>
      <c r="AH202" s="30" t="e">
        <f ca="1">IF($B202="","",_xll.BDP($A202&amp;" Corp",AH$14))</f>
        <v>#NAME?</v>
      </c>
      <c r="AI202" s="30" t="e">
        <f ca="1">IF($B202="","",_xll.BDP($A202&amp;" Corp",AI$14))</f>
        <v>#NAME?</v>
      </c>
      <c r="AJ202" s="30" t="e">
        <f ca="1">IF($B202="","",_xll.BDP($A202&amp;" Corp",AJ$14))</f>
        <v>#NAME?</v>
      </c>
      <c r="AK202" s="11" t="e">
        <f ca="1">IF($B202="","",_xll.BDP($A202&amp;" Corp",AK$14))</f>
        <v>#NAME?</v>
      </c>
      <c r="AL202" s="11" t="e">
        <f ca="1">IF($B202="","",_xll.BDP($A202&amp;" Corp",AL$14))</f>
        <v>#NAME?</v>
      </c>
      <c r="AM202" s="11" t="e">
        <f t="shared" ca="1" si="27"/>
        <v>#NAME?</v>
      </c>
      <c r="AN202" s="57" t="e">
        <f t="shared" ca="1" si="28"/>
        <v>#NAME?</v>
      </c>
    </row>
    <row r="203" spans="1:40" x14ac:dyDescent="0.3">
      <c r="A203" s="67" t="str">
        <f t="shared" si="22"/>
        <v>US912828WE61</v>
      </c>
      <c r="B203" s="68" t="s">
        <v>771</v>
      </c>
      <c r="C203" s="75">
        <v>3626</v>
      </c>
      <c r="D203" s="75">
        <v>128</v>
      </c>
      <c r="E203" s="75">
        <v>1781261.13</v>
      </c>
      <c r="F203" s="69">
        <v>1.5545917499999999</v>
      </c>
      <c r="G203" s="70">
        <v>1983476.56</v>
      </c>
      <c r="H203" s="67">
        <f t="shared" si="23"/>
        <v>1781261.13</v>
      </c>
      <c r="I203" s="67">
        <f t="shared" si="24"/>
        <v>1.5545917499999999</v>
      </c>
      <c r="J203" s="67">
        <f t="shared" si="25"/>
        <v>1983476.56</v>
      </c>
      <c r="K203" s="71">
        <f t="shared" si="26"/>
        <v>111.35237425856815</v>
      </c>
      <c r="L203" s="29" t="e">
        <f ca="1">IF(B203="","",_xll.BDP(A203&amp;" Corp","INTERVAL_HIGH","START_DATE_OVERRIDE",TEXT($L$12,"AAAAMMDD"),"END_DATE_OVERRIDE",TEXT($L$13,"AAAAMMDD"),"MARKET_DATA_OVERRIDE",$L$14))</f>
        <v>#NAME?</v>
      </c>
      <c r="M203" s="30" t="e">
        <f ca="1">IF(B203="","",_xll.BDP($A203&amp;" Corp","INTERVAL_LOW","START_DATE_OVERRIDE",TEXT($L$12,"AAAAMMDD"),"END_DATE_OVERRIDE",TEXT($L$13,"AAAAMMDD"),"MARKET_DATA_OVERRIDE",$L$14))</f>
        <v>#NAME?</v>
      </c>
      <c r="N203" s="31" t="e">
        <f ca="1">IF($B203="","",_xll.BDP($A203&amp;" Corp",N$15))</f>
        <v>#NAME?</v>
      </c>
      <c r="O203" s="32" t="e">
        <f ca="1">IF($B203="","",_xll.BDP($A203&amp;" Corp",O$15))</f>
        <v>#NAME?</v>
      </c>
      <c r="P203" s="32" t="e">
        <f ca="1">IF($B203="","",_xll.BDP($A203&amp;" Corp",P$15))</f>
        <v>#NAME?</v>
      </c>
      <c r="Q203" s="30" t="e">
        <f ca="1">IF($B203="","",_xll.BDP($A203&amp;" Corp",Q$14))</f>
        <v>#NAME?</v>
      </c>
      <c r="R203" s="30" t="e">
        <f ca="1">IF($B203="","",_xll.BDP($A203&amp;" Corp",R$14))</f>
        <v>#NAME?</v>
      </c>
      <c r="S203" s="50" t="e">
        <f ca="1">IF($B203="","",_xll.BDP($A203&amp;" Corp",S$14))</f>
        <v>#NAME?</v>
      </c>
      <c r="T203" s="30" t="e">
        <f ca="1">IF($B203="","",_xll.BDP($A203&amp;" Corp",T$14))</f>
        <v>#NAME?</v>
      </c>
      <c r="U203" s="30" t="e">
        <f ca="1">IF($B203="","",_xll.BDP($A203&amp;" Corp",U$14))</f>
        <v>#NAME?</v>
      </c>
      <c r="V203" s="51" t="e">
        <f ca="1">IF($B203="","",IF($T203="VARIABLE",_xll.BDP($A203&amp;" Corp",V$13),_xll.BDP($A203&amp;" Corp",V$14)))</f>
        <v>#NAME?</v>
      </c>
      <c r="W203" s="30" t="e">
        <f ca="1">IF($B203="","",IF($T203="VARIABLE",_xll.BDP($A203&amp;" Corp",W$13),_xll.BDP($A203&amp;" Corp",W$14)))</f>
        <v>#NAME?</v>
      </c>
      <c r="X203" s="30" t="e">
        <f ca="1">IF($B203="","",_xll.BDP($A203&amp;" Corp",X$14))</f>
        <v>#NAME?</v>
      </c>
      <c r="Y203" s="33" t="e">
        <f ca="1">IF($B203="","",_xll.BDP($A203&amp;" Corp",Y$14))</f>
        <v>#NAME?</v>
      </c>
      <c r="Z203" s="52" t="e">
        <f ca="1">IF($B203="","",_xll.BDP($A203&amp;" Corp",Z$14))</f>
        <v>#NAME?</v>
      </c>
      <c r="AA203" s="53" t="e">
        <f ca="1">IF($B203="","",_xll.BDP($A203&amp;" Corp",AA$14))</f>
        <v>#NAME?</v>
      </c>
      <c r="AB203" s="54" t="e">
        <f ca="1">IF($B203="","",_xll.BDP($A203&amp;" Corp",AB$14))</f>
        <v>#NAME?</v>
      </c>
      <c r="AC203" s="54" t="e">
        <f ca="1">IF($B203="","",_xll.BDP($A203&amp;" Corp",AC$14))</f>
        <v>#NAME?</v>
      </c>
      <c r="AD203" s="55" t="e">
        <f ca="1">IF($B203="","",_xll.BDP($A203&amp;" Corp",AD$14))</f>
        <v>#NAME?</v>
      </c>
      <c r="AE203" s="56" t="e">
        <f ca="1">IF($B203="","",_xll.BDP($A203&amp;" Corp",AE$14))</f>
        <v>#NAME?</v>
      </c>
      <c r="AF203" s="29" t="e">
        <f ca="1">IF($B203="","",_xll.BDP($A203&amp;" Corp",AF$14))</f>
        <v>#NAME?</v>
      </c>
      <c r="AG203" s="33" t="e">
        <f ca="1">IF($B203="","",_xll.BDP($A203&amp;" Corp",AG$14))</f>
        <v>#NAME?</v>
      </c>
      <c r="AH203" s="30" t="e">
        <f ca="1">IF($B203="","",_xll.BDP($A203&amp;" Corp",AH$14))</f>
        <v>#NAME?</v>
      </c>
      <c r="AI203" s="30" t="e">
        <f ca="1">IF($B203="","",_xll.BDP($A203&amp;" Corp",AI$14))</f>
        <v>#NAME?</v>
      </c>
      <c r="AJ203" s="30" t="e">
        <f ca="1">IF($B203="","",_xll.BDP($A203&amp;" Corp",AJ$14))</f>
        <v>#NAME?</v>
      </c>
      <c r="AK203" s="11" t="e">
        <f ca="1">IF($B203="","",_xll.BDP($A203&amp;" Corp",AK$14))</f>
        <v>#NAME?</v>
      </c>
      <c r="AL203" s="11" t="e">
        <f ca="1">IF($B203="","",_xll.BDP($A203&amp;" Corp",AL$14))</f>
        <v>#NAME?</v>
      </c>
      <c r="AM203" s="11" t="e">
        <f t="shared" ca="1" si="27"/>
        <v>#NAME?</v>
      </c>
      <c r="AN203" s="57" t="e">
        <f t="shared" ca="1" si="28"/>
        <v>#NAME?</v>
      </c>
    </row>
    <row r="204" spans="1:40" x14ac:dyDescent="0.3">
      <c r="A204" s="67" t="str">
        <f t="shared" si="22"/>
        <v>US91282CHR51</v>
      </c>
      <c r="B204" s="68" t="s">
        <v>773</v>
      </c>
      <c r="C204" s="75">
        <v>10735</v>
      </c>
      <c r="D204" s="75">
        <v>128</v>
      </c>
      <c r="E204" s="75">
        <v>1287593.1200000001</v>
      </c>
      <c r="F204" s="69">
        <v>1.0415807399999999</v>
      </c>
      <c r="G204" s="70">
        <v>1371125</v>
      </c>
      <c r="H204" s="67">
        <f t="shared" si="23"/>
        <v>1287593.1200000001</v>
      </c>
      <c r="I204" s="67">
        <f t="shared" si="24"/>
        <v>1.0415807399999999</v>
      </c>
      <c r="J204" s="67">
        <f t="shared" si="25"/>
        <v>1371125</v>
      </c>
      <c r="K204" s="71">
        <f t="shared" si="26"/>
        <v>106.48744379746296</v>
      </c>
      <c r="L204" s="29" t="e">
        <f ca="1">IF(B204="","",_xll.BDP(A204&amp;" Corp","INTERVAL_HIGH","START_DATE_OVERRIDE",TEXT($L$12,"AAAAMMDD"),"END_DATE_OVERRIDE",TEXT($L$13,"AAAAMMDD"),"MARKET_DATA_OVERRIDE",$L$14))</f>
        <v>#NAME?</v>
      </c>
      <c r="M204" s="30" t="e">
        <f ca="1">IF(B204="","",_xll.BDP($A204&amp;" Corp","INTERVAL_LOW","START_DATE_OVERRIDE",TEXT($L$12,"AAAAMMDD"),"END_DATE_OVERRIDE",TEXT($L$13,"AAAAMMDD"),"MARKET_DATA_OVERRIDE",$L$14))</f>
        <v>#NAME?</v>
      </c>
      <c r="N204" s="31" t="e">
        <f ca="1">IF($B204="","",_xll.BDP($A204&amp;" Corp",N$15))</f>
        <v>#NAME?</v>
      </c>
      <c r="O204" s="32" t="e">
        <f ca="1">IF($B204="","",_xll.BDP($A204&amp;" Corp",O$15))</f>
        <v>#NAME?</v>
      </c>
      <c r="P204" s="32" t="e">
        <f ca="1">IF($B204="","",_xll.BDP($A204&amp;" Corp",P$15))</f>
        <v>#NAME?</v>
      </c>
      <c r="Q204" s="30" t="e">
        <f ca="1">IF($B204="","",_xll.BDP($A204&amp;" Corp",Q$14))</f>
        <v>#NAME?</v>
      </c>
      <c r="R204" s="30" t="e">
        <f ca="1">IF($B204="","",_xll.BDP($A204&amp;" Corp",R$14))</f>
        <v>#NAME?</v>
      </c>
      <c r="S204" s="50" t="e">
        <f ca="1">IF($B204="","",_xll.BDP($A204&amp;" Corp",S$14))</f>
        <v>#NAME?</v>
      </c>
      <c r="T204" s="30" t="e">
        <f ca="1">IF($B204="","",_xll.BDP($A204&amp;" Corp",T$14))</f>
        <v>#NAME?</v>
      </c>
      <c r="U204" s="30" t="e">
        <f ca="1">IF($B204="","",_xll.BDP($A204&amp;" Corp",U$14))</f>
        <v>#NAME?</v>
      </c>
      <c r="V204" s="51" t="e">
        <f ca="1">IF($B204="","",IF($T204="VARIABLE",_xll.BDP($A204&amp;" Corp",V$13),_xll.BDP($A204&amp;" Corp",V$14)))</f>
        <v>#NAME?</v>
      </c>
      <c r="W204" s="30" t="e">
        <f ca="1">IF($B204="","",IF($T204="VARIABLE",_xll.BDP($A204&amp;" Corp",W$13),_xll.BDP($A204&amp;" Corp",W$14)))</f>
        <v>#NAME?</v>
      </c>
      <c r="X204" s="30" t="e">
        <f ca="1">IF($B204="","",_xll.BDP($A204&amp;" Corp",X$14))</f>
        <v>#NAME?</v>
      </c>
      <c r="Y204" s="33" t="e">
        <f ca="1">IF($B204="","",_xll.BDP($A204&amp;" Corp",Y$14))</f>
        <v>#NAME?</v>
      </c>
      <c r="Z204" s="52" t="e">
        <f ca="1">IF($B204="","",_xll.BDP($A204&amp;" Corp",Z$14))</f>
        <v>#NAME?</v>
      </c>
      <c r="AA204" s="53" t="e">
        <f ca="1">IF($B204="","",_xll.BDP($A204&amp;" Corp",AA$14))</f>
        <v>#NAME?</v>
      </c>
      <c r="AB204" s="54" t="e">
        <f ca="1">IF($B204="","",_xll.BDP($A204&amp;" Corp",AB$14))</f>
        <v>#NAME?</v>
      </c>
      <c r="AC204" s="54" t="e">
        <f ca="1">IF($B204="","",_xll.BDP($A204&amp;" Corp",AC$14))</f>
        <v>#NAME?</v>
      </c>
      <c r="AD204" s="55" t="e">
        <f ca="1">IF($B204="","",_xll.BDP($A204&amp;" Corp",AD$14))</f>
        <v>#NAME?</v>
      </c>
      <c r="AE204" s="56" t="e">
        <f ca="1">IF($B204="","",_xll.BDP($A204&amp;" Corp",AE$14))</f>
        <v>#NAME?</v>
      </c>
      <c r="AF204" s="29" t="e">
        <f ca="1">IF($B204="","",_xll.BDP($A204&amp;" Corp",AF$14))</f>
        <v>#NAME?</v>
      </c>
      <c r="AG204" s="33" t="e">
        <f ca="1">IF($B204="","",_xll.BDP($A204&amp;" Corp",AG$14))</f>
        <v>#NAME?</v>
      </c>
      <c r="AH204" s="30" t="e">
        <f ca="1">IF($B204="","",_xll.BDP($A204&amp;" Corp",AH$14))</f>
        <v>#NAME?</v>
      </c>
      <c r="AI204" s="30" t="e">
        <f ca="1">IF($B204="","",_xll.BDP($A204&amp;" Corp",AI$14))</f>
        <v>#NAME?</v>
      </c>
      <c r="AJ204" s="30" t="e">
        <f ca="1">IF($B204="","",_xll.BDP($A204&amp;" Corp",AJ$14))</f>
        <v>#NAME?</v>
      </c>
      <c r="AK204" s="11" t="e">
        <f ca="1">IF($B204="","",_xll.BDP($A204&amp;" Corp",AK$14))</f>
        <v>#NAME?</v>
      </c>
      <c r="AL204" s="11" t="e">
        <f ca="1">IF($B204="","",_xll.BDP($A204&amp;" Corp",AL$14))</f>
        <v>#NAME?</v>
      </c>
      <c r="AM204" s="11" t="e">
        <f t="shared" ca="1" si="27"/>
        <v>#NAME?</v>
      </c>
      <c r="AN204" s="57" t="e">
        <f t="shared" ca="1" si="28"/>
        <v>#NAME?</v>
      </c>
    </row>
    <row r="205" spans="1:40" x14ac:dyDescent="0.3">
      <c r="A205" s="67" t="str">
        <f t="shared" si="22"/>
        <v>DE000BU0E048</v>
      </c>
      <c r="B205" s="68" t="s">
        <v>956</v>
      </c>
      <c r="C205" s="75">
        <v>10772</v>
      </c>
      <c r="D205" s="75">
        <v>128</v>
      </c>
      <c r="E205" s="75">
        <v>1000000</v>
      </c>
      <c r="F205" s="69">
        <v>0.79150461000000005</v>
      </c>
      <c r="G205" s="70">
        <v>978390</v>
      </c>
      <c r="H205" s="67">
        <f t="shared" si="23"/>
        <v>1000000</v>
      </c>
      <c r="I205" s="67">
        <f t="shared" si="24"/>
        <v>0.79150461000000005</v>
      </c>
      <c r="J205" s="67">
        <f t="shared" si="25"/>
        <v>978390</v>
      </c>
      <c r="K205" s="71">
        <f t="shared" si="26"/>
        <v>97.838999999999999</v>
      </c>
      <c r="L205" s="29" t="e">
        <f ca="1">IF(B205="","",_xll.BDP(A205&amp;" Corp","INTERVAL_HIGH","START_DATE_OVERRIDE",TEXT($L$12,"AAAAMMDD"),"END_DATE_OVERRIDE",TEXT($L$13,"AAAAMMDD"),"MARKET_DATA_OVERRIDE",$L$14))</f>
        <v>#NAME?</v>
      </c>
      <c r="M205" s="30" t="e">
        <f ca="1">IF(B205="","",_xll.BDP($A205&amp;" Corp","INTERVAL_LOW","START_DATE_OVERRIDE",TEXT($L$12,"AAAAMMDD"),"END_DATE_OVERRIDE",TEXT($L$13,"AAAAMMDD"),"MARKET_DATA_OVERRIDE",$L$14))</f>
        <v>#NAME?</v>
      </c>
      <c r="N205" s="31" t="e">
        <f ca="1">IF($B205="","",_xll.BDP($A205&amp;" Corp",N$15))</f>
        <v>#NAME?</v>
      </c>
      <c r="O205" s="32" t="e">
        <f ca="1">IF($B205="","",_xll.BDP($A205&amp;" Corp",O$15))</f>
        <v>#NAME?</v>
      </c>
      <c r="P205" s="32" t="e">
        <f ca="1">IF($B205="","",_xll.BDP($A205&amp;" Corp",P$15))</f>
        <v>#NAME?</v>
      </c>
      <c r="Q205" s="30" t="e">
        <f ca="1">IF($B205="","",_xll.BDP($A205&amp;" Corp",Q$14))</f>
        <v>#NAME?</v>
      </c>
      <c r="R205" s="30" t="e">
        <f ca="1">IF($B205="","",_xll.BDP($A205&amp;" Corp",R$14))</f>
        <v>#NAME?</v>
      </c>
      <c r="S205" s="50" t="e">
        <f ca="1">IF($B205="","",_xll.BDP($A205&amp;" Corp",S$14))</f>
        <v>#NAME?</v>
      </c>
      <c r="T205" s="30" t="e">
        <f ca="1">IF($B205="","",_xll.BDP($A205&amp;" Corp",T$14))</f>
        <v>#NAME?</v>
      </c>
      <c r="U205" s="30" t="e">
        <f ca="1">IF($B205="","",_xll.BDP($A205&amp;" Corp",U$14))</f>
        <v>#NAME?</v>
      </c>
      <c r="V205" s="51" t="e">
        <f ca="1">IF($B205="","",IF($T205="VARIABLE",_xll.BDP($A205&amp;" Corp",V$13),_xll.BDP($A205&amp;" Corp",V$14)))</f>
        <v>#NAME?</v>
      </c>
      <c r="W205" s="30" t="e">
        <f ca="1">IF($B205="","",IF($T205="VARIABLE",_xll.BDP($A205&amp;" Corp",W$13),_xll.BDP($A205&amp;" Corp",W$14)))</f>
        <v>#NAME?</v>
      </c>
      <c r="X205" s="30" t="e">
        <f ca="1">IF($B205="","",_xll.BDP($A205&amp;" Corp",X$14))</f>
        <v>#NAME?</v>
      </c>
      <c r="Y205" s="33" t="e">
        <f ca="1">IF($B205="","",_xll.BDP($A205&amp;" Corp",Y$14))</f>
        <v>#NAME?</v>
      </c>
      <c r="Z205" s="52" t="e">
        <f ca="1">IF($B205="","",_xll.BDP($A205&amp;" Corp",Z$14))</f>
        <v>#NAME?</v>
      </c>
      <c r="AA205" s="53" t="e">
        <f ca="1">IF($B205="","",_xll.BDP($A205&amp;" Corp",AA$14))</f>
        <v>#NAME?</v>
      </c>
      <c r="AB205" s="54" t="e">
        <f ca="1">IF($B205="","",_xll.BDP($A205&amp;" Corp",AB$14))</f>
        <v>#NAME?</v>
      </c>
      <c r="AC205" s="54" t="e">
        <f ca="1">IF($B205="","",_xll.BDP($A205&amp;" Corp",AC$14))</f>
        <v>#NAME?</v>
      </c>
      <c r="AD205" s="55" t="e">
        <f ca="1">IF($B205="","",_xll.BDP($A205&amp;" Corp",AD$14))</f>
        <v>#NAME?</v>
      </c>
      <c r="AE205" s="56" t="e">
        <f ca="1">IF($B205="","",_xll.BDP($A205&amp;" Corp",AE$14))</f>
        <v>#NAME?</v>
      </c>
      <c r="AF205" s="29" t="e">
        <f ca="1">IF($B205="","",_xll.BDP($A205&amp;" Corp",AF$14))</f>
        <v>#NAME?</v>
      </c>
      <c r="AG205" s="33" t="e">
        <f ca="1">IF($B205="","",_xll.BDP($A205&amp;" Corp",AG$14))</f>
        <v>#NAME?</v>
      </c>
      <c r="AH205" s="30" t="e">
        <f ca="1">IF($B205="","",_xll.BDP($A205&amp;" Corp",AH$14))</f>
        <v>#NAME?</v>
      </c>
      <c r="AI205" s="30" t="e">
        <f ca="1">IF($B205="","",_xll.BDP($A205&amp;" Corp",AI$14))</f>
        <v>#NAME?</v>
      </c>
      <c r="AJ205" s="30" t="e">
        <f ca="1">IF($B205="","",_xll.BDP($A205&amp;" Corp",AJ$14))</f>
        <v>#NAME?</v>
      </c>
      <c r="AK205" s="11" t="e">
        <f ca="1">IF($B205="","",_xll.BDP($A205&amp;" Corp",AK$14))</f>
        <v>#NAME?</v>
      </c>
      <c r="AL205" s="11" t="e">
        <f ca="1">IF($B205="","",_xll.BDP($A205&amp;" Corp",AL$14))</f>
        <v>#NAME?</v>
      </c>
      <c r="AM205" s="11" t="e">
        <f t="shared" ca="1" si="27"/>
        <v>#NAME?</v>
      </c>
      <c r="AN205" s="57" t="e">
        <f t="shared" ca="1" si="28"/>
        <v>#NAME?</v>
      </c>
    </row>
    <row r="206" spans="1:40" x14ac:dyDescent="0.3">
      <c r="A206" s="67" t="str">
        <f t="shared" si="22"/>
        <v>US91282CEK36</v>
      </c>
      <c r="B206" s="68" t="s">
        <v>958</v>
      </c>
      <c r="C206" s="75">
        <v>10724</v>
      </c>
      <c r="D206" s="75">
        <v>128</v>
      </c>
      <c r="E206" s="75">
        <v>934579.44</v>
      </c>
      <c r="F206" s="69">
        <v>0.76563300999999995</v>
      </c>
      <c r="G206" s="70">
        <v>984062.5</v>
      </c>
      <c r="H206" s="67">
        <f t="shared" si="23"/>
        <v>934579.44</v>
      </c>
      <c r="I206" s="67">
        <f t="shared" si="24"/>
        <v>0.76563300999999995</v>
      </c>
      <c r="J206" s="67">
        <f t="shared" si="25"/>
        <v>984062.5</v>
      </c>
      <c r="K206" s="71">
        <f t="shared" si="26"/>
        <v>105.29468741576426</v>
      </c>
      <c r="L206" s="29" t="e">
        <f ca="1">IF(B206="","",_xll.BDP(A206&amp;" Corp","INTERVAL_HIGH","START_DATE_OVERRIDE",TEXT($L$12,"AAAAMMDD"),"END_DATE_OVERRIDE",TEXT($L$13,"AAAAMMDD"),"MARKET_DATA_OVERRIDE",$L$14))</f>
        <v>#NAME?</v>
      </c>
      <c r="M206" s="30" t="e">
        <f ca="1">IF(B206="","",_xll.BDP($A206&amp;" Corp","INTERVAL_LOW","START_DATE_OVERRIDE",TEXT($L$12,"AAAAMMDD"),"END_DATE_OVERRIDE",TEXT($L$13,"AAAAMMDD"),"MARKET_DATA_OVERRIDE",$L$14))</f>
        <v>#NAME?</v>
      </c>
      <c r="N206" s="31" t="e">
        <f ca="1">IF($B206="","",_xll.BDP($A206&amp;" Corp",N$15))</f>
        <v>#NAME?</v>
      </c>
      <c r="O206" s="32" t="e">
        <f ca="1">IF($B206="","",_xll.BDP($A206&amp;" Corp",O$15))</f>
        <v>#NAME?</v>
      </c>
      <c r="P206" s="32" t="e">
        <f ca="1">IF($B206="","",_xll.BDP($A206&amp;" Corp",P$15))</f>
        <v>#NAME?</v>
      </c>
      <c r="Q206" s="30" t="e">
        <f ca="1">IF($B206="","",_xll.BDP($A206&amp;" Corp",Q$14))</f>
        <v>#NAME?</v>
      </c>
      <c r="R206" s="30" t="e">
        <f ca="1">IF($B206="","",_xll.BDP($A206&amp;" Corp",R$14))</f>
        <v>#NAME?</v>
      </c>
      <c r="S206" s="50" t="e">
        <f ca="1">IF($B206="","",_xll.BDP($A206&amp;" Corp",S$14))</f>
        <v>#NAME?</v>
      </c>
      <c r="T206" s="30" t="e">
        <f ca="1">IF($B206="","",_xll.BDP($A206&amp;" Corp",T$14))</f>
        <v>#NAME?</v>
      </c>
      <c r="U206" s="30" t="e">
        <f ca="1">IF($B206="","",_xll.BDP($A206&amp;" Corp",U$14))</f>
        <v>#NAME?</v>
      </c>
      <c r="V206" s="51" t="e">
        <f ca="1">IF($B206="","",IF($T206="VARIABLE",_xll.BDP($A206&amp;" Corp",V$13),_xll.BDP($A206&amp;" Corp",V$14)))</f>
        <v>#NAME?</v>
      </c>
      <c r="W206" s="30" t="e">
        <f ca="1">IF($B206="","",IF($T206="VARIABLE",_xll.BDP($A206&amp;" Corp",W$13),_xll.BDP($A206&amp;" Corp",W$14)))</f>
        <v>#NAME?</v>
      </c>
      <c r="X206" s="30" t="e">
        <f ca="1">IF($B206="","",_xll.BDP($A206&amp;" Corp",X$14))</f>
        <v>#NAME?</v>
      </c>
      <c r="Y206" s="33" t="e">
        <f ca="1">IF($B206="","",_xll.BDP($A206&amp;" Corp",Y$14))</f>
        <v>#NAME?</v>
      </c>
      <c r="Z206" s="52" t="e">
        <f ca="1">IF($B206="","",_xll.BDP($A206&amp;" Corp",Z$14))</f>
        <v>#NAME?</v>
      </c>
      <c r="AA206" s="53" t="e">
        <f ca="1">IF($B206="","",_xll.BDP($A206&amp;" Corp",AA$14))</f>
        <v>#NAME?</v>
      </c>
      <c r="AB206" s="54" t="e">
        <f ca="1">IF($B206="","",_xll.BDP($A206&amp;" Corp",AB$14))</f>
        <v>#NAME?</v>
      </c>
      <c r="AC206" s="54" t="e">
        <f ca="1">IF($B206="","",_xll.BDP($A206&amp;" Corp",AC$14))</f>
        <v>#NAME?</v>
      </c>
      <c r="AD206" s="55" t="e">
        <f ca="1">IF($B206="","",_xll.BDP($A206&amp;" Corp",AD$14))</f>
        <v>#NAME?</v>
      </c>
      <c r="AE206" s="56" t="e">
        <f ca="1">IF($B206="","",_xll.BDP($A206&amp;" Corp",AE$14))</f>
        <v>#NAME?</v>
      </c>
      <c r="AF206" s="29" t="e">
        <f ca="1">IF($B206="","",_xll.BDP($A206&amp;" Corp",AF$14))</f>
        <v>#NAME?</v>
      </c>
      <c r="AG206" s="33" t="e">
        <f ca="1">IF($B206="","",_xll.BDP($A206&amp;" Corp",AG$14))</f>
        <v>#NAME?</v>
      </c>
      <c r="AH206" s="30" t="e">
        <f ca="1">IF($B206="","",_xll.BDP($A206&amp;" Corp",AH$14))</f>
        <v>#NAME?</v>
      </c>
      <c r="AI206" s="30" t="e">
        <f ca="1">IF($B206="","",_xll.BDP($A206&amp;" Corp",AI$14))</f>
        <v>#NAME?</v>
      </c>
      <c r="AJ206" s="30" t="e">
        <f ca="1">IF($B206="","",_xll.BDP($A206&amp;" Corp",AJ$14))</f>
        <v>#NAME?</v>
      </c>
      <c r="AK206" s="11" t="e">
        <f ca="1">IF($B206="","",_xll.BDP($A206&amp;" Corp",AK$14))</f>
        <v>#NAME?</v>
      </c>
      <c r="AL206" s="11" t="e">
        <f ca="1">IF($B206="","",_xll.BDP($A206&amp;" Corp",AL$14))</f>
        <v>#NAME?</v>
      </c>
      <c r="AM206" s="11" t="e">
        <f t="shared" ca="1" si="27"/>
        <v>#NAME?</v>
      </c>
      <c r="AN206" s="57" t="e">
        <f t="shared" ca="1" si="28"/>
        <v>#NAME?</v>
      </c>
    </row>
    <row r="207" spans="1:40" x14ac:dyDescent="0.3">
      <c r="A207" s="67" t="str">
        <f t="shared" si="22"/>
        <v>PTBCP2OM0058</v>
      </c>
      <c r="B207" s="68" t="s">
        <v>964</v>
      </c>
      <c r="C207" s="75">
        <v>10788</v>
      </c>
      <c r="D207" s="75">
        <v>128</v>
      </c>
      <c r="E207" s="75">
        <v>299475</v>
      </c>
      <c r="F207" s="69">
        <v>0</v>
      </c>
      <c r="G207" s="70">
        <v>299475</v>
      </c>
      <c r="H207" s="67">
        <f t="shared" si="23"/>
        <v>299475</v>
      </c>
      <c r="I207" s="67">
        <f t="shared" si="24"/>
        <v>0</v>
      </c>
      <c r="J207" s="67">
        <f t="shared" si="25"/>
        <v>299475</v>
      </c>
      <c r="K207" s="71">
        <f t="shared" si="26"/>
        <v>100</v>
      </c>
      <c r="L207" s="29" t="e">
        <f ca="1">IF(B207="","",_xll.BDP(A207&amp;" Corp","INTERVAL_HIGH","START_DATE_OVERRIDE",TEXT($L$12,"AAAAMMDD"),"END_DATE_OVERRIDE",TEXT($L$13,"AAAAMMDD"),"MARKET_DATA_OVERRIDE",$L$14))</f>
        <v>#NAME?</v>
      </c>
      <c r="M207" s="30" t="e">
        <f ca="1">IF(B207="","",_xll.BDP($A207&amp;" Corp","INTERVAL_LOW","START_DATE_OVERRIDE",TEXT($L$12,"AAAAMMDD"),"END_DATE_OVERRIDE",TEXT($L$13,"AAAAMMDD"),"MARKET_DATA_OVERRIDE",$L$14))</f>
        <v>#NAME?</v>
      </c>
      <c r="N207" s="31" t="e">
        <f ca="1">IF($B207="","",_xll.BDP($A207&amp;" Corp",N$15))</f>
        <v>#NAME?</v>
      </c>
      <c r="O207" s="32" t="e">
        <f ca="1">IF($B207="","",_xll.BDP($A207&amp;" Corp",O$15))</f>
        <v>#NAME?</v>
      </c>
      <c r="P207" s="32" t="e">
        <f ca="1">IF($B207="","",_xll.BDP($A207&amp;" Corp",P$15))</f>
        <v>#NAME?</v>
      </c>
      <c r="Q207" s="30" t="e">
        <f ca="1">IF($B207="","",_xll.BDP($A207&amp;" Corp",Q$14))</f>
        <v>#NAME?</v>
      </c>
      <c r="R207" s="30" t="e">
        <f ca="1">IF($B207="","",_xll.BDP($A207&amp;" Corp",R$14))</f>
        <v>#NAME?</v>
      </c>
      <c r="S207" s="50" t="e">
        <f ca="1">IF($B207="","",_xll.BDP($A207&amp;" Corp",S$14))</f>
        <v>#NAME?</v>
      </c>
      <c r="T207" s="30" t="e">
        <f ca="1">IF($B207="","",_xll.BDP($A207&amp;" Corp",T$14))</f>
        <v>#NAME?</v>
      </c>
      <c r="U207" s="30" t="e">
        <f ca="1">IF($B207="","",_xll.BDP($A207&amp;" Corp",U$14))</f>
        <v>#NAME?</v>
      </c>
      <c r="V207" s="51" t="e">
        <f ca="1">IF($B207="","",IF($T207="VARIABLE",_xll.BDP($A207&amp;" Corp",V$13),_xll.BDP($A207&amp;" Corp",V$14)))</f>
        <v>#NAME?</v>
      </c>
      <c r="W207" s="30" t="e">
        <f ca="1">IF($B207="","",IF($T207="VARIABLE",_xll.BDP($A207&amp;" Corp",W$13),_xll.BDP($A207&amp;" Corp",W$14)))</f>
        <v>#NAME?</v>
      </c>
      <c r="X207" s="30" t="e">
        <f ca="1">IF($B207="","",_xll.BDP($A207&amp;" Corp",X$14))</f>
        <v>#NAME?</v>
      </c>
      <c r="Y207" s="33" t="e">
        <f ca="1">IF($B207="","",_xll.BDP($A207&amp;" Corp",Y$14))</f>
        <v>#NAME?</v>
      </c>
      <c r="Z207" s="52" t="e">
        <f ca="1">IF($B207="","",_xll.BDP($A207&amp;" Corp",Z$14))</f>
        <v>#NAME?</v>
      </c>
      <c r="AA207" s="53" t="e">
        <f ca="1">IF($B207="","",_xll.BDP($A207&amp;" Corp",AA$14))</f>
        <v>#NAME?</v>
      </c>
      <c r="AB207" s="54" t="e">
        <f ca="1">IF($B207="","",_xll.BDP($A207&amp;" Corp",AB$14))</f>
        <v>#NAME?</v>
      </c>
      <c r="AC207" s="54" t="e">
        <f ca="1">IF($B207="","",_xll.BDP($A207&amp;" Corp",AC$14))</f>
        <v>#NAME?</v>
      </c>
      <c r="AD207" s="55" t="e">
        <f ca="1">IF($B207="","",_xll.BDP($A207&amp;" Corp",AD$14))</f>
        <v>#NAME?</v>
      </c>
      <c r="AE207" s="56" t="e">
        <f ca="1">IF($B207="","",_xll.BDP($A207&amp;" Corp",AE$14))</f>
        <v>#NAME?</v>
      </c>
      <c r="AF207" s="29" t="e">
        <f ca="1">IF($B207="","",_xll.BDP($A207&amp;" Corp",AF$14))</f>
        <v>#NAME?</v>
      </c>
      <c r="AG207" s="33" t="e">
        <f ca="1">IF($B207="","",_xll.BDP($A207&amp;" Corp",AG$14))</f>
        <v>#NAME?</v>
      </c>
      <c r="AH207" s="30" t="e">
        <f ca="1">IF($B207="","",_xll.BDP($A207&amp;" Corp",AH$14))</f>
        <v>#NAME?</v>
      </c>
      <c r="AI207" s="30" t="e">
        <f ca="1">IF($B207="","",_xll.BDP($A207&amp;" Corp",AI$14))</f>
        <v>#NAME?</v>
      </c>
      <c r="AJ207" s="30" t="e">
        <f ca="1">IF($B207="","",_xll.BDP($A207&amp;" Corp",AJ$14))</f>
        <v>#NAME?</v>
      </c>
      <c r="AK207" s="11" t="e">
        <f ca="1">IF($B207="","",_xll.BDP($A207&amp;" Corp",AK$14))</f>
        <v>#NAME?</v>
      </c>
      <c r="AL207" s="11" t="e">
        <f ca="1">IF($B207="","",_xll.BDP($A207&amp;" Corp",AL$14))</f>
        <v>#NAME?</v>
      </c>
      <c r="AM207" s="11" t="e">
        <f t="shared" ca="1" si="27"/>
        <v>#NAME?</v>
      </c>
      <c r="AN207" s="57" t="e">
        <f t="shared" ca="1" si="28"/>
        <v>#NAME?</v>
      </c>
    </row>
    <row r="208" spans="1:40" x14ac:dyDescent="0.3">
      <c r="A208" s="67" t="str">
        <f t="shared" si="22"/>
        <v>XS2104967695</v>
      </c>
      <c r="B208" s="68" t="s">
        <v>973</v>
      </c>
      <c r="C208" s="75">
        <v>10632</v>
      </c>
      <c r="D208" s="75">
        <v>128</v>
      </c>
      <c r="E208" s="75">
        <v>1000000</v>
      </c>
      <c r="F208" s="69">
        <v>0</v>
      </c>
      <c r="G208" s="70">
        <v>0</v>
      </c>
      <c r="H208" s="67">
        <f t="shared" si="23"/>
        <v>1000000</v>
      </c>
      <c r="I208" s="67">
        <f t="shared" si="24"/>
        <v>0</v>
      </c>
      <c r="J208" s="67">
        <f t="shared" si="25"/>
        <v>0</v>
      </c>
      <c r="K208" s="71">
        <f t="shared" si="26"/>
        <v>0</v>
      </c>
      <c r="L208" s="29" t="e">
        <f ca="1">IF(B208="","",_xll.BDP(A208&amp;" Corp","INTERVAL_HIGH","START_DATE_OVERRIDE",TEXT($L$12,"AAAAMMDD"),"END_DATE_OVERRIDE",TEXT($L$13,"AAAAMMDD"),"MARKET_DATA_OVERRIDE",$L$14))</f>
        <v>#NAME?</v>
      </c>
      <c r="M208" s="30" t="e">
        <f ca="1">IF(B208="","",_xll.BDP($A208&amp;" Corp","INTERVAL_LOW","START_DATE_OVERRIDE",TEXT($L$12,"AAAAMMDD"),"END_DATE_OVERRIDE",TEXT($L$13,"AAAAMMDD"),"MARKET_DATA_OVERRIDE",$L$14))</f>
        <v>#NAME?</v>
      </c>
      <c r="N208" s="31" t="e">
        <f ca="1">IF($B208="","",_xll.BDP($A208&amp;" Corp",N$15))</f>
        <v>#NAME?</v>
      </c>
      <c r="O208" s="32" t="e">
        <f ca="1">IF($B208="","",_xll.BDP($A208&amp;" Corp",O$15))</f>
        <v>#NAME?</v>
      </c>
      <c r="P208" s="32" t="e">
        <f ca="1">IF($B208="","",_xll.BDP($A208&amp;" Corp",P$15))</f>
        <v>#NAME?</v>
      </c>
      <c r="Q208" s="30" t="e">
        <f ca="1">IF($B208="","",_xll.BDP($A208&amp;" Corp",Q$14))</f>
        <v>#NAME?</v>
      </c>
      <c r="R208" s="30" t="e">
        <f ca="1">IF($B208="","",_xll.BDP($A208&amp;" Corp",R$14))</f>
        <v>#NAME?</v>
      </c>
      <c r="S208" s="50" t="e">
        <f ca="1">IF($B208="","",_xll.BDP($A208&amp;" Corp",S$14))</f>
        <v>#NAME?</v>
      </c>
      <c r="T208" s="30" t="e">
        <f ca="1">IF($B208="","",_xll.BDP($A208&amp;" Corp",T$14))</f>
        <v>#NAME?</v>
      </c>
      <c r="U208" s="30" t="e">
        <f ca="1">IF($B208="","",_xll.BDP($A208&amp;" Corp",U$14))</f>
        <v>#NAME?</v>
      </c>
      <c r="V208" s="51" t="e">
        <f ca="1">IF($B208="","",IF($T208="VARIABLE",_xll.BDP($A208&amp;" Corp",V$13),_xll.BDP($A208&amp;" Corp",V$14)))</f>
        <v>#NAME?</v>
      </c>
      <c r="W208" s="30" t="e">
        <f ca="1">IF($B208="","",IF($T208="VARIABLE",_xll.BDP($A208&amp;" Corp",W$13),_xll.BDP($A208&amp;" Corp",W$14)))</f>
        <v>#NAME?</v>
      </c>
      <c r="X208" s="30" t="e">
        <f ca="1">IF($B208="","",_xll.BDP($A208&amp;" Corp",X$14))</f>
        <v>#NAME?</v>
      </c>
      <c r="Y208" s="33" t="e">
        <f ca="1">IF($B208="","",_xll.BDP($A208&amp;" Corp",Y$14))</f>
        <v>#NAME?</v>
      </c>
      <c r="Z208" s="52" t="e">
        <f ca="1">IF($B208="","",_xll.BDP($A208&amp;" Corp",Z$14))</f>
        <v>#NAME?</v>
      </c>
      <c r="AA208" s="53" t="e">
        <f ca="1">IF($B208="","",_xll.BDP($A208&amp;" Corp",AA$14))</f>
        <v>#NAME?</v>
      </c>
      <c r="AB208" s="54" t="e">
        <f ca="1">IF($B208="","",_xll.BDP($A208&amp;" Corp",AB$14))</f>
        <v>#NAME?</v>
      </c>
      <c r="AC208" s="54" t="e">
        <f ca="1">IF($B208="","",_xll.BDP($A208&amp;" Corp",AC$14))</f>
        <v>#NAME?</v>
      </c>
      <c r="AD208" s="55" t="e">
        <f ca="1">IF($B208="","",_xll.BDP($A208&amp;" Corp",AD$14))</f>
        <v>#NAME?</v>
      </c>
      <c r="AE208" s="56" t="e">
        <f ca="1">IF($B208="","",_xll.BDP($A208&amp;" Corp",AE$14))</f>
        <v>#NAME?</v>
      </c>
      <c r="AF208" s="29" t="e">
        <f ca="1">IF($B208="","",_xll.BDP($A208&amp;" Corp",AF$14))</f>
        <v>#NAME?</v>
      </c>
      <c r="AG208" s="33" t="e">
        <f ca="1">IF($B208="","",_xll.BDP($A208&amp;" Corp",AG$14))</f>
        <v>#NAME?</v>
      </c>
      <c r="AH208" s="30" t="e">
        <f ca="1">IF($B208="","",_xll.BDP($A208&amp;" Corp",AH$14))</f>
        <v>#NAME?</v>
      </c>
      <c r="AI208" s="30" t="e">
        <f ca="1">IF($B208="","",_xll.BDP($A208&amp;" Corp",AI$14))</f>
        <v>#NAME?</v>
      </c>
      <c r="AJ208" s="30" t="e">
        <f ca="1">IF($B208="","",_xll.BDP($A208&amp;" Corp",AJ$14))</f>
        <v>#NAME?</v>
      </c>
      <c r="AK208" s="11" t="e">
        <f ca="1">IF($B208="","",_xll.BDP($A208&amp;" Corp",AK$14))</f>
        <v>#NAME?</v>
      </c>
      <c r="AL208" s="11" t="e">
        <f ca="1">IF($B208="","",_xll.BDP($A208&amp;" Corp",AL$14))</f>
        <v>#NAME?</v>
      </c>
      <c r="AM208" s="11" t="e">
        <f t="shared" ca="1" si="27"/>
        <v>#NAME?</v>
      </c>
      <c r="AN208" s="57" t="e">
        <f t="shared" ca="1" si="28"/>
        <v>#NAME?</v>
      </c>
    </row>
    <row r="209" spans="1:40" x14ac:dyDescent="0.3">
      <c r="A209" s="67" t="str">
        <f t="shared" ref="A209:A222" si="29">IF(LEN(B209)=12,B209,"")</f>
        <v>XS2015267953</v>
      </c>
      <c r="B209" s="68" t="s">
        <v>977</v>
      </c>
      <c r="C209" s="75">
        <v>8771</v>
      </c>
      <c r="D209" s="75">
        <v>128</v>
      </c>
      <c r="E209" s="75">
        <v>1000000</v>
      </c>
      <c r="F209" s="69">
        <v>0</v>
      </c>
      <c r="G209" s="70">
        <v>0</v>
      </c>
      <c r="H209" s="67">
        <f t="shared" ref="H209" si="30">GETPIVOTDATA("Suma de nominal_dis",B209,"nombre_instrumento",$B209)</f>
        <v>1000000</v>
      </c>
      <c r="I209" s="67">
        <f t="shared" ref="I209" si="31">GETPIVOTDATA("Suma de porcentaje_contado",$B$15,"nombre_instrumento",B209)</f>
        <v>0</v>
      </c>
      <c r="J209" s="67">
        <f t="shared" ref="J209" si="32">GETPIVOTDATA("Suma de coste_ini_div",$B$15,"nombre_instrumento",B209)</f>
        <v>0</v>
      </c>
      <c r="K209" s="71">
        <f t="shared" ref="K209" si="33">IF(B209="","",J209*100/H209)</f>
        <v>0</v>
      </c>
      <c r="L209" s="29" t="e">
        <f ca="1">IF(B209="","",_xll.BDP(A209&amp;" Corp","INTERVAL_HIGH","START_DATE_OVERRIDE",TEXT($L$12,"AAAAMMDD"),"END_DATE_OVERRIDE",TEXT($L$13,"AAAAMMDD"),"MARKET_DATA_OVERRIDE",$L$14))</f>
        <v>#NAME?</v>
      </c>
      <c r="M209" s="30" t="e">
        <f ca="1">IF(B209="","",_xll.BDP($A209&amp;" Corp","INTERVAL_LOW","START_DATE_OVERRIDE",TEXT($L$12,"AAAAMMDD"),"END_DATE_OVERRIDE",TEXT($L$13,"AAAAMMDD"),"MARKET_DATA_OVERRIDE",$L$14))</f>
        <v>#NAME?</v>
      </c>
      <c r="N209" s="31" t="e">
        <f ca="1">IF($B209="","",_xll.BDP($A209&amp;" Corp",N$15))</f>
        <v>#NAME?</v>
      </c>
      <c r="O209" s="32" t="e">
        <f ca="1">IF($B209="","",_xll.BDP($A209&amp;" Corp",O$15))</f>
        <v>#NAME?</v>
      </c>
      <c r="P209" s="32" t="e">
        <f ca="1">IF($B209="","",_xll.BDP($A209&amp;" Corp",P$15))</f>
        <v>#NAME?</v>
      </c>
      <c r="Q209" s="30" t="e">
        <f ca="1">IF($B209="","",_xll.BDP($A209&amp;" Corp",Q$14))</f>
        <v>#NAME?</v>
      </c>
      <c r="R209" s="30" t="e">
        <f ca="1">IF($B209="","",_xll.BDP($A209&amp;" Corp",R$14))</f>
        <v>#NAME?</v>
      </c>
      <c r="S209" s="50" t="e">
        <f ca="1">IF($B209="","",_xll.BDP($A209&amp;" Corp",S$14))</f>
        <v>#NAME?</v>
      </c>
      <c r="T209" s="30" t="e">
        <f ca="1">IF($B209="","",_xll.BDP($A209&amp;" Corp",T$14))</f>
        <v>#NAME?</v>
      </c>
      <c r="U209" s="30" t="e">
        <f ca="1">IF($B209="","",_xll.BDP($A209&amp;" Corp",U$14))</f>
        <v>#NAME?</v>
      </c>
      <c r="V209" s="51" t="e">
        <f ca="1">IF($B209="","",IF($T209="VARIABLE",_xll.BDP($A209&amp;" Corp",V$13),_xll.BDP($A209&amp;" Corp",V$14)))</f>
        <v>#NAME?</v>
      </c>
      <c r="W209" s="30" t="e">
        <f ca="1">IF($B209="","",IF($T209="VARIABLE",_xll.BDP($A209&amp;" Corp",W$13),_xll.BDP($A209&amp;" Corp",W$14)))</f>
        <v>#NAME?</v>
      </c>
      <c r="X209" s="30" t="e">
        <f ca="1">IF($B209="","",_xll.BDP($A209&amp;" Corp",X$14))</f>
        <v>#NAME?</v>
      </c>
      <c r="Y209" s="33" t="e">
        <f ca="1">IF($B209="","",_xll.BDP($A209&amp;" Corp",Y$14))</f>
        <v>#NAME?</v>
      </c>
      <c r="Z209" s="52" t="e">
        <f ca="1">IF($B209="","",_xll.BDP($A209&amp;" Corp",Z$14))</f>
        <v>#NAME?</v>
      </c>
      <c r="AA209" s="53" t="e">
        <f ca="1">IF($B209="","",_xll.BDP($A209&amp;" Corp",AA$14))</f>
        <v>#NAME?</v>
      </c>
      <c r="AB209" s="54" t="e">
        <f ca="1">IF($B209="","",_xll.BDP($A209&amp;" Corp",AB$14))</f>
        <v>#NAME?</v>
      </c>
      <c r="AC209" s="54" t="e">
        <f ca="1">IF($B209="","",_xll.BDP($A209&amp;" Corp",AC$14))</f>
        <v>#NAME?</v>
      </c>
      <c r="AD209" s="55" t="e">
        <f ca="1">IF($B209="","",_xll.BDP($A209&amp;" Corp",AD$14))</f>
        <v>#NAME?</v>
      </c>
      <c r="AE209" s="56" t="e">
        <f ca="1">IF($B209="","",_xll.BDP($A209&amp;" Corp",AE$14))</f>
        <v>#NAME?</v>
      </c>
      <c r="AF209" s="29" t="e">
        <f ca="1">IF($B209="","",_xll.BDP($A209&amp;" Corp",AF$14))</f>
        <v>#NAME?</v>
      </c>
      <c r="AG209" s="33" t="e">
        <f ca="1">IF($B209="","",_xll.BDP($A209&amp;" Corp",AG$14))</f>
        <v>#NAME?</v>
      </c>
      <c r="AH209" s="30" t="e">
        <f ca="1">IF($B209="","",_xll.BDP($A209&amp;" Corp",AH$14))</f>
        <v>#NAME?</v>
      </c>
      <c r="AI209" s="30" t="e">
        <f ca="1">IF($B209="","",_xll.BDP($A209&amp;" Corp",AI$14))</f>
        <v>#NAME?</v>
      </c>
      <c r="AJ209" s="30" t="e">
        <f ca="1">IF($B209="","",_xll.BDP($A209&amp;" Corp",AJ$14))</f>
        <v>#NAME?</v>
      </c>
      <c r="AK209" s="11" t="e">
        <f ca="1">IF($B209="","",_xll.BDP($A209&amp;" Corp",AK$14))</f>
        <v>#NAME?</v>
      </c>
      <c r="AL209" s="11" t="e">
        <f ca="1">IF($B209="","",_xll.BDP($A209&amp;" Corp",AL$14))</f>
        <v>#NAME?</v>
      </c>
      <c r="AM209" s="11" t="e">
        <f t="shared" ref="AM209:AM213" ca="1" si="34">IF(V209="","",TRUNC((V209-TODAY())/365)+1)</f>
        <v>#NAME?</v>
      </c>
      <c r="AN209" s="57" t="e">
        <f t="shared" ca="1" si="28"/>
        <v>#NAME?</v>
      </c>
    </row>
    <row r="210" spans="1:40" x14ac:dyDescent="0.3">
      <c r="B210" s="13" t="s">
        <v>652</v>
      </c>
      <c r="C210" s="73">
        <v>1648655</v>
      </c>
      <c r="D210" s="73">
        <v>24832</v>
      </c>
      <c r="E210" s="73">
        <v>100834936.54000001</v>
      </c>
      <c r="F210" s="57">
        <v>73.695009470000045</v>
      </c>
      <c r="G210" s="58">
        <v>98654668.429999992</v>
      </c>
      <c r="K210" s="32"/>
      <c r="L210" s="29" t="e">
        <f ca="1">IF(B210="","",_xll.BDP(A210&amp;" Corp","INTERVAL_HIGH","START_DATE_OVERRIDE",TEXT($L$12,"AAAAMMDD"),"END_DATE_OVERRIDE",TEXT($L$13,"AAAAMMDD"),"MARKET_DATA_OVERRIDE",$L$14))</f>
        <v>#NAME?</v>
      </c>
      <c r="M210" s="30" t="e">
        <f ca="1">IF(B210="","",_xll.BDP($A210&amp;" Corp","INTERVAL_LOW","START_DATE_OVERRIDE",TEXT($L$12,"AAAAMMDD"),"END_DATE_OVERRIDE",TEXT($L$13,"AAAAMMDD"),"MARKET_DATA_OVERRIDE",$L$14))</f>
        <v>#NAME?</v>
      </c>
      <c r="N210" s="31" t="e">
        <f ca="1">IF($B210="","",_xll.BDP($A210&amp;" Corp",N$15))</f>
        <v>#NAME?</v>
      </c>
      <c r="O210" s="32" t="e">
        <f ca="1">IF($B210="","",_xll.BDP($A210&amp;" Corp",O$15))</f>
        <v>#NAME?</v>
      </c>
      <c r="P210" s="32" t="e">
        <f ca="1">IF($B210="","",_xll.BDP($A210&amp;" Corp",P$15))</f>
        <v>#NAME?</v>
      </c>
      <c r="Q210" s="30" t="e">
        <f ca="1">IF($B210="","",_xll.BDP($A210&amp;" Corp",Q$14))</f>
        <v>#NAME?</v>
      </c>
      <c r="R210" s="30" t="e">
        <f ca="1">IF($B210="","",_xll.BDP($A210&amp;" Corp",R$14))</f>
        <v>#NAME?</v>
      </c>
      <c r="S210" s="50" t="e">
        <f ca="1">IF($B210="","",_xll.BDP($A210&amp;" Corp",S$14))</f>
        <v>#NAME?</v>
      </c>
      <c r="T210" s="30" t="e">
        <f ca="1">IF($B210="","",_xll.BDP($A210&amp;" Corp",T$14))</f>
        <v>#NAME?</v>
      </c>
      <c r="U210" s="30" t="e">
        <f ca="1">IF($B210="","",_xll.BDP($A210&amp;" Corp",U$14))</f>
        <v>#NAME?</v>
      </c>
      <c r="V210" s="51" t="e">
        <f ca="1">IF($B210="","",IF($T210="VARIABLE",_xll.BDP($A210&amp;" Corp",V$13),_xll.BDP($A210&amp;" Corp",V$14)))</f>
        <v>#NAME?</v>
      </c>
      <c r="W210" s="30" t="e">
        <f ca="1">IF($B210="","",IF($T210="VARIABLE",_xll.BDP($A210&amp;" Corp",W$13),_xll.BDP($A210&amp;" Corp",W$14)))</f>
        <v>#NAME?</v>
      </c>
      <c r="X210" s="30" t="e">
        <f ca="1">IF($B210="","",_xll.BDP($A210&amp;" Corp",X$14))</f>
        <v>#NAME?</v>
      </c>
      <c r="Y210" s="33" t="e">
        <f ca="1">IF($B210="","",_xll.BDP($A210&amp;" Corp",Y$14))</f>
        <v>#NAME?</v>
      </c>
      <c r="Z210" s="52" t="e">
        <f ca="1">IF($B210="","",_xll.BDP($A210&amp;" Corp",Z$14))</f>
        <v>#NAME?</v>
      </c>
      <c r="AA210" s="53" t="e">
        <f ca="1">IF($B210="","",_xll.BDP($A210&amp;" Corp",AA$14))</f>
        <v>#NAME?</v>
      </c>
      <c r="AB210" s="54" t="e">
        <f ca="1">IF($B210="","",_xll.BDP($A210&amp;" Corp",AB$14))</f>
        <v>#NAME?</v>
      </c>
      <c r="AC210" s="54" t="e">
        <f ca="1">IF($B210="","",_xll.BDP($A210&amp;" Corp",AC$14))</f>
        <v>#NAME?</v>
      </c>
      <c r="AD210" s="55" t="e">
        <f ca="1">IF($B210="","",_xll.BDP($A210&amp;" Corp",AD$14))</f>
        <v>#NAME?</v>
      </c>
      <c r="AE210" s="56" t="e">
        <f ca="1">IF($B210="","",_xll.BDP($A210&amp;" Corp",AE$14))</f>
        <v>#NAME?</v>
      </c>
      <c r="AF210" s="29" t="e">
        <f ca="1">IF($B210="","",_xll.BDP($A210&amp;" Corp",AF$14))</f>
        <v>#NAME?</v>
      </c>
      <c r="AG210" s="33" t="e">
        <f ca="1">IF($B210="","",_xll.BDP($A210&amp;" Corp",AG$14))</f>
        <v>#NAME?</v>
      </c>
      <c r="AH210" s="30" t="e">
        <f ca="1">IF($B210="","",_xll.BDP($A210&amp;" Corp",AH$14))</f>
        <v>#NAME?</v>
      </c>
      <c r="AI210" s="30" t="e">
        <f ca="1">IF($B210="","",_xll.BDP($A210&amp;" Corp",AI$14))</f>
        <v>#NAME?</v>
      </c>
      <c r="AJ210" s="30" t="e">
        <f ca="1">IF($B210="","",_xll.BDP($A210&amp;" Corp",AJ$14))</f>
        <v>#NAME?</v>
      </c>
      <c r="AK210" s="11" t="e">
        <f ca="1">IF($B210="","",_xll.BDP($A210&amp;" Corp",AK$14))</f>
        <v>#NAME?</v>
      </c>
      <c r="AL210" s="11" t="e">
        <f ca="1">IF($B210="","",_xll.BDP($A210&amp;" Corp",AL$14))</f>
        <v>#NAME?</v>
      </c>
      <c r="AM210" s="11" t="e">
        <f t="shared" ca="1" si="34"/>
        <v>#NAME?</v>
      </c>
      <c r="AN210" s="57" t="e">
        <f t="shared" ca="1" si="28"/>
        <v>#NAME?</v>
      </c>
    </row>
    <row r="211" spans="1:40" x14ac:dyDescent="0.3">
      <c r="K211" s="32"/>
      <c r="L211" s="29" t="str">
        <f>IF(B211="","",_xll.BDP(A211&amp;" Corp","INTERVAL_HIGH","START_DATE_OVERRIDE",TEXT($L$12,"AAAAMMDD"),"END_DATE_OVERRIDE",TEXT($L$13,"AAAAMMDD"),"MARKET_DATA_OVERRIDE",$L$14))</f>
        <v/>
      </c>
      <c r="M211" s="30" t="str">
        <f>IF(B211="","",_xll.BDP($A211&amp;" Corp","INTERVAL_LOW","START_DATE_OVERRIDE",TEXT($L$12,"AAAAMMDD"),"END_DATE_OVERRIDE",TEXT($L$13,"AAAAMMDD"),"MARKET_DATA_OVERRIDE",$L$14))</f>
        <v/>
      </c>
      <c r="N211" s="31" t="str">
        <f>IF($B211="","",_xll.BDP($A211&amp;" Corp",N$15))</f>
        <v/>
      </c>
      <c r="O211" s="32" t="str">
        <f>IF($B211="","",_xll.BDP($A211&amp;" Corp",O$15))</f>
        <v/>
      </c>
      <c r="P211" s="32" t="str">
        <f>IF($B211="","",_xll.BDP($A211&amp;" Corp",P$15))</f>
        <v/>
      </c>
      <c r="Q211" s="30" t="str">
        <f>IF($B211="","",_xll.BDP($A211&amp;" Corp",Q$14))</f>
        <v/>
      </c>
      <c r="R211" s="30" t="str">
        <f>IF($B211="","",_xll.BDP($A211&amp;" Corp",R$14))</f>
        <v/>
      </c>
      <c r="S211" s="50" t="str">
        <f>IF($B211="","",_xll.BDP($A211&amp;" Corp",S$14))</f>
        <v/>
      </c>
      <c r="T211" s="30" t="str">
        <f>IF($B211="","",_xll.BDP($A211&amp;" Corp",T$14))</f>
        <v/>
      </c>
      <c r="U211" s="30" t="str">
        <f>IF($B211="","",_xll.BDP($A211&amp;" Corp",U$14))</f>
        <v/>
      </c>
      <c r="V211" s="51" t="str">
        <f>IF($B211="","",IF($T211="VARIABLE",_xll.BDP($A211&amp;" Corp",V$13),_xll.BDP($A211&amp;" Corp",V$14)))</f>
        <v/>
      </c>
      <c r="W211" s="30" t="str">
        <f>IF($B211="","",IF($T211="VARIABLE",_xll.BDP($A211&amp;" Corp",W$13),_xll.BDP($A211&amp;" Corp",W$14)))</f>
        <v/>
      </c>
      <c r="X211" s="30" t="str">
        <f>IF($B211="","",_xll.BDP($A211&amp;" Corp",X$14))</f>
        <v/>
      </c>
      <c r="Y211" s="33" t="str">
        <f>IF($B211="","",_xll.BDP($A211&amp;" Corp",Y$14))</f>
        <v/>
      </c>
      <c r="Z211" s="52" t="str">
        <f>IF($B211="","",_xll.BDP($A211&amp;" Corp",Z$14))</f>
        <v/>
      </c>
      <c r="AA211" s="53" t="str">
        <f>IF($B211="","",_xll.BDP($A211&amp;" Corp",AA$14))</f>
        <v/>
      </c>
      <c r="AB211" s="54" t="str">
        <f>IF($B211="","",_xll.BDP($A211&amp;" Corp",AB$14))</f>
        <v/>
      </c>
      <c r="AC211" s="54" t="str">
        <f>IF($B211="","",_xll.BDP($A211&amp;" Corp",AC$14))</f>
        <v/>
      </c>
      <c r="AD211" s="55" t="str">
        <f>IF($B211="","",_xll.BDP($A211&amp;" Corp",AD$14))</f>
        <v/>
      </c>
      <c r="AE211" s="56" t="str">
        <f>IF($B211="","",_xll.BDP($A211&amp;" Corp",AE$14))</f>
        <v/>
      </c>
      <c r="AF211" s="29" t="str">
        <f>IF($B211="","",_xll.BDP($A211&amp;" Corp",AF$14))</f>
        <v/>
      </c>
      <c r="AG211" s="33" t="str">
        <f>IF($B211="","",_xll.BDP($A211&amp;" Corp",AG$14))</f>
        <v/>
      </c>
      <c r="AH211" s="30" t="str">
        <f>IF($B211="","",_xll.BDP($A211&amp;" Corp",AH$14))</f>
        <v/>
      </c>
      <c r="AI211" s="30" t="str">
        <f>IF($B211="","",_xll.BDP($A211&amp;" Corp",AI$14))</f>
        <v/>
      </c>
      <c r="AJ211" s="30" t="str">
        <f>IF($B211="","",_xll.BDP($A211&amp;" Corp",AJ$14))</f>
        <v/>
      </c>
      <c r="AK211" s="11" t="str">
        <f>IF($B211="","",_xll.BDP($A211&amp;" Corp",AK$14))</f>
        <v/>
      </c>
      <c r="AL211" s="11" t="str">
        <f>IF($B211="","",_xll.BDP($A211&amp;" Corp",AL$14))</f>
        <v/>
      </c>
      <c r="AM211" s="11" t="str">
        <f t="shared" ca="1" si="34"/>
        <v/>
      </c>
      <c r="AN211" s="57" t="e">
        <f t="shared" si="28"/>
        <v>#VALUE!</v>
      </c>
    </row>
    <row r="212" spans="1:40" x14ac:dyDescent="0.3">
      <c r="K212" s="32"/>
      <c r="L212" s="29" t="str">
        <f>IF(B212="","",_xll.BDP(A212&amp;" Corp","INTERVAL_HIGH","START_DATE_OVERRIDE",TEXT($L$12,"AAAAMMDD"),"END_DATE_OVERRIDE",TEXT($L$13,"AAAAMMDD"),"MARKET_DATA_OVERRIDE",$L$14))</f>
        <v/>
      </c>
      <c r="M212" s="30" t="str">
        <f>IF(B212="","",_xll.BDP($A212&amp;" Corp","INTERVAL_LOW","START_DATE_OVERRIDE",TEXT($L$12,"AAAAMMDD"),"END_DATE_OVERRIDE",TEXT($L$13,"AAAAMMDD"),"MARKET_DATA_OVERRIDE",$L$14))</f>
        <v/>
      </c>
      <c r="N212" s="31" t="str">
        <f>IF($B212="","",_xll.BDP($A212&amp;" Corp",N$15))</f>
        <v/>
      </c>
      <c r="O212" s="32" t="str">
        <f>IF($B212="","",_xll.BDP($A212&amp;" Corp",O$15))</f>
        <v/>
      </c>
      <c r="P212" s="32" t="str">
        <f>IF($B212="","",_xll.BDP($A212&amp;" Corp",P$15))</f>
        <v/>
      </c>
      <c r="Q212" s="30" t="str">
        <f>IF($B212="","",_xll.BDP($A212&amp;" Corp",Q$14))</f>
        <v/>
      </c>
      <c r="R212" s="30" t="str">
        <f>IF($B212="","",_xll.BDP($A212&amp;" Corp",R$14))</f>
        <v/>
      </c>
      <c r="S212" s="50" t="str">
        <f>IF($B212="","",_xll.BDP($A212&amp;" Corp",S$14))</f>
        <v/>
      </c>
      <c r="T212" s="30" t="str">
        <f>IF($B212="","",_xll.BDP($A212&amp;" Corp",T$14))</f>
        <v/>
      </c>
      <c r="U212" s="30" t="str">
        <f>IF($B212="","",_xll.BDP($A212&amp;" Corp",U$14))</f>
        <v/>
      </c>
      <c r="V212" s="51" t="str">
        <f>IF($B212="","",IF($T212="VARIABLE",_xll.BDP($A212&amp;" Corp",V$13),_xll.BDP($A212&amp;" Corp",V$14)))</f>
        <v/>
      </c>
      <c r="W212" s="30" t="str">
        <f>IF($B212="","",IF($T212="VARIABLE",_xll.BDP($A212&amp;" Corp",W$13),_xll.BDP($A212&amp;" Corp",W$14)))</f>
        <v/>
      </c>
      <c r="X212" s="30" t="str">
        <f>IF($B212="","",_xll.BDP($A212&amp;" Corp",X$14))</f>
        <v/>
      </c>
      <c r="Y212" s="33" t="str">
        <f>IF($B212="","",_xll.BDP($A212&amp;" Corp",Y$14))</f>
        <v/>
      </c>
      <c r="Z212" s="52" t="str">
        <f>IF($B212="","",_xll.BDP($A212&amp;" Corp",Z$14))</f>
        <v/>
      </c>
      <c r="AA212" s="53" t="str">
        <f>IF($B212="","",_xll.BDP($A212&amp;" Corp",AA$14))</f>
        <v/>
      </c>
      <c r="AB212" s="54" t="str">
        <f>IF($B212="","",_xll.BDP($A212&amp;" Corp",AB$14))</f>
        <v/>
      </c>
      <c r="AC212" s="54" t="str">
        <f>IF($B212="","",_xll.BDP($A212&amp;" Corp",AC$14))</f>
        <v/>
      </c>
      <c r="AD212" s="55" t="str">
        <f>IF($B212="","",_xll.BDP($A212&amp;" Corp",AD$14))</f>
        <v/>
      </c>
      <c r="AE212" s="56" t="str">
        <f>IF($B212="","",_xll.BDP($A212&amp;" Corp",AE$14))</f>
        <v/>
      </c>
      <c r="AF212" s="29" t="str">
        <f>IF($B212="","",_xll.BDP($A212&amp;" Corp",AF$14))</f>
        <v/>
      </c>
      <c r="AG212" s="33" t="str">
        <f>IF($B212="","",_xll.BDP($A212&amp;" Corp",AG$14))</f>
        <v/>
      </c>
      <c r="AH212" s="30" t="str">
        <f>IF($B212="","",_xll.BDP($A212&amp;" Corp",AH$14))</f>
        <v/>
      </c>
      <c r="AI212" s="30" t="str">
        <f>IF($B212="","",_xll.BDP($A212&amp;" Corp",AI$14))</f>
        <v/>
      </c>
      <c r="AJ212" s="30" t="str">
        <f>IF($B212="","",_xll.BDP($A212&amp;" Corp",AJ$14))</f>
        <v/>
      </c>
      <c r="AK212" s="11" t="str">
        <f>IF($B212="","",_xll.BDP($A212&amp;" Corp",AK$14))</f>
        <v/>
      </c>
      <c r="AL212" s="11" t="str">
        <f>IF($B212="","",_xll.BDP($A212&amp;" Corp",AL$14))</f>
        <v/>
      </c>
      <c r="AM212" s="11" t="str">
        <f t="shared" ca="1" si="34"/>
        <v/>
      </c>
      <c r="AN212" s="57" t="e">
        <f t="shared" si="28"/>
        <v>#VALUE!</v>
      </c>
    </row>
    <row r="213" spans="1:40" x14ac:dyDescent="0.3">
      <c r="K213" s="32"/>
      <c r="L213" s="29" t="str">
        <f>IF(B213="","",_xll.BDP(A213&amp;" Corp","INTERVAL_HIGH","START_DATE_OVERRIDE",TEXT($L$12,"AAAAMMDD"),"END_DATE_OVERRIDE",TEXT($L$13,"AAAAMMDD"),"MARKET_DATA_OVERRIDE",$L$14))</f>
        <v/>
      </c>
      <c r="M213" s="30" t="str">
        <f>IF(B213="","",_xll.BDP($A213&amp;" Corp","INTERVAL_LOW","START_DATE_OVERRIDE",TEXT($L$12,"AAAAMMDD"),"END_DATE_OVERRIDE",TEXT($L$13,"AAAAMMDD"),"MARKET_DATA_OVERRIDE",$L$14))</f>
        <v/>
      </c>
      <c r="N213" s="31" t="str">
        <f>IF($B213="","",_xll.BDP($A213&amp;" Corp",N$15))</f>
        <v/>
      </c>
      <c r="O213" s="32" t="str">
        <f>IF($B213="","",_xll.BDP($A213&amp;" Corp",O$15))</f>
        <v/>
      </c>
      <c r="P213" s="32" t="str">
        <f>IF($B213="","",_xll.BDP($A213&amp;" Corp",P$15))</f>
        <v/>
      </c>
      <c r="Q213" s="30" t="str">
        <f>IF($B213="","",_xll.BDP($A213&amp;" Corp",Q$14))</f>
        <v/>
      </c>
      <c r="R213" s="30" t="str">
        <f>IF($B213="","",_xll.BDP($A213&amp;" Corp",R$14))</f>
        <v/>
      </c>
      <c r="S213" s="50" t="str">
        <f>IF($B213="","",_xll.BDP($A213&amp;" Corp",S$14))</f>
        <v/>
      </c>
      <c r="T213" s="30" t="str">
        <f>IF($B213="","",_xll.BDP($A213&amp;" Corp",T$14))</f>
        <v/>
      </c>
      <c r="U213" s="30" t="str">
        <f>IF($B213="","",_xll.BDP($A213&amp;" Corp",U$14))</f>
        <v/>
      </c>
      <c r="V213" s="51" t="str">
        <f>IF($B213="","",IF($T213="VARIABLE",_xll.BDP($A213&amp;" Corp",V$13),_xll.BDP($A213&amp;" Corp",V$14)))</f>
        <v/>
      </c>
      <c r="W213" s="30" t="str">
        <f>IF($B213="","",IF($T213="VARIABLE",_xll.BDP($A213&amp;" Corp",W$13),_xll.BDP($A213&amp;" Corp",W$14)))</f>
        <v/>
      </c>
      <c r="X213" s="30" t="str">
        <f>IF($B213="","",_xll.BDP($A213&amp;" Corp",X$14))</f>
        <v/>
      </c>
      <c r="Y213" s="33" t="str">
        <f>IF($B213="","",_xll.BDP($A213&amp;" Corp",Y$14))</f>
        <v/>
      </c>
      <c r="Z213" s="52" t="str">
        <f>IF($B213="","",_xll.BDP($A213&amp;" Corp",Z$14))</f>
        <v/>
      </c>
      <c r="AA213" s="53" t="str">
        <f>IF($B213="","",_xll.BDP($A213&amp;" Corp",AA$14))</f>
        <v/>
      </c>
      <c r="AB213" s="54" t="str">
        <f>IF($B213="","",_xll.BDP($A213&amp;" Corp",AB$14))</f>
        <v/>
      </c>
      <c r="AC213" s="54" t="str">
        <f>IF($B213="","",_xll.BDP($A213&amp;" Corp",AC$14))</f>
        <v/>
      </c>
      <c r="AD213" s="55" t="str">
        <f>IF($B213="","",_xll.BDP($A213&amp;" Corp",AD$14))</f>
        <v/>
      </c>
      <c r="AE213" s="56" t="str">
        <f>IF($B213="","",_xll.BDP($A213&amp;" Corp",AE$14))</f>
        <v/>
      </c>
      <c r="AF213" s="29" t="str">
        <f>IF($B213="","",_xll.BDP($A213&amp;" Corp",AF$14))</f>
        <v/>
      </c>
      <c r="AG213" s="33" t="str">
        <f>IF($B213="","",_xll.BDP($A213&amp;" Corp",AG$14))</f>
        <v/>
      </c>
      <c r="AH213" s="30" t="str">
        <f>IF($B213="","",_xll.BDP($A213&amp;" Corp",AH$14))</f>
        <v/>
      </c>
      <c r="AI213" s="30" t="str">
        <f>IF($B213="","",_xll.BDP($A213&amp;" Corp",AI$14))</f>
        <v/>
      </c>
      <c r="AJ213" s="30" t="str">
        <f>IF($B213="","",_xll.BDP($A213&amp;" Corp",AJ$14))</f>
        <v/>
      </c>
      <c r="AK213" s="11" t="str">
        <f>IF($B213="","",_xll.BDP($A213&amp;" Corp",AK$14))</f>
        <v/>
      </c>
      <c r="AL213" s="11" t="str">
        <f>IF($B213="","",_xll.BDP($A213&amp;" Corp",AL$14))</f>
        <v/>
      </c>
      <c r="AM213" s="11" t="str">
        <f t="shared" ca="1" si="34"/>
        <v/>
      </c>
      <c r="AN213" s="57" t="e">
        <f t="shared" si="28"/>
        <v>#VALUE!</v>
      </c>
    </row>
    <row r="214" spans="1:40" x14ac:dyDescent="0.3">
      <c r="K214" s="32"/>
      <c r="L214" s="29" t="str">
        <f>IF(B214="","",_xll.BDP(A214&amp;" Corp","INTERVAL_HIGH","START_DATE_OVERRIDE",TEXT($L$12,"AAAAMMDD"),"END_DATE_OVERRIDE",TEXT($L$13,"AAAAMMDD"),"MARKET_DATA_OVERRIDE",$L$14))</f>
        <v/>
      </c>
      <c r="M214" s="30" t="str">
        <f>IF(B214="","",_xll.BDP($A214&amp;" Corp","INTERVAL_LOW","START_DATE_OVERRIDE",TEXT($L$12,"AAAAMMDD"),"END_DATE_OVERRIDE",TEXT($L$13,"AAAAMMDD"),"MARKET_DATA_OVERRIDE",$L$14))</f>
        <v/>
      </c>
      <c r="N214" s="31" t="str">
        <f>IF($B214="","",_xll.BDP($A214&amp;" Corp",N$15))</f>
        <v/>
      </c>
      <c r="O214" s="32" t="str">
        <f>IF($B214="","",_xll.BDP($A214&amp;" Corp",O$15))</f>
        <v/>
      </c>
      <c r="P214" s="32" t="str">
        <f>IF($B214="","",_xll.BDP($A214&amp;" Corp",P$15))</f>
        <v/>
      </c>
      <c r="Q214" s="30" t="str">
        <f>IF($B214="","",_xll.BDP($A214&amp;" Corp",Q$14))</f>
        <v/>
      </c>
      <c r="R214" s="30" t="str">
        <f>IF($B214="","",_xll.BDP($A214&amp;" Corp",R$14))</f>
        <v/>
      </c>
      <c r="S214" s="50" t="str">
        <f>IF($B214="","",_xll.BDP($A214&amp;" Corp",S$14))</f>
        <v/>
      </c>
      <c r="T214" s="30" t="str">
        <f>IF($B214="","",_xll.BDP($A214&amp;" Corp",T$14))</f>
        <v/>
      </c>
      <c r="U214" s="30" t="str">
        <f>IF($B214="","",_xll.BDP($A214&amp;" Corp",U$14))</f>
        <v/>
      </c>
      <c r="V214" s="51" t="str">
        <f>IF($B214="","",IF($T214="VARIABLE",_xll.BDP($A214&amp;" Corp",V$13),_xll.BDP($A214&amp;" Corp",V$14)))</f>
        <v/>
      </c>
      <c r="W214" s="30" t="str">
        <f>IF($B214="","",IF($T214="VARIABLE",_xll.BDP($A214&amp;" Corp",W$13),_xll.BDP($A214&amp;" Corp",W$14)))</f>
        <v/>
      </c>
      <c r="X214" s="30" t="str">
        <f>IF($B214="","",_xll.BDP($A214&amp;" Corp",X$14))</f>
        <v/>
      </c>
      <c r="Y214" s="33" t="str">
        <f>IF($B214="","",_xll.BDP($A214&amp;" Corp",Y$14))</f>
        <v/>
      </c>
      <c r="Z214" s="52" t="str">
        <f>IF($B214="","",_xll.BDP($A214&amp;" Corp",Z$14))</f>
        <v/>
      </c>
      <c r="AA214" s="53" t="str">
        <f>IF($B214="","",_xll.BDP($A214&amp;" Corp",AA$14))</f>
        <v/>
      </c>
      <c r="AB214" s="54" t="str">
        <f>IF($B214="","",_xll.BDP($A214&amp;" Corp",AB$14))</f>
        <v/>
      </c>
      <c r="AC214" s="54" t="str">
        <f>IF($B214="","",_xll.BDP($A214&amp;" Corp",AC$14))</f>
        <v/>
      </c>
      <c r="AD214" s="55" t="str">
        <f>IF($B214="","",_xll.BDP($A214&amp;" Corp",AD$14))</f>
        <v/>
      </c>
      <c r="AE214" s="56" t="str">
        <f>IF($B214="","",_xll.BDP($A214&amp;" Corp",AE$14))</f>
        <v/>
      </c>
      <c r="AF214" s="29" t="str">
        <f>IF($B214="","",_xll.BDP($A214&amp;" Corp",AF$14))</f>
        <v/>
      </c>
      <c r="AG214" s="33" t="str">
        <f>IF($B214="","",_xll.BDP($A214&amp;" Corp",AG$14))</f>
        <v/>
      </c>
      <c r="AH214" s="30" t="str">
        <f>IF($B214="","",_xll.BDP($A214&amp;" Corp",AH$14))</f>
        <v/>
      </c>
      <c r="AI214" s="30" t="str">
        <f>IF($B214="","",_xll.BDP($A214&amp;" Corp",AI$14))</f>
        <v/>
      </c>
      <c r="AJ214" s="30" t="str">
        <f>IF($B214="","",_xll.BDP($A214&amp;" Corp",AJ$14))</f>
        <v/>
      </c>
      <c r="AK214" s="11" t="str">
        <f>IF($B214="","",_xll.BDP($A214&amp;" Corp",AK$14))</f>
        <v/>
      </c>
      <c r="AL214" s="11" t="str">
        <f>IF($B214="","",_xll.BDP($A214&amp;" Corp",AL$14))</f>
        <v/>
      </c>
      <c r="AM214" s="11" t="str">
        <f t="shared" ref="AM214" ca="1" si="35">IF(V214="","",TRUNC((V214-TODAY())/365)+1)</f>
        <v/>
      </c>
      <c r="AN214" s="57" t="e">
        <f t="shared" si="28"/>
        <v>#VALUE!</v>
      </c>
    </row>
    <row r="215" spans="1:40" hidden="1" x14ac:dyDescent="0.3">
      <c r="A215" t="str">
        <f t="shared" si="29"/>
        <v/>
      </c>
      <c r="K215" s="32"/>
      <c r="L215" s="29"/>
      <c r="M215" s="30"/>
      <c r="N215" s="31"/>
      <c r="O215" s="32"/>
      <c r="P215" s="32"/>
      <c r="Q215" s="30"/>
      <c r="R215" s="30"/>
      <c r="S215" s="50"/>
      <c r="T215" s="30"/>
      <c r="U215" s="30"/>
      <c r="V215" s="51"/>
      <c r="W215" s="30"/>
      <c r="X215" s="30"/>
      <c r="Y215" s="33"/>
      <c r="Z215" s="52"/>
      <c r="AA215" s="53"/>
      <c r="AB215" s="54"/>
      <c r="AC215" s="54"/>
      <c r="AD215" s="55"/>
      <c r="AE215" s="56"/>
      <c r="AF215" s="29"/>
      <c r="AG215" s="33"/>
      <c r="AH215" s="30"/>
      <c r="AI215" s="30"/>
      <c r="AJ215" s="30"/>
      <c r="AK215" s="11"/>
      <c r="AL215" s="11"/>
      <c r="AM215" s="11"/>
    </row>
    <row r="216" spans="1:40" hidden="1" x14ac:dyDescent="0.3">
      <c r="A216" t="str">
        <f t="shared" si="29"/>
        <v/>
      </c>
      <c r="K216" s="32"/>
      <c r="L216" s="29"/>
      <c r="M216" s="30"/>
      <c r="N216" s="31"/>
      <c r="O216" s="32"/>
      <c r="P216" s="32"/>
      <c r="Q216" s="30"/>
      <c r="R216" s="30"/>
      <c r="S216" s="50"/>
      <c r="T216" s="30"/>
      <c r="U216" s="30"/>
      <c r="V216" s="51"/>
      <c r="W216" s="30"/>
      <c r="X216" s="30"/>
      <c r="Y216" s="33"/>
      <c r="Z216" s="52"/>
      <c r="AA216" s="53"/>
      <c r="AB216" s="54"/>
      <c r="AC216" s="54"/>
      <c r="AD216" s="55"/>
      <c r="AE216" s="56"/>
      <c r="AF216" s="29"/>
      <c r="AG216" s="33"/>
      <c r="AH216" s="30"/>
      <c r="AI216" s="30"/>
      <c r="AJ216" s="30"/>
      <c r="AK216" s="11"/>
      <c r="AL216" s="11"/>
      <c r="AM216" s="11"/>
    </row>
    <row r="217" spans="1:40" hidden="1" x14ac:dyDescent="0.3">
      <c r="A217" t="str">
        <f t="shared" si="29"/>
        <v/>
      </c>
      <c r="K217" s="32"/>
      <c r="L217" s="29"/>
      <c r="M217" s="30"/>
      <c r="N217" s="31"/>
      <c r="O217" s="32"/>
      <c r="P217" s="32"/>
      <c r="Q217" s="30"/>
      <c r="R217" s="30"/>
      <c r="S217" s="50"/>
      <c r="T217" s="30"/>
      <c r="U217" s="30"/>
      <c r="V217" s="51"/>
      <c r="W217" s="30"/>
      <c r="X217" s="30"/>
      <c r="Y217" s="33"/>
      <c r="Z217" s="52"/>
      <c r="AA217" s="53"/>
      <c r="AB217" s="54"/>
      <c r="AC217" s="54"/>
      <c r="AD217" s="55"/>
      <c r="AE217" s="56"/>
      <c r="AF217" s="29"/>
      <c r="AG217" s="33"/>
      <c r="AH217" s="30"/>
      <c r="AI217" s="30"/>
      <c r="AJ217" s="30"/>
      <c r="AK217" s="11"/>
      <c r="AL217" s="11"/>
      <c r="AM217" s="11"/>
    </row>
    <row r="218" spans="1:40" hidden="1" x14ac:dyDescent="0.3">
      <c r="A218" t="str">
        <f t="shared" si="29"/>
        <v/>
      </c>
      <c r="K218" s="32"/>
      <c r="L218" s="29"/>
      <c r="M218" s="30"/>
      <c r="N218" s="31"/>
      <c r="O218" s="32"/>
      <c r="P218" s="32"/>
      <c r="Q218" s="30"/>
      <c r="R218" s="30"/>
      <c r="S218" s="50"/>
      <c r="T218" s="30"/>
      <c r="U218" s="30"/>
      <c r="V218" s="51"/>
      <c r="W218" s="30"/>
      <c r="X218" s="30"/>
      <c r="Y218" s="33"/>
      <c r="Z218" s="52"/>
      <c r="AA218" s="53"/>
      <c r="AB218" s="54"/>
      <c r="AC218" s="54"/>
      <c r="AD218" s="55"/>
      <c r="AE218" s="56"/>
      <c r="AF218" s="29"/>
      <c r="AG218" s="33"/>
      <c r="AH218" s="30"/>
      <c r="AI218" s="30"/>
      <c r="AJ218" s="30"/>
      <c r="AK218" s="11"/>
      <c r="AL218" s="11"/>
      <c r="AM218" s="11"/>
    </row>
    <row r="219" spans="1:40" hidden="1" x14ac:dyDescent="0.3">
      <c r="A219" t="str">
        <f t="shared" si="29"/>
        <v/>
      </c>
      <c r="K219" s="32"/>
      <c r="L219" s="29"/>
      <c r="M219" s="30"/>
      <c r="N219" s="31"/>
      <c r="O219" s="32"/>
      <c r="P219" s="32"/>
      <c r="Q219" s="30"/>
      <c r="R219" s="30"/>
      <c r="S219" s="50"/>
      <c r="T219" s="30"/>
      <c r="U219" s="30"/>
      <c r="V219" s="51"/>
      <c r="W219" s="30"/>
      <c r="X219" s="30"/>
      <c r="Y219" s="33"/>
      <c r="Z219" s="52"/>
      <c r="AA219" s="53"/>
      <c r="AB219" s="54"/>
      <c r="AC219" s="54"/>
      <c r="AD219" s="55"/>
      <c r="AE219" s="56"/>
      <c r="AF219" s="29"/>
      <c r="AG219" s="33"/>
      <c r="AH219" s="30"/>
      <c r="AI219" s="30"/>
      <c r="AJ219" s="30"/>
      <c r="AK219" s="11"/>
      <c r="AL219" s="11"/>
      <c r="AM219" s="11"/>
    </row>
    <row r="220" spans="1:40" hidden="1" x14ac:dyDescent="0.3">
      <c r="A220" t="str">
        <f t="shared" si="29"/>
        <v/>
      </c>
      <c r="K220" s="32"/>
      <c r="L220" s="29"/>
      <c r="M220" s="30"/>
      <c r="N220" s="31"/>
      <c r="O220" s="32"/>
      <c r="P220" s="32"/>
      <c r="Q220" s="30"/>
      <c r="R220" s="30"/>
      <c r="S220" s="50"/>
      <c r="T220" s="30"/>
      <c r="U220" s="30"/>
      <c r="V220" s="51"/>
      <c r="W220" s="30"/>
      <c r="X220" s="30"/>
      <c r="Y220" s="33"/>
      <c r="Z220" s="52"/>
      <c r="AA220" s="53"/>
      <c r="AB220" s="54"/>
      <c r="AC220" s="54"/>
      <c r="AD220" s="55"/>
      <c r="AE220" s="56"/>
      <c r="AF220" s="29"/>
      <c r="AG220" s="33"/>
      <c r="AH220" s="30"/>
      <c r="AI220" s="30"/>
      <c r="AJ220" s="30"/>
      <c r="AK220" s="11"/>
      <c r="AL220" s="11"/>
      <c r="AM220" s="11"/>
    </row>
    <row r="221" spans="1:40" hidden="1" x14ac:dyDescent="0.3">
      <c r="A221" t="str">
        <f t="shared" si="29"/>
        <v/>
      </c>
      <c r="K221" s="32"/>
      <c r="L221" s="29"/>
      <c r="M221" s="30"/>
      <c r="N221" s="31"/>
      <c r="O221" s="32"/>
      <c r="P221" s="32"/>
      <c r="Q221" s="30"/>
      <c r="R221" s="30"/>
      <c r="S221" s="50"/>
      <c r="T221" s="30"/>
      <c r="U221" s="30"/>
      <c r="V221" s="51"/>
      <c r="W221" s="30"/>
      <c r="X221" s="30"/>
      <c r="Y221" s="33"/>
      <c r="Z221" s="52"/>
      <c r="AA221" s="53"/>
      <c r="AB221" s="54"/>
      <c r="AC221" s="54"/>
      <c r="AD221" s="55"/>
      <c r="AE221" s="56"/>
      <c r="AF221" s="29"/>
      <c r="AG221" s="33"/>
      <c r="AH221" s="30"/>
      <c r="AI221" s="30"/>
      <c r="AJ221" s="30"/>
      <c r="AK221" s="11"/>
      <c r="AL221" s="11"/>
      <c r="AM221" s="11"/>
    </row>
    <row r="222" spans="1:40" hidden="1" x14ac:dyDescent="0.3">
      <c r="A222" t="str">
        <f t="shared" si="29"/>
        <v/>
      </c>
      <c r="K222" s="32"/>
      <c r="L222" s="29"/>
      <c r="M222" s="30"/>
      <c r="N222" s="31"/>
      <c r="O222" s="32"/>
      <c r="P222" s="32"/>
      <c r="Q222" s="30"/>
      <c r="R222" s="30"/>
      <c r="S222" s="50"/>
      <c r="T222" s="30"/>
      <c r="U222" s="30"/>
      <c r="V222" s="51"/>
      <c r="W222" s="30"/>
      <c r="X222" s="30"/>
      <c r="Y222" s="33"/>
      <c r="Z222" s="52"/>
      <c r="AA222" s="53"/>
      <c r="AB222" s="54"/>
      <c r="AC222" s="54"/>
      <c r="AD222" s="55"/>
      <c r="AE222" s="56"/>
      <c r="AF222" s="29"/>
      <c r="AG222" s="33"/>
      <c r="AH222" s="30"/>
      <c r="AI222" s="30"/>
      <c r="AJ222" s="30"/>
      <c r="AK222" s="11"/>
      <c r="AL222" s="11"/>
      <c r="AM222" s="11"/>
    </row>
    <row r="223" spans="1:40" x14ac:dyDescent="0.3">
      <c r="K223" s="32"/>
      <c r="L223" s="29"/>
      <c r="M223" s="30"/>
      <c r="N223" s="31"/>
      <c r="O223" s="32"/>
      <c r="P223" s="32"/>
      <c r="Q223" s="30"/>
      <c r="R223" s="30"/>
      <c r="S223" s="50"/>
      <c r="T223" s="30"/>
      <c r="U223" s="30"/>
      <c r="V223" s="51"/>
      <c r="W223" s="30"/>
      <c r="X223" s="30"/>
      <c r="Y223" s="33"/>
      <c r="Z223" s="52"/>
      <c r="AA223" s="53"/>
      <c r="AB223" s="54"/>
      <c r="AC223" s="54"/>
      <c r="AD223" s="55"/>
      <c r="AE223" s="56"/>
      <c r="AF223" s="29"/>
      <c r="AG223" s="33"/>
      <c r="AH223" s="30"/>
      <c r="AI223" s="30"/>
      <c r="AJ223" s="30"/>
      <c r="AK223" s="11"/>
      <c r="AL223" s="11"/>
      <c r="AM223" s="11"/>
    </row>
    <row r="226" spans="2:7" x14ac:dyDescent="0.3">
      <c r="B226" s="13"/>
      <c r="F226" s="57"/>
      <c r="G226" s="58"/>
    </row>
    <row r="227" spans="2:7" x14ac:dyDescent="0.3">
      <c r="B227" s="13"/>
      <c r="F227" s="57"/>
      <c r="G227" s="58"/>
    </row>
    <row r="228" spans="2:7" x14ac:dyDescent="0.3">
      <c r="B228" s="13"/>
      <c r="F228" s="57"/>
      <c r="G228" s="58"/>
    </row>
    <row r="229" spans="2:7" x14ac:dyDescent="0.3">
      <c r="B229" s="13"/>
      <c r="F229" s="57"/>
      <c r="G229" s="58"/>
    </row>
    <row r="230" spans="2:7" x14ac:dyDescent="0.3">
      <c r="B230" s="13"/>
      <c r="F230" s="57"/>
      <c r="G230" s="58"/>
    </row>
    <row r="231" spans="2:7" x14ac:dyDescent="0.3">
      <c r="B231" s="13"/>
      <c r="F231" s="57"/>
      <c r="G231" s="58"/>
    </row>
    <row r="232" spans="2:7" x14ac:dyDescent="0.3">
      <c r="B232" s="13"/>
      <c r="F232" s="57"/>
      <c r="G232" s="58"/>
    </row>
    <row r="233" spans="2:7" x14ac:dyDescent="0.3">
      <c r="B233" s="13"/>
      <c r="F233" s="57"/>
      <c r="G233" s="58"/>
    </row>
    <row r="234" spans="2:7" x14ac:dyDescent="0.3">
      <c r="B234" s="13"/>
      <c r="F234" s="57"/>
      <c r="G234" s="58"/>
    </row>
    <row r="235" spans="2:7" x14ac:dyDescent="0.3">
      <c r="B235" s="13"/>
      <c r="F235" s="57"/>
      <c r="G235" s="58"/>
    </row>
    <row r="236" spans="2:7" x14ac:dyDescent="0.3">
      <c r="B236" s="13"/>
      <c r="F236" s="57"/>
      <c r="G236" s="58"/>
    </row>
    <row r="237" spans="2:7" x14ac:dyDescent="0.3">
      <c r="B237" s="13"/>
      <c r="F237" s="57"/>
      <c r="G237" s="58"/>
    </row>
    <row r="238" spans="2:7" x14ac:dyDescent="0.3">
      <c r="B238" s="13"/>
      <c r="F238" s="57"/>
      <c r="G238" s="58"/>
    </row>
    <row r="239" spans="2:7" x14ac:dyDescent="0.3">
      <c r="B239" s="13"/>
      <c r="F239" s="57"/>
      <c r="G239" s="58"/>
    </row>
    <row r="240" spans="2:7" x14ac:dyDescent="0.3">
      <c r="B240" s="13"/>
      <c r="F240" s="57"/>
      <c r="G240" s="58"/>
    </row>
    <row r="241" spans="2:7" x14ac:dyDescent="0.3">
      <c r="B241" s="13"/>
      <c r="F241" s="57"/>
      <c r="G241" s="58"/>
    </row>
    <row r="242" spans="2:7" x14ac:dyDescent="0.3">
      <c r="B242" s="13"/>
      <c r="F242" s="57"/>
      <c r="G242" s="58"/>
    </row>
    <row r="243" spans="2:7" x14ac:dyDescent="0.3">
      <c r="B243" s="13"/>
      <c r="F243" s="57"/>
      <c r="G243" s="58"/>
    </row>
    <row r="244" spans="2:7" x14ac:dyDescent="0.3">
      <c r="B244" s="13"/>
      <c r="F244" s="57"/>
      <c r="G244" s="58"/>
    </row>
    <row r="245" spans="2:7" x14ac:dyDescent="0.3">
      <c r="B245" s="13"/>
      <c r="F245" s="57"/>
      <c r="G245" s="58"/>
    </row>
    <row r="246" spans="2:7" x14ac:dyDescent="0.3">
      <c r="B246" s="13"/>
      <c r="F246" s="57"/>
      <c r="G246" s="58"/>
    </row>
    <row r="247" spans="2:7" x14ac:dyDescent="0.3">
      <c r="B247" s="13"/>
      <c r="F247" s="57"/>
      <c r="G247" s="58"/>
    </row>
    <row r="248" spans="2:7" x14ac:dyDescent="0.3">
      <c r="B248" s="13"/>
      <c r="F248" s="57"/>
      <c r="G248" s="58"/>
    </row>
    <row r="249" spans="2:7" x14ac:dyDescent="0.3">
      <c r="B249" s="13"/>
      <c r="F249" s="57"/>
      <c r="G249" s="58"/>
    </row>
    <row r="250" spans="2:7" x14ac:dyDescent="0.3">
      <c r="B250" s="13"/>
      <c r="F250" s="57"/>
      <c r="G250" s="58"/>
    </row>
    <row r="251" spans="2:7" x14ac:dyDescent="0.3">
      <c r="B251" s="13"/>
      <c r="F251" s="57"/>
      <c r="G251" s="58"/>
    </row>
    <row r="252" spans="2:7" x14ac:dyDescent="0.3">
      <c r="B252" s="13"/>
      <c r="F252" s="57"/>
      <c r="G252" s="58"/>
    </row>
    <row r="253" spans="2:7" x14ac:dyDescent="0.3">
      <c r="B253" s="13"/>
      <c r="F253" s="57"/>
      <c r="G253" s="58"/>
    </row>
    <row r="254" spans="2:7" x14ac:dyDescent="0.3">
      <c r="B254" s="13"/>
      <c r="F254" s="57"/>
      <c r="G254" s="58"/>
    </row>
    <row r="255" spans="2:7" x14ac:dyDescent="0.3">
      <c r="B255" s="13"/>
      <c r="F255" s="57"/>
      <c r="G255" s="58"/>
    </row>
    <row r="256" spans="2:7" x14ac:dyDescent="0.3">
      <c r="B256" s="13"/>
      <c r="F256" s="57"/>
      <c r="G256" s="58"/>
    </row>
    <row r="257" spans="2:7" x14ac:dyDescent="0.3">
      <c r="B257" s="13"/>
      <c r="F257" s="57"/>
      <c r="G257" s="58"/>
    </row>
    <row r="258" spans="2:7" x14ac:dyDescent="0.3">
      <c r="B258" s="13"/>
      <c r="F258" s="57"/>
      <c r="G258" s="58"/>
    </row>
    <row r="259" spans="2:7" x14ac:dyDescent="0.3">
      <c r="B259" s="13"/>
      <c r="F259" s="57"/>
      <c r="G259" s="58"/>
    </row>
    <row r="260" spans="2:7" x14ac:dyDescent="0.3">
      <c r="B260" s="13"/>
      <c r="F260" s="57"/>
      <c r="G260" s="58"/>
    </row>
    <row r="261" spans="2:7" x14ac:dyDescent="0.3">
      <c r="B261" s="13"/>
      <c r="F261" s="57"/>
      <c r="G261" s="58"/>
    </row>
    <row r="262" spans="2:7" x14ac:dyDescent="0.3">
      <c r="B262" s="13"/>
      <c r="F262" s="57"/>
      <c r="G262" s="58"/>
    </row>
    <row r="263" spans="2:7" x14ac:dyDescent="0.3">
      <c r="B263" s="13"/>
      <c r="F263" s="57"/>
      <c r="G263" s="58"/>
    </row>
    <row r="264" spans="2:7" x14ac:dyDescent="0.3">
      <c r="B264" s="13"/>
      <c r="F264" s="57"/>
      <c r="G264" s="58"/>
    </row>
    <row r="265" spans="2:7" x14ac:dyDescent="0.3">
      <c r="B265" s="13"/>
      <c r="F265" s="57"/>
      <c r="G265" s="58"/>
    </row>
    <row r="266" spans="2:7" x14ac:dyDescent="0.3">
      <c r="B266" s="13"/>
      <c r="F266" s="57"/>
      <c r="G266" s="58"/>
    </row>
    <row r="267" spans="2:7" x14ac:dyDescent="0.3">
      <c r="B267" s="13"/>
      <c r="F267" s="57"/>
      <c r="G267" s="58"/>
    </row>
    <row r="268" spans="2:7" x14ac:dyDescent="0.3">
      <c r="B268" s="13"/>
      <c r="F268" s="57"/>
      <c r="G268" s="58"/>
    </row>
    <row r="269" spans="2:7" x14ac:dyDescent="0.3">
      <c r="B269" s="13"/>
      <c r="F269" s="57"/>
      <c r="G269" s="58"/>
    </row>
    <row r="270" spans="2:7" x14ac:dyDescent="0.3">
      <c r="B270" s="13"/>
      <c r="F270" s="57"/>
      <c r="G270" s="58"/>
    </row>
    <row r="271" spans="2:7" x14ac:dyDescent="0.3">
      <c r="B271" s="13"/>
      <c r="F271" s="57"/>
      <c r="G271" s="58"/>
    </row>
    <row r="272" spans="2:7" x14ac:dyDescent="0.3">
      <c r="B272" s="13"/>
      <c r="F272" s="57"/>
      <c r="G272" s="58"/>
    </row>
    <row r="273" spans="2:7" x14ac:dyDescent="0.3">
      <c r="B273" s="13"/>
      <c r="F273" s="57"/>
      <c r="G273" s="58"/>
    </row>
    <row r="274" spans="2:7" x14ac:dyDescent="0.3">
      <c r="B274" s="13"/>
      <c r="F274" s="57"/>
      <c r="G274" s="58"/>
    </row>
    <row r="275" spans="2:7" x14ac:dyDescent="0.3">
      <c r="B275" s="13"/>
      <c r="F275" s="57"/>
      <c r="G275" s="58"/>
    </row>
    <row r="276" spans="2:7" x14ac:dyDescent="0.3">
      <c r="B276" s="13"/>
      <c r="F276" s="57"/>
      <c r="G276" s="58"/>
    </row>
    <row r="277" spans="2:7" x14ac:dyDescent="0.3">
      <c r="B277" s="13"/>
      <c r="F277" s="57"/>
      <c r="G277" s="58"/>
    </row>
    <row r="278" spans="2:7" x14ac:dyDescent="0.3">
      <c r="B278" s="13"/>
      <c r="F278" s="57"/>
      <c r="G278" s="58"/>
    </row>
    <row r="279" spans="2:7" x14ac:dyDescent="0.3">
      <c r="B279" s="13"/>
      <c r="F279" s="57"/>
      <c r="G279" s="58"/>
    </row>
    <row r="280" spans="2:7" x14ac:dyDescent="0.3">
      <c r="B280" s="13"/>
      <c r="F280" s="57"/>
      <c r="G280" s="58"/>
    </row>
    <row r="281" spans="2:7" x14ac:dyDescent="0.3">
      <c r="B281" s="13"/>
      <c r="F281" s="57"/>
      <c r="G281" s="58"/>
    </row>
    <row r="282" spans="2:7" x14ac:dyDescent="0.3">
      <c r="B282" s="13"/>
      <c r="F282" s="57"/>
      <c r="G282" s="58"/>
    </row>
    <row r="283" spans="2:7" x14ac:dyDescent="0.3">
      <c r="B283" s="13"/>
      <c r="F283" s="57"/>
      <c r="G283" s="58"/>
    </row>
    <row r="284" spans="2:7" x14ac:dyDescent="0.3">
      <c r="B284" s="13"/>
      <c r="F284" s="57"/>
      <c r="G284" s="58"/>
    </row>
    <row r="285" spans="2:7" x14ac:dyDescent="0.3">
      <c r="B285" s="13"/>
      <c r="F285" s="57"/>
      <c r="G285" s="58"/>
    </row>
    <row r="286" spans="2:7" x14ac:dyDescent="0.3">
      <c r="B286" s="13"/>
      <c r="F286" s="57"/>
      <c r="G286" s="58"/>
    </row>
    <row r="287" spans="2:7" x14ac:dyDescent="0.3">
      <c r="B287" s="13"/>
      <c r="F287" s="57"/>
      <c r="G287" s="58"/>
    </row>
    <row r="288" spans="2:7" x14ac:dyDescent="0.3">
      <c r="B288" s="13"/>
      <c r="F288" s="57"/>
      <c r="G288" s="58"/>
    </row>
    <row r="289" spans="2:7" x14ac:dyDescent="0.3">
      <c r="B289" s="13"/>
      <c r="F289" s="57"/>
      <c r="G289" s="58"/>
    </row>
    <row r="290" spans="2:7" x14ac:dyDescent="0.3">
      <c r="B290" s="13"/>
      <c r="F290" s="57"/>
      <c r="G290" s="58"/>
    </row>
    <row r="291" spans="2:7" x14ac:dyDescent="0.3">
      <c r="B291" s="13"/>
      <c r="F291" s="57"/>
      <c r="G291" s="58"/>
    </row>
    <row r="292" spans="2:7" x14ac:dyDescent="0.3">
      <c r="B292" s="13"/>
      <c r="F292" s="57"/>
      <c r="G292" s="58"/>
    </row>
    <row r="293" spans="2:7" x14ac:dyDescent="0.3">
      <c r="B293" s="13"/>
      <c r="F293" s="57"/>
      <c r="G293" s="58"/>
    </row>
    <row r="294" spans="2:7" x14ac:dyDescent="0.3">
      <c r="B294" s="13"/>
      <c r="F294" s="57"/>
      <c r="G294" s="58"/>
    </row>
    <row r="295" spans="2:7" x14ac:dyDescent="0.3">
      <c r="B295" s="13"/>
      <c r="F295" s="57"/>
      <c r="G295" s="58"/>
    </row>
    <row r="296" spans="2:7" x14ac:dyDescent="0.3">
      <c r="B296" s="13"/>
      <c r="F296" s="57"/>
      <c r="G296" s="58"/>
    </row>
    <row r="297" spans="2:7" x14ac:dyDescent="0.3">
      <c r="B297" s="13"/>
      <c r="F297" s="57"/>
      <c r="G297" s="58"/>
    </row>
    <row r="298" spans="2:7" x14ac:dyDescent="0.3">
      <c r="B298" s="13"/>
      <c r="F298" s="57"/>
      <c r="G298" s="58"/>
    </row>
    <row r="299" spans="2:7" x14ac:dyDescent="0.3">
      <c r="B299" s="13"/>
      <c r="F299" s="57"/>
      <c r="G299" s="58"/>
    </row>
    <row r="300" spans="2:7" x14ac:dyDescent="0.3">
      <c r="B300" s="13"/>
      <c r="F300" s="57"/>
      <c r="G300" s="58"/>
    </row>
    <row r="301" spans="2:7" x14ac:dyDescent="0.3">
      <c r="B301" s="13"/>
      <c r="F301" s="57"/>
      <c r="G301" s="58"/>
    </row>
    <row r="302" spans="2:7" x14ac:dyDescent="0.3">
      <c r="B302" s="13"/>
      <c r="F302" s="57"/>
      <c r="G302" s="58"/>
    </row>
    <row r="303" spans="2:7" x14ac:dyDescent="0.3">
      <c r="B303" s="13"/>
      <c r="F303" s="57"/>
      <c r="G303" s="58"/>
    </row>
    <row r="304" spans="2:7" x14ac:dyDescent="0.3">
      <c r="B304" s="13"/>
      <c r="F304" s="57"/>
      <c r="G304" s="58"/>
    </row>
    <row r="305" spans="2:7" x14ac:dyDescent="0.3">
      <c r="B305" s="13"/>
      <c r="F305" s="57"/>
      <c r="G305" s="58"/>
    </row>
    <row r="306" spans="2:7" x14ac:dyDescent="0.3">
      <c r="B306" s="13"/>
      <c r="F306" s="57"/>
      <c r="G306" s="58"/>
    </row>
    <row r="307" spans="2:7" x14ac:dyDescent="0.3">
      <c r="B307" s="13"/>
      <c r="F307" s="57"/>
      <c r="G307" s="58"/>
    </row>
    <row r="308" spans="2:7" x14ac:dyDescent="0.3">
      <c r="B308" s="13"/>
      <c r="F308" s="57"/>
      <c r="G308" s="58"/>
    </row>
    <row r="309" spans="2:7" x14ac:dyDescent="0.3">
      <c r="B309" s="13"/>
      <c r="F309" s="57"/>
      <c r="G309" s="58"/>
    </row>
    <row r="310" spans="2:7" x14ac:dyDescent="0.3">
      <c r="B310" s="13"/>
      <c r="F310" s="57"/>
      <c r="G310" s="58"/>
    </row>
    <row r="311" spans="2:7" x14ac:dyDescent="0.3">
      <c r="B311" s="13"/>
      <c r="F311" s="57"/>
      <c r="G311" s="58"/>
    </row>
    <row r="312" spans="2:7" x14ac:dyDescent="0.3">
      <c r="B312" s="13"/>
      <c r="F312" s="57"/>
      <c r="G312" s="58"/>
    </row>
    <row r="313" spans="2:7" x14ac:dyDescent="0.3">
      <c r="B313" s="13"/>
      <c r="F313" s="57"/>
      <c r="G313" s="58"/>
    </row>
    <row r="314" spans="2:7" x14ac:dyDescent="0.3">
      <c r="B314" s="13"/>
      <c r="F314" s="57"/>
      <c r="G314" s="58"/>
    </row>
    <row r="315" spans="2:7" x14ac:dyDescent="0.3">
      <c r="B315" s="13"/>
      <c r="F315" s="57"/>
      <c r="G315" s="58"/>
    </row>
    <row r="316" spans="2:7" x14ac:dyDescent="0.3">
      <c r="B316" s="13"/>
      <c r="F316" s="57"/>
      <c r="G316" s="58"/>
    </row>
    <row r="317" spans="2:7" x14ac:dyDescent="0.3">
      <c r="B317" s="13"/>
      <c r="F317" s="57"/>
      <c r="G317" s="58"/>
    </row>
    <row r="318" spans="2:7" x14ac:dyDescent="0.3">
      <c r="B318" s="13"/>
      <c r="F318" s="57"/>
      <c r="G318" s="58"/>
    </row>
    <row r="319" spans="2:7" x14ac:dyDescent="0.3">
      <c r="B319" s="13"/>
      <c r="F319" s="57"/>
      <c r="G319" s="58"/>
    </row>
    <row r="320" spans="2:7" x14ac:dyDescent="0.3">
      <c r="B320" s="13"/>
      <c r="F320" s="57"/>
      <c r="G320" s="58"/>
    </row>
    <row r="321" spans="2:7" x14ac:dyDescent="0.3">
      <c r="B321" s="13"/>
      <c r="F321" s="57"/>
      <c r="G321" s="58"/>
    </row>
    <row r="322" spans="2:7" x14ac:dyDescent="0.3">
      <c r="B322" s="13"/>
      <c r="F322" s="57"/>
      <c r="G322" s="58"/>
    </row>
    <row r="323" spans="2:7" x14ac:dyDescent="0.3">
      <c r="B323" s="13"/>
      <c r="F323" s="57"/>
      <c r="G323" s="58"/>
    </row>
    <row r="324" spans="2:7" x14ac:dyDescent="0.3">
      <c r="B324" s="13"/>
      <c r="F324" s="57"/>
      <c r="G324" s="58"/>
    </row>
    <row r="325" spans="2:7" x14ac:dyDescent="0.3">
      <c r="B325" s="13"/>
      <c r="F325" s="57"/>
      <c r="G325" s="58"/>
    </row>
    <row r="326" spans="2:7" x14ac:dyDescent="0.3">
      <c r="B326" s="13"/>
      <c r="F326" s="57"/>
      <c r="G326" s="58"/>
    </row>
    <row r="327" spans="2:7" x14ac:dyDescent="0.3">
      <c r="B327" s="13"/>
      <c r="F327" s="57"/>
      <c r="G327" s="58"/>
    </row>
    <row r="328" spans="2:7" x14ac:dyDescent="0.3">
      <c r="B328" s="13"/>
      <c r="F328" s="57"/>
      <c r="G328" s="58"/>
    </row>
    <row r="329" spans="2:7" x14ac:dyDescent="0.3">
      <c r="B329" s="13"/>
      <c r="F329" s="57"/>
      <c r="G329" s="58"/>
    </row>
    <row r="330" spans="2:7" x14ac:dyDescent="0.3">
      <c r="B330" s="13"/>
      <c r="F330" s="57"/>
      <c r="G330" s="58"/>
    </row>
    <row r="331" spans="2:7" x14ac:dyDescent="0.3">
      <c r="B331" s="13"/>
      <c r="F331" s="57"/>
      <c r="G331" s="58"/>
    </row>
    <row r="332" spans="2:7" x14ac:dyDescent="0.3">
      <c r="B332" s="13"/>
      <c r="F332" s="57"/>
      <c r="G332" s="58"/>
    </row>
    <row r="333" spans="2:7" x14ac:dyDescent="0.3">
      <c r="B333" s="13"/>
      <c r="F333" s="57"/>
      <c r="G333" s="58"/>
    </row>
    <row r="334" spans="2:7" x14ac:dyDescent="0.3">
      <c r="B334" s="13"/>
      <c r="F334" s="57"/>
      <c r="G334" s="58"/>
    </row>
    <row r="335" spans="2:7" x14ac:dyDescent="0.3">
      <c r="B335" s="13"/>
      <c r="F335" s="57"/>
      <c r="G335" s="58"/>
    </row>
    <row r="336" spans="2:7" x14ac:dyDescent="0.3">
      <c r="B336" s="13"/>
      <c r="F336" s="57"/>
      <c r="G336" s="58"/>
    </row>
    <row r="337" spans="2:7" x14ac:dyDescent="0.3">
      <c r="B337" s="13"/>
      <c r="F337" s="57"/>
      <c r="G337" s="58"/>
    </row>
    <row r="338" spans="2:7" x14ac:dyDescent="0.3">
      <c r="B338" s="13"/>
      <c r="F338" s="57"/>
      <c r="G338" s="58"/>
    </row>
    <row r="339" spans="2:7" x14ac:dyDescent="0.3">
      <c r="B339" s="13"/>
      <c r="F339" s="57"/>
      <c r="G339" s="58"/>
    </row>
  </sheetData>
  <autoFilter ref="A10:AM222" xr:uid="{C804743A-7504-4D67-9D5B-1DD0B2C47526}">
    <filterColumn colId="0">
      <customFilters>
        <customFilter operator="notEqual" val=" "/>
      </customFilters>
    </filterColumn>
  </autoFilter>
  <conditionalFormatting sqref="W16:W223">
    <cfRule type="colorScale" priority="147">
      <colorScale>
        <cfvo type="min"/>
        <cfvo type="max"/>
        <color rgb="FFFCFCFF"/>
        <color rgb="FF63BE7B"/>
      </colorScale>
    </cfRule>
  </conditionalFormatting>
  <conditionalFormatting sqref="Y16:Y22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ActualizarDatos">
                <anchor moveWithCells="1" sizeWithCells="1">
                  <from>
                    <xdr:col>5</xdr:col>
                    <xdr:colOff>885825</xdr:colOff>
                    <xdr:row>8</xdr:row>
                    <xdr:rowOff>19050</xdr:rowOff>
                  </from>
                  <to>
                    <xdr:col>6</xdr:col>
                    <xdr:colOff>1095375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overSeleccion">
                <anchor moveWithCells="1" sizeWithCells="1">
                  <from>
                    <xdr:col>6</xdr:col>
                    <xdr:colOff>1314450</xdr:colOff>
                    <xdr:row>8</xdr:row>
                    <xdr:rowOff>0</xdr:rowOff>
                  </from>
                  <to>
                    <xdr:col>10</xdr:col>
                    <xdr:colOff>180975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9" id="{076EED28-B220-4DFE-904A-2BB137910BEA}">
            <x14:iconSet iconSet="3Arrows" custom="1">
              <x14:cfvo type="percent">
                <xm:f>0</xm:f>
              </x14:cfvo>
              <x14:cfvo type="num">
                <xm:f>$P$16</xm:f>
              </x14:cfvo>
              <x14:cfvo type="num">
                <xm:f>$P$16</xm:f>
              </x14:cfvo>
              <x14:cfIcon iconSet="3Arrows" iconId="0"/>
              <x14:cfIcon iconSet="3Arrows" iconId="0"/>
              <x14:cfIcon iconSet="3Arrows" iconId="2"/>
            </x14:iconSet>
          </x14:cfRule>
          <xm:sqref>O16:O223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CD5B8-3591-44F2-938E-92B88F1EA519}">
  <sheetPr codeName="Hoja3"/>
  <dimension ref="A2:AN207"/>
  <sheetViews>
    <sheetView showGridLines="0" tabSelected="1" zoomScale="70" zoomScaleNormal="70" workbookViewId="0">
      <selection activeCell="K7" sqref="K7"/>
    </sheetView>
  </sheetViews>
  <sheetFormatPr baseColWidth="10" defaultRowHeight="16.5" x14ac:dyDescent="0.3"/>
  <cols>
    <col min="1" max="1" width="13.88671875" customWidth="1"/>
    <col min="2" max="2" width="15.33203125" bestFit="1" customWidth="1"/>
    <col min="3" max="3" width="22.44140625" bestFit="1" customWidth="1"/>
    <col min="5" max="5" width="15.109375" customWidth="1"/>
    <col min="7" max="7" width="13.109375" customWidth="1"/>
    <col min="8" max="8" width="13.77734375" bestFit="1" customWidth="1"/>
    <col min="14" max="14" width="21.77734375" customWidth="1"/>
    <col min="17" max="17" width="28.33203125" customWidth="1"/>
    <col min="21" max="21" width="16.33203125" bestFit="1" customWidth="1"/>
    <col min="22" max="22" width="19.88671875" bestFit="1" customWidth="1"/>
    <col min="23" max="23" width="23.5546875" bestFit="1" customWidth="1"/>
    <col min="28" max="28" width="12" bestFit="1" customWidth="1"/>
    <col min="35" max="35" width="18" bestFit="1" customWidth="1"/>
    <col min="37" max="37" width="15.109375" customWidth="1"/>
    <col min="39" max="39" width="10.5546875" customWidth="1"/>
  </cols>
  <sheetData>
    <row r="2" spans="1:40" x14ac:dyDescent="0.3">
      <c r="T2" s="57"/>
      <c r="W2" s="9" t="s">
        <v>600</v>
      </c>
      <c r="X2" s="37" t="s">
        <v>601</v>
      </c>
      <c r="Y2" s="9" t="s">
        <v>602</v>
      </c>
    </row>
    <row r="3" spans="1:40" x14ac:dyDescent="0.3">
      <c r="L3" s="62">
        <v>44927</v>
      </c>
      <c r="U3" s="59"/>
      <c r="W3" s="10" t="e">
        <f ca="1">SUMPRODUCT($W$7:$W$178,$F$7:$F$178)/SUM($F$7:$F$178)</f>
        <v>#NAME?</v>
      </c>
      <c r="X3" s="10" t="e">
        <f ca="1">SUMPRODUCT(X7:X178,$F$7:$F$178)/SUM($F$7:$F$178)</f>
        <v>#NAME?</v>
      </c>
      <c r="Y3" s="10" t="e">
        <f ca="1">SUMPRODUCT(Y7:Y178,$F$7:$F$178)/SUM($F$7:$F$178)</f>
        <v>#NAME?</v>
      </c>
      <c r="AC3" s="58"/>
    </row>
    <row r="4" spans="1:40" x14ac:dyDescent="0.3">
      <c r="G4" s="57"/>
      <c r="L4" s="62">
        <f ca="1">WORKDAY(TODAY(),-1)</f>
        <v>45202</v>
      </c>
      <c r="O4" s="61"/>
      <c r="V4" s="60" t="s">
        <v>603</v>
      </c>
      <c r="W4" s="72" t="s">
        <v>604</v>
      </c>
      <c r="X4" s="60"/>
      <c r="Y4" s="72"/>
      <c r="Z4" s="60"/>
      <c r="AA4" s="60"/>
      <c r="AB4" s="60"/>
      <c r="AC4" s="60"/>
      <c r="AD4" s="60"/>
      <c r="AE4" s="60"/>
      <c r="AF4" s="72"/>
      <c r="AG4" s="72"/>
      <c r="AH4" s="72"/>
      <c r="AI4" s="60"/>
      <c r="AJ4" s="60"/>
      <c r="AK4" s="72"/>
      <c r="AL4" s="60"/>
    </row>
    <row r="5" spans="1:40" x14ac:dyDescent="0.3">
      <c r="L5" s="24" t="s">
        <v>605</v>
      </c>
      <c r="O5" s="61"/>
      <c r="P5" s="61"/>
      <c r="Q5" s="61" t="s">
        <v>606</v>
      </c>
      <c r="R5" s="60" t="s">
        <v>607</v>
      </c>
      <c r="S5" s="60" t="s">
        <v>608</v>
      </c>
      <c r="T5" s="60" t="s">
        <v>609</v>
      </c>
      <c r="U5" s="60" t="s">
        <v>610</v>
      </c>
      <c r="V5" s="60" t="s">
        <v>611</v>
      </c>
      <c r="W5" s="60" t="s">
        <v>612</v>
      </c>
      <c r="X5" s="60" t="s">
        <v>613</v>
      </c>
      <c r="Y5" s="60" t="s">
        <v>614</v>
      </c>
      <c r="Z5" s="60" t="s">
        <v>615</v>
      </c>
      <c r="AA5" s="60" t="s">
        <v>616</v>
      </c>
      <c r="AB5" s="60" t="s">
        <v>617</v>
      </c>
      <c r="AC5" s="60" t="s">
        <v>614</v>
      </c>
      <c r="AD5" s="60" t="s">
        <v>618</v>
      </c>
      <c r="AE5" s="60" t="s">
        <v>619</v>
      </c>
      <c r="AF5" s="60" t="s">
        <v>620</v>
      </c>
      <c r="AG5" s="60" t="s">
        <v>621</v>
      </c>
      <c r="AH5" s="60" t="s">
        <v>622</v>
      </c>
      <c r="AI5" s="60" t="s">
        <v>623</v>
      </c>
      <c r="AJ5" s="60" t="s">
        <v>624</v>
      </c>
      <c r="AK5" s="60" t="s">
        <v>625</v>
      </c>
      <c r="AL5" s="60" t="s">
        <v>626</v>
      </c>
      <c r="AM5" s="60"/>
      <c r="AN5" s="60"/>
    </row>
    <row r="6" spans="1:40" ht="17.25" thickBot="1" x14ac:dyDescent="0.35">
      <c r="A6" s="14" t="s">
        <v>627</v>
      </c>
      <c r="B6" t="s">
        <v>628</v>
      </c>
      <c r="C6" t="s">
        <v>658</v>
      </c>
      <c r="D6" t="s">
        <v>657</v>
      </c>
      <c r="E6" t="s">
        <v>653</v>
      </c>
      <c r="F6" t="s">
        <v>654</v>
      </c>
      <c r="G6" t="s">
        <v>655</v>
      </c>
      <c r="H6" s="14" t="s">
        <v>653</v>
      </c>
      <c r="I6" s="14" t="s">
        <v>654</v>
      </c>
      <c r="J6" s="14" t="s">
        <v>655</v>
      </c>
      <c r="K6" s="26" t="s">
        <v>629</v>
      </c>
      <c r="L6" s="27" t="s">
        <v>630</v>
      </c>
      <c r="M6" s="28" t="s">
        <v>631</v>
      </c>
      <c r="N6" s="61" t="s">
        <v>632</v>
      </c>
      <c r="O6" s="46" t="s">
        <v>605</v>
      </c>
      <c r="P6" s="47" t="s">
        <v>633</v>
      </c>
      <c r="Q6" s="26" t="s">
        <v>634</v>
      </c>
      <c r="R6" s="48" t="s">
        <v>635</v>
      </c>
      <c r="S6" s="48" t="s">
        <v>636</v>
      </c>
      <c r="T6" s="48" t="s">
        <v>598</v>
      </c>
      <c r="U6" s="48" t="s">
        <v>596</v>
      </c>
      <c r="V6" s="48" t="s">
        <v>637</v>
      </c>
      <c r="W6" s="48" t="s">
        <v>638</v>
      </c>
      <c r="X6" s="48" t="s">
        <v>639</v>
      </c>
      <c r="Y6" s="48" t="s">
        <v>640</v>
      </c>
      <c r="Z6" s="48" t="s">
        <v>641</v>
      </c>
      <c r="AA6" s="48" t="s">
        <v>642</v>
      </c>
      <c r="AB6" s="48" t="s">
        <v>643</v>
      </c>
      <c r="AC6" s="48" t="s">
        <v>642</v>
      </c>
      <c r="AD6" s="48" t="s">
        <v>618</v>
      </c>
      <c r="AE6" s="48" t="s">
        <v>644</v>
      </c>
      <c r="AF6" s="48" t="s">
        <v>645</v>
      </c>
      <c r="AG6" s="48" t="s">
        <v>646</v>
      </c>
      <c r="AH6" s="48" t="s">
        <v>647</v>
      </c>
      <c r="AI6" s="48" t="s">
        <v>648</v>
      </c>
      <c r="AJ6" s="48" t="s">
        <v>649</v>
      </c>
      <c r="AK6" s="49" t="s">
        <v>650</v>
      </c>
      <c r="AL6" s="49" t="s">
        <v>651</v>
      </c>
      <c r="AM6" s="49" t="s">
        <v>597</v>
      </c>
      <c r="AN6" s="49" t="s">
        <v>951</v>
      </c>
    </row>
    <row r="7" spans="1:40" ht="17.25" thickTop="1" x14ac:dyDescent="0.3">
      <c r="A7" s="67" t="s">
        <v>323</v>
      </c>
      <c r="B7" s="68" t="s">
        <v>323</v>
      </c>
      <c r="C7" s="75">
        <v>9362</v>
      </c>
      <c r="D7" s="75">
        <v>128</v>
      </c>
      <c r="E7" s="75">
        <v>200000</v>
      </c>
      <c r="F7" s="69">
        <v>0.14722307000000001</v>
      </c>
      <c r="G7" s="70">
        <v>201510</v>
      </c>
      <c r="H7" s="67">
        <v>200000</v>
      </c>
      <c r="I7" s="67">
        <v>0.14722307000000001</v>
      </c>
      <c r="J7" s="67">
        <v>201510</v>
      </c>
      <c r="K7" s="71">
        <v>100.755</v>
      </c>
      <c r="L7" s="29" t="e">
        <f ca="1">IF(B7="","",_xll.BDP(A7&amp;" Corp","INTERVAL_HIGH","START_DATE_OVERRIDE",TEXT($L$3,"AAAAMMDD"),"END_DATE_OVERRIDE",TEXT($L$4,"AAAAMMDD"),"MARKET_DATA_OVERRIDE",$L$5))</f>
        <v>#NAME?</v>
      </c>
      <c r="M7" s="30" t="e">
        <f ca="1">IF(B7="","",_xll.BDP($A7&amp;" Corp","INTERVAL_LOW","START_DATE_OVERRIDE",TEXT($L$3,"AAAAMMDD"),"END_DATE_OVERRIDE",TEXT($L$4,"AAAAMMDD"),"MARKET_DATA_OVERRIDE",$L$5))</f>
        <v>#NAME?</v>
      </c>
      <c r="N7" s="31" t="s">
        <v>774</v>
      </c>
      <c r="O7" s="32" t="e">
        <f ca="1">IF($B7="","",_xll.BDP($A7&amp;" Corp",O$6))</f>
        <v>#NAME?</v>
      </c>
      <c r="P7" s="32" t="e">
        <f ca="1">IF($B7="","",_xll.BDP($A7&amp;" Corp",P$6))</f>
        <v>#NAME?</v>
      </c>
      <c r="Q7" s="30" t="e">
        <f ca="1">IF($B7="","",_xll.BDP($A7&amp;" Corp",Q$5))</f>
        <v>#NAME?</v>
      </c>
      <c r="R7" s="30" t="e">
        <f ca="1">IF($B7="","",_xll.BDP($A7&amp;" Corp",R$5))</f>
        <v>#NAME?</v>
      </c>
      <c r="S7" s="50" t="e">
        <f ca="1">IF($B7="","",_xll.BDP($A7&amp;" Corp",S$5))</f>
        <v>#NAME?</v>
      </c>
      <c r="T7" s="30" t="e">
        <f ca="1">IF($B7="","",_xll.BDP($A7&amp;" Corp",T$5))</f>
        <v>#NAME?</v>
      </c>
      <c r="U7" s="30" t="e">
        <f ca="1">IF($B7="","",_xll.BDP($A7&amp;" Corp",U$5))</f>
        <v>#NAME?</v>
      </c>
      <c r="V7" s="51" t="e">
        <f ca="1">IF($B7="","",IF($T7="VARIABLE",_xll.BDP($A7&amp;" Corp",V$4),_xll.BDP($A7&amp;" Corp",V$5)))</f>
        <v>#NAME?</v>
      </c>
      <c r="W7" s="30" t="e">
        <f ca="1">IF($B7="","",IF($T7="VARIABLE",_xll.BDP($A7&amp;" Corp",W$4),_xll.BDP($A7&amp;" Corp",W$5)))</f>
        <v>#NAME?</v>
      </c>
      <c r="X7" s="30" t="e">
        <f ca="1">IF($B7="","",_xll.BDP($A7&amp;" Corp",X$5))</f>
        <v>#NAME?</v>
      </c>
      <c r="Y7" s="33" t="e">
        <f ca="1">IF($B7="","",_xll.BDP($A7&amp;" Corp",Y$5))</f>
        <v>#NAME?</v>
      </c>
      <c r="Z7" s="52" t="e">
        <f ca="1">IF($B7="","",_xll.BDP($A7&amp;" Corp",Z$5))</f>
        <v>#NAME?</v>
      </c>
      <c r="AA7" s="53" t="e">
        <f ca="1">IF($B7="","",_xll.BDP($A7&amp;" Corp",AA$5))</f>
        <v>#NAME?</v>
      </c>
      <c r="AB7" s="54" t="e">
        <f ca="1">IF($B7="","",_xll.BDP($A7&amp;" Corp",AB$5))</f>
        <v>#NAME?</v>
      </c>
      <c r="AC7" s="54" t="e">
        <f ca="1">IF($B7="","",_xll.BDP($A7&amp;" Corp",AC$5))</f>
        <v>#NAME?</v>
      </c>
      <c r="AD7" s="55" t="e">
        <f ca="1">IF($B7="","",_xll.BDP($A7&amp;" Corp",AD$5))</f>
        <v>#NAME?</v>
      </c>
      <c r="AE7" s="56" t="e">
        <f ca="1">IF($B7="","",_xll.BDP($A7&amp;" Corp",AE$5))</f>
        <v>#NAME?</v>
      </c>
      <c r="AF7" s="29" t="e">
        <f ca="1">IF($B7="","",_xll.BDP($A7&amp;" Corp",AF$5))</f>
        <v>#NAME?</v>
      </c>
      <c r="AG7" s="33" t="e">
        <f ca="1">IF($B7="","",_xll.BDP($A7&amp;" Corp",AG$5))</f>
        <v>#NAME?</v>
      </c>
      <c r="AH7" s="30" t="e">
        <f ca="1">IF($B7="","",_xll.BDP($A7&amp;" Corp",AH$5))</f>
        <v>#NAME?</v>
      </c>
      <c r="AI7" s="30" t="e">
        <f ca="1">IF($B7="","",_xll.BDP($A7&amp;" Corp",AI$5))</f>
        <v>#NAME?</v>
      </c>
      <c r="AJ7" s="30" t="e">
        <f ca="1">IF($B7="","",_xll.BDP($A7&amp;" Corp",AJ$5))</f>
        <v>#NAME?</v>
      </c>
      <c r="AK7" s="11" t="e">
        <f ca="1">IF($B7="","",_xll.BDP($A7&amp;" Corp",AK$5))</f>
        <v>#NAME?</v>
      </c>
      <c r="AL7" s="11" t="e">
        <f ca="1">IF($B7="","",_xll.BDP($A7&amp;" Corp",AL$5))</f>
        <v>#NAME?</v>
      </c>
      <c r="AM7" s="11">
        <v>3</v>
      </c>
      <c r="AN7" s="57">
        <v>3</v>
      </c>
    </row>
    <row r="8" spans="1:40" x14ac:dyDescent="0.3">
      <c r="A8" s="67" t="s">
        <v>574</v>
      </c>
      <c r="B8" s="68" t="s">
        <v>574</v>
      </c>
      <c r="C8" s="75">
        <v>7286</v>
      </c>
      <c r="D8" s="75">
        <v>128</v>
      </c>
      <c r="E8" s="75">
        <v>900000</v>
      </c>
      <c r="F8" s="69">
        <v>0.64603666999999998</v>
      </c>
      <c r="G8" s="70">
        <v>900028.64</v>
      </c>
      <c r="H8" s="67">
        <v>900000</v>
      </c>
      <c r="I8" s="67">
        <v>0.64603666999999998</v>
      </c>
      <c r="J8" s="67">
        <v>900028.64</v>
      </c>
      <c r="K8" s="71">
        <v>100.00318222222222</v>
      </c>
      <c r="L8" s="29" t="e">
        <f ca="1">IF(B8="","",_xll.BDP(A8&amp;" Corp","INTERVAL_HIGH","START_DATE_OVERRIDE",TEXT($L$3,"AAAAMMDD"),"END_DATE_OVERRIDE",TEXT($L$4,"AAAAMMDD"),"MARKET_DATA_OVERRIDE",$L$5))</f>
        <v>#NAME?</v>
      </c>
      <c r="M8" s="30" t="e">
        <f ca="1">IF(B8="","",_xll.BDP($A8&amp;" Corp","INTERVAL_LOW","START_DATE_OVERRIDE",TEXT($L$3,"AAAAMMDD"),"END_DATE_OVERRIDE",TEXT($L$4,"AAAAMMDD"),"MARKET_DATA_OVERRIDE",$L$5))</f>
        <v>#NAME?</v>
      </c>
      <c r="N8" s="31" t="s">
        <v>775</v>
      </c>
      <c r="O8" s="32" t="e">
        <f ca="1">IF($B8="","",_xll.BDP($A8&amp;" Corp",O$6))</f>
        <v>#NAME?</v>
      </c>
      <c r="P8" s="32" t="e">
        <f ca="1">IF($B8="","",_xll.BDP($A8&amp;" Corp",P$6))</f>
        <v>#NAME?</v>
      </c>
      <c r="Q8" s="30" t="e">
        <f ca="1">IF($B8="","",_xll.BDP($A8&amp;" Corp",Q$5))</f>
        <v>#NAME?</v>
      </c>
      <c r="R8" s="30" t="e">
        <f ca="1">IF($B8="","",_xll.BDP($A8&amp;" Corp",R$5))</f>
        <v>#NAME?</v>
      </c>
      <c r="S8" s="50" t="e">
        <f ca="1">IF($B8="","",_xll.BDP($A8&amp;" Corp",S$5))</f>
        <v>#NAME?</v>
      </c>
      <c r="T8" s="30" t="e">
        <f ca="1">IF($B8="","",_xll.BDP($A8&amp;" Corp",T$5))</f>
        <v>#NAME?</v>
      </c>
      <c r="U8" s="30" t="e">
        <f ca="1">IF($B8="","",_xll.BDP($A8&amp;" Corp",U$5))</f>
        <v>#NAME?</v>
      </c>
      <c r="V8" s="51" t="e">
        <f ca="1">IF($B8="","",IF($T8="VARIABLE",_xll.BDP($A8&amp;" Corp",V$4),_xll.BDP($A8&amp;" Corp",V$5)))</f>
        <v>#NAME?</v>
      </c>
      <c r="W8" s="30" t="e">
        <f ca="1">IF($B8="","",IF($T8="VARIABLE",_xll.BDP($A8&amp;" Corp",W$4),_xll.BDP($A8&amp;" Corp",W$5)))</f>
        <v>#NAME?</v>
      </c>
      <c r="X8" s="30" t="e">
        <f ca="1">IF($B8="","",_xll.BDP($A8&amp;" Corp",X$5))</f>
        <v>#NAME?</v>
      </c>
      <c r="Y8" s="33" t="e">
        <f ca="1">IF($B8="","",_xll.BDP($A8&amp;" Corp",Y$5))</f>
        <v>#NAME?</v>
      </c>
      <c r="Z8" s="52" t="e">
        <f ca="1">IF($B8="","",_xll.BDP($A8&amp;" Corp",Z$5))</f>
        <v>#NAME?</v>
      </c>
      <c r="AA8" s="53" t="e">
        <f ca="1">IF($B8="","",_xll.BDP($A8&amp;" Corp",AA$5))</f>
        <v>#NAME?</v>
      </c>
      <c r="AB8" s="54" t="e">
        <f ca="1">IF($B8="","",_xll.BDP($A8&amp;" Corp",AB$5))</f>
        <v>#NAME?</v>
      </c>
      <c r="AC8" s="54" t="e">
        <f ca="1">IF($B8="","",_xll.BDP($A8&amp;" Corp",AC$5))</f>
        <v>#NAME?</v>
      </c>
      <c r="AD8" s="55" t="e">
        <f ca="1">IF($B8="","",_xll.BDP($A8&amp;" Corp",AD$5))</f>
        <v>#NAME?</v>
      </c>
      <c r="AE8" s="56" t="e">
        <f ca="1">IF($B8="","",_xll.BDP($A8&amp;" Corp",AE$5))</f>
        <v>#NAME?</v>
      </c>
      <c r="AF8" s="29" t="e">
        <f ca="1">IF($B8="","",_xll.BDP($A8&amp;" Corp",AF$5))</f>
        <v>#NAME?</v>
      </c>
      <c r="AG8" s="33" t="e">
        <f ca="1">IF($B8="","",_xll.BDP($A8&amp;" Corp",AG$5))</f>
        <v>#NAME?</v>
      </c>
      <c r="AH8" s="30" t="e">
        <f ca="1">IF($B8="","",_xll.BDP($A8&amp;" Corp",AH$5))</f>
        <v>#NAME?</v>
      </c>
      <c r="AI8" s="30" t="e">
        <f ca="1">IF($B8="","",_xll.BDP($A8&amp;" Corp",AI$5))</f>
        <v>#NAME?</v>
      </c>
      <c r="AJ8" s="30" t="e">
        <f ca="1">IF($B8="","",_xll.BDP($A8&amp;" Corp",AJ$5))</f>
        <v>#NAME?</v>
      </c>
      <c r="AK8" s="11" t="e">
        <f ca="1">IF($B8="","",_xll.BDP($A8&amp;" Corp",AK$5))</f>
        <v>#NAME?</v>
      </c>
      <c r="AL8" s="11" t="e">
        <f ca="1">IF($B8="","",_xll.BDP($A8&amp;" Corp",AL$5))</f>
        <v>#NAME?</v>
      </c>
      <c r="AM8" s="11">
        <v>5</v>
      </c>
      <c r="AN8" s="57">
        <v>4</v>
      </c>
    </row>
    <row r="9" spans="1:40" x14ac:dyDescent="0.3">
      <c r="A9" s="67" t="s">
        <v>592</v>
      </c>
      <c r="B9" s="68" t="s">
        <v>592</v>
      </c>
      <c r="C9" s="75">
        <v>10473</v>
      </c>
      <c r="D9" s="75">
        <v>128</v>
      </c>
      <c r="E9" s="75">
        <v>3000000</v>
      </c>
      <c r="F9" s="69">
        <v>2.3919625999999998</v>
      </c>
      <c r="G9" s="70">
        <v>2922630</v>
      </c>
      <c r="H9" s="67">
        <v>3000000</v>
      </c>
      <c r="I9" s="67">
        <v>2.3919625999999998</v>
      </c>
      <c r="J9" s="67">
        <v>2922630</v>
      </c>
      <c r="K9" s="71">
        <v>97.421000000000006</v>
      </c>
      <c r="L9" s="29" t="e">
        <f ca="1">IF(B9="","",_xll.BDP(A9&amp;" Corp","INTERVAL_HIGH","START_DATE_OVERRIDE",TEXT($L$3,"AAAAMMDD"),"END_DATE_OVERRIDE",TEXT($L$4,"AAAAMMDD"),"MARKET_DATA_OVERRIDE",$L$5))</f>
        <v>#NAME?</v>
      </c>
      <c r="M9" s="30" t="e">
        <f ca="1">IF(B9="","",_xll.BDP($A9&amp;" Corp","INTERVAL_LOW","START_DATE_OVERRIDE",TEXT($L$3,"AAAAMMDD"),"END_DATE_OVERRIDE",TEXT($L$4,"AAAAMMDD"),"MARKET_DATA_OVERRIDE",$L$5))</f>
        <v>#NAME?</v>
      </c>
      <c r="N9" s="31" t="s">
        <v>776</v>
      </c>
      <c r="O9" s="32" t="e">
        <f ca="1">IF($B9="","",_xll.BDP($A9&amp;" Corp",O$6))</f>
        <v>#NAME?</v>
      </c>
      <c r="P9" s="32" t="e">
        <f ca="1">IF($B9="","",_xll.BDP($A9&amp;" Corp",P$6))</f>
        <v>#NAME?</v>
      </c>
      <c r="Q9" s="30" t="e">
        <f ca="1">IF($B9="","",_xll.BDP($A9&amp;" Corp",Q$5))</f>
        <v>#NAME?</v>
      </c>
      <c r="R9" s="30" t="e">
        <f ca="1">IF($B9="","",_xll.BDP($A9&amp;" Corp",R$5))</f>
        <v>#NAME?</v>
      </c>
      <c r="S9" s="50" t="e">
        <f ca="1">IF($B9="","",_xll.BDP($A9&amp;" Corp",S$5))</f>
        <v>#NAME?</v>
      </c>
      <c r="T9" s="30" t="e">
        <f ca="1">IF($B9="","",_xll.BDP($A9&amp;" Corp",T$5))</f>
        <v>#NAME?</v>
      </c>
      <c r="U9" s="30" t="e">
        <f ca="1">IF($B9="","",_xll.BDP($A9&amp;" Corp",U$5))</f>
        <v>#NAME?</v>
      </c>
      <c r="V9" s="51" t="e">
        <f ca="1">IF($B9="","",IF($T9="VARIABLE",_xll.BDP($A9&amp;" Corp",V$4),_xll.BDP($A9&amp;" Corp",V$5)))</f>
        <v>#NAME?</v>
      </c>
      <c r="W9" s="30" t="e">
        <f ca="1">IF($B9="","",IF($T9="VARIABLE",_xll.BDP($A9&amp;" Corp",W$4),_xll.BDP($A9&amp;" Corp",W$5)))</f>
        <v>#NAME?</v>
      </c>
      <c r="X9" s="30" t="e">
        <f ca="1">IF($B9="","",_xll.BDP($A9&amp;" Corp",X$5))</f>
        <v>#NAME?</v>
      </c>
      <c r="Y9" s="33" t="e">
        <f ca="1">IF($B9="","",_xll.BDP($A9&amp;" Corp",Y$5))</f>
        <v>#NAME?</v>
      </c>
      <c r="Z9" s="52" t="e">
        <f ca="1">IF($B9="","",_xll.BDP($A9&amp;" Corp",Z$5))</f>
        <v>#NAME?</v>
      </c>
      <c r="AA9" s="53" t="e">
        <f ca="1">IF($B9="","",_xll.BDP($A9&amp;" Corp",AA$5))</f>
        <v>#NAME?</v>
      </c>
      <c r="AB9" s="54" t="e">
        <f ca="1">IF($B9="","",_xll.BDP($A9&amp;" Corp",AB$5))</f>
        <v>#NAME?</v>
      </c>
      <c r="AC9" s="54" t="e">
        <f ca="1">IF($B9="","",_xll.BDP($A9&amp;" Corp",AC$5))</f>
        <v>#NAME?</v>
      </c>
      <c r="AD9" s="55" t="e">
        <f ca="1">IF($B9="","",_xll.BDP($A9&amp;" Corp",AD$5))</f>
        <v>#NAME?</v>
      </c>
      <c r="AE9" s="56" t="e">
        <f ca="1">IF($B9="","",_xll.BDP($A9&amp;" Corp",AE$5))</f>
        <v>#NAME?</v>
      </c>
      <c r="AF9" s="29" t="e">
        <f ca="1">IF($B9="","",_xll.BDP($A9&amp;" Corp",AF$5))</f>
        <v>#NAME?</v>
      </c>
      <c r="AG9" s="33" t="e">
        <f ca="1">IF($B9="","",_xll.BDP($A9&amp;" Corp",AG$5))</f>
        <v>#NAME?</v>
      </c>
      <c r="AH9" s="30" t="e">
        <f ca="1">IF($B9="","",_xll.BDP($A9&amp;" Corp",AH$5))</f>
        <v>#NAME?</v>
      </c>
      <c r="AI9" s="30" t="e">
        <f ca="1">IF($B9="","",_xll.BDP($A9&amp;" Corp",AI$5))</f>
        <v>#NAME?</v>
      </c>
      <c r="AJ9" s="30" t="e">
        <f ca="1">IF($B9="","",_xll.BDP($A9&amp;" Corp",AJ$5))</f>
        <v>#NAME?</v>
      </c>
      <c r="AK9" s="11" t="e">
        <f ca="1">IF($B9="","",_xll.BDP($A9&amp;" Corp",AK$5))</f>
        <v>#NAME?</v>
      </c>
      <c r="AL9" s="11" t="e">
        <f ca="1">IF($B9="","",_xll.BDP($A9&amp;" Corp",AL$5))</f>
        <v>#NAME?</v>
      </c>
      <c r="AM9" s="11">
        <v>1</v>
      </c>
      <c r="AN9" s="57">
        <v>0.4</v>
      </c>
    </row>
    <row r="10" spans="1:40" x14ac:dyDescent="0.3">
      <c r="A10" s="67" t="s">
        <v>493</v>
      </c>
      <c r="B10" s="68" t="s">
        <v>493</v>
      </c>
      <c r="C10" s="75">
        <v>9792</v>
      </c>
      <c r="D10" s="75">
        <v>128</v>
      </c>
      <c r="E10" s="75">
        <v>700000</v>
      </c>
      <c r="F10" s="69">
        <v>0.53263654000000005</v>
      </c>
      <c r="G10" s="70">
        <v>680127</v>
      </c>
      <c r="H10" s="67">
        <v>700000</v>
      </c>
      <c r="I10" s="67">
        <v>0.53263654000000005</v>
      </c>
      <c r="J10" s="67">
        <v>680127</v>
      </c>
      <c r="K10" s="71">
        <v>97.161000000000001</v>
      </c>
      <c r="L10" s="29" t="e">
        <f ca="1">IF(B10="","",_xll.BDP(A10&amp;" Corp","INTERVAL_HIGH","START_DATE_OVERRIDE",TEXT($L$3,"AAAAMMDD"),"END_DATE_OVERRIDE",TEXT($L$4,"AAAAMMDD"),"MARKET_DATA_OVERRIDE",$L$5))</f>
        <v>#NAME?</v>
      </c>
      <c r="M10" s="30" t="e">
        <f ca="1">IF(B10="","",_xll.BDP($A10&amp;" Corp","INTERVAL_LOW","START_DATE_OVERRIDE",TEXT($L$3,"AAAAMMDD"),"END_DATE_OVERRIDE",TEXT($L$4,"AAAAMMDD"),"MARKET_DATA_OVERRIDE",$L$5))</f>
        <v>#NAME?</v>
      </c>
      <c r="N10" s="31" t="s">
        <v>777</v>
      </c>
      <c r="O10" s="32" t="e">
        <f ca="1">IF($B10="","",_xll.BDP($A10&amp;" Corp",O$6))</f>
        <v>#NAME?</v>
      </c>
      <c r="P10" s="32" t="e">
        <f ca="1">IF($B10="","",_xll.BDP($A10&amp;" Corp",P$6))</f>
        <v>#NAME?</v>
      </c>
      <c r="Q10" s="30" t="e">
        <f ca="1">IF($B10="","",_xll.BDP($A10&amp;" Corp",Q$5))</f>
        <v>#NAME?</v>
      </c>
      <c r="R10" s="30" t="e">
        <f ca="1">IF($B10="","",_xll.BDP($A10&amp;" Corp",R$5))</f>
        <v>#NAME?</v>
      </c>
      <c r="S10" s="50" t="e">
        <f ca="1">IF($B10="","",_xll.BDP($A10&amp;" Corp",S$5))</f>
        <v>#NAME?</v>
      </c>
      <c r="T10" s="30" t="e">
        <f ca="1">IF($B10="","",_xll.BDP($A10&amp;" Corp",T$5))</f>
        <v>#NAME?</v>
      </c>
      <c r="U10" s="30" t="e">
        <f ca="1">IF($B10="","",_xll.BDP($A10&amp;" Corp",U$5))</f>
        <v>#NAME?</v>
      </c>
      <c r="V10" s="51" t="e">
        <f ca="1">IF($B10="","",IF($T10="VARIABLE",_xll.BDP($A10&amp;" Corp",V$4),_xll.BDP($A10&amp;" Corp",V$5)))</f>
        <v>#NAME?</v>
      </c>
      <c r="W10" s="30" t="e">
        <f ca="1">IF($B10="","",IF($T10="VARIABLE",_xll.BDP($A10&amp;" Corp",W$4),_xll.BDP($A10&amp;" Corp",W$5)))</f>
        <v>#NAME?</v>
      </c>
      <c r="X10" s="30" t="e">
        <f ca="1">IF($B10="","",_xll.BDP($A10&amp;" Corp",X$5))</f>
        <v>#NAME?</v>
      </c>
      <c r="Y10" s="33" t="e">
        <f ca="1">IF($B10="","",_xll.BDP($A10&amp;" Corp",Y$5))</f>
        <v>#NAME?</v>
      </c>
      <c r="Z10" s="52" t="e">
        <f ca="1">IF($B10="","",_xll.BDP($A10&amp;" Corp",Z$5))</f>
        <v>#NAME?</v>
      </c>
      <c r="AA10" s="53" t="e">
        <f ca="1">IF($B10="","",_xll.BDP($A10&amp;" Corp",AA$5))</f>
        <v>#NAME?</v>
      </c>
      <c r="AB10" s="54" t="e">
        <f ca="1">IF($B10="","",_xll.BDP($A10&amp;" Corp",AB$5))</f>
        <v>#NAME?</v>
      </c>
      <c r="AC10" s="54" t="e">
        <f ca="1">IF($B10="","",_xll.BDP($A10&amp;" Corp",AC$5))</f>
        <v>#NAME?</v>
      </c>
      <c r="AD10" s="55" t="e">
        <f ca="1">IF($B10="","",_xll.BDP($A10&amp;" Corp",AD$5))</f>
        <v>#NAME?</v>
      </c>
      <c r="AE10" s="56" t="e">
        <f ca="1">IF($B10="","",_xll.BDP($A10&amp;" Corp",AE$5))</f>
        <v>#NAME?</v>
      </c>
      <c r="AF10" s="29" t="e">
        <f ca="1">IF($B10="","",_xll.BDP($A10&amp;" Corp",AF$5))</f>
        <v>#NAME?</v>
      </c>
      <c r="AG10" s="33" t="e">
        <f ca="1">IF($B10="","",_xll.BDP($A10&amp;" Corp",AG$5))</f>
        <v>#NAME?</v>
      </c>
      <c r="AH10" s="30" t="e">
        <f ca="1">IF($B10="","",_xll.BDP($A10&amp;" Corp",AH$5))</f>
        <v>#NAME?</v>
      </c>
      <c r="AI10" s="30" t="e">
        <f ca="1">IF($B10="","",_xll.BDP($A10&amp;" Corp",AI$5))</f>
        <v>#NAME?</v>
      </c>
      <c r="AJ10" s="30" t="e">
        <f ca="1">IF($B10="","",_xll.BDP($A10&amp;" Corp",AJ$5))</f>
        <v>#NAME?</v>
      </c>
      <c r="AK10" s="11" t="e">
        <f ca="1">IF($B10="","",_xll.BDP($A10&amp;" Corp",AK$5))</f>
        <v>#NAME?</v>
      </c>
      <c r="AL10" s="11" t="e">
        <f ca="1">IF($B10="","",_xll.BDP($A10&amp;" Corp",AL$5))</f>
        <v>#NAME?</v>
      </c>
      <c r="AM10" s="11">
        <v>4</v>
      </c>
      <c r="AN10" s="57">
        <v>4</v>
      </c>
    </row>
    <row r="11" spans="1:40" x14ac:dyDescent="0.3">
      <c r="A11" s="67" t="s">
        <v>498</v>
      </c>
      <c r="B11" s="68" t="s">
        <v>498</v>
      </c>
      <c r="C11" s="75">
        <v>7495</v>
      </c>
      <c r="D11" s="75">
        <v>128</v>
      </c>
      <c r="E11" s="75">
        <v>900000</v>
      </c>
      <c r="F11" s="69">
        <v>0.62693725</v>
      </c>
      <c r="G11" s="70">
        <v>975264</v>
      </c>
      <c r="H11" s="67">
        <v>900000</v>
      </c>
      <c r="I11" s="67">
        <v>0.62693725</v>
      </c>
      <c r="J11" s="67">
        <v>975264</v>
      </c>
      <c r="K11" s="71">
        <v>108.36266666666667</v>
      </c>
      <c r="L11" s="29" t="e">
        <f ca="1">IF(B11="","",_xll.BDP(A11&amp;" Corp","INTERVAL_HIGH","START_DATE_OVERRIDE",TEXT($L$3,"AAAAMMDD"),"END_DATE_OVERRIDE",TEXT($L$4,"AAAAMMDD"),"MARKET_DATA_OVERRIDE",$L$5))</f>
        <v>#NAME?</v>
      </c>
      <c r="M11" s="30" t="e">
        <f ca="1">IF(B11="","",_xll.BDP($A11&amp;" Corp","INTERVAL_LOW","START_DATE_OVERRIDE",TEXT($L$3,"AAAAMMDD"),"END_DATE_OVERRIDE",TEXT($L$4,"AAAAMMDD"),"MARKET_DATA_OVERRIDE",$L$5))</f>
        <v>#NAME?</v>
      </c>
      <c r="N11" s="31" t="s">
        <v>778</v>
      </c>
      <c r="O11" s="32" t="e">
        <f ca="1">IF($B11="","",_xll.BDP($A11&amp;" Corp",O$6))</f>
        <v>#NAME?</v>
      </c>
      <c r="P11" s="32" t="e">
        <f ca="1">IF($B11="","",_xll.BDP($A11&amp;" Corp",P$6))</f>
        <v>#NAME?</v>
      </c>
      <c r="Q11" s="30" t="e">
        <f ca="1">IF($B11="","",_xll.BDP($A11&amp;" Corp",Q$5))</f>
        <v>#NAME?</v>
      </c>
      <c r="R11" s="30" t="e">
        <f ca="1">IF($B11="","",_xll.BDP($A11&amp;" Corp",R$5))</f>
        <v>#NAME?</v>
      </c>
      <c r="S11" s="50" t="e">
        <f ca="1">IF($B11="","",_xll.BDP($A11&amp;" Corp",S$5))</f>
        <v>#NAME?</v>
      </c>
      <c r="T11" s="30" t="e">
        <f ca="1">IF($B11="","",_xll.BDP($A11&amp;" Corp",T$5))</f>
        <v>#NAME?</v>
      </c>
      <c r="U11" s="30" t="e">
        <f ca="1">IF($B11="","",_xll.BDP($A11&amp;" Corp",U$5))</f>
        <v>#NAME?</v>
      </c>
      <c r="V11" s="51" t="e">
        <f ca="1">IF($B11="","",IF($T11="VARIABLE",_xll.BDP($A11&amp;" Corp",V$4),_xll.BDP($A11&amp;" Corp",V$5)))</f>
        <v>#NAME?</v>
      </c>
      <c r="W11" s="30" t="e">
        <f ca="1">IF($B11="","",IF($T11="VARIABLE",_xll.BDP($A11&amp;" Corp",W$4),_xll.BDP($A11&amp;" Corp",W$5)))</f>
        <v>#NAME?</v>
      </c>
      <c r="X11" s="30" t="e">
        <f ca="1">IF($B11="","",_xll.BDP($A11&amp;" Corp",X$5))</f>
        <v>#NAME?</v>
      </c>
      <c r="Y11" s="33" t="e">
        <f ca="1">IF($B11="","",_xll.BDP($A11&amp;" Corp",Y$5))</f>
        <v>#NAME?</v>
      </c>
      <c r="Z11" s="52" t="e">
        <f ca="1">IF($B11="","",_xll.BDP($A11&amp;" Corp",Z$5))</f>
        <v>#NAME?</v>
      </c>
      <c r="AA11" s="53" t="e">
        <f ca="1">IF($B11="","",_xll.BDP($A11&amp;" Corp",AA$5))</f>
        <v>#NAME?</v>
      </c>
      <c r="AB11" s="54" t="e">
        <f ca="1">IF($B11="","",_xll.BDP($A11&amp;" Corp",AB$5))</f>
        <v>#NAME?</v>
      </c>
      <c r="AC11" s="54" t="e">
        <f ca="1">IF($B11="","",_xll.BDP($A11&amp;" Corp",AC$5))</f>
        <v>#NAME?</v>
      </c>
      <c r="AD11" s="55" t="e">
        <f ca="1">IF($B11="","",_xll.BDP($A11&amp;" Corp",AD$5))</f>
        <v>#NAME?</v>
      </c>
      <c r="AE11" s="56" t="e">
        <f ca="1">IF($B11="","",_xll.BDP($A11&amp;" Corp",AE$5))</f>
        <v>#NAME?</v>
      </c>
      <c r="AF11" s="29" t="e">
        <f ca="1">IF($B11="","",_xll.BDP($A11&amp;" Corp",AF$5))</f>
        <v>#NAME?</v>
      </c>
      <c r="AG11" s="33" t="e">
        <f ca="1">IF($B11="","",_xll.BDP($A11&amp;" Corp",AG$5))</f>
        <v>#NAME?</v>
      </c>
      <c r="AH11" s="30" t="e">
        <f ca="1">IF($B11="","",_xll.BDP($A11&amp;" Corp",AH$5))</f>
        <v>#NAME?</v>
      </c>
      <c r="AI11" s="30" t="e">
        <f ca="1">IF($B11="","",_xll.BDP($A11&amp;" Corp",AI$5))</f>
        <v>#NAME?</v>
      </c>
      <c r="AJ11" s="30" t="e">
        <f ca="1">IF($B11="","",_xll.BDP($A11&amp;" Corp",AJ$5))</f>
        <v>#NAME?</v>
      </c>
      <c r="AK11" s="11" t="e">
        <f ca="1">IF($B11="","",_xll.BDP($A11&amp;" Corp",AK$5))</f>
        <v>#NAME?</v>
      </c>
      <c r="AL11" s="11" t="e">
        <f ca="1">IF($B11="","",_xll.BDP($A11&amp;" Corp",AL$5))</f>
        <v>#NAME?</v>
      </c>
      <c r="AM11" s="11">
        <v>8</v>
      </c>
      <c r="AN11" s="57">
        <v>7</v>
      </c>
    </row>
    <row r="12" spans="1:40" x14ac:dyDescent="0.3">
      <c r="A12" s="67" t="s">
        <v>500</v>
      </c>
      <c r="B12" s="68" t="s">
        <v>500</v>
      </c>
      <c r="C12" s="75">
        <v>8786</v>
      </c>
      <c r="D12" s="75">
        <v>128</v>
      </c>
      <c r="E12" s="75">
        <v>1100000</v>
      </c>
      <c r="F12" s="69">
        <v>0.67952493000000003</v>
      </c>
      <c r="G12" s="70">
        <v>1084441.42</v>
      </c>
      <c r="H12" s="67">
        <v>1100000</v>
      </c>
      <c r="I12" s="67">
        <v>0.67952493000000003</v>
      </c>
      <c r="J12" s="67">
        <v>1084441.42</v>
      </c>
      <c r="K12" s="71">
        <v>98.585583636363637</v>
      </c>
      <c r="L12" s="29" t="e">
        <f ca="1">IF(B12="","",_xll.BDP(A12&amp;" Corp","INTERVAL_HIGH","START_DATE_OVERRIDE",TEXT($L$3,"AAAAMMDD"),"END_DATE_OVERRIDE",TEXT($L$4,"AAAAMMDD"),"MARKET_DATA_OVERRIDE",$L$5))</f>
        <v>#NAME?</v>
      </c>
      <c r="M12" s="30" t="e">
        <f ca="1">IF(B12="","",_xll.BDP($A12&amp;" Corp","INTERVAL_LOW","START_DATE_OVERRIDE",TEXT($L$3,"AAAAMMDD"),"END_DATE_OVERRIDE",TEXT($L$4,"AAAAMMDD"),"MARKET_DATA_OVERRIDE",$L$5))</f>
        <v>#NAME?</v>
      </c>
      <c r="N12" s="31" t="s">
        <v>779</v>
      </c>
      <c r="O12" s="32" t="e">
        <f ca="1">IF($B12="","",_xll.BDP($A12&amp;" Corp",O$6))</f>
        <v>#NAME?</v>
      </c>
      <c r="P12" s="32" t="e">
        <f ca="1">IF($B12="","",_xll.BDP($A12&amp;" Corp",P$6))</f>
        <v>#NAME?</v>
      </c>
      <c r="Q12" s="30" t="e">
        <f ca="1">IF($B12="","",_xll.BDP($A12&amp;" Corp",Q$5))</f>
        <v>#NAME?</v>
      </c>
      <c r="R12" s="30" t="e">
        <f ca="1">IF($B12="","",_xll.BDP($A12&amp;" Corp",R$5))</f>
        <v>#NAME?</v>
      </c>
      <c r="S12" s="50" t="e">
        <f ca="1">IF($B12="","",_xll.BDP($A12&amp;" Corp",S$5))</f>
        <v>#NAME?</v>
      </c>
      <c r="T12" s="30" t="e">
        <f ca="1">IF($B12="","",_xll.BDP($A12&amp;" Corp",T$5))</f>
        <v>#NAME?</v>
      </c>
      <c r="U12" s="30" t="e">
        <f ca="1">IF($B12="","",_xll.BDP($A12&amp;" Corp",U$5))</f>
        <v>#NAME?</v>
      </c>
      <c r="V12" s="51" t="e">
        <f ca="1">IF($B12="","",IF($T12="VARIABLE",_xll.BDP($A12&amp;" Corp",V$4),_xll.BDP($A12&amp;" Corp",V$5)))</f>
        <v>#NAME?</v>
      </c>
      <c r="W12" s="30" t="e">
        <f ca="1">IF($B12="","",IF($T12="VARIABLE",_xll.BDP($A12&amp;" Corp",W$4),_xll.BDP($A12&amp;" Corp",W$5)))</f>
        <v>#NAME?</v>
      </c>
      <c r="X12" s="30" t="e">
        <f ca="1">IF($B12="","",_xll.BDP($A12&amp;" Corp",X$5))</f>
        <v>#NAME?</v>
      </c>
      <c r="Y12" s="33" t="e">
        <f ca="1">IF($B12="","",_xll.BDP($A12&amp;" Corp",Y$5))</f>
        <v>#NAME?</v>
      </c>
      <c r="Z12" s="52" t="e">
        <f ca="1">IF($B12="","",_xll.BDP($A12&amp;" Corp",Z$5))</f>
        <v>#NAME?</v>
      </c>
      <c r="AA12" s="53" t="e">
        <f ca="1">IF($B12="","",_xll.BDP($A12&amp;" Corp",AA$5))</f>
        <v>#NAME?</v>
      </c>
      <c r="AB12" s="54" t="e">
        <f ca="1">IF($B12="","",_xll.BDP($A12&amp;" Corp",AB$5))</f>
        <v>#NAME?</v>
      </c>
      <c r="AC12" s="54" t="e">
        <f ca="1">IF($B12="","",_xll.BDP($A12&amp;" Corp",AC$5))</f>
        <v>#NAME?</v>
      </c>
      <c r="AD12" s="55" t="e">
        <f ca="1">IF($B12="","",_xll.BDP($A12&amp;" Corp",AD$5))</f>
        <v>#NAME?</v>
      </c>
      <c r="AE12" s="56" t="e">
        <f ca="1">IF($B12="","",_xll.BDP($A12&amp;" Corp",AE$5))</f>
        <v>#NAME?</v>
      </c>
      <c r="AF12" s="29" t="e">
        <f ca="1">IF($B12="","",_xll.BDP($A12&amp;" Corp",AF$5))</f>
        <v>#NAME?</v>
      </c>
      <c r="AG12" s="33" t="e">
        <f ca="1">IF($B12="","",_xll.BDP($A12&amp;" Corp",AG$5))</f>
        <v>#NAME?</v>
      </c>
      <c r="AH12" s="30" t="e">
        <f ca="1">IF($B12="","",_xll.BDP($A12&amp;" Corp",AH$5))</f>
        <v>#NAME?</v>
      </c>
      <c r="AI12" s="30" t="e">
        <f ca="1">IF($B12="","",_xll.BDP($A12&amp;" Corp",AI$5))</f>
        <v>#NAME?</v>
      </c>
      <c r="AJ12" s="30" t="e">
        <f ca="1">IF($B12="","",_xll.BDP($A12&amp;" Corp",AJ$5))</f>
        <v>#NAME?</v>
      </c>
      <c r="AK12" s="11" t="e">
        <f ca="1">IF($B12="","",_xll.BDP($A12&amp;" Corp",AK$5))</f>
        <v>#NAME?</v>
      </c>
      <c r="AL12" s="11" t="e">
        <f ca="1">IF($B12="","",_xll.BDP($A12&amp;" Corp",AL$5))</f>
        <v>#NAME?</v>
      </c>
      <c r="AM12" s="11">
        <v>8</v>
      </c>
      <c r="AN12" s="57">
        <v>8</v>
      </c>
    </row>
    <row r="13" spans="1:40" x14ac:dyDescent="0.3">
      <c r="A13" s="67" t="s">
        <v>502</v>
      </c>
      <c r="B13" s="68" t="s">
        <v>502</v>
      </c>
      <c r="C13" s="75">
        <v>9676</v>
      </c>
      <c r="D13" s="75">
        <v>128</v>
      </c>
      <c r="E13" s="75">
        <v>400000</v>
      </c>
      <c r="F13" s="69">
        <v>0.25222223999999999</v>
      </c>
      <c r="G13" s="70">
        <v>406268</v>
      </c>
      <c r="H13" s="67">
        <v>400000</v>
      </c>
      <c r="I13" s="67">
        <v>0.25222223999999999</v>
      </c>
      <c r="J13" s="67">
        <v>406268</v>
      </c>
      <c r="K13" s="71">
        <v>101.56699999999999</v>
      </c>
      <c r="L13" s="29" t="e">
        <f ca="1">IF(B13="","",_xll.BDP(A13&amp;" Corp","INTERVAL_HIGH","START_DATE_OVERRIDE",TEXT($L$3,"AAAAMMDD"),"END_DATE_OVERRIDE",TEXT($L$4,"AAAAMMDD"),"MARKET_DATA_OVERRIDE",$L$5))</f>
        <v>#NAME?</v>
      </c>
      <c r="M13" s="30" t="e">
        <f ca="1">IF(B13="","",_xll.BDP($A13&amp;" Corp","INTERVAL_LOW","START_DATE_OVERRIDE",TEXT($L$3,"AAAAMMDD"),"END_DATE_OVERRIDE",TEXT($L$4,"AAAAMMDD"),"MARKET_DATA_OVERRIDE",$L$5))</f>
        <v>#NAME?</v>
      </c>
      <c r="N13" s="31" t="s">
        <v>780</v>
      </c>
      <c r="O13" s="32" t="e">
        <f ca="1">IF($B13="","",_xll.BDP($A13&amp;" Corp",O$6))</f>
        <v>#NAME?</v>
      </c>
      <c r="P13" s="32" t="e">
        <f ca="1">IF($B13="","",_xll.BDP($A13&amp;" Corp",P$6))</f>
        <v>#NAME?</v>
      </c>
      <c r="Q13" s="30" t="e">
        <f ca="1">IF($B13="","",_xll.BDP($A13&amp;" Corp",Q$5))</f>
        <v>#NAME?</v>
      </c>
      <c r="R13" s="30" t="e">
        <f ca="1">IF($B13="","",_xll.BDP($A13&amp;" Corp",R$5))</f>
        <v>#NAME?</v>
      </c>
      <c r="S13" s="50" t="e">
        <f ca="1">IF($B13="","",_xll.BDP($A13&amp;" Corp",S$5))</f>
        <v>#NAME?</v>
      </c>
      <c r="T13" s="30" t="e">
        <f ca="1">IF($B13="","",_xll.BDP($A13&amp;" Corp",T$5))</f>
        <v>#NAME?</v>
      </c>
      <c r="U13" s="30" t="e">
        <f ca="1">IF($B13="","",_xll.BDP($A13&amp;" Corp",U$5))</f>
        <v>#NAME?</v>
      </c>
      <c r="V13" s="51" t="e">
        <f ca="1">IF($B13="","",IF($T13="VARIABLE",_xll.BDP($A13&amp;" Corp",V$4),_xll.BDP($A13&amp;" Corp",V$5)))</f>
        <v>#NAME?</v>
      </c>
      <c r="W13" s="30" t="e">
        <f ca="1">IF($B13="","",IF($T13="VARIABLE",_xll.BDP($A13&amp;" Corp",W$4),_xll.BDP($A13&amp;" Corp",W$5)))</f>
        <v>#NAME?</v>
      </c>
      <c r="X13" s="30" t="e">
        <f ca="1">IF($B13="","",_xll.BDP($A13&amp;" Corp",X$5))</f>
        <v>#NAME?</v>
      </c>
      <c r="Y13" s="33" t="e">
        <f ca="1">IF($B13="","",_xll.BDP($A13&amp;" Corp",Y$5))</f>
        <v>#NAME?</v>
      </c>
      <c r="Z13" s="52" t="e">
        <f ca="1">IF($B13="","",_xll.BDP($A13&amp;" Corp",Z$5))</f>
        <v>#NAME?</v>
      </c>
      <c r="AA13" s="53" t="e">
        <f ca="1">IF($B13="","",_xll.BDP($A13&amp;" Corp",AA$5))</f>
        <v>#NAME?</v>
      </c>
      <c r="AB13" s="54" t="e">
        <f ca="1">IF($B13="","",_xll.BDP($A13&amp;" Corp",AB$5))</f>
        <v>#NAME?</v>
      </c>
      <c r="AC13" s="54" t="e">
        <f ca="1">IF($B13="","",_xll.BDP($A13&amp;" Corp",AC$5))</f>
        <v>#NAME?</v>
      </c>
      <c r="AD13" s="55" t="e">
        <f ca="1">IF($B13="","",_xll.BDP($A13&amp;" Corp",AD$5))</f>
        <v>#NAME?</v>
      </c>
      <c r="AE13" s="56" t="e">
        <f ca="1">IF($B13="","",_xll.BDP($A13&amp;" Corp",AE$5))</f>
        <v>#NAME?</v>
      </c>
      <c r="AF13" s="29" t="e">
        <f ca="1">IF($B13="","",_xll.BDP($A13&amp;" Corp",AF$5))</f>
        <v>#NAME?</v>
      </c>
      <c r="AG13" s="33" t="e">
        <f ca="1">IF($B13="","",_xll.BDP($A13&amp;" Corp",AG$5))</f>
        <v>#NAME?</v>
      </c>
      <c r="AH13" s="30" t="e">
        <f ca="1">IF($B13="","",_xll.BDP($A13&amp;" Corp",AH$5))</f>
        <v>#NAME?</v>
      </c>
      <c r="AI13" s="30" t="e">
        <f ca="1">IF($B13="","",_xll.BDP($A13&amp;" Corp",AI$5))</f>
        <v>#NAME?</v>
      </c>
      <c r="AJ13" s="30" t="e">
        <f ca="1">IF($B13="","",_xll.BDP($A13&amp;" Corp",AJ$5))</f>
        <v>#NAME?</v>
      </c>
      <c r="AK13" s="11" t="e">
        <f ca="1">IF($B13="","",_xll.BDP($A13&amp;" Corp",AK$5))</f>
        <v>#NAME?</v>
      </c>
      <c r="AL13" s="11" t="e">
        <f ca="1">IF($B13="","",_xll.BDP($A13&amp;" Corp",AL$5))</f>
        <v>#NAME?</v>
      </c>
      <c r="AM13" s="11">
        <v>9</v>
      </c>
      <c r="AN13" s="57">
        <v>8</v>
      </c>
    </row>
    <row r="14" spans="1:40" x14ac:dyDescent="0.3">
      <c r="A14" s="67" t="s">
        <v>504</v>
      </c>
      <c r="B14" s="68" t="s">
        <v>504</v>
      </c>
      <c r="C14" s="75">
        <v>9709</v>
      </c>
      <c r="D14" s="75">
        <v>128</v>
      </c>
      <c r="E14" s="75">
        <v>800000</v>
      </c>
      <c r="F14" s="69">
        <v>0.50345572999999999</v>
      </c>
      <c r="G14" s="70">
        <v>688561</v>
      </c>
      <c r="H14" s="67">
        <v>800000</v>
      </c>
      <c r="I14" s="67">
        <v>0.50345572999999999</v>
      </c>
      <c r="J14" s="67">
        <v>688561</v>
      </c>
      <c r="K14" s="71">
        <v>86.070125000000004</v>
      </c>
      <c r="L14" s="29" t="e">
        <f ca="1">IF(B14="","",_xll.BDP(A14&amp;" Corp","INTERVAL_HIGH","START_DATE_OVERRIDE",TEXT($L$3,"AAAAMMDD"),"END_DATE_OVERRIDE",TEXT($L$4,"AAAAMMDD"),"MARKET_DATA_OVERRIDE",$L$5))</f>
        <v>#NAME?</v>
      </c>
      <c r="M14" s="30" t="e">
        <f ca="1">IF(B14="","",_xll.BDP($A14&amp;" Corp","INTERVAL_LOW","START_DATE_OVERRIDE",TEXT($L$3,"AAAAMMDD"),"END_DATE_OVERRIDE",TEXT($L$4,"AAAAMMDD"),"MARKET_DATA_OVERRIDE",$L$5))</f>
        <v>#NAME?</v>
      </c>
      <c r="N14" s="31" t="s">
        <v>781</v>
      </c>
      <c r="O14" s="32" t="e">
        <f ca="1">IF($B14="","",_xll.BDP($A14&amp;" Corp",O$6))</f>
        <v>#NAME?</v>
      </c>
      <c r="P14" s="32" t="e">
        <f ca="1">IF($B14="","",_xll.BDP($A14&amp;" Corp",P$6))</f>
        <v>#NAME?</v>
      </c>
      <c r="Q14" s="30" t="e">
        <f ca="1">IF($B14="","",_xll.BDP($A14&amp;" Corp",Q$5))</f>
        <v>#NAME?</v>
      </c>
      <c r="R14" s="30" t="e">
        <f ca="1">IF($B14="","",_xll.BDP($A14&amp;" Corp",R$5))</f>
        <v>#NAME?</v>
      </c>
      <c r="S14" s="50" t="e">
        <f ca="1">IF($B14="","",_xll.BDP($A14&amp;" Corp",S$5))</f>
        <v>#NAME?</v>
      </c>
      <c r="T14" s="30" t="e">
        <f ca="1">IF($B14="","",_xll.BDP($A14&amp;" Corp",T$5))</f>
        <v>#NAME?</v>
      </c>
      <c r="U14" s="30" t="e">
        <f ca="1">IF($B14="","",_xll.BDP($A14&amp;" Corp",U$5))</f>
        <v>#NAME?</v>
      </c>
      <c r="V14" s="51" t="e">
        <f ca="1">IF($B14="","",IF($T14="VARIABLE",_xll.BDP($A14&amp;" Corp",V$4),_xll.BDP($A14&amp;" Corp",V$5)))</f>
        <v>#NAME?</v>
      </c>
      <c r="W14" s="30" t="e">
        <f ca="1">IF($B14="","",IF($T14="VARIABLE",_xll.BDP($A14&amp;" Corp",W$4),_xll.BDP($A14&amp;" Corp",W$5)))</f>
        <v>#NAME?</v>
      </c>
      <c r="X14" s="30" t="e">
        <f ca="1">IF($B14="","",_xll.BDP($A14&amp;" Corp",X$5))</f>
        <v>#NAME?</v>
      </c>
      <c r="Y14" s="33" t="e">
        <f ca="1">IF($B14="","",_xll.BDP($A14&amp;" Corp",Y$5))</f>
        <v>#NAME?</v>
      </c>
      <c r="Z14" s="52" t="e">
        <f ca="1">IF($B14="","",_xll.BDP($A14&amp;" Corp",Z$5))</f>
        <v>#NAME?</v>
      </c>
      <c r="AA14" s="53" t="e">
        <f ca="1">IF($B14="","",_xll.BDP($A14&amp;" Corp",AA$5))</f>
        <v>#NAME?</v>
      </c>
      <c r="AB14" s="54" t="e">
        <f ca="1">IF($B14="","",_xll.BDP($A14&amp;" Corp",AB$5))</f>
        <v>#NAME?</v>
      </c>
      <c r="AC14" s="54" t="e">
        <f ca="1">IF($B14="","",_xll.BDP($A14&amp;" Corp",AC$5))</f>
        <v>#NAME?</v>
      </c>
      <c r="AD14" s="55" t="e">
        <f ca="1">IF($B14="","",_xll.BDP($A14&amp;" Corp",AD$5))</f>
        <v>#NAME?</v>
      </c>
      <c r="AE14" s="56" t="e">
        <f ca="1">IF($B14="","",_xll.BDP($A14&amp;" Corp",AE$5))</f>
        <v>#NAME?</v>
      </c>
      <c r="AF14" s="29" t="e">
        <f ca="1">IF($B14="","",_xll.BDP($A14&amp;" Corp",AF$5))</f>
        <v>#NAME?</v>
      </c>
      <c r="AG14" s="33" t="e">
        <f ca="1">IF($B14="","",_xll.BDP($A14&amp;" Corp",AG$5))</f>
        <v>#NAME?</v>
      </c>
      <c r="AH14" s="30" t="e">
        <f ca="1">IF($B14="","",_xll.BDP($A14&amp;" Corp",AH$5))</f>
        <v>#NAME?</v>
      </c>
      <c r="AI14" s="30" t="e">
        <f ca="1">IF($B14="","",_xll.BDP($A14&amp;" Corp",AI$5))</f>
        <v>#NAME?</v>
      </c>
      <c r="AJ14" s="30" t="e">
        <f ca="1">IF($B14="","",_xll.BDP($A14&amp;" Corp",AJ$5))</f>
        <v>#NAME?</v>
      </c>
      <c r="AK14" s="11" t="e">
        <f ca="1">IF($B14="","",_xll.BDP($A14&amp;" Corp",AK$5))</f>
        <v>#NAME?</v>
      </c>
      <c r="AL14" s="11" t="e">
        <f ca="1">IF($B14="","",_xll.BDP($A14&amp;" Corp",AL$5))</f>
        <v>#NAME?</v>
      </c>
      <c r="AM14" s="11">
        <v>9</v>
      </c>
      <c r="AN14" s="57">
        <v>9</v>
      </c>
    </row>
    <row r="15" spans="1:40" x14ac:dyDescent="0.3">
      <c r="A15" s="67" t="s">
        <v>506</v>
      </c>
      <c r="B15" s="68" t="s">
        <v>506</v>
      </c>
      <c r="C15" s="75">
        <v>10174</v>
      </c>
      <c r="D15" s="75">
        <v>128</v>
      </c>
      <c r="E15" s="75">
        <v>200000</v>
      </c>
      <c r="F15" s="69">
        <v>0.15260034</v>
      </c>
      <c r="G15" s="70">
        <v>188018</v>
      </c>
      <c r="H15" s="67">
        <v>200000</v>
      </c>
      <c r="I15" s="67">
        <v>0.15260034</v>
      </c>
      <c r="J15" s="67">
        <v>188018</v>
      </c>
      <c r="K15" s="71">
        <v>94.009</v>
      </c>
      <c r="L15" s="29" t="e">
        <f ca="1">IF(B15="","",_xll.BDP(A15&amp;" Corp","INTERVAL_HIGH","START_DATE_OVERRIDE",TEXT($L$3,"AAAAMMDD"),"END_DATE_OVERRIDE",TEXT($L$4,"AAAAMMDD"),"MARKET_DATA_OVERRIDE",$L$5))</f>
        <v>#NAME?</v>
      </c>
      <c r="M15" s="30" t="e">
        <f ca="1">IF(B15="","",_xll.BDP($A15&amp;" Corp","INTERVAL_LOW","START_DATE_OVERRIDE",TEXT($L$3,"AAAAMMDD"),"END_DATE_OVERRIDE",TEXT($L$4,"AAAAMMDD"),"MARKET_DATA_OVERRIDE",$L$5))</f>
        <v>#NAME?</v>
      </c>
      <c r="N15" s="31" t="s">
        <v>782</v>
      </c>
      <c r="O15" s="32" t="e">
        <f ca="1">IF($B15="","",_xll.BDP($A15&amp;" Corp",O$6))</f>
        <v>#NAME?</v>
      </c>
      <c r="P15" s="32" t="e">
        <f ca="1">IF($B15="","",_xll.BDP($A15&amp;" Corp",P$6))</f>
        <v>#NAME?</v>
      </c>
      <c r="Q15" s="30" t="e">
        <f ca="1">IF($B15="","",_xll.BDP($A15&amp;" Corp",Q$5))</f>
        <v>#NAME?</v>
      </c>
      <c r="R15" s="30" t="e">
        <f ca="1">IF($B15="","",_xll.BDP($A15&amp;" Corp",R$5))</f>
        <v>#NAME?</v>
      </c>
      <c r="S15" s="50" t="e">
        <f ca="1">IF($B15="","",_xll.BDP($A15&amp;" Corp",S$5))</f>
        <v>#NAME?</v>
      </c>
      <c r="T15" s="30" t="e">
        <f ca="1">IF($B15="","",_xll.BDP($A15&amp;" Corp",T$5))</f>
        <v>#NAME?</v>
      </c>
      <c r="U15" s="30" t="e">
        <f ca="1">IF($B15="","",_xll.BDP($A15&amp;" Corp",U$5))</f>
        <v>#NAME?</v>
      </c>
      <c r="V15" s="51" t="e">
        <f ca="1">IF($B15="","",IF($T15="VARIABLE",_xll.BDP($A15&amp;" Corp",V$4),_xll.BDP($A15&amp;" Corp",V$5)))</f>
        <v>#NAME?</v>
      </c>
      <c r="W15" s="30" t="e">
        <f ca="1">IF($B15="","",IF($T15="VARIABLE",_xll.BDP($A15&amp;" Corp",W$4),_xll.BDP($A15&amp;" Corp",W$5)))</f>
        <v>#NAME?</v>
      </c>
      <c r="X15" s="30" t="e">
        <f ca="1">IF($B15="","",_xll.BDP($A15&amp;" Corp",X$5))</f>
        <v>#NAME?</v>
      </c>
      <c r="Y15" s="33" t="e">
        <f ca="1">IF($B15="","",_xll.BDP($A15&amp;" Corp",Y$5))</f>
        <v>#NAME?</v>
      </c>
      <c r="Z15" s="52" t="e">
        <f ca="1">IF($B15="","",_xll.BDP($A15&amp;" Corp",Z$5))</f>
        <v>#NAME?</v>
      </c>
      <c r="AA15" s="53" t="e">
        <f ca="1">IF($B15="","",_xll.BDP($A15&amp;" Corp",AA$5))</f>
        <v>#NAME?</v>
      </c>
      <c r="AB15" s="54" t="e">
        <f ca="1">IF($B15="","",_xll.BDP($A15&amp;" Corp",AB$5))</f>
        <v>#NAME?</v>
      </c>
      <c r="AC15" s="54" t="e">
        <f ca="1">IF($B15="","",_xll.BDP($A15&amp;" Corp",AC$5))</f>
        <v>#NAME?</v>
      </c>
      <c r="AD15" s="55" t="e">
        <f ca="1">IF($B15="","",_xll.BDP($A15&amp;" Corp",AD$5))</f>
        <v>#NAME?</v>
      </c>
      <c r="AE15" s="56" t="e">
        <f ca="1">IF($B15="","",_xll.BDP($A15&amp;" Corp",AE$5))</f>
        <v>#NAME?</v>
      </c>
      <c r="AF15" s="29" t="e">
        <f ca="1">IF($B15="","",_xll.BDP($A15&amp;" Corp",AF$5))</f>
        <v>#NAME?</v>
      </c>
      <c r="AG15" s="33" t="e">
        <f ca="1">IF($B15="","",_xll.BDP($A15&amp;" Corp",AG$5))</f>
        <v>#NAME?</v>
      </c>
      <c r="AH15" s="30" t="e">
        <f ca="1">IF($B15="","",_xll.BDP($A15&amp;" Corp",AH$5))</f>
        <v>#NAME?</v>
      </c>
      <c r="AI15" s="30" t="e">
        <f ca="1">IF($B15="","",_xll.BDP($A15&amp;" Corp",AI$5))</f>
        <v>#NAME?</v>
      </c>
      <c r="AJ15" s="30" t="e">
        <f ca="1">IF($B15="","",_xll.BDP($A15&amp;" Corp",AJ$5))</f>
        <v>#NAME?</v>
      </c>
      <c r="AK15" s="11" t="e">
        <f ca="1">IF($B15="","",_xll.BDP($A15&amp;" Corp",AK$5))</f>
        <v>#NAME?</v>
      </c>
      <c r="AL15" s="11" t="e">
        <f ca="1">IF($B15="","",_xll.BDP($A15&amp;" Corp",AL$5))</f>
        <v>#NAME?</v>
      </c>
      <c r="AM15" s="11">
        <v>2</v>
      </c>
      <c r="AN15" s="57">
        <v>2</v>
      </c>
    </row>
    <row r="16" spans="1:40" x14ac:dyDescent="0.3">
      <c r="A16" s="67" t="s">
        <v>343</v>
      </c>
      <c r="B16" s="68" t="s">
        <v>343</v>
      </c>
      <c r="C16" s="75">
        <v>7225</v>
      </c>
      <c r="D16" s="75">
        <v>128</v>
      </c>
      <c r="E16" s="75">
        <v>500000</v>
      </c>
      <c r="F16" s="69">
        <v>0.36902992000000001</v>
      </c>
      <c r="G16" s="70">
        <v>491323.75</v>
      </c>
      <c r="H16" s="67">
        <v>500000</v>
      </c>
      <c r="I16" s="67">
        <v>0.36902992000000001</v>
      </c>
      <c r="J16" s="67">
        <v>491323.75</v>
      </c>
      <c r="K16" s="71">
        <v>98.264750000000006</v>
      </c>
      <c r="L16" s="29" t="e">
        <f ca="1">IF(B16="","",_xll.BDP(A16&amp;" Corp","INTERVAL_HIGH","START_DATE_OVERRIDE",TEXT($L$3,"AAAAMMDD"),"END_DATE_OVERRIDE",TEXT($L$4,"AAAAMMDD"),"MARKET_DATA_OVERRIDE",$L$5))</f>
        <v>#NAME?</v>
      </c>
      <c r="M16" s="30" t="e">
        <f ca="1">IF(B16="","",_xll.BDP($A16&amp;" Corp","INTERVAL_LOW","START_DATE_OVERRIDE",TEXT($L$3,"AAAAMMDD"),"END_DATE_OVERRIDE",TEXT($L$4,"AAAAMMDD"),"MARKET_DATA_OVERRIDE",$L$5))</f>
        <v>#NAME?</v>
      </c>
      <c r="N16" s="31" t="s">
        <v>783</v>
      </c>
      <c r="O16" s="32" t="e">
        <f ca="1">IF($B16="","",_xll.BDP($A16&amp;" Corp",O$6))</f>
        <v>#NAME?</v>
      </c>
      <c r="P16" s="32" t="e">
        <f ca="1">IF($B16="","",_xll.BDP($A16&amp;" Corp",P$6))</f>
        <v>#NAME?</v>
      </c>
      <c r="Q16" s="30" t="e">
        <f ca="1">IF($B16="","",_xll.BDP($A16&amp;" Corp",Q$5))</f>
        <v>#NAME?</v>
      </c>
      <c r="R16" s="30" t="e">
        <f ca="1">IF($B16="","",_xll.BDP($A16&amp;" Corp",R$5))</f>
        <v>#NAME?</v>
      </c>
      <c r="S16" s="50" t="e">
        <f ca="1">IF($B16="","",_xll.BDP($A16&amp;" Corp",S$5))</f>
        <v>#NAME?</v>
      </c>
      <c r="T16" s="30" t="e">
        <f ca="1">IF($B16="","",_xll.BDP($A16&amp;" Corp",T$5))</f>
        <v>#NAME?</v>
      </c>
      <c r="U16" s="30" t="e">
        <f ca="1">IF($B16="","",_xll.BDP($A16&amp;" Corp",U$5))</f>
        <v>#NAME?</v>
      </c>
      <c r="V16" s="51" t="e">
        <f ca="1">IF($B16="","",IF($T16="VARIABLE",_xll.BDP($A16&amp;" Corp",V$4),_xll.BDP($A16&amp;" Corp",V$5)))</f>
        <v>#NAME?</v>
      </c>
      <c r="W16" s="30" t="e">
        <f ca="1">IF($B16="","",IF($T16="VARIABLE",_xll.BDP($A16&amp;" Corp",W$4),_xll.BDP($A16&amp;" Corp",W$5)))</f>
        <v>#NAME?</v>
      </c>
      <c r="X16" s="30" t="e">
        <f ca="1">IF($B16="","",_xll.BDP($A16&amp;" Corp",X$5))</f>
        <v>#NAME?</v>
      </c>
      <c r="Y16" s="33" t="e">
        <f ca="1">IF($B16="","",_xll.BDP($A16&amp;" Corp",Y$5))</f>
        <v>#NAME?</v>
      </c>
      <c r="Z16" s="52" t="e">
        <f ca="1">IF($B16="","",_xll.BDP($A16&amp;" Corp",Z$5))</f>
        <v>#NAME?</v>
      </c>
      <c r="AA16" s="53" t="e">
        <f ca="1">IF($B16="","",_xll.BDP($A16&amp;" Corp",AA$5))</f>
        <v>#NAME?</v>
      </c>
      <c r="AB16" s="54" t="e">
        <f ca="1">IF($B16="","",_xll.BDP($A16&amp;" Corp",AB$5))</f>
        <v>#NAME?</v>
      </c>
      <c r="AC16" s="54" t="e">
        <f ca="1">IF($B16="","",_xll.BDP($A16&amp;" Corp",AC$5))</f>
        <v>#NAME?</v>
      </c>
      <c r="AD16" s="55" t="e">
        <f ca="1">IF($B16="","",_xll.BDP($A16&amp;" Corp",AD$5))</f>
        <v>#NAME?</v>
      </c>
      <c r="AE16" s="56" t="e">
        <f ca="1">IF($B16="","",_xll.BDP($A16&amp;" Corp",AE$5))</f>
        <v>#NAME?</v>
      </c>
      <c r="AF16" s="29" t="e">
        <f ca="1">IF($B16="","",_xll.BDP($A16&amp;" Corp",AF$5))</f>
        <v>#NAME?</v>
      </c>
      <c r="AG16" s="33" t="e">
        <f ca="1">IF($B16="","",_xll.BDP($A16&amp;" Corp",AG$5))</f>
        <v>#NAME?</v>
      </c>
      <c r="AH16" s="30" t="e">
        <f ca="1">IF($B16="","",_xll.BDP($A16&amp;" Corp",AH$5))</f>
        <v>#NAME?</v>
      </c>
      <c r="AI16" s="30" t="e">
        <f ca="1">IF($B16="","",_xll.BDP($A16&amp;" Corp",AI$5))</f>
        <v>#NAME?</v>
      </c>
      <c r="AJ16" s="30" t="e">
        <f ca="1">IF($B16="","",_xll.BDP($A16&amp;" Corp",AJ$5))</f>
        <v>#NAME?</v>
      </c>
      <c r="AK16" s="11" t="e">
        <f ca="1">IF($B16="","",_xll.BDP($A16&amp;" Corp",AK$5))</f>
        <v>#NAME?</v>
      </c>
      <c r="AL16" s="11" t="e">
        <f ca="1">IF($B16="","",_xll.BDP($A16&amp;" Corp",AL$5))</f>
        <v>#NAME?</v>
      </c>
      <c r="AM16" s="11">
        <v>4</v>
      </c>
      <c r="AN16" s="57">
        <v>3</v>
      </c>
    </row>
    <row r="17" spans="1:40" x14ac:dyDescent="0.3">
      <c r="A17" s="67" t="s">
        <v>346</v>
      </c>
      <c r="B17" s="68" t="s">
        <v>346</v>
      </c>
      <c r="C17" s="75">
        <v>7063</v>
      </c>
      <c r="D17" s="75">
        <v>128</v>
      </c>
      <c r="E17" s="75">
        <v>300000</v>
      </c>
      <c r="F17" s="69">
        <v>0.22168315999999999</v>
      </c>
      <c r="G17" s="70">
        <v>300996</v>
      </c>
      <c r="H17" s="67">
        <v>300000</v>
      </c>
      <c r="I17" s="67">
        <v>0.22168315999999999</v>
      </c>
      <c r="J17" s="67">
        <v>300996</v>
      </c>
      <c r="K17" s="71">
        <v>100.33199999999999</v>
      </c>
      <c r="L17" s="29" t="e">
        <f ca="1">IF(B17="","",_xll.BDP(A17&amp;" Corp","INTERVAL_HIGH","START_DATE_OVERRIDE",TEXT($L$3,"AAAAMMDD"),"END_DATE_OVERRIDE",TEXT($L$4,"AAAAMMDD"),"MARKET_DATA_OVERRIDE",$L$5))</f>
        <v>#NAME?</v>
      </c>
      <c r="M17" s="30" t="e">
        <f ca="1">IF(B17="","",_xll.BDP($A17&amp;" Corp","INTERVAL_LOW","START_DATE_OVERRIDE",TEXT($L$3,"AAAAMMDD"),"END_DATE_OVERRIDE",TEXT($L$4,"AAAAMMDD"),"MARKET_DATA_OVERRIDE",$L$5))</f>
        <v>#NAME?</v>
      </c>
      <c r="N17" s="31" t="s">
        <v>784</v>
      </c>
      <c r="O17" s="32" t="e">
        <f ca="1">IF($B17="","",_xll.BDP($A17&amp;" Corp",O$6))</f>
        <v>#NAME?</v>
      </c>
      <c r="P17" s="32" t="e">
        <f ca="1">IF($B17="","",_xll.BDP($A17&amp;" Corp",P$6))</f>
        <v>#NAME?</v>
      </c>
      <c r="Q17" s="30" t="e">
        <f ca="1">IF($B17="","",_xll.BDP($A17&amp;" Corp",Q$5))</f>
        <v>#NAME?</v>
      </c>
      <c r="R17" s="30" t="e">
        <f ca="1">IF($B17="","",_xll.BDP($A17&amp;" Corp",R$5))</f>
        <v>#NAME?</v>
      </c>
      <c r="S17" s="50" t="e">
        <f ca="1">IF($B17="","",_xll.BDP($A17&amp;" Corp",S$5))</f>
        <v>#NAME?</v>
      </c>
      <c r="T17" s="30" t="e">
        <f ca="1">IF($B17="","",_xll.BDP($A17&amp;" Corp",T$5))</f>
        <v>#NAME?</v>
      </c>
      <c r="U17" s="30" t="e">
        <f ca="1">IF($B17="","",_xll.BDP($A17&amp;" Corp",U$5))</f>
        <v>#NAME?</v>
      </c>
      <c r="V17" s="51" t="e">
        <f ca="1">IF($B17="","",IF($T17="VARIABLE",_xll.BDP($A17&amp;" Corp",V$4),_xll.BDP($A17&amp;" Corp",V$5)))</f>
        <v>#NAME?</v>
      </c>
      <c r="W17" s="30" t="e">
        <f ca="1">IF($B17="","",IF($T17="VARIABLE",_xll.BDP($A17&amp;" Corp",W$4),_xll.BDP($A17&amp;" Corp",W$5)))</f>
        <v>#NAME?</v>
      </c>
      <c r="X17" s="30" t="e">
        <f ca="1">IF($B17="","",_xll.BDP($A17&amp;" Corp",X$5))</f>
        <v>#NAME?</v>
      </c>
      <c r="Y17" s="33" t="e">
        <f ca="1">IF($B17="","",_xll.BDP($A17&amp;" Corp",Y$5))</f>
        <v>#NAME?</v>
      </c>
      <c r="Z17" s="52" t="e">
        <f ca="1">IF($B17="","",_xll.BDP($A17&amp;" Corp",Z$5))</f>
        <v>#NAME?</v>
      </c>
      <c r="AA17" s="53" t="e">
        <f ca="1">IF($B17="","",_xll.BDP($A17&amp;" Corp",AA$5))</f>
        <v>#NAME?</v>
      </c>
      <c r="AB17" s="54" t="e">
        <f ca="1">IF($B17="","",_xll.BDP($A17&amp;" Corp",AB$5))</f>
        <v>#NAME?</v>
      </c>
      <c r="AC17" s="54" t="e">
        <f ca="1">IF($B17="","",_xll.BDP($A17&amp;" Corp",AC$5))</f>
        <v>#NAME?</v>
      </c>
      <c r="AD17" s="55" t="e">
        <f ca="1">IF($B17="","",_xll.BDP($A17&amp;" Corp",AD$5))</f>
        <v>#NAME?</v>
      </c>
      <c r="AE17" s="56" t="e">
        <f ca="1">IF($B17="","",_xll.BDP($A17&amp;" Corp",AE$5))</f>
        <v>#NAME?</v>
      </c>
      <c r="AF17" s="29" t="e">
        <f ca="1">IF($B17="","",_xll.BDP($A17&amp;" Corp",AF$5))</f>
        <v>#NAME?</v>
      </c>
      <c r="AG17" s="33" t="e">
        <f ca="1">IF($B17="","",_xll.BDP($A17&amp;" Corp",AG$5))</f>
        <v>#NAME?</v>
      </c>
      <c r="AH17" s="30" t="e">
        <f ca="1">IF($B17="","",_xll.BDP($A17&amp;" Corp",AH$5))</f>
        <v>#NAME?</v>
      </c>
      <c r="AI17" s="30" t="e">
        <f ca="1">IF($B17="","",_xll.BDP($A17&amp;" Corp",AI$5))</f>
        <v>#NAME?</v>
      </c>
      <c r="AJ17" s="30" t="e">
        <f ca="1">IF($B17="","",_xll.BDP($A17&amp;" Corp",AJ$5))</f>
        <v>#NAME?</v>
      </c>
      <c r="AK17" s="11" t="e">
        <f ca="1">IF($B17="","",_xll.BDP($A17&amp;" Corp",AK$5))</f>
        <v>#NAME?</v>
      </c>
      <c r="AL17" s="11" t="e">
        <f ca="1">IF($B17="","",_xll.BDP($A17&amp;" Corp",AL$5))</f>
        <v>#NAME?</v>
      </c>
      <c r="AM17" s="11">
        <v>3</v>
      </c>
      <c r="AN17" s="57">
        <v>3</v>
      </c>
    </row>
    <row r="18" spans="1:40" x14ac:dyDescent="0.3">
      <c r="A18" s="67" t="s">
        <v>348</v>
      </c>
      <c r="B18" s="68" t="s">
        <v>348</v>
      </c>
      <c r="C18" s="75">
        <v>7177</v>
      </c>
      <c r="D18" s="75">
        <v>128</v>
      </c>
      <c r="E18" s="75">
        <v>200000</v>
      </c>
      <c r="F18" s="69">
        <v>0.15899895999999999</v>
      </c>
      <c r="G18" s="70">
        <v>202743</v>
      </c>
      <c r="H18" s="67">
        <v>200000</v>
      </c>
      <c r="I18" s="67">
        <v>0.15899895999999999</v>
      </c>
      <c r="J18" s="67">
        <v>202743</v>
      </c>
      <c r="K18" s="71">
        <v>101.3715</v>
      </c>
      <c r="L18" s="29" t="e">
        <f ca="1">IF(B18="","",_xll.BDP(A18&amp;" Corp","INTERVAL_HIGH","START_DATE_OVERRIDE",TEXT($L$3,"AAAAMMDD"),"END_DATE_OVERRIDE",TEXT($L$4,"AAAAMMDD"),"MARKET_DATA_OVERRIDE",$L$5))</f>
        <v>#NAME?</v>
      </c>
      <c r="M18" s="30" t="e">
        <f ca="1">IF(B18="","",_xll.BDP($A18&amp;" Corp","INTERVAL_LOW","START_DATE_OVERRIDE",TEXT($L$3,"AAAAMMDD"),"END_DATE_OVERRIDE",TEXT($L$4,"AAAAMMDD"),"MARKET_DATA_OVERRIDE",$L$5))</f>
        <v>#NAME?</v>
      </c>
      <c r="N18" s="31" t="s">
        <v>785</v>
      </c>
      <c r="O18" s="32" t="e">
        <f ca="1">IF($B18="","",_xll.BDP($A18&amp;" Corp",O$6))</f>
        <v>#NAME?</v>
      </c>
      <c r="P18" s="32" t="e">
        <f ca="1">IF($B18="","",_xll.BDP($A18&amp;" Corp",P$6))</f>
        <v>#NAME?</v>
      </c>
      <c r="Q18" s="30" t="e">
        <f ca="1">IF($B18="","",_xll.BDP($A18&amp;" Corp",Q$5))</f>
        <v>#NAME?</v>
      </c>
      <c r="R18" s="30" t="e">
        <f ca="1">IF($B18="","",_xll.BDP($A18&amp;" Corp",R$5))</f>
        <v>#NAME?</v>
      </c>
      <c r="S18" s="50" t="e">
        <f ca="1">IF($B18="","",_xll.BDP($A18&amp;" Corp",S$5))</f>
        <v>#NAME?</v>
      </c>
      <c r="T18" s="30" t="e">
        <f ca="1">IF($B18="","",_xll.BDP($A18&amp;" Corp",T$5))</f>
        <v>#NAME?</v>
      </c>
      <c r="U18" s="30" t="e">
        <f ca="1">IF($B18="","",_xll.BDP($A18&amp;" Corp",U$5))</f>
        <v>#NAME?</v>
      </c>
      <c r="V18" s="51" t="e">
        <f ca="1">IF($B18="","",IF($T18="VARIABLE",_xll.BDP($A18&amp;" Corp",V$4),_xll.BDP($A18&amp;" Corp",V$5)))</f>
        <v>#NAME?</v>
      </c>
      <c r="W18" s="30" t="e">
        <f ca="1">IF($B18="","",IF($T18="VARIABLE",_xll.BDP($A18&amp;" Corp",W$4),_xll.BDP($A18&amp;" Corp",W$5)))</f>
        <v>#NAME?</v>
      </c>
      <c r="X18" s="30" t="e">
        <f ca="1">IF($B18="","",_xll.BDP($A18&amp;" Corp",X$5))</f>
        <v>#NAME?</v>
      </c>
      <c r="Y18" s="33" t="e">
        <f ca="1">IF($B18="","",_xll.BDP($A18&amp;" Corp",Y$5))</f>
        <v>#NAME?</v>
      </c>
      <c r="Z18" s="52" t="e">
        <f ca="1">IF($B18="","",_xll.BDP($A18&amp;" Corp",Z$5))</f>
        <v>#NAME?</v>
      </c>
      <c r="AA18" s="53" t="e">
        <f ca="1">IF($B18="","",_xll.BDP($A18&amp;" Corp",AA$5))</f>
        <v>#NAME?</v>
      </c>
      <c r="AB18" s="54" t="e">
        <f ca="1">IF($B18="","",_xll.BDP($A18&amp;" Corp",AB$5))</f>
        <v>#NAME?</v>
      </c>
      <c r="AC18" s="54" t="e">
        <f ca="1">IF($B18="","",_xll.BDP($A18&amp;" Corp",AC$5))</f>
        <v>#NAME?</v>
      </c>
      <c r="AD18" s="55" t="e">
        <f ca="1">IF($B18="","",_xll.BDP($A18&amp;" Corp",AD$5))</f>
        <v>#NAME?</v>
      </c>
      <c r="AE18" s="56" t="e">
        <f ca="1">IF($B18="","",_xll.BDP($A18&amp;" Corp",AE$5))</f>
        <v>#NAME?</v>
      </c>
      <c r="AF18" s="29" t="e">
        <f ca="1">IF($B18="","",_xll.BDP($A18&amp;" Corp",AF$5))</f>
        <v>#NAME?</v>
      </c>
      <c r="AG18" s="33" t="e">
        <f ca="1">IF($B18="","",_xll.BDP($A18&amp;" Corp",AG$5))</f>
        <v>#NAME?</v>
      </c>
      <c r="AH18" s="30" t="e">
        <f ca="1">IF($B18="","",_xll.BDP($A18&amp;" Corp",AH$5))</f>
        <v>#NAME?</v>
      </c>
      <c r="AI18" s="30" t="e">
        <f ca="1">IF($B18="","",_xll.BDP($A18&amp;" Corp",AI$5))</f>
        <v>#NAME?</v>
      </c>
      <c r="AJ18" s="30" t="e">
        <f ca="1">IF($B18="","",_xll.BDP($A18&amp;" Corp",AJ$5))</f>
        <v>#NAME?</v>
      </c>
      <c r="AK18" s="11" t="e">
        <f ca="1">IF($B18="","",_xll.BDP($A18&amp;" Corp",AK$5))</f>
        <v>#NAME?</v>
      </c>
      <c r="AL18" s="11" t="e">
        <f ca="1">IF($B18="","",_xll.BDP($A18&amp;" Corp",AL$5))</f>
        <v>#NAME?</v>
      </c>
      <c r="AM18" s="11">
        <v>2</v>
      </c>
      <c r="AN18" s="57">
        <v>2</v>
      </c>
    </row>
    <row r="19" spans="1:40" x14ac:dyDescent="0.3">
      <c r="A19" s="67" t="s">
        <v>350</v>
      </c>
      <c r="B19" s="68" t="s">
        <v>350</v>
      </c>
      <c r="C19" s="75">
        <v>9463</v>
      </c>
      <c r="D19" s="75">
        <v>128</v>
      </c>
      <c r="E19" s="75">
        <v>200000</v>
      </c>
      <c r="F19" s="69">
        <v>0.14056036999999999</v>
      </c>
      <c r="G19" s="70">
        <v>199962</v>
      </c>
      <c r="H19" s="67">
        <v>200000</v>
      </c>
      <c r="I19" s="67">
        <v>0.14056036999999999</v>
      </c>
      <c r="J19" s="67">
        <v>199962</v>
      </c>
      <c r="K19" s="71">
        <v>99.980999999999995</v>
      </c>
      <c r="L19" s="29" t="e">
        <f ca="1">IF(B19="","",_xll.BDP(A19&amp;" Corp","INTERVAL_HIGH","START_DATE_OVERRIDE",TEXT($L$3,"AAAAMMDD"),"END_DATE_OVERRIDE",TEXT($L$4,"AAAAMMDD"),"MARKET_DATA_OVERRIDE",$L$5))</f>
        <v>#NAME?</v>
      </c>
      <c r="M19" s="30" t="e">
        <f ca="1">IF(B19="","",_xll.BDP($A19&amp;" Corp","INTERVAL_LOW","START_DATE_OVERRIDE",TEXT($L$3,"AAAAMMDD"),"END_DATE_OVERRIDE",TEXT($L$4,"AAAAMMDD"),"MARKET_DATA_OVERRIDE",$L$5))</f>
        <v>#NAME?</v>
      </c>
      <c r="N19" s="31" t="s">
        <v>786</v>
      </c>
      <c r="O19" s="32" t="e">
        <f ca="1">IF($B19="","",_xll.BDP($A19&amp;" Corp",O$6))</f>
        <v>#NAME?</v>
      </c>
      <c r="P19" s="32" t="e">
        <f ca="1">IF($B19="","",_xll.BDP($A19&amp;" Corp",P$6))</f>
        <v>#NAME?</v>
      </c>
      <c r="Q19" s="30" t="e">
        <f ca="1">IF($B19="","",_xll.BDP($A19&amp;" Corp",Q$5))</f>
        <v>#NAME?</v>
      </c>
      <c r="R19" s="30" t="e">
        <f ca="1">IF($B19="","",_xll.BDP($A19&amp;" Corp",R$5))</f>
        <v>#NAME?</v>
      </c>
      <c r="S19" s="50" t="e">
        <f ca="1">IF($B19="","",_xll.BDP($A19&amp;" Corp",S$5))</f>
        <v>#NAME?</v>
      </c>
      <c r="T19" s="30" t="e">
        <f ca="1">IF($B19="","",_xll.BDP($A19&amp;" Corp",T$5))</f>
        <v>#NAME?</v>
      </c>
      <c r="U19" s="30" t="e">
        <f ca="1">IF($B19="","",_xll.BDP($A19&amp;" Corp",U$5))</f>
        <v>#NAME?</v>
      </c>
      <c r="V19" s="51" t="e">
        <f ca="1">IF($B19="","",IF($T19="VARIABLE",_xll.BDP($A19&amp;" Corp",V$4),_xll.BDP($A19&amp;" Corp",V$5)))</f>
        <v>#NAME?</v>
      </c>
      <c r="W19" s="30" t="e">
        <f ca="1">IF($B19="","",IF($T19="VARIABLE",_xll.BDP($A19&amp;" Corp",W$4),_xll.BDP($A19&amp;" Corp",W$5)))</f>
        <v>#NAME?</v>
      </c>
      <c r="X19" s="30" t="e">
        <f ca="1">IF($B19="","",_xll.BDP($A19&amp;" Corp",X$5))</f>
        <v>#NAME?</v>
      </c>
      <c r="Y19" s="33" t="e">
        <f ca="1">IF($B19="","",_xll.BDP($A19&amp;" Corp",Y$5))</f>
        <v>#NAME?</v>
      </c>
      <c r="Z19" s="52" t="e">
        <f ca="1">IF($B19="","",_xll.BDP($A19&amp;" Corp",Z$5))</f>
        <v>#NAME?</v>
      </c>
      <c r="AA19" s="53" t="e">
        <f ca="1">IF($B19="","",_xll.BDP($A19&amp;" Corp",AA$5))</f>
        <v>#NAME?</v>
      </c>
      <c r="AB19" s="54" t="e">
        <f ca="1">IF($B19="","",_xll.BDP($A19&amp;" Corp",AB$5))</f>
        <v>#NAME?</v>
      </c>
      <c r="AC19" s="54" t="e">
        <f ca="1">IF($B19="","",_xll.BDP($A19&amp;" Corp",AC$5))</f>
        <v>#NAME?</v>
      </c>
      <c r="AD19" s="55" t="e">
        <f ca="1">IF($B19="","",_xll.BDP($A19&amp;" Corp",AD$5))</f>
        <v>#NAME?</v>
      </c>
      <c r="AE19" s="56" t="e">
        <f ca="1">IF($B19="","",_xll.BDP($A19&amp;" Corp",AE$5))</f>
        <v>#NAME?</v>
      </c>
      <c r="AF19" s="29" t="e">
        <f ca="1">IF($B19="","",_xll.BDP($A19&amp;" Corp",AF$5))</f>
        <v>#NAME?</v>
      </c>
      <c r="AG19" s="33" t="e">
        <f ca="1">IF($B19="","",_xll.BDP($A19&amp;" Corp",AG$5))</f>
        <v>#NAME?</v>
      </c>
      <c r="AH19" s="30" t="e">
        <f ca="1">IF($B19="","",_xll.BDP($A19&amp;" Corp",AH$5))</f>
        <v>#NAME?</v>
      </c>
      <c r="AI19" s="30" t="e">
        <f ca="1">IF($B19="","",_xll.BDP($A19&amp;" Corp",AI$5))</f>
        <v>#NAME?</v>
      </c>
      <c r="AJ19" s="30" t="e">
        <f ca="1">IF($B19="","",_xll.BDP($A19&amp;" Corp",AJ$5))</f>
        <v>#NAME?</v>
      </c>
      <c r="AK19" s="11" t="e">
        <f ca="1">IF($B19="","",_xll.BDP($A19&amp;" Corp",AK$5))</f>
        <v>#NAME?</v>
      </c>
      <c r="AL19" s="11" t="e">
        <f ca="1">IF($B19="","",_xll.BDP($A19&amp;" Corp",AL$5))</f>
        <v>#NAME?</v>
      </c>
      <c r="AM19" s="11">
        <v>3</v>
      </c>
      <c r="AN19" s="57">
        <v>3</v>
      </c>
    </row>
    <row r="20" spans="1:40" x14ac:dyDescent="0.3">
      <c r="A20" s="67" t="s">
        <v>425</v>
      </c>
      <c r="B20" s="68" t="s">
        <v>425</v>
      </c>
      <c r="C20" s="75">
        <v>10297</v>
      </c>
      <c r="D20" s="75">
        <v>128</v>
      </c>
      <c r="E20" s="75">
        <v>1000000</v>
      </c>
      <c r="F20" s="69">
        <v>0.81031936000000004</v>
      </c>
      <c r="G20" s="70">
        <v>1009980</v>
      </c>
      <c r="H20" s="67">
        <v>1000000</v>
      </c>
      <c r="I20" s="67">
        <v>0.81031936000000004</v>
      </c>
      <c r="J20" s="67">
        <v>1009980</v>
      </c>
      <c r="K20" s="71">
        <v>100.998</v>
      </c>
      <c r="L20" s="29" t="e">
        <f ca="1">IF(B20="","",_xll.BDP(A20&amp;" Corp","INTERVAL_HIGH","START_DATE_OVERRIDE",TEXT($L$3,"AAAAMMDD"),"END_DATE_OVERRIDE",TEXT($L$4,"AAAAMMDD"),"MARKET_DATA_OVERRIDE",$L$5))</f>
        <v>#NAME?</v>
      </c>
      <c r="M20" s="30" t="e">
        <f ca="1">IF(B20="","",_xll.BDP($A20&amp;" Corp","INTERVAL_LOW","START_DATE_OVERRIDE",TEXT($L$3,"AAAAMMDD"),"END_DATE_OVERRIDE",TEXT($L$4,"AAAAMMDD"),"MARKET_DATA_OVERRIDE",$L$5))</f>
        <v>#NAME?</v>
      </c>
      <c r="N20" s="31" t="s">
        <v>787</v>
      </c>
      <c r="O20" s="32" t="e">
        <f ca="1">IF($B20="","",_xll.BDP($A20&amp;" Corp",O$6))</f>
        <v>#NAME?</v>
      </c>
      <c r="P20" s="32" t="e">
        <f ca="1">IF($B20="","",_xll.BDP($A20&amp;" Corp",P$6))</f>
        <v>#NAME?</v>
      </c>
      <c r="Q20" s="30" t="e">
        <f ca="1">IF($B20="","",_xll.BDP($A20&amp;" Corp",Q$5))</f>
        <v>#NAME?</v>
      </c>
      <c r="R20" s="30" t="e">
        <f ca="1">IF($B20="","",_xll.BDP($A20&amp;" Corp",R$5))</f>
        <v>#NAME?</v>
      </c>
      <c r="S20" s="50" t="e">
        <f ca="1">IF($B20="","",_xll.BDP($A20&amp;" Corp",S$5))</f>
        <v>#NAME?</v>
      </c>
      <c r="T20" s="30" t="e">
        <f ca="1">IF($B20="","",_xll.BDP($A20&amp;" Corp",T$5))</f>
        <v>#NAME?</v>
      </c>
      <c r="U20" s="30" t="e">
        <f ca="1">IF($B20="","",_xll.BDP($A20&amp;" Corp",U$5))</f>
        <v>#NAME?</v>
      </c>
      <c r="V20" s="51" t="e">
        <f ca="1">IF($B20="","",IF($T20="VARIABLE",_xll.BDP($A20&amp;" Corp",V$4),_xll.BDP($A20&amp;" Corp",V$5)))</f>
        <v>#NAME?</v>
      </c>
      <c r="W20" s="30" t="e">
        <f ca="1">IF($B20="","",IF($T20="VARIABLE",_xll.BDP($A20&amp;" Corp",W$4),_xll.BDP($A20&amp;" Corp",W$5)))</f>
        <v>#NAME?</v>
      </c>
      <c r="X20" s="30" t="e">
        <f ca="1">IF($B20="","",_xll.BDP($A20&amp;" Corp",X$5))</f>
        <v>#NAME?</v>
      </c>
      <c r="Y20" s="33" t="e">
        <f ca="1">IF($B20="","",_xll.BDP($A20&amp;" Corp",Y$5))</f>
        <v>#NAME?</v>
      </c>
      <c r="Z20" s="52" t="e">
        <f ca="1">IF($B20="","",_xll.BDP($A20&amp;" Corp",Z$5))</f>
        <v>#NAME?</v>
      </c>
      <c r="AA20" s="53" t="e">
        <f ca="1">IF($B20="","",_xll.BDP($A20&amp;" Corp",AA$5))</f>
        <v>#NAME?</v>
      </c>
      <c r="AB20" s="54" t="e">
        <f ca="1">IF($B20="","",_xll.BDP($A20&amp;" Corp",AB$5))</f>
        <v>#NAME?</v>
      </c>
      <c r="AC20" s="54" t="e">
        <f ca="1">IF($B20="","",_xll.BDP($A20&amp;" Corp",AC$5))</f>
        <v>#NAME?</v>
      </c>
      <c r="AD20" s="55" t="e">
        <f ca="1">IF($B20="","",_xll.BDP($A20&amp;" Corp",AD$5))</f>
        <v>#NAME?</v>
      </c>
      <c r="AE20" s="56" t="e">
        <f ca="1">IF($B20="","",_xll.BDP($A20&amp;" Corp",AE$5))</f>
        <v>#NAME?</v>
      </c>
      <c r="AF20" s="29" t="e">
        <f ca="1">IF($B20="","",_xll.BDP($A20&amp;" Corp",AF$5))</f>
        <v>#NAME?</v>
      </c>
      <c r="AG20" s="33" t="e">
        <f ca="1">IF($B20="","",_xll.BDP($A20&amp;" Corp",AG$5))</f>
        <v>#NAME?</v>
      </c>
      <c r="AH20" s="30" t="e">
        <f ca="1">IF($B20="","",_xll.BDP($A20&amp;" Corp",AH$5))</f>
        <v>#NAME?</v>
      </c>
      <c r="AI20" s="30" t="e">
        <f ca="1">IF($B20="","",_xll.BDP($A20&amp;" Corp",AI$5))</f>
        <v>#NAME?</v>
      </c>
      <c r="AJ20" s="30" t="e">
        <f ca="1">IF($B20="","",_xll.BDP($A20&amp;" Corp",AJ$5))</f>
        <v>#NAME?</v>
      </c>
      <c r="AK20" s="11" t="e">
        <f ca="1">IF($B20="","",_xll.BDP($A20&amp;" Corp",AK$5))</f>
        <v>#NAME?</v>
      </c>
      <c r="AL20" s="11" t="e">
        <f ca="1">IF($B20="","",_xll.BDP($A20&amp;" Corp",AL$5))</f>
        <v>#NAME?</v>
      </c>
      <c r="AM20" s="11">
        <v>2</v>
      </c>
      <c r="AN20" s="57">
        <v>2</v>
      </c>
    </row>
    <row r="21" spans="1:40" x14ac:dyDescent="0.3">
      <c r="A21" s="67" t="s">
        <v>426</v>
      </c>
      <c r="B21" s="68" t="s">
        <v>426</v>
      </c>
      <c r="C21" s="75">
        <v>10295</v>
      </c>
      <c r="D21" s="75">
        <v>128</v>
      </c>
      <c r="E21" s="75">
        <v>1500000</v>
      </c>
      <c r="F21" s="69">
        <v>1.2245767700000001</v>
      </c>
      <c r="G21" s="70">
        <v>1502220</v>
      </c>
      <c r="H21" s="67">
        <v>1500000</v>
      </c>
      <c r="I21" s="67">
        <v>1.2245767700000001</v>
      </c>
      <c r="J21" s="67">
        <v>1502220</v>
      </c>
      <c r="K21" s="71">
        <v>100.148</v>
      </c>
      <c r="L21" s="29" t="e">
        <f ca="1">IF(B21="","",_xll.BDP(A21&amp;" Corp","INTERVAL_HIGH","START_DATE_OVERRIDE",TEXT($L$3,"AAAAMMDD"),"END_DATE_OVERRIDE",TEXT($L$4,"AAAAMMDD"),"MARKET_DATA_OVERRIDE",$L$5))</f>
        <v>#NAME?</v>
      </c>
      <c r="M21" s="30" t="e">
        <f ca="1">IF(B21="","",_xll.BDP($A21&amp;" Corp","INTERVAL_LOW","START_DATE_OVERRIDE",TEXT($L$3,"AAAAMMDD"),"END_DATE_OVERRIDE",TEXT($L$4,"AAAAMMDD"),"MARKET_DATA_OVERRIDE",$L$5))</f>
        <v>#NAME?</v>
      </c>
      <c r="N21" s="31" t="s">
        <v>788</v>
      </c>
      <c r="O21" s="32" t="e">
        <f ca="1">IF($B21="","",_xll.BDP($A21&amp;" Corp",O$6))</f>
        <v>#NAME?</v>
      </c>
      <c r="P21" s="32" t="e">
        <f ca="1">IF($B21="","",_xll.BDP($A21&amp;" Corp",P$6))</f>
        <v>#NAME?</v>
      </c>
      <c r="Q21" s="30" t="e">
        <f ca="1">IF($B21="","",_xll.BDP($A21&amp;" Corp",Q$5))</f>
        <v>#NAME?</v>
      </c>
      <c r="R21" s="30" t="e">
        <f ca="1">IF($B21="","",_xll.BDP($A21&amp;" Corp",R$5))</f>
        <v>#NAME?</v>
      </c>
      <c r="S21" s="50" t="e">
        <f ca="1">IF($B21="","",_xll.BDP($A21&amp;" Corp",S$5))</f>
        <v>#NAME?</v>
      </c>
      <c r="T21" s="30" t="e">
        <f ca="1">IF($B21="","",_xll.BDP($A21&amp;" Corp",T$5))</f>
        <v>#NAME?</v>
      </c>
      <c r="U21" s="30" t="e">
        <f ca="1">IF($B21="","",_xll.BDP($A21&amp;" Corp",U$5))</f>
        <v>#NAME?</v>
      </c>
      <c r="V21" s="51" t="e">
        <f ca="1">IF($B21="","",IF($T21="VARIABLE",_xll.BDP($A21&amp;" Corp",V$4),_xll.BDP($A21&amp;" Corp",V$5)))</f>
        <v>#NAME?</v>
      </c>
      <c r="W21" s="30" t="e">
        <f ca="1">IF($B21="","",IF($T21="VARIABLE",_xll.BDP($A21&amp;" Corp",W$4),_xll.BDP($A21&amp;" Corp",W$5)))</f>
        <v>#NAME?</v>
      </c>
      <c r="X21" s="30" t="e">
        <f ca="1">IF($B21="","",_xll.BDP($A21&amp;" Corp",X$5))</f>
        <v>#NAME?</v>
      </c>
      <c r="Y21" s="33" t="e">
        <f ca="1">IF($B21="","",_xll.BDP($A21&amp;" Corp",Y$5))</f>
        <v>#NAME?</v>
      </c>
      <c r="Z21" s="52" t="e">
        <f ca="1">IF($B21="","",_xll.BDP($A21&amp;" Corp",Z$5))</f>
        <v>#NAME?</v>
      </c>
      <c r="AA21" s="53" t="e">
        <f ca="1">IF($B21="","",_xll.BDP($A21&amp;" Corp",AA$5))</f>
        <v>#NAME?</v>
      </c>
      <c r="AB21" s="54" t="e">
        <f ca="1">IF($B21="","",_xll.BDP($A21&amp;" Corp",AB$5))</f>
        <v>#NAME?</v>
      </c>
      <c r="AC21" s="54" t="e">
        <f ca="1">IF($B21="","",_xll.BDP($A21&amp;" Corp",AC$5))</f>
        <v>#NAME?</v>
      </c>
      <c r="AD21" s="55" t="e">
        <f ca="1">IF($B21="","",_xll.BDP($A21&amp;" Corp",AD$5))</f>
        <v>#NAME?</v>
      </c>
      <c r="AE21" s="56" t="e">
        <f ca="1">IF($B21="","",_xll.BDP($A21&amp;" Corp",AE$5))</f>
        <v>#NAME?</v>
      </c>
      <c r="AF21" s="29" t="e">
        <f ca="1">IF($B21="","",_xll.BDP($A21&amp;" Corp",AF$5))</f>
        <v>#NAME?</v>
      </c>
      <c r="AG21" s="33" t="e">
        <f ca="1">IF($B21="","",_xll.BDP($A21&amp;" Corp",AG$5))</f>
        <v>#NAME?</v>
      </c>
      <c r="AH21" s="30" t="e">
        <f ca="1">IF($B21="","",_xll.BDP($A21&amp;" Corp",AH$5))</f>
        <v>#NAME?</v>
      </c>
      <c r="AI21" s="30" t="e">
        <f ca="1">IF($B21="","",_xll.BDP($A21&amp;" Corp",AI$5))</f>
        <v>#NAME?</v>
      </c>
      <c r="AJ21" s="30" t="e">
        <f ca="1">IF($B21="","",_xll.BDP($A21&amp;" Corp",AJ$5))</f>
        <v>#NAME?</v>
      </c>
      <c r="AK21" s="11" t="e">
        <f ca="1">IF($B21="","",_xll.BDP($A21&amp;" Corp",AK$5))</f>
        <v>#NAME?</v>
      </c>
      <c r="AL21" s="11" t="e">
        <f ca="1">IF($B21="","",_xll.BDP($A21&amp;" Corp",AL$5))</f>
        <v>#NAME?</v>
      </c>
      <c r="AM21" s="11">
        <v>2</v>
      </c>
      <c r="AN21" s="57">
        <v>2</v>
      </c>
    </row>
    <row r="22" spans="1:40" x14ac:dyDescent="0.3">
      <c r="A22" s="67" t="s">
        <v>352</v>
      </c>
      <c r="B22" s="68" t="s">
        <v>352</v>
      </c>
      <c r="C22" s="75">
        <v>10030</v>
      </c>
      <c r="D22" s="75">
        <v>128</v>
      </c>
      <c r="E22" s="75">
        <v>1200000</v>
      </c>
      <c r="F22" s="69">
        <v>0.97108428999999996</v>
      </c>
      <c r="G22" s="70">
        <v>1182408</v>
      </c>
      <c r="H22" s="67">
        <v>1200000</v>
      </c>
      <c r="I22" s="67">
        <v>0.97108428999999996</v>
      </c>
      <c r="J22" s="67">
        <v>1182408</v>
      </c>
      <c r="K22" s="71">
        <v>98.534000000000006</v>
      </c>
      <c r="L22" s="29" t="e">
        <f ca="1">IF(B22="","",_xll.BDP(A22&amp;" Corp","INTERVAL_HIGH","START_DATE_OVERRIDE",TEXT($L$3,"AAAAMMDD"),"END_DATE_OVERRIDE",TEXT($L$4,"AAAAMMDD"),"MARKET_DATA_OVERRIDE",$L$5))</f>
        <v>#NAME?</v>
      </c>
      <c r="M22" s="30" t="e">
        <f ca="1">IF(B22="","",_xll.BDP($A22&amp;" Corp","INTERVAL_LOW","START_DATE_OVERRIDE",TEXT($L$3,"AAAAMMDD"),"END_DATE_OVERRIDE",TEXT($L$4,"AAAAMMDD"),"MARKET_DATA_OVERRIDE",$L$5))</f>
        <v>#NAME?</v>
      </c>
      <c r="N22" s="31" t="s">
        <v>789</v>
      </c>
      <c r="O22" s="32" t="e">
        <f ca="1">IF($B22="","",_xll.BDP($A22&amp;" Corp",O$6))</f>
        <v>#NAME?</v>
      </c>
      <c r="P22" s="32" t="e">
        <f ca="1">IF($B22="","",_xll.BDP($A22&amp;" Corp",P$6))</f>
        <v>#NAME?</v>
      </c>
      <c r="Q22" s="30" t="e">
        <f ca="1">IF($B22="","",_xll.BDP($A22&amp;" Corp",Q$5))</f>
        <v>#NAME?</v>
      </c>
      <c r="R22" s="30" t="e">
        <f ca="1">IF($B22="","",_xll.BDP($A22&amp;" Corp",R$5))</f>
        <v>#NAME?</v>
      </c>
      <c r="S22" s="50" t="e">
        <f ca="1">IF($B22="","",_xll.BDP($A22&amp;" Corp",S$5))</f>
        <v>#NAME?</v>
      </c>
      <c r="T22" s="30" t="e">
        <f ca="1">IF($B22="","",_xll.BDP($A22&amp;" Corp",T$5))</f>
        <v>#NAME?</v>
      </c>
      <c r="U22" s="30" t="e">
        <f ca="1">IF($B22="","",_xll.BDP($A22&amp;" Corp",U$5))</f>
        <v>#NAME?</v>
      </c>
      <c r="V22" s="51" t="e">
        <f ca="1">IF($B22="","",IF($T22="VARIABLE",_xll.BDP($A22&amp;" Corp",V$4),_xll.BDP($A22&amp;" Corp",V$5)))</f>
        <v>#NAME?</v>
      </c>
      <c r="W22" s="30" t="e">
        <f ca="1">IF($B22="","",IF($T22="VARIABLE",_xll.BDP($A22&amp;" Corp",W$4),_xll.BDP($A22&amp;" Corp",W$5)))</f>
        <v>#NAME?</v>
      </c>
      <c r="X22" s="30" t="e">
        <f ca="1">IF($B22="","",_xll.BDP($A22&amp;" Corp",X$5))</f>
        <v>#NAME?</v>
      </c>
      <c r="Y22" s="33" t="e">
        <f ca="1">IF($B22="","",_xll.BDP($A22&amp;" Corp",Y$5))</f>
        <v>#NAME?</v>
      </c>
      <c r="Z22" s="52" t="e">
        <f ca="1">IF($B22="","",_xll.BDP($A22&amp;" Corp",Z$5))</f>
        <v>#NAME?</v>
      </c>
      <c r="AA22" s="53" t="e">
        <f ca="1">IF($B22="","",_xll.BDP($A22&amp;" Corp",AA$5))</f>
        <v>#NAME?</v>
      </c>
      <c r="AB22" s="54" t="e">
        <f ca="1">IF($B22="","",_xll.BDP($A22&amp;" Corp",AB$5))</f>
        <v>#NAME?</v>
      </c>
      <c r="AC22" s="54" t="e">
        <f ca="1">IF($B22="","",_xll.BDP($A22&amp;" Corp",AC$5))</f>
        <v>#NAME?</v>
      </c>
      <c r="AD22" s="55" t="e">
        <f ca="1">IF($B22="","",_xll.BDP($A22&amp;" Corp",AD$5))</f>
        <v>#NAME?</v>
      </c>
      <c r="AE22" s="56" t="e">
        <f ca="1">IF($B22="","",_xll.BDP($A22&amp;" Corp",AE$5))</f>
        <v>#NAME?</v>
      </c>
      <c r="AF22" s="29" t="e">
        <f ca="1">IF($B22="","",_xll.BDP($A22&amp;" Corp",AF$5))</f>
        <v>#NAME?</v>
      </c>
      <c r="AG22" s="33" t="e">
        <f ca="1">IF($B22="","",_xll.BDP($A22&amp;" Corp",AG$5))</f>
        <v>#NAME?</v>
      </c>
      <c r="AH22" s="30" t="e">
        <f ca="1">IF($B22="","",_xll.BDP($A22&amp;" Corp",AH$5))</f>
        <v>#NAME?</v>
      </c>
      <c r="AI22" s="30" t="e">
        <f ca="1">IF($B22="","",_xll.BDP($A22&amp;" Corp",AI$5))</f>
        <v>#NAME?</v>
      </c>
      <c r="AJ22" s="30" t="e">
        <f ca="1">IF($B22="","",_xll.BDP($A22&amp;" Corp",AJ$5))</f>
        <v>#NAME?</v>
      </c>
      <c r="AK22" s="11" t="e">
        <f ca="1">IF($B22="","",_xll.BDP($A22&amp;" Corp",AK$5))</f>
        <v>#NAME?</v>
      </c>
      <c r="AL22" s="11" t="e">
        <f ca="1">IF($B22="","",_xll.BDP($A22&amp;" Corp",AL$5))</f>
        <v>#NAME?</v>
      </c>
      <c r="AM22" s="11">
        <v>1</v>
      </c>
      <c r="AN22" s="57">
        <v>1</v>
      </c>
    </row>
    <row r="23" spans="1:40" x14ac:dyDescent="0.3">
      <c r="A23" s="67" t="s">
        <v>354</v>
      </c>
      <c r="B23" s="68" t="s">
        <v>354</v>
      </c>
      <c r="C23" s="75">
        <v>9700</v>
      </c>
      <c r="D23" s="75">
        <v>128</v>
      </c>
      <c r="E23" s="75">
        <v>100000</v>
      </c>
      <c r="F23" s="69">
        <v>7.4497750000000001E-2</v>
      </c>
      <c r="G23" s="70">
        <v>99733</v>
      </c>
      <c r="H23" s="67">
        <v>100000</v>
      </c>
      <c r="I23" s="67">
        <v>7.4497750000000001E-2</v>
      </c>
      <c r="J23" s="67">
        <v>99733</v>
      </c>
      <c r="K23" s="71">
        <v>99.733000000000004</v>
      </c>
      <c r="L23" s="29" t="e">
        <f ca="1">IF(B23="","",_xll.BDP(A23&amp;" Corp","INTERVAL_HIGH","START_DATE_OVERRIDE",TEXT($L$3,"AAAAMMDD"),"END_DATE_OVERRIDE",TEXT($L$4,"AAAAMMDD"),"MARKET_DATA_OVERRIDE",$L$5))</f>
        <v>#NAME?</v>
      </c>
      <c r="M23" s="30" t="e">
        <f ca="1">IF(B23="","",_xll.BDP($A23&amp;" Corp","INTERVAL_LOW","START_DATE_OVERRIDE",TEXT($L$3,"AAAAMMDD"),"END_DATE_OVERRIDE",TEXT($L$4,"AAAAMMDD"),"MARKET_DATA_OVERRIDE",$L$5))</f>
        <v>#NAME?</v>
      </c>
      <c r="N23" s="31" t="s">
        <v>790</v>
      </c>
      <c r="O23" s="32" t="e">
        <f ca="1">IF($B23="","",_xll.BDP($A23&amp;" Corp",O$6))</f>
        <v>#NAME?</v>
      </c>
      <c r="P23" s="32" t="e">
        <f ca="1">IF($B23="","",_xll.BDP($A23&amp;" Corp",P$6))</f>
        <v>#NAME?</v>
      </c>
      <c r="Q23" s="30" t="e">
        <f ca="1">IF($B23="","",_xll.BDP($A23&amp;" Corp",Q$5))</f>
        <v>#NAME?</v>
      </c>
      <c r="R23" s="30" t="e">
        <f ca="1">IF($B23="","",_xll.BDP($A23&amp;" Corp",R$5))</f>
        <v>#NAME?</v>
      </c>
      <c r="S23" s="50" t="e">
        <f ca="1">IF($B23="","",_xll.BDP($A23&amp;" Corp",S$5))</f>
        <v>#NAME?</v>
      </c>
      <c r="T23" s="30" t="e">
        <f ca="1">IF($B23="","",_xll.BDP($A23&amp;" Corp",T$5))</f>
        <v>#NAME?</v>
      </c>
      <c r="U23" s="30" t="e">
        <f ca="1">IF($B23="","",_xll.BDP($A23&amp;" Corp",U$5))</f>
        <v>#NAME?</v>
      </c>
      <c r="V23" s="51" t="e">
        <f ca="1">IF($B23="","",IF($T23="VARIABLE",_xll.BDP($A23&amp;" Corp",V$4),_xll.BDP($A23&amp;" Corp",V$5)))</f>
        <v>#NAME?</v>
      </c>
      <c r="W23" s="30" t="e">
        <f ca="1">IF($B23="","",IF($T23="VARIABLE",_xll.BDP($A23&amp;" Corp",W$4),_xll.BDP($A23&amp;" Corp",W$5)))</f>
        <v>#NAME?</v>
      </c>
      <c r="X23" s="30" t="e">
        <f ca="1">IF($B23="","",_xll.BDP($A23&amp;" Corp",X$5))</f>
        <v>#NAME?</v>
      </c>
      <c r="Y23" s="33" t="e">
        <f ca="1">IF($B23="","",_xll.BDP($A23&amp;" Corp",Y$5))</f>
        <v>#NAME?</v>
      </c>
      <c r="Z23" s="52" t="e">
        <f ca="1">IF($B23="","",_xll.BDP($A23&amp;" Corp",Z$5))</f>
        <v>#NAME?</v>
      </c>
      <c r="AA23" s="53" t="e">
        <f ca="1">IF($B23="","",_xll.BDP($A23&amp;" Corp",AA$5))</f>
        <v>#NAME?</v>
      </c>
      <c r="AB23" s="54" t="e">
        <f ca="1">IF($B23="","",_xll.BDP($A23&amp;" Corp",AB$5))</f>
        <v>#NAME?</v>
      </c>
      <c r="AC23" s="54" t="e">
        <f ca="1">IF($B23="","",_xll.BDP($A23&amp;" Corp",AC$5))</f>
        <v>#NAME?</v>
      </c>
      <c r="AD23" s="55" t="e">
        <f ca="1">IF($B23="","",_xll.BDP($A23&amp;" Corp",AD$5))</f>
        <v>#NAME?</v>
      </c>
      <c r="AE23" s="56" t="e">
        <f ca="1">IF($B23="","",_xll.BDP($A23&amp;" Corp",AE$5))</f>
        <v>#NAME?</v>
      </c>
      <c r="AF23" s="29" t="e">
        <f ca="1">IF($B23="","",_xll.BDP($A23&amp;" Corp",AF$5))</f>
        <v>#NAME?</v>
      </c>
      <c r="AG23" s="33" t="e">
        <f ca="1">IF($B23="","",_xll.BDP($A23&amp;" Corp",AG$5))</f>
        <v>#NAME?</v>
      </c>
      <c r="AH23" s="30" t="e">
        <f ca="1">IF($B23="","",_xll.BDP($A23&amp;" Corp",AH$5))</f>
        <v>#NAME?</v>
      </c>
      <c r="AI23" s="30" t="e">
        <f ca="1">IF($B23="","",_xll.BDP($A23&amp;" Corp",AI$5))</f>
        <v>#NAME?</v>
      </c>
      <c r="AJ23" s="30" t="e">
        <f ca="1">IF($B23="","",_xll.BDP($A23&amp;" Corp",AJ$5))</f>
        <v>#NAME?</v>
      </c>
      <c r="AK23" s="11" t="e">
        <f ca="1">IF($B23="","",_xll.BDP($A23&amp;" Corp",AK$5))</f>
        <v>#NAME?</v>
      </c>
      <c r="AL23" s="11" t="e">
        <f ca="1">IF($B23="","",_xll.BDP($A23&amp;" Corp",AL$5))</f>
        <v>#NAME?</v>
      </c>
      <c r="AM23" s="11">
        <v>3</v>
      </c>
      <c r="AN23" s="57">
        <v>2</v>
      </c>
    </row>
    <row r="24" spans="1:40" x14ac:dyDescent="0.3">
      <c r="A24" s="67" t="s">
        <v>356</v>
      </c>
      <c r="B24" s="68" t="s">
        <v>356</v>
      </c>
      <c r="C24" s="75">
        <v>10243</v>
      </c>
      <c r="D24" s="75">
        <v>128</v>
      </c>
      <c r="E24" s="75">
        <v>200000</v>
      </c>
      <c r="F24" s="69">
        <v>0.15769072000000001</v>
      </c>
      <c r="G24" s="70">
        <v>194100</v>
      </c>
      <c r="H24" s="67">
        <v>200000</v>
      </c>
      <c r="I24" s="67">
        <v>0.15769072000000001</v>
      </c>
      <c r="J24" s="67">
        <v>194100</v>
      </c>
      <c r="K24" s="71">
        <v>97.05</v>
      </c>
      <c r="L24" s="29" t="e">
        <f ca="1">IF(B24="","",_xll.BDP(A24&amp;" Corp","INTERVAL_HIGH","START_DATE_OVERRIDE",TEXT($L$3,"AAAAMMDD"),"END_DATE_OVERRIDE",TEXT($L$4,"AAAAMMDD"),"MARKET_DATA_OVERRIDE",$L$5))</f>
        <v>#NAME?</v>
      </c>
      <c r="M24" s="30" t="e">
        <f ca="1">IF(B24="","",_xll.BDP($A24&amp;" Corp","INTERVAL_LOW","START_DATE_OVERRIDE",TEXT($L$3,"AAAAMMDD"),"END_DATE_OVERRIDE",TEXT($L$4,"AAAAMMDD"),"MARKET_DATA_OVERRIDE",$L$5))</f>
        <v>#NAME?</v>
      </c>
      <c r="N24" s="31" t="s">
        <v>791</v>
      </c>
      <c r="O24" s="32" t="e">
        <f ca="1">IF($B24="","",_xll.BDP($A24&amp;" Corp",O$6))</f>
        <v>#NAME?</v>
      </c>
      <c r="P24" s="32" t="e">
        <f ca="1">IF($B24="","",_xll.BDP($A24&amp;" Corp",P$6))</f>
        <v>#NAME?</v>
      </c>
      <c r="Q24" s="30" t="e">
        <f ca="1">IF($B24="","",_xll.BDP($A24&amp;" Corp",Q$5))</f>
        <v>#NAME?</v>
      </c>
      <c r="R24" s="30" t="e">
        <f ca="1">IF($B24="","",_xll.BDP($A24&amp;" Corp",R$5))</f>
        <v>#NAME?</v>
      </c>
      <c r="S24" s="50" t="e">
        <f ca="1">IF($B24="","",_xll.BDP($A24&amp;" Corp",S$5))</f>
        <v>#NAME?</v>
      </c>
      <c r="T24" s="30" t="e">
        <f ca="1">IF($B24="","",_xll.BDP($A24&amp;" Corp",T$5))</f>
        <v>#NAME?</v>
      </c>
      <c r="U24" s="30" t="e">
        <f ca="1">IF($B24="","",_xll.BDP($A24&amp;" Corp",U$5))</f>
        <v>#NAME?</v>
      </c>
      <c r="V24" s="51" t="e">
        <f ca="1">IF($B24="","",IF($T24="VARIABLE",_xll.BDP($A24&amp;" Corp",V$4),_xll.BDP($A24&amp;" Corp",V$5)))</f>
        <v>#NAME?</v>
      </c>
      <c r="W24" s="30" t="e">
        <f ca="1">IF($B24="","",IF($T24="VARIABLE",_xll.BDP($A24&amp;" Corp",W$4),_xll.BDP($A24&amp;" Corp",W$5)))</f>
        <v>#NAME?</v>
      </c>
      <c r="X24" s="30" t="e">
        <f ca="1">IF($B24="","",_xll.BDP($A24&amp;" Corp",X$5))</f>
        <v>#NAME?</v>
      </c>
      <c r="Y24" s="33" t="e">
        <f ca="1">IF($B24="","",_xll.BDP($A24&amp;" Corp",Y$5))</f>
        <v>#NAME?</v>
      </c>
      <c r="Z24" s="52" t="e">
        <f ca="1">IF($B24="","",_xll.BDP($A24&amp;" Corp",Z$5))</f>
        <v>#NAME?</v>
      </c>
      <c r="AA24" s="53" t="e">
        <f ca="1">IF($B24="","",_xll.BDP($A24&amp;" Corp",AA$5))</f>
        <v>#NAME?</v>
      </c>
      <c r="AB24" s="54" t="e">
        <f ca="1">IF($B24="","",_xll.BDP($A24&amp;" Corp",AB$5))</f>
        <v>#NAME?</v>
      </c>
      <c r="AC24" s="54" t="e">
        <f ca="1">IF($B24="","",_xll.BDP($A24&amp;" Corp",AC$5))</f>
        <v>#NAME?</v>
      </c>
      <c r="AD24" s="55" t="e">
        <f ca="1">IF($B24="","",_xll.BDP($A24&amp;" Corp",AD$5))</f>
        <v>#NAME?</v>
      </c>
      <c r="AE24" s="56" t="e">
        <f ca="1">IF($B24="","",_xll.BDP($A24&amp;" Corp",AE$5))</f>
        <v>#NAME?</v>
      </c>
      <c r="AF24" s="29" t="e">
        <f ca="1">IF($B24="","",_xll.BDP($A24&amp;" Corp",AF$5))</f>
        <v>#NAME?</v>
      </c>
      <c r="AG24" s="33" t="e">
        <f ca="1">IF($B24="","",_xll.BDP($A24&amp;" Corp",AG$5))</f>
        <v>#NAME?</v>
      </c>
      <c r="AH24" s="30" t="e">
        <f ca="1">IF($B24="","",_xll.BDP($A24&amp;" Corp",AH$5))</f>
        <v>#NAME?</v>
      </c>
      <c r="AI24" s="30" t="e">
        <f ca="1">IF($B24="","",_xll.BDP($A24&amp;" Corp",AI$5))</f>
        <v>#NAME?</v>
      </c>
      <c r="AJ24" s="30" t="e">
        <f ca="1">IF($B24="","",_xll.BDP($A24&amp;" Corp",AJ$5))</f>
        <v>#NAME?</v>
      </c>
      <c r="AK24" s="11" t="e">
        <f ca="1">IF($B24="","",_xll.BDP($A24&amp;" Corp",AK$5))</f>
        <v>#NAME?</v>
      </c>
      <c r="AL24" s="11" t="e">
        <f ca="1">IF($B24="","",_xll.BDP($A24&amp;" Corp",AL$5))</f>
        <v>#NAME?</v>
      </c>
      <c r="AM24" s="11">
        <v>5</v>
      </c>
      <c r="AN24" s="57">
        <v>5</v>
      </c>
    </row>
    <row r="25" spans="1:40" x14ac:dyDescent="0.3">
      <c r="A25" s="67" t="s">
        <v>358</v>
      </c>
      <c r="B25" s="68" t="s">
        <v>358</v>
      </c>
      <c r="C25" s="75">
        <v>7432</v>
      </c>
      <c r="D25" s="75">
        <v>128</v>
      </c>
      <c r="E25" s="75">
        <v>200000</v>
      </c>
      <c r="F25" s="69">
        <v>0.16118540000000001</v>
      </c>
      <c r="G25" s="70">
        <v>183084</v>
      </c>
      <c r="H25" s="67">
        <v>200000</v>
      </c>
      <c r="I25" s="67">
        <v>0.16118540000000001</v>
      </c>
      <c r="J25" s="67">
        <v>183084</v>
      </c>
      <c r="K25" s="71">
        <v>91.542000000000002</v>
      </c>
      <c r="L25" s="29" t="e">
        <f ca="1">IF(B25="","",_xll.BDP(A25&amp;" Corp","INTERVAL_HIGH","START_DATE_OVERRIDE",TEXT($L$3,"AAAAMMDD"),"END_DATE_OVERRIDE",TEXT($L$4,"AAAAMMDD"),"MARKET_DATA_OVERRIDE",$L$5))</f>
        <v>#NAME?</v>
      </c>
      <c r="M25" s="30" t="e">
        <f ca="1">IF(B25="","",_xll.BDP($A25&amp;" Corp","INTERVAL_LOW","START_DATE_OVERRIDE",TEXT($L$3,"AAAAMMDD"),"END_DATE_OVERRIDE",TEXT($L$4,"AAAAMMDD"),"MARKET_DATA_OVERRIDE",$L$5))</f>
        <v>#NAME?</v>
      </c>
      <c r="N25" s="31" t="s">
        <v>792</v>
      </c>
      <c r="O25" s="32" t="e">
        <f ca="1">IF($B25="","",_xll.BDP($A25&amp;" Corp",O$6))</f>
        <v>#NAME?</v>
      </c>
      <c r="P25" s="32" t="e">
        <f ca="1">IF($B25="","",_xll.BDP($A25&amp;" Corp",P$6))</f>
        <v>#NAME?</v>
      </c>
      <c r="Q25" s="30" t="e">
        <f ca="1">IF($B25="","",_xll.BDP($A25&amp;" Corp",Q$5))</f>
        <v>#NAME?</v>
      </c>
      <c r="R25" s="30" t="e">
        <f ca="1">IF($B25="","",_xll.BDP($A25&amp;" Corp",R$5))</f>
        <v>#NAME?</v>
      </c>
      <c r="S25" s="50" t="e">
        <f ca="1">IF($B25="","",_xll.BDP($A25&amp;" Corp",S$5))</f>
        <v>#NAME?</v>
      </c>
      <c r="T25" s="30" t="e">
        <f ca="1">IF($B25="","",_xll.BDP($A25&amp;" Corp",T$5))</f>
        <v>#NAME?</v>
      </c>
      <c r="U25" s="30" t="e">
        <f ca="1">IF($B25="","",_xll.BDP($A25&amp;" Corp",U$5))</f>
        <v>#NAME?</v>
      </c>
      <c r="V25" s="51" t="e">
        <f ca="1">IF($B25="","",IF($T25="VARIABLE",_xll.BDP($A25&amp;" Corp",V$4),_xll.BDP($A25&amp;" Corp",V$5)))</f>
        <v>#NAME?</v>
      </c>
      <c r="W25" s="30" t="e">
        <f ca="1">IF($B25="","",IF($T25="VARIABLE",_xll.BDP($A25&amp;" Corp",W$4),_xll.BDP($A25&amp;" Corp",W$5)))</f>
        <v>#NAME?</v>
      </c>
      <c r="X25" s="30" t="e">
        <f ca="1">IF($B25="","",_xll.BDP($A25&amp;" Corp",X$5))</f>
        <v>#NAME?</v>
      </c>
      <c r="Y25" s="33" t="e">
        <f ca="1">IF($B25="","",_xll.BDP($A25&amp;" Corp",Y$5))</f>
        <v>#NAME?</v>
      </c>
      <c r="Z25" s="52" t="e">
        <f ca="1">IF($B25="","",_xll.BDP($A25&amp;" Corp",Z$5))</f>
        <v>#NAME?</v>
      </c>
      <c r="AA25" s="53" t="e">
        <f ca="1">IF($B25="","",_xll.BDP($A25&amp;" Corp",AA$5))</f>
        <v>#NAME?</v>
      </c>
      <c r="AB25" s="54" t="e">
        <f ca="1">IF($B25="","",_xll.BDP($A25&amp;" Corp",AB$5))</f>
        <v>#NAME?</v>
      </c>
      <c r="AC25" s="54" t="e">
        <f ca="1">IF($B25="","",_xll.BDP($A25&amp;" Corp",AC$5))</f>
        <v>#NAME?</v>
      </c>
      <c r="AD25" s="55" t="e">
        <f ca="1">IF($B25="","",_xll.BDP($A25&amp;" Corp",AD$5))</f>
        <v>#NAME?</v>
      </c>
      <c r="AE25" s="56" t="e">
        <f ca="1">IF($B25="","",_xll.BDP($A25&amp;" Corp",AE$5))</f>
        <v>#NAME?</v>
      </c>
      <c r="AF25" s="29" t="e">
        <f ca="1">IF($B25="","",_xll.BDP($A25&amp;" Corp",AF$5))</f>
        <v>#NAME?</v>
      </c>
      <c r="AG25" s="33" t="e">
        <f ca="1">IF($B25="","",_xll.BDP($A25&amp;" Corp",AG$5))</f>
        <v>#NAME?</v>
      </c>
      <c r="AH25" s="30" t="e">
        <f ca="1">IF($B25="","",_xll.BDP($A25&amp;" Corp",AH$5))</f>
        <v>#NAME?</v>
      </c>
      <c r="AI25" s="30" t="e">
        <f ca="1">IF($B25="","",_xll.BDP($A25&amp;" Corp",AI$5))</f>
        <v>#NAME?</v>
      </c>
      <c r="AJ25" s="30" t="e">
        <f ca="1">IF($B25="","",_xll.BDP($A25&amp;" Corp",AJ$5))</f>
        <v>#NAME?</v>
      </c>
      <c r="AK25" s="11" t="e">
        <f ca="1">IF($B25="","",_xll.BDP($A25&amp;" Corp",AK$5))</f>
        <v>#NAME?</v>
      </c>
      <c r="AL25" s="11" t="e">
        <f ca="1">IF($B25="","",_xll.BDP($A25&amp;" Corp",AL$5))</f>
        <v>#NAME?</v>
      </c>
      <c r="AM25" s="11">
        <v>1</v>
      </c>
      <c r="AN25" s="57">
        <v>1</v>
      </c>
    </row>
    <row r="26" spans="1:40" x14ac:dyDescent="0.3">
      <c r="A26" s="67" t="s">
        <v>360</v>
      </c>
      <c r="B26" s="68" t="s">
        <v>360</v>
      </c>
      <c r="C26" s="75">
        <v>8758</v>
      </c>
      <c r="D26" s="75">
        <v>128</v>
      </c>
      <c r="E26" s="75">
        <v>200000</v>
      </c>
      <c r="F26" s="69">
        <v>0.14679512</v>
      </c>
      <c r="G26" s="70">
        <v>199994</v>
      </c>
      <c r="H26" s="67">
        <v>200000</v>
      </c>
      <c r="I26" s="67">
        <v>0.14679512</v>
      </c>
      <c r="J26" s="67">
        <v>199994</v>
      </c>
      <c r="K26" s="71">
        <v>99.997</v>
      </c>
      <c r="L26" s="29" t="e">
        <f ca="1">IF(B26="","",_xll.BDP(A26&amp;" Corp","INTERVAL_HIGH","START_DATE_OVERRIDE",TEXT($L$3,"AAAAMMDD"),"END_DATE_OVERRIDE",TEXT($L$4,"AAAAMMDD"),"MARKET_DATA_OVERRIDE",$L$5))</f>
        <v>#NAME?</v>
      </c>
      <c r="M26" s="30" t="e">
        <f ca="1">IF(B26="","",_xll.BDP($A26&amp;" Corp","INTERVAL_LOW","START_DATE_OVERRIDE",TEXT($L$3,"AAAAMMDD"),"END_DATE_OVERRIDE",TEXT($L$4,"AAAAMMDD"),"MARKET_DATA_OVERRIDE",$L$5))</f>
        <v>#NAME?</v>
      </c>
      <c r="N26" s="31" t="s">
        <v>793</v>
      </c>
      <c r="O26" s="32" t="e">
        <f ca="1">IF($B26="","",_xll.BDP($A26&amp;" Corp",O$6))</f>
        <v>#NAME?</v>
      </c>
      <c r="P26" s="32" t="e">
        <f ca="1">IF($B26="","",_xll.BDP($A26&amp;" Corp",P$6))</f>
        <v>#NAME?</v>
      </c>
      <c r="Q26" s="30" t="e">
        <f ca="1">IF($B26="","",_xll.BDP($A26&amp;" Corp",Q$5))</f>
        <v>#NAME?</v>
      </c>
      <c r="R26" s="30" t="e">
        <f ca="1">IF($B26="","",_xll.BDP($A26&amp;" Corp",R$5))</f>
        <v>#NAME?</v>
      </c>
      <c r="S26" s="50" t="e">
        <f ca="1">IF($B26="","",_xll.BDP($A26&amp;" Corp",S$5))</f>
        <v>#NAME?</v>
      </c>
      <c r="T26" s="30" t="e">
        <f ca="1">IF($B26="","",_xll.BDP($A26&amp;" Corp",T$5))</f>
        <v>#NAME?</v>
      </c>
      <c r="U26" s="30" t="e">
        <f ca="1">IF($B26="","",_xll.BDP($A26&amp;" Corp",U$5))</f>
        <v>#NAME?</v>
      </c>
      <c r="V26" s="51" t="e">
        <f ca="1">IF($B26="","",IF($T26="VARIABLE",_xll.BDP($A26&amp;" Corp",V$4),_xll.BDP($A26&amp;" Corp",V$5)))</f>
        <v>#NAME?</v>
      </c>
      <c r="W26" s="30" t="e">
        <f ca="1">IF($B26="","",IF($T26="VARIABLE",_xll.BDP($A26&amp;" Corp",W$4),_xll.BDP($A26&amp;" Corp",W$5)))</f>
        <v>#NAME?</v>
      </c>
      <c r="X26" s="30" t="e">
        <f ca="1">IF($B26="","",_xll.BDP($A26&amp;" Corp",X$5))</f>
        <v>#NAME?</v>
      </c>
      <c r="Y26" s="33" t="e">
        <f ca="1">IF($B26="","",_xll.BDP($A26&amp;" Corp",Y$5))</f>
        <v>#NAME?</v>
      </c>
      <c r="Z26" s="52" t="e">
        <f ca="1">IF($B26="","",_xll.BDP($A26&amp;" Corp",Z$5))</f>
        <v>#NAME?</v>
      </c>
      <c r="AA26" s="53" t="e">
        <f ca="1">IF($B26="","",_xll.BDP($A26&amp;" Corp",AA$5))</f>
        <v>#NAME?</v>
      </c>
      <c r="AB26" s="54" t="e">
        <f ca="1">IF($B26="","",_xll.BDP($A26&amp;" Corp",AB$5))</f>
        <v>#NAME?</v>
      </c>
      <c r="AC26" s="54" t="e">
        <f ca="1">IF($B26="","",_xll.BDP($A26&amp;" Corp",AC$5))</f>
        <v>#NAME?</v>
      </c>
      <c r="AD26" s="55" t="e">
        <f ca="1">IF($B26="","",_xll.BDP($A26&amp;" Corp",AD$5))</f>
        <v>#NAME?</v>
      </c>
      <c r="AE26" s="56" t="e">
        <f ca="1">IF($B26="","",_xll.BDP($A26&amp;" Corp",AE$5))</f>
        <v>#NAME?</v>
      </c>
      <c r="AF26" s="29" t="e">
        <f ca="1">IF($B26="","",_xll.BDP($A26&amp;" Corp",AF$5))</f>
        <v>#NAME?</v>
      </c>
      <c r="AG26" s="33" t="e">
        <f ca="1">IF($B26="","",_xll.BDP($A26&amp;" Corp",AG$5))</f>
        <v>#NAME?</v>
      </c>
      <c r="AH26" s="30" t="e">
        <f ca="1">IF($B26="","",_xll.BDP($A26&amp;" Corp",AH$5))</f>
        <v>#NAME?</v>
      </c>
      <c r="AI26" s="30" t="e">
        <f ca="1">IF($B26="","",_xll.BDP($A26&amp;" Corp",AI$5))</f>
        <v>#NAME?</v>
      </c>
      <c r="AJ26" s="30" t="e">
        <f ca="1">IF($B26="","",_xll.BDP($A26&amp;" Corp",AJ$5))</f>
        <v>#NAME?</v>
      </c>
      <c r="AK26" s="11" t="e">
        <f ca="1">IF($B26="","",_xll.BDP($A26&amp;" Corp",AK$5))</f>
        <v>#NAME?</v>
      </c>
      <c r="AL26" s="11" t="e">
        <f ca="1">IF($B26="","",_xll.BDP($A26&amp;" Corp",AL$5))</f>
        <v>#NAME?</v>
      </c>
      <c r="AM26" s="11">
        <v>3</v>
      </c>
      <c r="AN26" s="57">
        <v>2</v>
      </c>
    </row>
    <row r="27" spans="1:40" x14ac:dyDescent="0.3">
      <c r="A27" s="67" t="s">
        <v>167</v>
      </c>
      <c r="B27" s="68" t="s">
        <v>362</v>
      </c>
      <c r="C27" s="75">
        <v>2907</v>
      </c>
      <c r="D27" s="75">
        <v>128</v>
      </c>
      <c r="E27" s="75">
        <v>1000000</v>
      </c>
      <c r="F27" s="69">
        <v>0</v>
      </c>
      <c r="G27" s="70">
        <v>71880</v>
      </c>
      <c r="H27" s="67">
        <v>1000000</v>
      </c>
      <c r="I27" s="67">
        <v>0</v>
      </c>
      <c r="J27" s="67">
        <v>71880</v>
      </c>
      <c r="K27" s="71">
        <v>7.1879999999999997</v>
      </c>
      <c r="L27" s="29" t="e">
        <f ca="1">IF(B27="","",_xll.BDP(A27&amp;" Corp","INTERVAL_HIGH","START_DATE_OVERRIDE",TEXT($L$3,"AAAAMMDD"),"END_DATE_OVERRIDE",TEXT($L$4,"AAAAMMDD"),"MARKET_DATA_OVERRIDE",$L$5))</f>
        <v>#NAME?</v>
      </c>
      <c r="M27" s="30" t="e">
        <f ca="1">IF(B27="","",_xll.BDP($A27&amp;" Corp","INTERVAL_LOW","START_DATE_OVERRIDE",TEXT($L$3,"AAAAMMDD"),"END_DATE_OVERRIDE",TEXT($L$4,"AAAAMMDD"),"MARKET_DATA_OVERRIDE",$L$5))</f>
        <v>#NAME?</v>
      </c>
      <c r="N27" s="31" t="s">
        <v>959</v>
      </c>
      <c r="O27" s="32" t="e">
        <f ca="1">IF($B27="","",_xll.BDP($A27&amp;" Corp",O$6))</f>
        <v>#NAME?</v>
      </c>
      <c r="P27" s="32" t="e">
        <f ca="1">IF($B27="","",_xll.BDP($A27&amp;" Corp",P$6))</f>
        <v>#NAME?</v>
      </c>
      <c r="Q27" s="30" t="e">
        <f ca="1">IF($B27="","",_xll.BDP($A27&amp;" Corp",Q$5))</f>
        <v>#NAME?</v>
      </c>
      <c r="R27" s="30" t="e">
        <f ca="1">IF($B27="","",_xll.BDP($A27&amp;" Corp",R$5))</f>
        <v>#NAME?</v>
      </c>
      <c r="S27" s="50" t="e">
        <f ca="1">IF($B27="","",_xll.BDP($A27&amp;" Corp",S$5))</f>
        <v>#NAME?</v>
      </c>
      <c r="T27" s="30" t="e">
        <f ca="1">IF($B27="","",_xll.BDP($A27&amp;" Corp",T$5))</f>
        <v>#NAME?</v>
      </c>
      <c r="U27" s="30" t="e">
        <f ca="1">IF($B27="","",_xll.BDP($A27&amp;" Corp",U$5))</f>
        <v>#NAME?</v>
      </c>
      <c r="V27" s="51" t="e">
        <f ca="1">IF($B27="","",IF($T27="VARIABLE",_xll.BDP($A27&amp;" Corp",V$4),_xll.BDP($A27&amp;" Corp",V$5)))</f>
        <v>#NAME?</v>
      </c>
      <c r="W27" s="30" t="e">
        <f ca="1">IF($B27="","",IF($T27="VARIABLE",_xll.BDP($A27&amp;" Corp",W$4),_xll.BDP($A27&amp;" Corp",W$5)))</f>
        <v>#NAME?</v>
      </c>
      <c r="X27" s="30" t="e">
        <f ca="1">IF($B27="","",_xll.BDP($A27&amp;" Corp",X$5))</f>
        <v>#NAME?</v>
      </c>
      <c r="Y27" s="33" t="e">
        <f ca="1">IF($B27="","",_xll.BDP($A27&amp;" Corp",Y$5))</f>
        <v>#NAME?</v>
      </c>
      <c r="Z27" s="52" t="e">
        <f ca="1">IF($B27="","",_xll.BDP($A27&amp;" Corp",Z$5))</f>
        <v>#NAME?</v>
      </c>
      <c r="AA27" s="53" t="e">
        <f ca="1">IF($B27="","",_xll.BDP($A27&amp;" Corp",AA$5))</f>
        <v>#NAME?</v>
      </c>
      <c r="AB27" s="54" t="e">
        <f ca="1">IF($B27="","",_xll.BDP($A27&amp;" Corp",AB$5))</f>
        <v>#NAME?</v>
      </c>
      <c r="AC27" s="54" t="e">
        <f ca="1">IF($B27="","",_xll.BDP($A27&amp;" Corp",AC$5))</f>
        <v>#NAME?</v>
      </c>
      <c r="AD27" s="55" t="e">
        <f ca="1">IF($B27="","",_xll.BDP($A27&amp;" Corp",AD$5))</f>
        <v>#NAME?</v>
      </c>
      <c r="AE27" s="56" t="e">
        <f ca="1">IF($B27="","",_xll.BDP($A27&amp;" Corp",AE$5))</f>
        <v>#NAME?</v>
      </c>
      <c r="AF27" s="29" t="e">
        <f ca="1">IF($B27="","",_xll.BDP($A27&amp;" Corp",AF$5))</f>
        <v>#NAME?</v>
      </c>
      <c r="AG27" s="33" t="e">
        <f ca="1">IF($B27="","",_xll.BDP($A27&amp;" Corp",AG$5))</f>
        <v>#NAME?</v>
      </c>
      <c r="AH27" s="30" t="e">
        <f ca="1">IF($B27="","",_xll.BDP($A27&amp;" Corp",AH$5))</f>
        <v>#NAME?</v>
      </c>
      <c r="AI27" s="30" t="e">
        <f ca="1">IF($B27="","",_xll.BDP($A27&amp;" Corp",AI$5))</f>
        <v>#NAME?</v>
      </c>
      <c r="AJ27" s="30" t="e">
        <f ca="1">IF($B27="","",_xll.BDP($A27&amp;" Corp",AJ$5))</f>
        <v>#NAME?</v>
      </c>
      <c r="AK27" s="11" t="e">
        <f ca="1">IF($B27="","",_xll.BDP($A27&amp;" Corp",AK$5))</f>
        <v>#NAME?</v>
      </c>
      <c r="AL27" s="11" t="e">
        <f ca="1">IF($B27="","",_xll.BDP($A27&amp;" Corp",AL$5))</f>
        <v>#NAME?</v>
      </c>
      <c r="AM27" s="11" t="e">
        <v>#VALUE!</v>
      </c>
      <c r="AN27" s="57" t="e">
        <v>#VALUE!</v>
      </c>
    </row>
    <row r="28" spans="1:40" x14ac:dyDescent="0.3">
      <c r="A28" s="67" t="s">
        <v>581</v>
      </c>
      <c r="B28" s="68" t="s">
        <v>581</v>
      </c>
      <c r="C28" s="75">
        <v>4612</v>
      </c>
      <c r="D28" s="75">
        <v>128</v>
      </c>
      <c r="E28" s="75">
        <v>450000</v>
      </c>
      <c r="F28" s="69">
        <v>0.36653238999999999</v>
      </c>
      <c r="G28" s="70">
        <v>506481.83</v>
      </c>
      <c r="H28" s="67">
        <v>450000</v>
      </c>
      <c r="I28" s="67">
        <v>0.36653238999999999</v>
      </c>
      <c r="J28" s="67">
        <v>506481.83</v>
      </c>
      <c r="K28" s="71">
        <v>112.55151777777778</v>
      </c>
      <c r="L28" s="29" t="e">
        <f ca="1">IF(B28="","",_xll.BDP(A28&amp;" Corp","INTERVAL_HIGH","START_DATE_OVERRIDE",TEXT($L$3,"AAAAMMDD"),"END_DATE_OVERRIDE",TEXT($L$4,"AAAAMMDD"),"MARKET_DATA_OVERRIDE",$L$5))</f>
        <v>#NAME?</v>
      </c>
      <c r="M28" s="30" t="e">
        <f ca="1">IF(B28="","",_xll.BDP($A28&amp;" Corp","INTERVAL_LOW","START_DATE_OVERRIDE",TEXT($L$3,"AAAAMMDD"),"END_DATE_OVERRIDE",TEXT($L$4,"AAAAMMDD"),"MARKET_DATA_OVERRIDE",$L$5))</f>
        <v>#NAME?</v>
      </c>
      <c r="N28" s="31" t="s">
        <v>794</v>
      </c>
      <c r="O28" s="32" t="e">
        <f ca="1">IF($B28="","",_xll.BDP($A28&amp;" Corp",O$6))</f>
        <v>#NAME?</v>
      </c>
      <c r="P28" s="32" t="e">
        <f ca="1">IF($B28="","",_xll.BDP($A28&amp;" Corp",P$6))</f>
        <v>#NAME?</v>
      </c>
      <c r="Q28" s="30" t="e">
        <f ca="1">IF($B28="","",_xll.BDP($A28&amp;" Corp",Q$5))</f>
        <v>#NAME?</v>
      </c>
      <c r="R28" s="30" t="e">
        <f ca="1">IF($B28="","",_xll.BDP($A28&amp;" Corp",R$5))</f>
        <v>#NAME?</v>
      </c>
      <c r="S28" s="50" t="e">
        <f ca="1">IF($B28="","",_xll.BDP($A28&amp;" Corp",S$5))</f>
        <v>#NAME?</v>
      </c>
      <c r="T28" s="30" t="e">
        <f ca="1">IF($B28="","",_xll.BDP($A28&amp;" Corp",T$5))</f>
        <v>#NAME?</v>
      </c>
      <c r="U28" s="30" t="e">
        <f ca="1">IF($B28="","",_xll.BDP($A28&amp;" Corp",U$5))</f>
        <v>#NAME?</v>
      </c>
      <c r="V28" s="51" t="e">
        <f ca="1">IF($B28="","",IF($T28="VARIABLE",_xll.BDP($A28&amp;" Corp",V$4),_xll.BDP($A28&amp;" Corp",V$5)))</f>
        <v>#NAME?</v>
      </c>
      <c r="W28" s="30" t="e">
        <f ca="1">IF($B28="","",IF($T28="VARIABLE",_xll.BDP($A28&amp;" Corp",W$4),_xll.BDP($A28&amp;" Corp",W$5)))</f>
        <v>#NAME?</v>
      </c>
      <c r="X28" s="30" t="e">
        <f ca="1">IF($B28="","",_xll.BDP($A28&amp;" Corp",X$5))</f>
        <v>#NAME?</v>
      </c>
      <c r="Y28" s="33" t="e">
        <f ca="1">IF($B28="","",_xll.BDP($A28&amp;" Corp",Y$5))</f>
        <v>#NAME?</v>
      </c>
      <c r="Z28" s="52" t="e">
        <f ca="1">IF($B28="","",_xll.BDP($A28&amp;" Corp",Z$5))</f>
        <v>#NAME?</v>
      </c>
      <c r="AA28" s="53" t="e">
        <f ca="1">IF($B28="","",_xll.BDP($A28&amp;" Corp",AA$5))</f>
        <v>#NAME?</v>
      </c>
      <c r="AB28" s="54" t="e">
        <f ca="1">IF($B28="","",_xll.BDP($A28&amp;" Corp",AB$5))</f>
        <v>#NAME?</v>
      </c>
      <c r="AC28" s="54" t="e">
        <f ca="1">IF($B28="","",_xll.BDP($A28&amp;" Corp",AC$5))</f>
        <v>#NAME?</v>
      </c>
      <c r="AD28" s="55" t="e">
        <f ca="1">IF($B28="","",_xll.BDP($A28&amp;" Corp",AD$5))</f>
        <v>#NAME?</v>
      </c>
      <c r="AE28" s="56" t="e">
        <f ca="1">IF($B28="","",_xll.BDP($A28&amp;" Corp",AE$5))</f>
        <v>#NAME?</v>
      </c>
      <c r="AF28" s="29" t="e">
        <f ca="1">IF($B28="","",_xll.BDP($A28&amp;" Corp",AF$5))</f>
        <v>#NAME?</v>
      </c>
      <c r="AG28" s="33" t="e">
        <f ca="1">IF($B28="","",_xll.BDP($A28&amp;" Corp",AG$5))</f>
        <v>#NAME?</v>
      </c>
      <c r="AH28" s="30" t="e">
        <f ca="1">IF($B28="","",_xll.BDP($A28&amp;" Corp",AH$5))</f>
        <v>#NAME?</v>
      </c>
      <c r="AI28" s="30" t="e">
        <f ca="1">IF($B28="","",_xll.BDP($A28&amp;" Corp",AI$5))</f>
        <v>#NAME?</v>
      </c>
      <c r="AJ28" s="30" t="e">
        <f ca="1">IF($B28="","",_xll.BDP($A28&amp;" Corp",AJ$5))</f>
        <v>#NAME?</v>
      </c>
      <c r="AK28" s="11" t="e">
        <f ca="1">IF($B28="","",_xll.BDP($A28&amp;" Corp",AK$5))</f>
        <v>#NAME?</v>
      </c>
      <c r="AL28" s="11" t="e">
        <f ca="1">IF($B28="","",_xll.BDP($A28&amp;" Corp",AL$5))</f>
        <v>#NAME?</v>
      </c>
      <c r="AM28" s="11">
        <v>1</v>
      </c>
      <c r="AN28" s="57">
        <v>1</v>
      </c>
    </row>
    <row r="29" spans="1:40" x14ac:dyDescent="0.3">
      <c r="A29" s="67" t="s">
        <v>258</v>
      </c>
      <c r="B29" s="68" t="s">
        <v>258</v>
      </c>
      <c r="C29" s="75">
        <v>2008</v>
      </c>
      <c r="D29" s="75">
        <v>128</v>
      </c>
      <c r="E29" s="75">
        <v>100000</v>
      </c>
      <c r="F29" s="69">
        <v>7.7866820000000003E-2</v>
      </c>
      <c r="G29" s="70">
        <v>105040.5</v>
      </c>
      <c r="H29" s="67">
        <v>100000</v>
      </c>
      <c r="I29" s="67">
        <v>7.7866820000000003E-2</v>
      </c>
      <c r="J29" s="67">
        <v>105040.5</v>
      </c>
      <c r="K29" s="71">
        <v>105.04049999999999</v>
      </c>
      <c r="L29" s="29" t="e">
        <f ca="1">IF(B29="","",_xll.BDP(A29&amp;" Corp","INTERVAL_HIGH","START_DATE_OVERRIDE",TEXT($L$3,"AAAAMMDD"),"END_DATE_OVERRIDE",TEXT($L$4,"AAAAMMDD"),"MARKET_DATA_OVERRIDE",$L$5))</f>
        <v>#NAME?</v>
      </c>
      <c r="M29" s="30" t="e">
        <f ca="1">IF(B29="","",_xll.BDP($A29&amp;" Corp","INTERVAL_LOW","START_DATE_OVERRIDE",TEXT($L$3,"AAAAMMDD"),"END_DATE_OVERRIDE",TEXT($L$4,"AAAAMMDD"),"MARKET_DATA_OVERRIDE",$L$5))</f>
        <v>#NAME?</v>
      </c>
      <c r="N29" s="31" t="s">
        <v>795</v>
      </c>
      <c r="O29" s="32" t="e">
        <f ca="1">IF($B29="","",_xll.BDP($A29&amp;" Corp",O$6))</f>
        <v>#NAME?</v>
      </c>
      <c r="P29" s="32" t="e">
        <f ca="1">IF($B29="","",_xll.BDP($A29&amp;" Corp",P$6))</f>
        <v>#NAME?</v>
      </c>
      <c r="Q29" s="30" t="e">
        <f ca="1">IF($B29="","",_xll.BDP($A29&amp;" Corp",Q$5))</f>
        <v>#NAME?</v>
      </c>
      <c r="R29" s="30" t="e">
        <f ca="1">IF($B29="","",_xll.BDP($A29&amp;" Corp",R$5))</f>
        <v>#NAME?</v>
      </c>
      <c r="S29" s="50" t="e">
        <f ca="1">IF($B29="","",_xll.BDP($A29&amp;" Corp",S$5))</f>
        <v>#NAME?</v>
      </c>
      <c r="T29" s="30" t="e">
        <f ca="1">IF($B29="","",_xll.BDP($A29&amp;" Corp",T$5))</f>
        <v>#NAME?</v>
      </c>
      <c r="U29" s="30" t="e">
        <f ca="1">IF($B29="","",_xll.BDP($A29&amp;" Corp",U$5))</f>
        <v>#NAME?</v>
      </c>
      <c r="V29" s="51" t="e">
        <f ca="1">IF($B29="","",IF($T29="VARIABLE",_xll.BDP($A29&amp;" Corp",V$4),_xll.BDP($A29&amp;" Corp",V$5)))</f>
        <v>#NAME?</v>
      </c>
      <c r="W29" s="30" t="e">
        <f ca="1">IF($B29="","",IF($T29="VARIABLE",_xll.BDP($A29&amp;" Corp",W$4),_xll.BDP($A29&amp;" Corp",W$5)))</f>
        <v>#NAME?</v>
      </c>
      <c r="X29" s="30" t="e">
        <f ca="1">IF($B29="","",_xll.BDP($A29&amp;" Corp",X$5))</f>
        <v>#NAME?</v>
      </c>
      <c r="Y29" s="33" t="e">
        <f ca="1">IF($B29="","",_xll.BDP($A29&amp;" Corp",Y$5))</f>
        <v>#NAME?</v>
      </c>
      <c r="Z29" s="52" t="e">
        <f ca="1">IF($B29="","",_xll.BDP($A29&amp;" Corp",Z$5))</f>
        <v>#NAME?</v>
      </c>
      <c r="AA29" s="53" t="e">
        <f ca="1">IF($B29="","",_xll.BDP($A29&amp;" Corp",AA$5))</f>
        <v>#NAME?</v>
      </c>
      <c r="AB29" s="54" t="e">
        <f ca="1">IF($B29="","",_xll.BDP($A29&amp;" Corp",AB$5))</f>
        <v>#NAME?</v>
      </c>
      <c r="AC29" s="54" t="e">
        <f ca="1">IF($B29="","",_xll.BDP($A29&amp;" Corp",AC$5))</f>
        <v>#NAME?</v>
      </c>
      <c r="AD29" s="55" t="e">
        <f ca="1">IF($B29="","",_xll.BDP($A29&amp;" Corp",AD$5))</f>
        <v>#NAME?</v>
      </c>
      <c r="AE29" s="56" t="e">
        <f ca="1">IF($B29="","",_xll.BDP($A29&amp;" Corp",AE$5))</f>
        <v>#NAME?</v>
      </c>
      <c r="AF29" s="29" t="e">
        <f ca="1">IF($B29="","",_xll.BDP($A29&amp;" Corp",AF$5))</f>
        <v>#NAME?</v>
      </c>
      <c r="AG29" s="33" t="e">
        <f ca="1">IF($B29="","",_xll.BDP($A29&amp;" Corp",AG$5))</f>
        <v>#NAME?</v>
      </c>
      <c r="AH29" s="30" t="e">
        <f ca="1">IF($B29="","",_xll.BDP($A29&amp;" Corp",AH$5))</f>
        <v>#NAME?</v>
      </c>
      <c r="AI29" s="30" t="e">
        <f ca="1">IF($B29="","",_xll.BDP($A29&amp;" Corp",AI$5))</f>
        <v>#NAME?</v>
      </c>
      <c r="AJ29" s="30" t="e">
        <f ca="1">IF($B29="","",_xll.BDP($A29&amp;" Corp",AJ$5))</f>
        <v>#NAME?</v>
      </c>
      <c r="AK29" s="11" t="e">
        <f ca="1">IF($B29="","",_xll.BDP($A29&amp;" Corp",AK$5))</f>
        <v>#NAME?</v>
      </c>
      <c r="AL29" s="11" t="e">
        <f ca="1">IF($B29="","",_xll.BDP($A29&amp;" Corp",AL$5))</f>
        <v>#NAME?</v>
      </c>
      <c r="AM29" s="11">
        <v>3</v>
      </c>
      <c r="AN29" s="57">
        <v>3</v>
      </c>
    </row>
    <row r="30" spans="1:40" x14ac:dyDescent="0.3">
      <c r="A30" s="67" t="s">
        <v>297</v>
      </c>
      <c r="B30" s="68" t="s">
        <v>297</v>
      </c>
      <c r="C30" s="75">
        <v>9788</v>
      </c>
      <c r="D30" s="75">
        <v>128</v>
      </c>
      <c r="E30" s="75">
        <v>100000</v>
      </c>
      <c r="F30" s="69">
        <v>8.100657E-2</v>
      </c>
      <c r="G30" s="70">
        <v>99810</v>
      </c>
      <c r="H30" s="67">
        <v>100000</v>
      </c>
      <c r="I30" s="67">
        <v>8.100657E-2</v>
      </c>
      <c r="J30" s="67">
        <v>99810</v>
      </c>
      <c r="K30" s="71">
        <v>99.81</v>
      </c>
      <c r="L30" s="29" t="e">
        <f ca="1">IF(B30="","",_xll.BDP(A30&amp;" Corp","INTERVAL_HIGH","START_DATE_OVERRIDE",TEXT($L$3,"AAAAMMDD"),"END_DATE_OVERRIDE",TEXT($L$4,"AAAAMMDD"),"MARKET_DATA_OVERRIDE",$L$5))</f>
        <v>#NAME?</v>
      </c>
      <c r="M30" s="30" t="e">
        <f ca="1">IF(B30="","",_xll.BDP($A30&amp;" Corp","INTERVAL_LOW","START_DATE_OVERRIDE",TEXT($L$3,"AAAAMMDD"),"END_DATE_OVERRIDE",TEXT($L$4,"AAAAMMDD"),"MARKET_DATA_OVERRIDE",$L$5))</f>
        <v>#NAME?</v>
      </c>
      <c r="N30" s="31" t="s">
        <v>796</v>
      </c>
      <c r="O30" s="32" t="e">
        <f ca="1">IF($B30="","",_xll.BDP($A30&amp;" Corp",O$6))</f>
        <v>#NAME?</v>
      </c>
      <c r="P30" s="32" t="e">
        <f ca="1">IF($B30="","",_xll.BDP($A30&amp;" Corp",P$6))</f>
        <v>#NAME?</v>
      </c>
      <c r="Q30" s="30" t="e">
        <f ca="1">IF($B30="","",_xll.BDP($A30&amp;" Corp",Q$5))</f>
        <v>#NAME?</v>
      </c>
      <c r="R30" s="30" t="e">
        <f ca="1">IF($B30="","",_xll.BDP($A30&amp;" Corp",R$5))</f>
        <v>#NAME?</v>
      </c>
      <c r="S30" s="50" t="e">
        <f ca="1">IF($B30="","",_xll.BDP($A30&amp;" Corp",S$5))</f>
        <v>#NAME?</v>
      </c>
      <c r="T30" s="30" t="e">
        <f ca="1">IF($B30="","",_xll.BDP($A30&amp;" Corp",T$5))</f>
        <v>#NAME?</v>
      </c>
      <c r="U30" s="30" t="e">
        <f ca="1">IF($B30="","",_xll.BDP($A30&amp;" Corp",U$5))</f>
        <v>#NAME?</v>
      </c>
      <c r="V30" s="51" t="e">
        <f ca="1">IF($B30="","",IF($T30="VARIABLE",_xll.BDP($A30&amp;" Corp",V$4),_xll.BDP($A30&amp;" Corp",V$5)))</f>
        <v>#NAME?</v>
      </c>
      <c r="W30" s="30" t="e">
        <f ca="1">IF($B30="","",IF($T30="VARIABLE",_xll.BDP($A30&amp;" Corp",W$4),_xll.BDP($A30&amp;" Corp",W$5)))</f>
        <v>#NAME?</v>
      </c>
      <c r="X30" s="30" t="e">
        <f ca="1">IF($B30="","",_xll.BDP($A30&amp;" Corp",X$5))</f>
        <v>#NAME?</v>
      </c>
      <c r="Y30" s="33" t="e">
        <f ca="1">IF($B30="","",_xll.BDP($A30&amp;" Corp",Y$5))</f>
        <v>#NAME?</v>
      </c>
      <c r="Z30" s="52" t="e">
        <f ca="1">IF($B30="","",_xll.BDP($A30&amp;" Corp",Z$5))</f>
        <v>#NAME?</v>
      </c>
      <c r="AA30" s="53" t="e">
        <f ca="1">IF($B30="","",_xll.BDP($A30&amp;" Corp",AA$5))</f>
        <v>#NAME?</v>
      </c>
      <c r="AB30" s="54" t="e">
        <f ca="1">IF($B30="","",_xll.BDP($A30&amp;" Corp",AB$5))</f>
        <v>#NAME?</v>
      </c>
      <c r="AC30" s="54" t="e">
        <f ca="1">IF($B30="","",_xll.BDP($A30&amp;" Corp",AC$5))</f>
        <v>#NAME?</v>
      </c>
      <c r="AD30" s="55" t="e">
        <f ca="1">IF($B30="","",_xll.BDP($A30&amp;" Corp",AD$5))</f>
        <v>#NAME?</v>
      </c>
      <c r="AE30" s="56" t="e">
        <f ca="1">IF($B30="","",_xll.BDP($A30&amp;" Corp",AE$5))</f>
        <v>#NAME?</v>
      </c>
      <c r="AF30" s="29" t="e">
        <f ca="1">IF($B30="","",_xll.BDP($A30&amp;" Corp",AF$5))</f>
        <v>#NAME?</v>
      </c>
      <c r="AG30" s="33" t="e">
        <f ca="1">IF($B30="","",_xll.BDP($A30&amp;" Corp",AG$5))</f>
        <v>#NAME?</v>
      </c>
      <c r="AH30" s="30" t="e">
        <f ca="1">IF($B30="","",_xll.BDP($A30&amp;" Corp",AH$5))</f>
        <v>#NAME?</v>
      </c>
      <c r="AI30" s="30" t="e">
        <f ca="1">IF($B30="","",_xll.BDP($A30&amp;" Corp",AI$5))</f>
        <v>#NAME?</v>
      </c>
      <c r="AJ30" s="30" t="e">
        <f ca="1">IF($B30="","",_xll.BDP($A30&amp;" Corp",AJ$5))</f>
        <v>#NAME?</v>
      </c>
      <c r="AK30" s="11" t="e">
        <f ca="1">IF($B30="","",_xll.BDP($A30&amp;" Corp",AK$5))</f>
        <v>#NAME?</v>
      </c>
      <c r="AL30" s="11" t="e">
        <f ca="1">IF($B30="","",_xll.BDP($A30&amp;" Corp",AL$5))</f>
        <v>#NAME?</v>
      </c>
      <c r="AM30" s="11">
        <v>2</v>
      </c>
      <c r="AN30" s="57">
        <v>1</v>
      </c>
    </row>
    <row r="31" spans="1:40" x14ac:dyDescent="0.3">
      <c r="A31" s="67" t="s">
        <v>299</v>
      </c>
      <c r="B31" s="68" t="s">
        <v>299</v>
      </c>
      <c r="C31" s="75">
        <v>9074</v>
      </c>
      <c r="D31" s="75">
        <v>128</v>
      </c>
      <c r="E31" s="75">
        <v>300000</v>
      </c>
      <c r="F31" s="69">
        <v>0.23896395000000001</v>
      </c>
      <c r="G31" s="70">
        <v>299533</v>
      </c>
      <c r="H31" s="67">
        <v>300000</v>
      </c>
      <c r="I31" s="67">
        <v>0.23896395000000001</v>
      </c>
      <c r="J31" s="67">
        <v>299533</v>
      </c>
      <c r="K31" s="71">
        <v>99.844333333333338</v>
      </c>
      <c r="L31" s="29" t="e">
        <f ca="1">IF(B31="","",_xll.BDP(A31&amp;" Corp","INTERVAL_HIGH","START_DATE_OVERRIDE",TEXT($L$3,"AAAAMMDD"),"END_DATE_OVERRIDE",TEXT($L$4,"AAAAMMDD"),"MARKET_DATA_OVERRIDE",$L$5))</f>
        <v>#NAME?</v>
      </c>
      <c r="M31" s="30" t="e">
        <f ca="1">IF(B31="","",_xll.BDP($A31&amp;" Corp","INTERVAL_LOW","START_DATE_OVERRIDE",TEXT($L$3,"AAAAMMDD"),"END_DATE_OVERRIDE",TEXT($L$4,"AAAAMMDD"),"MARKET_DATA_OVERRIDE",$L$5))</f>
        <v>#NAME?</v>
      </c>
      <c r="N31" s="31" t="s">
        <v>797</v>
      </c>
      <c r="O31" s="32" t="e">
        <f ca="1">IF($B31="","",_xll.BDP($A31&amp;" Corp",O$6))</f>
        <v>#NAME?</v>
      </c>
      <c r="P31" s="32" t="e">
        <f ca="1">IF($B31="","",_xll.BDP($A31&amp;" Corp",P$6))</f>
        <v>#NAME?</v>
      </c>
      <c r="Q31" s="30" t="e">
        <f ca="1">IF($B31="","",_xll.BDP($A31&amp;" Corp",Q$5))</f>
        <v>#NAME?</v>
      </c>
      <c r="R31" s="30" t="e">
        <f ca="1">IF($B31="","",_xll.BDP($A31&amp;" Corp",R$5))</f>
        <v>#NAME?</v>
      </c>
      <c r="S31" s="50" t="e">
        <f ca="1">IF($B31="","",_xll.BDP($A31&amp;" Corp",S$5))</f>
        <v>#NAME?</v>
      </c>
      <c r="T31" s="30" t="e">
        <f ca="1">IF($B31="","",_xll.BDP($A31&amp;" Corp",T$5))</f>
        <v>#NAME?</v>
      </c>
      <c r="U31" s="30" t="e">
        <f ca="1">IF($B31="","",_xll.BDP($A31&amp;" Corp",U$5))</f>
        <v>#NAME?</v>
      </c>
      <c r="V31" s="51" t="e">
        <f ca="1">IF($B31="","",IF($T31="VARIABLE",_xll.BDP($A31&amp;" Corp",V$4),_xll.BDP($A31&amp;" Corp",V$5)))</f>
        <v>#NAME?</v>
      </c>
      <c r="W31" s="30" t="e">
        <f ca="1">IF($B31="","",IF($T31="VARIABLE",_xll.BDP($A31&amp;" Corp",W$4),_xll.BDP($A31&amp;" Corp",W$5)))</f>
        <v>#NAME?</v>
      </c>
      <c r="X31" s="30" t="e">
        <f ca="1">IF($B31="","",_xll.BDP($A31&amp;" Corp",X$5))</f>
        <v>#NAME?</v>
      </c>
      <c r="Y31" s="33" t="e">
        <f ca="1">IF($B31="","",_xll.BDP($A31&amp;" Corp",Y$5))</f>
        <v>#NAME?</v>
      </c>
      <c r="Z31" s="52" t="e">
        <f ca="1">IF($B31="","",_xll.BDP($A31&amp;" Corp",Z$5))</f>
        <v>#NAME?</v>
      </c>
      <c r="AA31" s="53" t="e">
        <f ca="1">IF($B31="","",_xll.BDP($A31&amp;" Corp",AA$5))</f>
        <v>#NAME?</v>
      </c>
      <c r="AB31" s="54" t="e">
        <f ca="1">IF($B31="","",_xll.BDP($A31&amp;" Corp",AB$5))</f>
        <v>#NAME?</v>
      </c>
      <c r="AC31" s="54" t="e">
        <f ca="1">IF($B31="","",_xll.BDP($A31&amp;" Corp",AC$5))</f>
        <v>#NAME?</v>
      </c>
      <c r="AD31" s="55" t="e">
        <f ca="1">IF($B31="","",_xll.BDP($A31&amp;" Corp",AD$5))</f>
        <v>#NAME?</v>
      </c>
      <c r="AE31" s="56" t="e">
        <f ca="1">IF($B31="","",_xll.BDP($A31&amp;" Corp",AE$5))</f>
        <v>#NAME?</v>
      </c>
      <c r="AF31" s="29" t="e">
        <f ca="1">IF($B31="","",_xll.BDP($A31&amp;" Corp",AF$5))</f>
        <v>#NAME?</v>
      </c>
      <c r="AG31" s="33" t="e">
        <f ca="1">IF($B31="","",_xll.BDP($A31&amp;" Corp",AG$5))</f>
        <v>#NAME?</v>
      </c>
      <c r="AH31" s="30" t="e">
        <f ca="1">IF($B31="","",_xll.BDP($A31&amp;" Corp",AH$5))</f>
        <v>#NAME?</v>
      </c>
      <c r="AI31" s="30" t="e">
        <f ca="1">IF($B31="","",_xll.BDP($A31&amp;" Corp",AI$5))</f>
        <v>#NAME?</v>
      </c>
      <c r="AJ31" s="30" t="e">
        <f ca="1">IF($B31="","",_xll.BDP($A31&amp;" Corp",AJ$5))</f>
        <v>#NAME?</v>
      </c>
      <c r="AK31" s="11" t="e">
        <f ca="1">IF($B31="","",_xll.BDP($A31&amp;" Corp",AK$5))</f>
        <v>#NAME?</v>
      </c>
      <c r="AL31" s="11" t="e">
        <f ca="1">IF($B31="","",_xll.BDP($A31&amp;" Corp",AL$5))</f>
        <v>#NAME?</v>
      </c>
      <c r="AM31" s="11">
        <v>1</v>
      </c>
      <c r="AN31" s="57">
        <v>1</v>
      </c>
    </row>
    <row r="32" spans="1:40" x14ac:dyDescent="0.3">
      <c r="A32" s="67" t="s">
        <v>303</v>
      </c>
      <c r="B32" s="68" t="s">
        <v>303</v>
      </c>
      <c r="C32" s="75">
        <v>9241</v>
      </c>
      <c r="D32" s="75">
        <v>128</v>
      </c>
      <c r="E32" s="75">
        <v>300000</v>
      </c>
      <c r="F32" s="69">
        <v>0.23276284</v>
      </c>
      <c r="G32" s="70">
        <v>308510</v>
      </c>
      <c r="H32" s="67">
        <v>300000</v>
      </c>
      <c r="I32" s="67">
        <v>0.23276284</v>
      </c>
      <c r="J32" s="67">
        <v>308510</v>
      </c>
      <c r="K32" s="71">
        <v>102.83666666666667</v>
      </c>
      <c r="L32" s="29" t="e">
        <f ca="1">IF(B32="","",_xll.BDP(A32&amp;" Corp","INTERVAL_HIGH","START_DATE_OVERRIDE",TEXT($L$3,"AAAAMMDD"),"END_DATE_OVERRIDE",TEXT($L$4,"AAAAMMDD"),"MARKET_DATA_OVERRIDE",$L$5))</f>
        <v>#NAME?</v>
      </c>
      <c r="M32" s="30" t="e">
        <f ca="1">IF(B32="","",_xll.BDP($A32&amp;" Corp","INTERVAL_LOW","START_DATE_OVERRIDE",TEXT($L$3,"AAAAMMDD"),"END_DATE_OVERRIDE",TEXT($L$4,"AAAAMMDD"),"MARKET_DATA_OVERRIDE",$L$5))</f>
        <v>#NAME?</v>
      </c>
      <c r="N32" s="31" t="s">
        <v>798</v>
      </c>
      <c r="O32" s="32" t="e">
        <f ca="1">IF($B32="","",_xll.BDP($A32&amp;" Corp",O$6))</f>
        <v>#NAME?</v>
      </c>
      <c r="P32" s="32" t="e">
        <f ca="1">IF($B32="","",_xll.BDP($A32&amp;" Corp",P$6))</f>
        <v>#NAME?</v>
      </c>
      <c r="Q32" s="30" t="e">
        <f ca="1">IF($B32="","",_xll.BDP($A32&amp;" Corp",Q$5))</f>
        <v>#NAME?</v>
      </c>
      <c r="R32" s="30" t="e">
        <f ca="1">IF($B32="","",_xll.BDP($A32&amp;" Corp",R$5))</f>
        <v>#NAME?</v>
      </c>
      <c r="S32" s="50" t="e">
        <f ca="1">IF($B32="","",_xll.BDP($A32&amp;" Corp",S$5))</f>
        <v>#NAME?</v>
      </c>
      <c r="T32" s="30" t="e">
        <f ca="1">IF($B32="","",_xll.BDP($A32&amp;" Corp",T$5))</f>
        <v>#NAME?</v>
      </c>
      <c r="U32" s="30" t="e">
        <f ca="1">IF($B32="","",_xll.BDP($A32&amp;" Corp",U$5))</f>
        <v>#NAME?</v>
      </c>
      <c r="V32" s="51" t="e">
        <f ca="1">IF($B32="","",IF($T32="VARIABLE",_xll.BDP($A32&amp;" Corp",V$4),_xll.BDP($A32&amp;" Corp",V$5)))</f>
        <v>#NAME?</v>
      </c>
      <c r="W32" s="30" t="e">
        <f ca="1">IF($B32="","",IF($T32="VARIABLE",_xll.BDP($A32&amp;" Corp",W$4),_xll.BDP($A32&amp;" Corp",W$5)))</f>
        <v>#NAME?</v>
      </c>
      <c r="X32" s="30" t="e">
        <f ca="1">IF($B32="","",_xll.BDP($A32&amp;" Corp",X$5))</f>
        <v>#NAME?</v>
      </c>
      <c r="Y32" s="33" t="e">
        <f ca="1">IF($B32="","",_xll.BDP($A32&amp;" Corp",Y$5))</f>
        <v>#NAME?</v>
      </c>
      <c r="Z32" s="52" t="e">
        <f ca="1">IF($B32="","",_xll.BDP($A32&amp;" Corp",Z$5))</f>
        <v>#NAME?</v>
      </c>
      <c r="AA32" s="53" t="e">
        <f ca="1">IF($B32="","",_xll.BDP($A32&amp;" Corp",AA$5))</f>
        <v>#NAME?</v>
      </c>
      <c r="AB32" s="54" t="e">
        <f ca="1">IF($B32="","",_xll.BDP($A32&amp;" Corp",AB$5))</f>
        <v>#NAME?</v>
      </c>
      <c r="AC32" s="54" t="e">
        <f ca="1">IF($B32="","",_xll.BDP($A32&amp;" Corp",AC$5))</f>
        <v>#NAME?</v>
      </c>
      <c r="AD32" s="55" t="e">
        <f ca="1">IF($B32="","",_xll.BDP($A32&amp;" Corp",AD$5))</f>
        <v>#NAME?</v>
      </c>
      <c r="AE32" s="56" t="e">
        <f ca="1">IF($B32="","",_xll.BDP($A32&amp;" Corp",AE$5))</f>
        <v>#NAME?</v>
      </c>
      <c r="AF32" s="29" t="e">
        <f ca="1">IF($B32="","",_xll.BDP($A32&amp;" Corp",AF$5))</f>
        <v>#NAME?</v>
      </c>
      <c r="AG32" s="33" t="e">
        <f ca="1">IF($B32="","",_xll.BDP($A32&amp;" Corp",AG$5))</f>
        <v>#NAME?</v>
      </c>
      <c r="AH32" s="30" t="e">
        <f ca="1">IF($B32="","",_xll.BDP($A32&amp;" Corp",AH$5))</f>
        <v>#NAME?</v>
      </c>
      <c r="AI32" s="30" t="e">
        <f ca="1">IF($B32="","",_xll.BDP($A32&amp;" Corp",AI$5))</f>
        <v>#NAME?</v>
      </c>
      <c r="AJ32" s="30" t="e">
        <f ca="1">IF($B32="","",_xll.BDP($A32&amp;" Corp",AJ$5))</f>
        <v>#NAME?</v>
      </c>
      <c r="AK32" s="11" t="e">
        <f ca="1">IF($B32="","",_xll.BDP($A32&amp;" Corp",AK$5))</f>
        <v>#NAME?</v>
      </c>
      <c r="AL32" s="11" t="e">
        <f ca="1">IF($B32="","",_xll.BDP($A32&amp;" Corp",AL$5))</f>
        <v>#NAME?</v>
      </c>
      <c r="AM32" s="11">
        <v>2</v>
      </c>
      <c r="AN32" s="57">
        <v>2</v>
      </c>
    </row>
    <row r="33" spans="1:40" x14ac:dyDescent="0.3">
      <c r="A33" s="67" t="s">
        <v>458</v>
      </c>
      <c r="B33" s="68" t="s">
        <v>458</v>
      </c>
      <c r="C33" s="75">
        <v>7106</v>
      </c>
      <c r="D33" s="75">
        <v>128</v>
      </c>
      <c r="E33" s="75">
        <v>300000</v>
      </c>
      <c r="F33" s="69">
        <v>0.16202105</v>
      </c>
      <c r="G33" s="70">
        <v>303015</v>
      </c>
      <c r="H33" s="67">
        <v>300000</v>
      </c>
      <c r="I33" s="67">
        <v>0.16202105</v>
      </c>
      <c r="J33" s="67">
        <v>303015</v>
      </c>
      <c r="K33" s="71">
        <v>101.005</v>
      </c>
      <c r="L33" s="29" t="e">
        <f ca="1">IF(B33="","",_xll.BDP(A33&amp;" Corp","INTERVAL_HIGH","START_DATE_OVERRIDE",TEXT($L$3,"AAAAMMDD"),"END_DATE_OVERRIDE",TEXT($L$4,"AAAAMMDD"),"MARKET_DATA_OVERRIDE",$L$5))</f>
        <v>#NAME?</v>
      </c>
      <c r="M33" s="30" t="e">
        <f ca="1">IF(B33="","",_xll.BDP($A33&amp;" Corp","INTERVAL_LOW","START_DATE_OVERRIDE",TEXT($L$3,"AAAAMMDD"),"END_DATE_OVERRIDE",TEXT($L$4,"AAAAMMDD"),"MARKET_DATA_OVERRIDE",$L$5))</f>
        <v>#NAME?</v>
      </c>
      <c r="N33" s="31" t="s">
        <v>799</v>
      </c>
      <c r="O33" s="32" t="e">
        <f ca="1">IF($B33="","",_xll.BDP($A33&amp;" Corp",O$6))</f>
        <v>#NAME?</v>
      </c>
      <c r="P33" s="32" t="e">
        <f ca="1">IF($B33="","",_xll.BDP($A33&amp;" Corp",P$6))</f>
        <v>#NAME?</v>
      </c>
      <c r="Q33" s="30" t="e">
        <f ca="1">IF($B33="","",_xll.BDP($A33&amp;" Corp",Q$5))</f>
        <v>#NAME?</v>
      </c>
      <c r="R33" s="30" t="e">
        <f ca="1">IF($B33="","",_xll.BDP($A33&amp;" Corp",R$5))</f>
        <v>#NAME?</v>
      </c>
      <c r="S33" s="50" t="e">
        <f ca="1">IF($B33="","",_xll.BDP($A33&amp;" Corp",S$5))</f>
        <v>#NAME?</v>
      </c>
      <c r="T33" s="30" t="e">
        <f ca="1">IF($B33="","",_xll.BDP($A33&amp;" Corp",T$5))</f>
        <v>#NAME?</v>
      </c>
      <c r="U33" s="30" t="e">
        <f ca="1">IF($B33="","",_xll.BDP($A33&amp;" Corp",U$5))</f>
        <v>#NAME?</v>
      </c>
      <c r="V33" s="51" t="e">
        <f ca="1">IF($B33="","",IF($T33="VARIABLE",_xll.BDP($A33&amp;" Corp",V$4),_xll.BDP($A33&amp;" Corp",V$5)))</f>
        <v>#NAME?</v>
      </c>
      <c r="W33" s="30" t="e">
        <f ca="1">IF($B33="","",IF($T33="VARIABLE",_xll.BDP($A33&amp;" Corp",W$4),_xll.BDP($A33&amp;" Corp",W$5)))</f>
        <v>#NAME?</v>
      </c>
      <c r="X33" s="30" t="e">
        <f ca="1">IF($B33="","",_xll.BDP($A33&amp;" Corp",X$5))</f>
        <v>#NAME?</v>
      </c>
      <c r="Y33" s="33" t="e">
        <f ca="1">IF($B33="","",_xll.BDP($A33&amp;" Corp",Y$5))</f>
        <v>#NAME?</v>
      </c>
      <c r="Z33" s="52" t="e">
        <f ca="1">IF($B33="","",_xll.BDP($A33&amp;" Corp",Z$5))</f>
        <v>#NAME?</v>
      </c>
      <c r="AA33" s="53" t="e">
        <f ca="1">IF($B33="","",_xll.BDP($A33&amp;" Corp",AA$5))</f>
        <v>#NAME?</v>
      </c>
      <c r="AB33" s="54" t="e">
        <f ca="1">IF($B33="","",_xll.BDP($A33&amp;" Corp",AB$5))</f>
        <v>#NAME?</v>
      </c>
      <c r="AC33" s="54" t="e">
        <f ca="1">IF($B33="","",_xll.BDP($A33&amp;" Corp",AC$5))</f>
        <v>#NAME?</v>
      </c>
      <c r="AD33" s="55" t="e">
        <f ca="1">IF($B33="","",_xll.BDP($A33&amp;" Corp",AD$5))</f>
        <v>#NAME?</v>
      </c>
      <c r="AE33" s="56" t="e">
        <f ca="1">IF($B33="","",_xll.BDP($A33&amp;" Corp",AE$5))</f>
        <v>#NAME?</v>
      </c>
      <c r="AF33" s="29" t="e">
        <f ca="1">IF($B33="","",_xll.BDP($A33&amp;" Corp",AF$5))</f>
        <v>#NAME?</v>
      </c>
      <c r="AG33" s="33" t="e">
        <f ca="1">IF($B33="","",_xll.BDP($A33&amp;" Corp",AG$5))</f>
        <v>#NAME?</v>
      </c>
      <c r="AH33" s="30" t="e">
        <f ca="1">IF($B33="","",_xll.BDP($A33&amp;" Corp",AH$5))</f>
        <v>#NAME?</v>
      </c>
      <c r="AI33" s="30" t="e">
        <f ca="1">IF($B33="","",_xll.BDP($A33&amp;" Corp",AI$5))</f>
        <v>#NAME?</v>
      </c>
      <c r="AJ33" s="30" t="e">
        <f ca="1">IF($B33="","",_xll.BDP($A33&amp;" Corp",AJ$5))</f>
        <v>#NAME?</v>
      </c>
      <c r="AK33" s="11" t="e">
        <f ca="1">IF($B33="","",_xll.BDP($A33&amp;" Corp",AK$5))</f>
        <v>#NAME?</v>
      </c>
      <c r="AL33" s="11" t="e">
        <f ca="1">IF($B33="","",_xll.BDP($A33&amp;" Corp",AL$5))</f>
        <v>#NAME?</v>
      </c>
      <c r="AM33" s="11">
        <v>1</v>
      </c>
      <c r="AN33" s="57">
        <v>0.5</v>
      </c>
    </row>
    <row r="34" spans="1:40" x14ac:dyDescent="0.3">
      <c r="A34" s="67" t="s">
        <v>583</v>
      </c>
      <c r="B34" s="68" t="s">
        <v>583</v>
      </c>
      <c r="C34" s="75">
        <v>8458</v>
      </c>
      <c r="D34" s="75">
        <v>128</v>
      </c>
      <c r="E34" s="75">
        <v>100000</v>
      </c>
      <c r="F34" s="69">
        <v>7.9396030000000006E-2</v>
      </c>
      <c r="G34" s="70">
        <v>106857</v>
      </c>
      <c r="H34" s="67">
        <v>100000</v>
      </c>
      <c r="I34" s="67">
        <v>7.9396030000000006E-2</v>
      </c>
      <c r="J34" s="67">
        <v>106857</v>
      </c>
      <c r="K34" s="71">
        <v>106.857</v>
      </c>
      <c r="L34" s="29" t="e">
        <f ca="1">IF(B34="","",_xll.BDP(A34&amp;" Corp","INTERVAL_HIGH","START_DATE_OVERRIDE",TEXT($L$3,"AAAAMMDD"),"END_DATE_OVERRIDE",TEXT($L$4,"AAAAMMDD"),"MARKET_DATA_OVERRIDE",$L$5))</f>
        <v>#NAME?</v>
      </c>
      <c r="M34" s="30" t="e">
        <f ca="1">IF(B34="","",_xll.BDP($A34&amp;" Corp","INTERVAL_LOW","START_DATE_OVERRIDE",TEXT($L$3,"AAAAMMDD"),"END_DATE_OVERRIDE",TEXT($L$4,"AAAAMMDD"),"MARKET_DATA_OVERRIDE",$L$5))</f>
        <v>#NAME?</v>
      </c>
      <c r="N34" s="31" t="s">
        <v>800</v>
      </c>
      <c r="O34" s="32" t="e">
        <f ca="1">IF($B34="","",_xll.BDP($A34&amp;" Corp",O$6))</f>
        <v>#NAME?</v>
      </c>
      <c r="P34" s="32" t="e">
        <f ca="1">IF($B34="","",_xll.BDP($A34&amp;" Corp",P$6))</f>
        <v>#NAME?</v>
      </c>
      <c r="Q34" s="30" t="e">
        <f ca="1">IF($B34="","",_xll.BDP($A34&amp;" Corp",Q$5))</f>
        <v>#NAME?</v>
      </c>
      <c r="R34" s="30" t="e">
        <f ca="1">IF($B34="","",_xll.BDP($A34&amp;" Corp",R$5))</f>
        <v>#NAME?</v>
      </c>
      <c r="S34" s="50" t="e">
        <f ca="1">IF($B34="","",_xll.BDP($A34&amp;" Corp",S$5))</f>
        <v>#NAME?</v>
      </c>
      <c r="T34" s="30" t="e">
        <f ca="1">IF($B34="","",_xll.BDP($A34&amp;" Corp",T$5))</f>
        <v>#NAME?</v>
      </c>
      <c r="U34" s="30" t="e">
        <f ca="1">IF($B34="","",_xll.BDP($A34&amp;" Corp",U$5))</f>
        <v>#NAME?</v>
      </c>
      <c r="V34" s="51" t="e">
        <f ca="1">IF($B34="","",IF($T34="VARIABLE",_xll.BDP($A34&amp;" Corp",V$4),_xll.BDP($A34&amp;" Corp",V$5)))</f>
        <v>#NAME?</v>
      </c>
      <c r="W34" s="30" t="e">
        <f ca="1">IF($B34="","",IF($T34="VARIABLE",_xll.BDP($A34&amp;" Corp",W$4),_xll.BDP($A34&amp;" Corp",W$5)))</f>
        <v>#NAME?</v>
      </c>
      <c r="X34" s="30" t="e">
        <f ca="1">IF($B34="","",_xll.BDP($A34&amp;" Corp",X$5))</f>
        <v>#NAME?</v>
      </c>
      <c r="Y34" s="33" t="e">
        <f ca="1">IF($B34="","",_xll.BDP($A34&amp;" Corp",Y$5))</f>
        <v>#NAME?</v>
      </c>
      <c r="Z34" s="52" t="e">
        <f ca="1">IF($B34="","",_xll.BDP($A34&amp;" Corp",Z$5))</f>
        <v>#NAME?</v>
      </c>
      <c r="AA34" s="53" t="e">
        <f ca="1">IF($B34="","",_xll.BDP($A34&amp;" Corp",AA$5))</f>
        <v>#NAME?</v>
      </c>
      <c r="AB34" s="54" t="e">
        <f ca="1">IF($B34="","",_xll.BDP($A34&amp;" Corp",AB$5))</f>
        <v>#NAME?</v>
      </c>
      <c r="AC34" s="54" t="e">
        <f ca="1">IF($B34="","",_xll.BDP($A34&amp;" Corp",AC$5))</f>
        <v>#NAME?</v>
      </c>
      <c r="AD34" s="55" t="e">
        <f ca="1">IF($B34="","",_xll.BDP($A34&amp;" Corp",AD$5))</f>
        <v>#NAME?</v>
      </c>
      <c r="AE34" s="56" t="e">
        <f ca="1">IF($B34="","",_xll.BDP($A34&amp;" Corp",AE$5))</f>
        <v>#NAME?</v>
      </c>
      <c r="AF34" s="29" t="e">
        <f ca="1">IF($B34="","",_xll.BDP($A34&amp;" Corp",AF$5))</f>
        <v>#NAME?</v>
      </c>
      <c r="AG34" s="33" t="e">
        <f ca="1">IF($B34="","",_xll.BDP($A34&amp;" Corp",AG$5))</f>
        <v>#NAME?</v>
      </c>
      <c r="AH34" s="30" t="e">
        <f ca="1">IF($B34="","",_xll.BDP($A34&amp;" Corp",AH$5))</f>
        <v>#NAME?</v>
      </c>
      <c r="AI34" s="30" t="e">
        <f ca="1">IF($B34="","",_xll.BDP($A34&amp;" Corp",AI$5))</f>
        <v>#NAME?</v>
      </c>
      <c r="AJ34" s="30" t="e">
        <f ca="1">IF($B34="","",_xll.BDP($A34&amp;" Corp",AJ$5))</f>
        <v>#NAME?</v>
      </c>
      <c r="AK34" s="11" t="e">
        <f ca="1">IF($B34="","",_xll.BDP($A34&amp;" Corp",AK$5))</f>
        <v>#NAME?</v>
      </c>
      <c r="AL34" s="11" t="e">
        <f ca="1">IF($B34="","",_xll.BDP($A34&amp;" Corp",AL$5))</f>
        <v>#NAME?</v>
      </c>
      <c r="AM34" s="11">
        <v>3</v>
      </c>
      <c r="AN34" s="57">
        <v>3</v>
      </c>
    </row>
    <row r="35" spans="1:40" x14ac:dyDescent="0.3">
      <c r="A35" s="67" t="s">
        <v>460</v>
      </c>
      <c r="B35" s="68" t="s">
        <v>460</v>
      </c>
      <c r="C35" s="75">
        <v>7256</v>
      </c>
      <c r="D35" s="75">
        <v>128</v>
      </c>
      <c r="E35" s="75">
        <v>400000</v>
      </c>
      <c r="F35" s="69">
        <v>0.30144284999999998</v>
      </c>
      <c r="G35" s="70">
        <v>398540.44</v>
      </c>
      <c r="H35" s="67">
        <v>400000</v>
      </c>
      <c r="I35" s="67">
        <v>0.30144284999999998</v>
      </c>
      <c r="J35" s="67">
        <v>398540.44</v>
      </c>
      <c r="K35" s="71">
        <v>99.635109999999997</v>
      </c>
      <c r="L35" s="29" t="e">
        <f ca="1">IF(B35="","",_xll.BDP(A35&amp;" Corp","INTERVAL_HIGH","START_DATE_OVERRIDE",TEXT($L$3,"AAAAMMDD"),"END_DATE_OVERRIDE",TEXT($L$4,"AAAAMMDD"),"MARKET_DATA_OVERRIDE",$L$5))</f>
        <v>#NAME?</v>
      </c>
      <c r="M35" s="30" t="e">
        <f ca="1">IF(B35="","",_xll.BDP($A35&amp;" Corp","INTERVAL_LOW","START_DATE_OVERRIDE",TEXT($L$3,"AAAAMMDD"),"END_DATE_OVERRIDE",TEXT($L$4,"AAAAMMDD"),"MARKET_DATA_OVERRIDE",$L$5))</f>
        <v>#NAME?</v>
      </c>
      <c r="N35" s="31" t="s">
        <v>801</v>
      </c>
      <c r="O35" s="32" t="e">
        <f ca="1">IF($B35="","",_xll.BDP($A35&amp;" Corp",O$6))</f>
        <v>#NAME?</v>
      </c>
      <c r="P35" s="32" t="e">
        <f ca="1">IF($B35="","",_xll.BDP($A35&amp;" Corp",P$6))</f>
        <v>#NAME?</v>
      </c>
      <c r="Q35" s="30" t="e">
        <f ca="1">IF($B35="","",_xll.BDP($A35&amp;" Corp",Q$5))</f>
        <v>#NAME?</v>
      </c>
      <c r="R35" s="30" t="e">
        <f ca="1">IF($B35="","",_xll.BDP($A35&amp;" Corp",R$5))</f>
        <v>#NAME?</v>
      </c>
      <c r="S35" s="50" t="e">
        <f ca="1">IF($B35="","",_xll.BDP($A35&amp;" Corp",S$5))</f>
        <v>#NAME?</v>
      </c>
      <c r="T35" s="30" t="e">
        <f ca="1">IF($B35="","",_xll.BDP($A35&amp;" Corp",T$5))</f>
        <v>#NAME?</v>
      </c>
      <c r="U35" s="30" t="e">
        <f ca="1">IF($B35="","",_xll.BDP($A35&amp;" Corp",U$5))</f>
        <v>#NAME?</v>
      </c>
      <c r="V35" s="51" t="e">
        <f ca="1">IF($B35="","",IF($T35="VARIABLE",_xll.BDP($A35&amp;" Corp",V$4),_xll.BDP($A35&amp;" Corp",V$5)))</f>
        <v>#NAME?</v>
      </c>
      <c r="W35" s="30" t="e">
        <f ca="1">IF($B35="","",IF($T35="VARIABLE",_xll.BDP($A35&amp;" Corp",W$4),_xll.BDP($A35&amp;" Corp",W$5)))</f>
        <v>#NAME?</v>
      </c>
      <c r="X35" s="30" t="e">
        <f ca="1">IF($B35="","",_xll.BDP($A35&amp;" Corp",X$5))</f>
        <v>#NAME?</v>
      </c>
      <c r="Y35" s="33" t="e">
        <f ca="1">IF($B35="","",_xll.BDP($A35&amp;" Corp",Y$5))</f>
        <v>#NAME?</v>
      </c>
      <c r="Z35" s="52" t="e">
        <f ca="1">IF($B35="","",_xll.BDP($A35&amp;" Corp",Z$5))</f>
        <v>#NAME?</v>
      </c>
      <c r="AA35" s="53" t="e">
        <f ca="1">IF($B35="","",_xll.BDP($A35&amp;" Corp",AA$5))</f>
        <v>#NAME?</v>
      </c>
      <c r="AB35" s="54" t="e">
        <f ca="1">IF($B35="","",_xll.BDP($A35&amp;" Corp",AB$5))</f>
        <v>#NAME?</v>
      </c>
      <c r="AC35" s="54" t="e">
        <f ca="1">IF($B35="","",_xll.BDP($A35&amp;" Corp",AC$5))</f>
        <v>#NAME?</v>
      </c>
      <c r="AD35" s="55" t="e">
        <f ca="1">IF($B35="","",_xll.BDP($A35&amp;" Corp",AD$5))</f>
        <v>#NAME?</v>
      </c>
      <c r="AE35" s="56" t="e">
        <f ca="1">IF($B35="","",_xll.BDP($A35&amp;" Corp",AE$5))</f>
        <v>#NAME?</v>
      </c>
      <c r="AF35" s="29" t="e">
        <f ca="1">IF($B35="","",_xll.BDP($A35&amp;" Corp",AF$5))</f>
        <v>#NAME?</v>
      </c>
      <c r="AG35" s="33" t="e">
        <f ca="1">IF($B35="","",_xll.BDP($A35&amp;" Corp",AG$5))</f>
        <v>#NAME?</v>
      </c>
      <c r="AH35" s="30" t="e">
        <f ca="1">IF($B35="","",_xll.BDP($A35&amp;" Corp",AH$5))</f>
        <v>#NAME?</v>
      </c>
      <c r="AI35" s="30" t="e">
        <f ca="1">IF($B35="","",_xll.BDP($A35&amp;" Corp",AI$5))</f>
        <v>#NAME?</v>
      </c>
      <c r="AJ35" s="30" t="e">
        <f ca="1">IF($B35="","",_xll.BDP($A35&amp;" Corp",AJ$5))</f>
        <v>#NAME?</v>
      </c>
      <c r="AK35" s="11" t="e">
        <f ca="1">IF($B35="","",_xll.BDP($A35&amp;" Corp",AK$5))</f>
        <v>#NAME?</v>
      </c>
      <c r="AL35" s="11" t="e">
        <f ca="1">IF($B35="","",_xll.BDP($A35&amp;" Corp",AL$5))</f>
        <v>#NAME?</v>
      </c>
      <c r="AM35" s="11">
        <v>4</v>
      </c>
      <c r="AN35" s="57">
        <v>3</v>
      </c>
    </row>
    <row r="36" spans="1:40" x14ac:dyDescent="0.3">
      <c r="A36" s="67" t="s">
        <v>433</v>
      </c>
      <c r="B36" s="68" t="s">
        <v>433</v>
      </c>
      <c r="C36" s="75">
        <v>9800</v>
      </c>
      <c r="D36" s="75">
        <v>128</v>
      </c>
      <c r="E36" s="75">
        <v>100000</v>
      </c>
      <c r="F36" s="69">
        <v>6.9130800000000006E-2</v>
      </c>
      <c r="G36" s="70">
        <v>98919</v>
      </c>
      <c r="H36" s="67">
        <v>100000</v>
      </c>
      <c r="I36" s="67">
        <v>6.9130800000000006E-2</v>
      </c>
      <c r="J36" s="67">
        <v>98919</v>
      </c>
      <c r="K36" s="71">
        <v>98.918999999999997</v>
      </c>
      <c r="L36" s="29" t="e">
        <f ca="1">IF(B36="","",_xll.BDP(A36&amp;" Corp","INTERVAL_HIGH","START_DATE_OVERRIDE",TEXT($L$3,"AAAAMMDD"),"END_DATE_OVERRIDE",TEXT($L$4,"AAAAMMDD"),"MARKET_DATA_OVERRIDE",$L$5))</f>
        <v>#NAME?</v>
      </c>
      <c r="M36" s="30" t="e">
        <f ca="1">IF(B36="","",_xll.BDP($A36&amp;" Corp","INTERVAL_LOW","START_DATE_OVERRIDE",TEXT($L$3,"AAAAMMDD"),"END_DATE_OVERRIDE",TEXT($L$4,"AAAAMMDD"),"MARKET_DATA_OVERRIDE",$L$5))</f>
        <v>#NAME?</v>
      </c>
      <c r="N36" s="31" t="s">
        <v>802</v>
      </c>
      <c r="O36" s="32" t="e">
        <f ca="1">IF($B36="","",_xll.BDP($A36&amp;" Corp",O$6))</f>
        <v>#NAME?</v>
      </c>
      <c r="P36" s="32" t="e">
        <f ca="1">IF($B36="","",_xll.BDP($A36&amp;" Corp",P$6))</f>
        <v>#NAME?</v>
      </c>
      <c r="Q36" s="30" t="e">
        <f ca="1">IF($B36="","",_xll.BDP($A36&amp;" Corp",Q$5))</f>
        <v>#NAME?</v>
      </c>
      <c r="R36" s="30" t="e">
        <f ca="1">IF($B36="","",_xll.BDP($A36&amp;" Corp",R$5))</f>
        <v>#NAME?</v>
      </c>
      <c r="S36" s="50" t="e">
        <f ca="1">IF($B36="","",_xll.BDP($A36&amp;" Corp",S$5))</f>
        <v>#NAME?</v>
      </c>
      <c r="T36" s="30" t="e">
        <f ca="1">IF($B36="","",_xll.BDP($A36&amp;" Corp",T$5))</f>
        <v>#NAME?</v>
      </c>
      <c r="U36" s="30" t="e">
        <f ca="1">IF($B36="","",_xll.BDP($A36&amp;" Corp",U$5))</f>
        <v>#NAME?</v>
      </c>
      <c r="V36" s="51" t="e">
        <f ca="1">IF($B36="","",IF($T36="VARIABLE",_xll.BDP($A36&amp;" Corp",V$4),_xll.BDP($A36&amp;" Corp",V$5)))</f>
        <v>#NAME?</v>
      </c>
      <c r="W36" s="30" t="e">
        <f ca="1">IF($B36="","",IF($T36="VARIABLE",_xll.BDP($A36&amp;" Corp",W$4),_xll.BDP($A36&amp;" Corp",W$5)))</f>
        <v>#NAME?</v>
      </c>
      <c r="X36" s="30" t="e">
        <f ca="1">IF($B36="","",_xll.BDP($A36&amp;" Corp",X$5))</f>
        <v>#NAME?</v>
      </c>
      <c r="Y36" s="33" t="e">
        <f ca="1">IF($B36="","",_xll.BDP($A36&amp;" Corp",Y$5))</f>
        <v>#NAME?</v>
      </c>
      <c r="Z36" s="52" t="e">
        <f ca="1">IF($B36="","",_xll.BDP($A36&amp;" Corp",Z$5))</f>
        <v>#NAME?</v>
      </c>
      <c r="AA36" s="53" t="e">
        <f ca="1">IF($B36="","",_xll.BDP($A36&amp;" Corp",AA$5))</f>
        <v>#NAME?</v>
      </c>
      <c r="AB36" s="54" t="e">
        <f ca="1">IF($B36="","",_xll.BDP($A36&amp;" Corp",AB$5))</f>
        <v>#NAME?</v>
      </c>
      <c r="AC36" s="54" t="e">
        <f ca="1">IF($B36="","",_xll.BDP($A36&amp;" Corp",AC$5))</f>
        <v>#NAME?</v>
      </c>
      <c r="AD36" s="55" t="e">
        <f ca="1">IF($B36="","",_xll.BDP($A36&amp;" Corp",AD$5))</f>
        <v>#NAME?</v>
      </c>
      <c r="AE36" s="56" t="e">
        <f ca="1">IF($B36="","",_xll.BDP($A36&amp;" Corp",AE$5))</f>
        <v>#NAME?</v>
      </c>
      <c r="AF36" s="29" t="e">
        <f ca="1">IF($B36="","",_xll.BDP($A36&amp;" Corp",AF$5))</f>
        <v>#NAME?</v>
      </c>
      <c r="AG36" s="33" t="e">
        <f ca="1">IF($B36="","",_xll.BDP($A36&amp;" Corp",AG$5))</f>
        <v>#NAME?</v>
      </c>
      <c r="AH36" s="30" t="e">
        <f ca="1">IF($B36="","",_xll.BDP($A36&amp;" Corp",AH$5))</f>
        <v>#NAME?</v>
      </c>
      <c r="AI36" s="30" t="e">
        <f ca="1">IF($B36="","",_xll.BDP($A36&amp;" Corp",AI$5))</f>
        <v>#NAME?</v>
      </c>
      <c r="AJ36" s="30" t="e">
        <f ca="1">IF($B36="","",_xll.BDP($A36&amp;" Corp",AJ$5))</f>
        <v>#NAME?</v>
      </c>
      <c r="AK36" s="11" t="e">
        <f ca="1">IF($B36="","",_xll.BDP($A36&amp;" Corp",AK$5))</f>
        <v>#NAME?</v>
      </c>
      <c r="AL36" s="11" t="e">
        <f ca="1">IF($B36="","",_xll.BDP($A36&amp;" Corp",AL$5))</f>
        <v>#NAME?</v>
      </c>
      <c r="AM36" s="11">
        <v>6</v>
      </c>
      <c r="AN36" s="57">
        <v>5</v>
      </c>
    </row>
    <row r="37" spans="1:40" x14ac:dyDescent="0.3">
      <c r="A37" s="67" t="s">
        <v>508</v>
      </c>
      <c r="B37" s="68" t="s">
        <v>508</v>
      </c>
      <c r="C37" s="75">
        <v>2641</v>
      </c>
      <c r="D37" s="75">
        <v>128</v>
      </c>
      <c r="E37" s="75">
        <v>100000</v>
      </c>
      <c r="F37" s="69">
        <v>9.0574089999999996E-2</v>
      </c>
      <c r="G37" s="70">
        <v>134478</v>
      </c>
      <c r="H37" s="67">
        <v>100000</v>
      </c>
      <c r="I37" s="67">
        <v>9.0574089999999996E-2</v>
      </c>
      <c r="J37" s="67">
        <v>134478</v>
      </c>
      <c r="K37" s="71">
        <v>134.47800000000001</v>
      </c>
      <c r="L37" s="29" t="e">
        <f ca="1">IF(B37="","",_xll.BDP(A37&amp;" Corp","INTERVAL_HIGH","START_DATE_OVERRIDE",TEXT($L$3,"AAAAMMDD"),"END_DATE_OVERRIDE",TEXT($L$4,"AAAAMMDD"),"MARKET_DATA_OVERRIDE",$L$5))</f>
        <v>#NAME?</v>
      </c>
      <c r="M37" s="30" t="e">
        <f ca="1">IF(B37="","",_xll.BDP($A37&amp;" Corp","INTERVAL_LOW","START_DATE_OVERRIDE",TEXT($L$3,"AAAAMMDD"),"END_DATE_OVERRIDE",TEXT($L$4,"AAAAMMDD"),"MARKET_DATA_OVERRIDE",$L$5))</f>
        <v>#NAME?</v>
      </c>
      <c r="N37" s="31" t="s">
        <v>803</v>
      </c>
      <c r="O37" s="32" t="e">
        <f ca="1">IF($B37="","",_xll.BDP($A37&amp;" Corp",O$6))</f>
        <v>#NAME?</v>
      </c>
      <c r="P37" s="32" t="e">
        <f ca="1">IF($B37="","",_xll.BDP($A37&amp;" Corp",P$6))</f>
        <v>#NAME?</v>
      </c>
      <c r="Q37" s="30" t="e">
        <f ca="1">IF($B37="","",_xll.BDP($A37&amp;" Corp",Q$5))</f>
        <v>#NAME?</v>
      </c>
      <c r="R37" s="30" t="e">
        <f ca="1">IF($B37="","",_xll.BDP($A37&amp;" Corp",R$5))</f>
        <v>#NAME?</v>
      </c>
      <c r="S37" s="50" t="e">
        <f ca="1">IF($B37="","",_xll.BDP($A37&amp;" Corp",S$5))</f>
        <v>#NAME?</v>
      </c>
      <c r="T37" s="30" t="e">
        <f ca="1">IF($B37="","",_xll.BDP($A37&amp;" Corp",T$5))</f>
        <v>#NAME?</v>
      </c>
      <c r="U37" s="30" t="e">
        <f ca="1">IF($B37="","",_xll.BDP($A37&amp;" Corp",U$5))</f>
        <v>#NAME?</v>
      </c>
      <c r="V37" s="51" t="e">
        <f ca="1">IF($B37="","",IF($T37="VARIABLE",_xll.BDP($A37&amp;" Corp",V$4),_xll.BDP($A37&amp;" Corp",V$5)))</f>
        <v>#NAME?</v>
      </c>
      <c r="W37" s="30" t="e">
        <f ca="1">IF($B37="","",IF($T37="VARIABLE",_xll.BDP($A37&amp;" Corp",W$4),_xll.BDP($A37&amp;" Corp",W$5)))</f>
        <v>#NAME?</v>
      </c>
      <c r="X37" s="30" t="e">
        <f ca="1">IF($B37="","",_xll.BDP($A37&amp;" Corp",X$5))</f>
        <v>#NAME?</v>
      </c>
      <c r="Y37" s="33" t="e">
        <f ca="1">IF($B37="","",_xll.BDP($A37&amp;" Corp",Y$5))</f>
        <v>#NAME?</v>
      </c>
      <c r="Z37" s="52" t="e">
        <f ca="1">IF($B37="","",_xll.BDP($A37&amp;" Corp",Z$5))</f>
        <v>#NAME?</v>
      </c>
      <c r="AA37" s="53" t="e">
        <f ca="1">IF($B37="","",_xll.BDP($A37&amp;" Corp",AA$5))</f>
        <v>#NAME?</v>
      </c>
      <c r="AB37" s="54" t="e">
        <f ca="1">IF($B37="","",_xll.BDP($A37&amp;" Corp",AB$5))</f>
        <v>#NAME?</v>
      </c>
      <c r="AC37" s="54" t="e">
        <f ca="1">IF($B37="","",_xll.BDP($A37&amp;" Corp",AC$5))</f>
        <v>#NAME?</v>
      </c>
      <c r="AD37" s="55" t="e">
        <f ca="1">IF($B37="","",_xll.BDP($A37&amp;" Corp",AD$5))</f>
        <v>#NAME?</v>
      </c>
      <c r="AE37" s="56" t="e">
        <f ca="1">IF($B37="","",_xll.BDP($A37&amp;" Corp",AE$5))</f>
        <v>#NAME?</v>
      </c>
      <c r="AF37" s="29" t="e">
        <f ca="1">IF($B37="","",_xll.BDP($A37&amp;" Corp",AF$5))</f>
        <v>#NAME?</v>
      </c>
      <c r="AG37" s="33" t="e">
        <f ca="1">IF($B37="","",_xll.BDP($A37&amp;" Corp",AG$5))</f>
        <v>#NAME?</v>
      </c>
      <c r="AH37" s="30" t="e">
        <f ca="1">IF($B37="","",_xll.BDP($A37&amp;" Corp",AH$5))</f>
        <v>#NAME?</v>
      </c>
      <c r="AI37" s="30" t="e">
        <f ca="1">IF($B37="","",_xll.BDP($A37&amp;" Corp",AI$5))</f>
        <v>#NAME?</v>
      </c>
      <c r="AJ37" s="30" t="e">
        <f ca="1">IF($B37="","",_xll.BDP($A37&amp;" Corp",AJ$5))</f>
        <v>#NAME?</v>
      </c>
      <c r="AK37" s="11" t="e">
        <f ca="1">IF($B37="","",_xll.BDP($A37&amp;" Corp",AK$5))</f>
        <v>#NAME?</v>
      </c>
      <c r="AL37" s="11" t="e">
        <f ca="1">IF($B37="","",_xll.BDP($A37&amp;" Corp",AL$5))</f>
        <v>#NAME?</v>
      </c>
      <c r="AM37" s="11">
        <v>5</v>
      </c>
      <c r="AN37" s="57">
        <v>4</v>
      </c>
    </row>
    <row r="38" spans="1:40" x14ac:dyDescent="0.3">
      <c r="A38" s="67" t="s">
        <v>510</v>
      </c>
      <c r="B38" s="68" t="s">
        <v>510</v>
      </c>
      <c r="C38" s="75">
        <v>8375</v>
      </c>
      <c r="D38" s="75">
        <v>128</v>
      </c>
      <c r="E38" s="75">
        <v>1200000</v>
      </c>
      <c r="F38" s="69">
        <v>0.81112315000000001</v>
      </c>
      <c r="G38" s="70">
        <v>1305783.33</v>
      </c>
      <c r="H38" s="67">
        <v>1200000</v>
      </c>
      <c r="I38" s="67">
        <v>0.81112315000000001</v>
      </c>
      <c r="J38" s="67">
        <v>1305783.33</v>
      </c>
      <c r="K38" s="71">
        <v>108.81527749999999</v>
      </c>
      <c r="L38" s="29" t="e">
        <f ca="1">IF(B38="","",_xll.BDP(A38&amp;" Corp","INTERVAL_HIGH","START_DATE_OVERRIDE",TEXT($L$3,"AAAAMMDD"),"END_DATE_OVERRIDE",TEXT($L$4,"AAAAMMDD"),"MARKET_DATA_OVERRIDE",$L$5))</f>
        <v>#NAME?</v>
      </c>
      <c r="M38" s="30" t="e">
        <f ca="1">IF(B38="","",_xll.BDP($A38&amp;" Corp","INTERVAL_LOW","START_DATE_OVERRIDE",TEXT($L$3,"AAAAMMDD"),"END_DATE_OVERRIDE",TEXT($L$4,"AAAAMMDD"),"MARKET_DATA_OVERRIDE",$L$5))</f>
        <v>#NAME?</v>
      </c>
      <c r="N38" s="31" t="s">
        <v>804</v>
      </c>
      <c r="O38" s="32" t="e">
        <f ca="1">IF($B38="","",_xll.BDP($A38&amp;" Corp",O$6))</f>
        <v>#NAME?</v>
      </c>
      <c r="P38" s="32" t="e">
        <f ca="1">IF($B38="","",_xll.BDP($A38&amp;" Corp",P$6))</f>
        <v>#NAME?</v>
      </c>
      <c r="Q38" s="30" t="e">
        <f ca="1">IF($B38="","",_xll.BDP($A38&amp;" Corp",Q$5))</f>
        <v>#NAME?</v>
      </c>
      <c r="R38" s="30" t="e">
        <f ca="1">IF($B38="","",_xll.BDP($A38&amp;" Corp",R$5))</f>
        <v>#NAME?</v>
      </c>
      <c r="S38" s="50" t="e">
        <f ca="1">IF($B38="","",_xll.BDP($A38&amp;" Corp",S$5))</f>
        <v>#NAME?</v>
      </c>
      <c r="T38" s="30" t="e">
        <f ca="1">IF($B38="","",_xll.BDP($A38&amp;" Corp",T$5))</f>
        <v>#NAME?</v>
      </c>
      <c r="U38" s="30" t="e">
        <f ca="1">IF($B38="","",_xll.BDP($A38&amp;" Corp",U$5))</f>
        <v>#NAME?</v>
      </c>
      <c r="V38" s="51" t="e">
        <f ca="1">IF($B38="","",IF($T38="VARIABLE",_xll.BDP($A38&amp;" Corp",V$4),_xll.BDP($A38&amp;" Corp",V$5)))</f>
        <v>#NAME?</v>
      </c>
      <c r="W38" s="30" t="e">
        <f ca="1">IF($B38="","",IF($T38="VARIABLE",_xll.BDP($A38&amp;" Corp",W$4),_xll.BDP($A38&amp;" Corp",W$5)))</f>
        <v>#NAME?</v>
      </c>
      <c r="X38" s="30" t="e">
        <f ca="1">IF($B38="","",_xll.BDP($A38&amp;" Corp",X$5))</f>
        <v>#NAME?</v>
      </c>
      <c r="Y38" s="33" t="e">
        <f ca="1">IF($B38="","",_xll.BDP($A38&amp;" Corp",Y$5))</f>
        <v>#NAME?</v>
      </c>
      <c r="Z38" s="52" t="e">
        <f ca="1">IF($B38="","",_xll.BDP($A38&amp;" Corp",Z$5))</f>
        <v>#NAME?</v>
      </c>
      <c r="AA38" s="53" t="e">
        <f ca="1">IF($B38="","",_xll.BDP($A38&amp;" Corp",AA$5))</f>
        <v>#NAME?</v>
      </c>
      <c r="AB38" s="54" t="e">
        <f ca="1">IF($B38="","",_xll.BDP($A38&amp;" Corp",AB$5))</f>
        <v>#NAME?</v>
      </c>
      <c r="AC38" s="54" t="e">
        <f ca="1">IF($B38="","",_xll.BDP($A38&amp;" Corp",AC$5))</f>
        <v>#NAME?</v>
      </c>
      <c r="AD38" s="55" t="e">
        <f ca="1">IF($B38="","",_xll.BDP($A38&amp;" Corp",AD$5))</f>
        <v>#NAME?</v>
      </c>
      <c r="AE38" s="56" t="e">
        <f ca="1">IF($B38="","",_xll.BDP($A38&amp;" Corp",AE$5))</f>
        <v>#NAME?</v>
      </c>
      <c r="AF38" s="29" t="e">
        <f ca="1">IF($B38="","",_xll.BDP($A38&amp;" Corp",AF$5))</f>
        <v>#NAME?</v>
      </c>
      <c r="AG38" s="33" t="e">
        <f ca="1">IF($B38="","",_xll.BDP($A38&amp;" Corp",AG$5))</f>
        <v>#NAME?</v>
      </c>
      <c r="AH38" s="30" t="e">
        <f ca="1">IF($B38="","",_xll.BDP($A38&amp;" Corp",AH$5))</f>
        <v>#NAME?</v>
      </c>
      <c r="AI38" s="30" t="e">
        <f ca="1">IF($B38="","",_xll.BDP($A38&amp;" Corp",AI$5))</f>
        <v>#NAME?</v>
      </c>
      <c r="AJ38" s="30" t="e">
        <f ca="1">IF($B38="","",_xll.BDP($A38&amp;" Corp",AJ$5))</f>
        <v>#NAME?</v>
      </c>
      <c r="AK38" s="11" t="e">
        <f ca="1">IF($B38="","",_xll.BDP($A38&amp;" Corp",AK$5))</f>
        <v>#NAME?</v>
      </c>
      <c r="AL38" s="11" t="e">
        <f ca="1">IF($B38="","",_xll.BDP($A38&amp;" Corp",AL$5))</f>
        <v>#NAME?</v>
      </c>
      <c r="AM38" s="11">
        <v>8</v>
      </c>
      <c r="AN38" s="57">
        <v>7</v>
      </c>
    </row>
    <row r="39" spans="1:40" x14ac:dyDescent="0.3">
      <c r="A39" s="67" t="s">
        <v>512</v>
      </c>
      <c r="B39" s="68" t="s">
        <v>512</v>
      </c>
      <c r="C39" s="75">
        <v>8823</v>
      </c>
      <c r="D39" s="75">
        <v>128</v>
      </c>
      <c r="E39" s="75">
        <v>100000</v>
      </c>
      <c r="F39" s="69">
        <v>6.2735440000000003E-2</v>
      </c>
      <c r="G39" s="70">
        <v>101441</v>
      </c>
      <c r="H39" s="67">
        <v>100000</v>
      </c>
      <c r="I39" s="67">
        <v>6.2735440000000003E-2</v>
      </c>
      <c r="J39" s="67">
        <v>101441</v>
      </c>
      <c r="K39" s="71">
        <v>101.441</v>
      </c>
      <c r="L39" s="29" t="e">
        <f ca="1">IF(B39="","",_xll.BDP(A39&amp;" Corp","INTERVAL_HIGH","START_DATE_OVERRIDE",TEXT($L$3,"AAAAMMDD"),"END_DATE_OVERRIDE",TEXT($L$4,"AAAAMMDD"),"MARKET_DATA_OVERRIDE",$L$5))</f>
        <v>#NAME?</v>
      </c>
      <c r="M39" s="30" t="e">
        <f ca="1">IF(B39="","",_xll.BDP($A39&amp;" Corp","INTERVAL_LOW","START_DATE_OVERRIDE",TEXT($L$3,"AAAAMMDD"),"END_DATE_OVERRIDE",TEXT($L$4,"AAAAMMDD"),"MARKET_DATA_OVERRIDE",$L$5))</f>
        <v>#NAME?</v>
      </c>
      <c r="N39" s="31" t="s">
        <v>805</v>
      </c>
      <c r="O39" s="32" t="e">
        <f ca="1">IF($B39="","",_xll.BDP($A39&amp;" Corp",O$6))</f>
        <v>#NAME?</v>
      </c>
      <c r="P39" s="32" t="e">
        <f ca="1">IF($B39="","",_xll.BDP($A39&amp;" Corp",P$6))</f>
        <v>#NAME?</v>
      </c>
      <c r="Q39" s="30" t="e">
        <f ca="1">IF($B39="","",_xll.BDP($A39&amp;" Corp",Q$5))</f>
        <v>#NAME?</v>
      </c>
      <c r="R39" s="30" t="e">
        <f ca="1">IF($B39="","",_xll.BDP($A39&amp;" Corp",R$5))</f>
        <v>#NAME?</v>
      </c>
      <c r="S39" s="50" t="e">
        <f ca="1">IF($B39="","",_xll.BDP($A39&amp;" Corp",S$5))</f>
        <v>#NAME?</v>
      </c>
      <c r="T39" s="30" t="e">
        <f ca="1">IF($B39="","",_xll.BDP($A39&amp;" Corp",T$5))</f>
        <v>#NAME?</v>
      </c>
      <c r="U39" s="30" t="e">
        <f ca="1">IF($B39="","",_xll.BDP($A39&amp;" Corp",U$5))</f>
        <v>#NAME?</v>
      </c>
      <c r="V39" s="51" t="e">
        <f ca="1">IF($B39="","",IF($T39="VARIABLE",_xll.BDP($A39&amp;" Corp",V$4),_xll.BDP($A39&amp;" Corp",V$5)))</f>
        <v>#NAME?</v>
      </c>
      <c r="W39" s="30" t="e">
        <f ca="1">IF($B39="","",IF($T39="VARIABLE",_xll.BDP($A39&amp;" Corp",W$4),_xll.BDP($A39&amp;" Corp",W$5)))</f>
        <v>#NAME?</v>
      </c>
      <c r="X39" s="30" t="e">
        <f ca="1">IF($B39="","",_xll.BDP($A39&amp;" Corp",X$5))</f>
        <v>#NAME?</v>
      </c>
      <c r="Y39" s="33" t="e">
        <f ca="1">IF($B39="","",_xll.BDP($A39&amp;" Corp",Y$5))</f>
        <v>#NAME?</v>
      </c>
      <c r="Z39" s="52" t="e">
        <f ca="1">IF($B39="","",_xll.BDP($A39&amp;" Corp",Z$5))</f>
        <v>#NAME?</v>
      </c>
      <c r="AA39" s="53" t="e">
        <f ca="1">IF($B39="","",_xll.BDP($A39&amp;" Corp",AA$5))</f>
        <v>#NAME?</v>
      </c>
      <c r="AB39" s="54" t="e">
        <f ca="1">IF($B39="","",_xll.BDP($A39&amp;" Corp",AB$5))</f>
        <v>#NAME?</v>
      </c>
      <c r="AC39" s="54" t="e">
        <f ca="1">IF($B39="","",_xll.BDP($A39&amp;" Corp",AC$5))</f>
        <v>#NAME?</v>
      </c>
      <c r="AD39" s="55" t="e">
        <f ca="1">IF($B39="","",_xll.BDP($A39&amp;" Corp",AD$5))</f>
        <v>#NAME?</v>
      </c>
      <c r="AE39" s="56" t="e">
        <f ca="1">IF($B39="","",_xll.BDP($A39&amp;" Corp",AE$5))</f>
        <v>#NAME?</v>
      </c>
      <c r="AF39" s="29" t="e">
        <f ca="1">IF($B39="","",_xll.BDP($A39&amp;" Corp",AF$5))</f>
        <v>#NAME?</v>
      </c>
      <c r="AG39" s="33" t="e">
        <f ca="1">IF($B39="","",_xll.BDP($A39&amp;" Corp",AG$5))</f>
        <v>#NAME?</v>
      </c>
      <c r="AH39" s="30" t="e">
        <f ca="1">IF($B39="","",_xll.BDP($A39&amp;" Corp",AH$5))</f>
        <v>#NAME?</v>
      </c>
      <c r="AI39" s="30" t="e">
        <f ca="1">IF($B39="","",_xll.BDP($A39&amp;" Corp",AI$5))</f>
        <v>#NAME?</v>
      </c>
      <c r="AJ39" s="30" t="e">
        <f ca="1">IF($B39="","",_xll.BDP($A39&amp;" Corp",AJ$5))</f>
        <v>#NAME?</v>
      </c>
      <c r="AK39" s="11" t="e">
        <f ca="1">IF($B39="","",_xll.BDP($A39&amp;" Corp",AK$5))</f>
        <v>#NAME?</v>
      </c>
      <c r="AL39" s="11" t="e">
        <f ca="1">IF($B39="","",_xll.BDP($A39&amp;" Corp",AL$5))</f>
        <v>#NAME?</v>
      </c>
      <c r="AM39" s="11">
        <v>8</v>
      </c>
      <c r="AN39" s="57">
        <v>8</v>
      </c>
    </row>
    <row r="40" spans="1:40" x14ac:dyDescent="0.3">
      <c r="A40" s="67" t="s">
        <v>364</v>
      </c>
      <c r="B40" s="68" t="s">
        <v>364</v>
      </c>
      <c r="C40" s="75">
        <v>10212</v>
      </c>
      <c r="D40" s="75">
        <v>128</v>
      </c>
      <c r="E40" s="75">
        <v>100000</v>
      </c>
      <c r="F40" s="69">
        <v>9.0061950000000002E-2</v>
      </c>
      <c r="G40" s="70">
        <v>100960</v>
      </c>
      <c r="H40" s="67">
        <v>100000</v>
      </c>
      <c r="I40" s="67">
        <v>9.0061950000000002E-2</v>
      </c>
      <c r="J40" s="67">
        <v>100960</v>
      </c>
      <c r="K40" s="71">
        <v>100.96</v>
      </c>
      <c r="L40" s="29" t="e">
        <f ca="1">IF(B40="","",_xll.BDP(A40&amp;" Corp","INTERVAL_HIGH","START_DATE_OVERRIDE",TEXT($L$3,"AAAAMMDD"),"END_DATE_OVERRIDE",TEXT($L$4,"AAAAMMDD"),"MARKET_DATA_OVERRIDE",$L$5))</f>
        <v>#NAME?</v>
      </c>
      <c r="M40" s="30" t="e">
        <f ca="1">IF(B40="","",_xll.BDP($A40&amp;" Corp","INTERVAL_LOW","START_DATE_OVERRIDE",TEXT($L$3,"AAAAMMDD"),"END_DATE_OVERRIDE",TEXT($L$4,"AAAAMMDD"),"MARKET_DATA_OVERRIDE",$L$5))</f>
        <v>#NAME?</v>
      </c>
      <c r="N40" s="31" t="s">
        <v>806</v>
      </c>
      <c r="O40" s="32" t="e">
        <f ca="1">IF($B40="","",_xll.BDP($A40&amp;" Corp",O$6))</f>
        <v>#NAME?</v>
      </c>
      <c r="P40" s="32" t="e">
        <f ca="1">IF($B40="","",_xll.BDP($A40&amp;" Corp",P$6))</f>
        <v>#NAME?</v>
      </c>
      <c r="Q40" s="30" t="e">
        <f ca="1">IF($B40="","",_xll.BDP($A40&amp;" Corp",Q$5))</f>
        <v>#NAME?</v>
      </c>
      <c r="R40" s="30" t="e">
        <f ca="1">IF($B40="","",_xll.BDP($A40&amp;" Corp",R$5))</f>
        <v>#NAME?</v>
      </c>
      <c r="S40" s="50" t="e">
        <f ca="1">IF($B40="","",_xll.BDP($A40&amp;" Corp",S$5))</f>
        <v>#NAME?</v>
      </c>
      <c r="T40" s="30" t="e">
        <f ca="1">IF($B40="","",_xll.BDP($A40&amp;" Corp",T$5))</f>
        <v>#NAME?</v>
      </c>
      <c r="U40" s="30" t="e">
        <f ca="1">IF($B40="","",_xll.BDP($A40&amp;" Corp",U$5))</f>
        <v>#NAME?</v>
      </c>
      <c r="V40" s="51" t="e">
        <f ca="1">IF($B40="","",IF($T40="VARIABLE",_xll.BDP($A40&amp;" Corp",V$4),_xll.BDP($A40&amp;" Corp",V$5)))</f>
        <v>#NAME?</v>
      </c>
      <c r="W40" s="30" t="e">
        <f ca="1">IF($B40="","",IF($T40="VARIABLE",_xll.BDP($A40&amp;" Corp",W$4),_xll.BDP($A40&amp;" Corp",W$5)))</f>
        <v>#NAME?</v>
      </c>
      <c r="X40" s="30" t="e">
        <f ca="1">IF($B40="","",_xll.BDP($A40&amp;" Corp",X$5))</f>
        <v>#NAME?</v>
      </c>
      <c r="Y40" s="33" t="e">
        <f ca="1">IF($B40="","",_xll.BDP($A40&amp;" Corp",Y$5))</f>
        <v>#NAME?</v>
      </c>
      <c r="Z40" s="52" t="e">
        <f ca="1">IF($B40="","",_xll.BDP($A40&amp;" Corp",Z$5))</f>
        <v>#NAME?</v>
      </c>
      <c r="AA40" s="53" t="e">
        <f ca="1">IF($B40="","",_xll.BDP($A40&amp;" Corp",AA$5))</f>
        <v>#NAME?</v>
      </c>
      <c r="AB40" s="54" t="e">
        <f ca="1">IF($B40="","",_xll.BDP($A40&amp;" Corp",AB$5))</f>
        <v>#NAME?</v>
      </c>
      <c r="AC40" s="54" t="e">
        <f ca="1">IF($B40="","",_xll.BDP($A40&amp;" Corp",AC$5))</f>
        <v>#NAME?</v>
      </c>
      <c r="AD40" s="55" t="e">
        <f ca="1">IF($B40="","",_xll.BDP($A40&amp;" Corp",AD$5))</f>
        <v>#NAME?</v>
      </c>
      <c r="AE40" s="56" t="e">
        <f ca="1">IF($B40="","",_xll.BDP($A40&amp;" Corp",AE$5))</f>
        <v>#NAME?</v>
      </c>
      <c r="AF40" s="29" t="e">
        <f ca="1">IF($B40="","",_xll.BDP($A40&amp;" Corp",AF$5))</f>
        <v>#NAME?</v>
      </c>
      <c r="AG40" s="33" t="e">
        <f ca="1">IF($B40="","",_xll.BDP($A40&amp;" Corp",AG$5))</f>
        <v>#NAME?</v>
      </c>
      <c r="AH40" s="30" t="e">
        <f ca="1">IF($B40="","",_xll.BDP($A40&amp;" Corp",AH$5))</f>
        <v>#NAME?</v>
      </c>
      <c r="AI40" s="30" t="e">
        <f ca="1">IF($B40="","",_xll.BDP($A40&amp;" Corp",AI$5))</f>
        <v>#NAME?</v>
      </c>
      <c r="AJ40" s="30" t="e">
        <f ca="1">IF($B40="","",_xll.BDP($A40&amp;" Corp",AJ$5))</f>
        <v>#NAME?</v>
      </c>
      <c r="AK40" s="11" t="e">
        <f ca="1">IF($B40="","",_xll.BDP($A40&amp;" Corp",AK$5))</f>
        <v>#NAME?</v>
      </c>
      <c r="AL40" s="11" t="e">
        <f ca="1">IF($B40="","",_xll.BDP($A40&amp;" Corp",AL$5))</f>
        <v>#NAME?</v>
      </c>
      <c r="AM40" s="11">
        <v>2</v>
      </c>
      <c r="AN40" s="57">
        <v>1</v>
      </c>
    </row>
    <row r="41" spans="1:40" x14ac:dyDescent="0.3">
      <c r="A41" s="67" t="s">
        <v>366</v>
      </c>
      <c r="B41" s="68" t="s">
        <v>366</v>
      </c>
      <c r="C41" s="75">
        <v>8882</v>
      </c>
      <c r="D41" s="75">
        <v>128</v>
      </c>
      <c r="E41" s="75">
        <v>300000</v>
      </c>
      <c r="F41" s="69">
        <v>0.21989982999999999</v>
      </c>
      <c r="G41" s="70">
        <v>267727.33</v>
      </c>
      <c r="H41" s="67">
        <v>300000</v>
      </c>
      <c r="I41" s="67">
        <v>0.21989982999999999</v>
      </c>
      <c r="J41" s="67">
        <v>267727.33</v>
      </c>
      <c r="K41" s="71">
        <v>89.242443333333327</v>
      </c>
      <c r="L41" s="29" t="e">
        <f ca="1">IF(B41="","",_xll.BDP(A41&amp;" Corp","INTERVAL_HIGH","START_DATE_OVERRIDE",TEXT($L$3,"AAAAMMDD"),"END_DATE_OVERRIDE",TEXT($L$4,"AAAAMMDD"),"MARKET_DATA_OVERRIDE",$L$5))</f>
        <v>#NAME?</v>
      </c>
      <c r="M41" s="30" t="e">
        <f ca="1">IF(B41="","",_xll.BDP($A41&amp;" Corp","INTERVAL_LOW","START_DATE_OVERRIDE",TEXT($L$3,"AAAAMMDD"),"END_DATE_OVERRIDE",TEXT($L$4,"AAAAMMDD"),"MARKET_DATA_OVERRIDE",$L$5))</f>
        <v>#NAME?</v>
      </c>
      <c r="N41" s="31" t="s">
        <v>807</v>
      </c>
      <c r="O41" s="32" t="e">
        <f ca="1">IF($B41="","",_xll.BDP($A41&amp;" Corp",O$6))</f>
        <v>#NAME?</v>
      </c>
      <c r="P41" s="32" t="e">
        <f ca="1">IF($B41="","",_xll.BDP($A41&amp;" Corp",P$6))</f>
        <v>#NAME?</v>
      </c>
      <c r="Q41" s="30" t="e">
        <f ca="1">IF($B41="","",_xll.BDP($A41&amp;" Corp",Q$5))</f>
        <v>#NAME?</v>
      </c>
      <c r="R41" s="30" t="e">
        <f ca="1">IF($B41="","",_xll.BDP($A41&amp;" Corp",R$5))</f>
        <v>#NAME?</v>
      </c>
      <c r="S41" s="50" t="e">
        <f ca="1">IF($B41="","",_xll.BDP($A41&amp;" Corp",S$5))</f>
        <v>#NAME?</v>
      </c>
      <c r="T41" s="30" t="e">
        <f ca="1">IF($B41="","",_xll.BDP($A41&amp;" Corp",T$5))</f>
        <v>#NAME?</v>
      </c>
      <c r="U41" s="30" t="e">
        <f ca="1">IF($B41="","",_xll.BDP($A41&amp;" Corp",U$5))</f>
        <v>#NAME?</v>
      </c>
      <c r="V41" s="51" t="e">
        <f ca="1">IF($B41="","",IF($T41="VARIABLE",_xll.BDP($A41&amp;" Corp",V$4),_xll.BDP($A41&amp;" Corp",V$5)))</f>
        <v>#NAME?</v>
      </c>
      <c r="W41" s="30" t="e">
        <f ca="1">IF($B41="","",IF($T41="VARIABLE",_xll.BDP($A41&amp;" Corp",W$4),_xll.BDP($A41&amp;" Corp",W$5)))</f>
        <v>#NAME?</v>
      </c>
      <c r="X41" s="30" t="e">
        <f ca="1">IF($B41="","",_xll.BDP($A41&amp;" Corp",X$5))</f>
        <v>#NAME?</v>
      </c>
      <c r="Y41" s="33" t="e">
        <f ca="1">IF($B41="","",_xll.BDP($A41&amp;" Corp",Y$5))</f>
        <v>#NAME?</v>
      </c>
      <c r="Z41" s="52" t="e">
        <f ca="1">IF($B41="","",_xll.BDP($A41&amp;" Corp",Z$5))</f>
        <v>#NAME?</v>
      </c>
      <c r="AA41" s="53" t="e">
        <f ca="1">IF($B41="","",_xll.BDP($A41&amp;" Corp",AA$5))</f>
        <v>#NAME?</v>
      </c>
      <c r="AB41" s="54" t="e">
        <f ca="1">IF($B41="","",_xll.BDP($A41&amp;" Corp",AB$5))</f>
        <v>#NAME?</v>
      </c>
      <c r="AC41" s="54" t="e">
        <f ca="1">IF($B41="","",_xll.BDP($A41&amp;" Corp",AC$5))</f>
        <v>#NAME?</v>
      </c>
      <c r="AD41" s="55" t="e">
        <f ca="1">IF($B41="","",_xll.BDP($A41&amp;" Corp",AD$5))</f>
        <v>#NAME?</v>
      </c>
      <c r="AE41" s="56" t="e">
        <f ca="1">IF($B41="","",_xll.BDP($A41&amp;" Corp",AE$5))</f>
        <v>#NAME?</v>
      </c>
      <c r="AF41" s="29" t="e">
        <f ca="1">IF($B41="","",_xll.BDP($A41&amp;" Corp",AF$5))</f>
        <v>#NAME?</v>
      </c>
      <c r="AG41" s="33" t="e">
        <f ca="1">IF($B41="","",_xll.BDP($A41&amp;" Corp",AG$5))</f>
        <v>#NAME?</v>
      </c>
      <c r="AH41" s="30" t="e">
        <f ca="1">IF($B41="","",_xll.BDP($A41&amp;" Corp",AH$5))</f>
        <v>#NAME?</v>
      </c>
      <c r="AI41" s="30" t="e">
        <f ca="1">IF($B41="","",_xll.BDP($A41&amp;" Corp",AI$5))</f>
        <v>#NAME?</v>
      </c>
      <c r="AJ41" s="30" t="e">
        <f ca="1">IF($B41="","",_xll.BDP($A41&amp;" Corp",AJ$5))</f>
        <v>#NAME?</v>
      </c>
      <c r="AK41" s="11" t="e">
        <f ca="1">IF($B41="","",_xll.BDP($A41&amp;" Corp",AK$5))</f>
        <v>#NAME?</v>
      </c>
      <c r="AL41" s="11" t="e">
        <f ca="1">IF($B41="","",_xll.BDP($A41&amp;" Corp",AL$5))</f>
        <v>#NAME?</v>
      </c>
      <c r="AM41" s="11">
        <v>3</v>
      </c>
      <c r="AN41" s="57">
        <v>2</v>
      </c>
    </row>
    <row r="42" spans="1:40" x14ac:dyDescent="0.3">
      <c r="A42" s="67" t="s">
        <v>368</v>
      </c>
      <c r="B42" s="68" t="s">
        <v>368</v>
      </c>
      <c r="C42" s="75">
        <v>2910</v>
      </c>
      <c r="D42" s="75">
        <v>128</v>
      </c>
      <c r="E42" s="75">
        <v>100000</v>
      </c>
      <c r="F42" s="69">
        <v>0</v>
      </c>
      <c r="G42" s="70">
        <v>0</v>
      </c>
      <c r="H42" s="67">
        <v>100000</v>
      </c>
      <c r="I42" s="67">
        <v>0</v>
      </c>
      <c r="J42" s="67">
        <v>0</v>
      </c>
      <c r="K42" s="71">
        <v>0</v>
      </c>
      <c r="L42" s="29" t="e">
        <f ca="1">IF(B42="","",_xll.BDP(A42&amp;" Corp","INTERVAL_HIGH","START_DATE_OVERRIDE",TEXT($L$3,"AAAAMMDD"),"END_DATE_OVERRIDE",TEXT($L$4,"AAAAMMDD"),"MARKET_DATA_OVERRIDE",$L$5))</f>
        <v>#NAME?</v>
      </c>
      <c r="M42" s="30" t="e">
        <f ca="1">IF(B42="","",_xll.BDP($A42&amp;" Corp","INTERVAL_LOW","START_DATE_OVERRIDE",TEXT($L$3,"AAAAMMDD"),"END_DATE_OVERRIDE",TEXT($L$4,"AAAAMMDD"),"MARKET_DATA_OVERRIDE",$L$5))</f>
        <v>#NAME?</v>
      </c>
      <c r="N42" s="31" t="s">
        <v>808</v>
      </c>
      <c r="O42" s="32" t="e">
        <f ca="1">IF($B42="","",_xll.BDP($A42&amp;" Corp",O$6))</f>
        <v>#NAME?</v>
      </c>
      <c r="P42" s="32" t="e">
        <f ca="1">IF($B42="","",_xll.BDP($A42&amp;" Corp",P$6))</f>
        <v>#NAME?</v>
      </c>
      <c r="Q42" s="30" t="e">
        <f ca="1">IF($B42="","",_xll.BDP($A42&amp;" Corp",Q$5))</f>
        <v>#NAME?</v>
      </c>
      <c r="R42" s="30" t="e">
        <f ca="1">IF($B42="","",_xll.BDP($A42&amp;" Corp",R$5))</f>
        <v>#NAME?</v>
      </c>
      <c r="S42" s="50" t="e">
        <f ca="1">IF($B42="","",_xll.BDP($A42&amp;" Corp",S$5))</f>
        <v>#NAME?</v>
      </c>
      <c r="T42" s="30" t="e">
        <f ca="1">IF($B42="","",_xll.BDP($A42&amp;" Corp",T$5))</f>
        <v>#NAME?</v>
      </c>
      <c r="U42" s="30" t="e">
        <f ca="1">IF($B42="","",_xll.BDP($A42&amp;" Corp",U$5))</f>
        <v>#NAME?</v>
      </c>
      <c r="V42" s="51" t="e">
        <f ca="1">IF($B42="","",IF($T42="VARIABLE",_xll.BDP($A42&amp;" Corp",V$4),_xll.BDP($A42&amp;" Corp",V$5)))</f>
        <v>#NAME?</v>
      </c>
      <c r="W42" s="30" t="e">
        <f ca="1">IF($B42="","",IF($T42="VARIABLE",_xll.BDP($A42&amp;" Corp",W$4),_xll.BDP($A42&amp;" Corp",W$5)))</f>
        <v>#NAME?</v>
      </c>
      <c r="X42" s="30" t="e">
        <f ca="1">IF($B42="","",_xll.BDP($A42&amp;" Corp",X$5))</f>
        <v>#NAME?</v>
      </c>
      <c r="Y42" s="33" t="e">
        <f ca="1">IF($B42="","",_xll.BDP($A42&amp;" Corp",Y$5))</f>
        <v>#NAME?</v>
      </c>
      <c r="Z42" s="52" t="e">
        <f ca="1">IF($B42="","",_xll.BDP($A42&amp;" Corp",Z$5))</f>
        <v>#NAME?</v>
      </c>
      <c r="AA42" s="53" t="e">
        <f ca="1">IF($B42="","",_xll.BDP($A42&amp;" Corp",AA$5))</f>
        <v>#NAME?</v>
      </c>
      <c r="AB42" s="54" t="e">
        <f ca="1">IF($B42="","",_xll.BDP($A42&amp;" Corp",AB$5))</f>
        <v>#NAME?</v>
      </c>
      <c r="AC42" s="54" t="e">
        <f ca="1">IF($B42="","",_xll.BDP($A42&amp;" Corp",AC$5))</f>
        <v>#NAME?</v>
      </c>
      <c r="AD42" s="55" t="e">
        <f ca="1">IF($B42="","",_xll.BDP($A42&amp;" Corp",AD$5))</f>
        <v>#NAME?</v>
      </c>
      <c r="AE42" s="56" t="e">
        <f ca="1">IF($B42="","",_xll.BDP($A42&amp;" Corp",AE$5))</f>
        <v>#NAME?</v>
      </c>
      <c r="AF42" s="29" t="e">
        <f ca="1">IF($B42="","",_xll.BDP($A42&amp;" Corp",AF$5))</f>
        <v>#NAME?</v>
      </c>
      <c r="AG42" s="33" t="e">
        <f ca="1">IF($B42="","",_xll.BDP($A42&amp;" Corp",AG$5))</f>
        <v>#NAME?</v>
      </c>
      <c r="AH42" s="30" t="e">
        <f ca="1">IF($B42="","",_xll.BDP($A42&amp;" Corp",AH$5))</f>
        <v>#NAME?</v>
      </c>
      <c r="AI42" s="30" t="e">
        <f ca="1">IF($B42="","",_xll.BDP($A42&amp;" Corp",AI$5))</f>
        <v>#NAME?</v>
      </c>
      <c r="AJ42" s="30" t="e">
        <f ca="1">IF($B42="","",_xll.BDP($A42&amp;" Corp",AJ$5))</f>
        <v>#NAME?</v>
      </c>
      <c r="AK42" s="11" t="e">
        <f ca="1">IF($B42="","",_xll.BDP($A42&amp;" Corp",AK$5))</f>
        <v>#NAME?</v>
      </c>
      <c r="AL42" s="11" t="e">
        <f ca="1">IF($B42="","",_xll.BDP($A42&amp;" Corp",AL$5))</f>
        <v>#NAME?</v>
      </c>
      <c r="AM42" s="11">
        <v>1</v>
      </c>
      <c r="AN42" s="57">
        <v>0.2</v>
      </c>
    </row>
    <row r="43" spans="1:40" x14ac:dyDescent="0.3">
      <c r="A43" s="67" t="s">
        <v>428</v>
      </c>
      <c r="B43" s="68" t="s">
        <v>428</v>
      </c>
      <c r="C43" s="75">
        <v>9585</v>
      </c>
      <c r="D43" s="75">
        <v>128</v>
      </c>
      <c r="E43" s="75">
        <v>300000</v>
      </c>
      <c r="F43" s="69">
        <v>0.22574195</v>
      </c>
      <c r="G43" s="70">
        <v>300573</v>
      </c>
      <c r="H43" s="67">
        <v>300000</v>
      </c>
      <c r="I43" s="67">
        <v>0.22574195</v>
      </c>
      <c r="J43" s="67">
        <v>300573</v>
      </c>
      <c r="K43" s="71">
        <v>100.191</v>
      </c>
      <c r="L43" s="29" t="e">
        <f ca="1">IF(B43="","",_xll.BDP(A43&amp;" Corp","INTERVAL_HIGH","START_DATE_OVERRIDE",TEXT($L$3,"AAAAMMDD"),"END_DATE_OVERRIDE",TEXT($L$4,"AAAAMMDD"),"MARKET_DATA_OVERRIDE",$L$5))</f>
        <v>#NAME?</v>
      </c>
      <c r="M43" s="30" t="e">
        <f ca="1">IF(B43="","",_xll.BDP($A43&amp;" Corp","INTERVAL_LOW","START_DATE_OVERRIDE",TEXT($L$3,"AAAAMMDD"),"END_DATE_OVERRIDE",TEXT($L$4,"AAAAMMDD"),"MARKET_DATA_OVERRIDE",$L$5))</f>
        <v>#NAME?</v>
      </c>
      <c r="N43" s="31" t="s">
        <v>809</v>
      </c>
      <c r="O43" s="32" t="e">
        <f ca="1">IF($B43="","",_xll.BDP($A43&amp;" Corp",O$6))</f>
        <v>#NAME?</v>
      </c>
      <c r="P43" s="32" t="e">
        <f ca="1">IF($B43="","",_xll.BDP($A43&amp;" Corp",P$6))</f>
        <v>#NAME?</v>
      </c>
      <c r="Q43" s="30" t="e">
        <f ca="1">IF($B43="","",_xll.BDP($A43&amp;" Corp",Q$5))</f>
        <v>#NAME?</v>
      </c>
      <c r="R43" s="30" t="e">
        <f ca="1">IF($B43="","",_xll.BDP($A43&amp;" Corp",R$5))</f>
        <v>#NAME?</v>
      </c>
      <c r="S43" s="50" t="e">
        <f ca="1">IF($B43="","",_xll.BDP($A43&amp;" Corp",S$5))</f>
        <v>#NAME?</v>
      </c>
      <c r="T43" s="30" t="e">
        <f ca="1">IF($B43="","",_xll.BDP($A43&amp;" Corp",T$5))</f>
        <v>#NAME?</v>
      </c>
      <c r="U43" s="30" t="e">
        <f ca="1">IF($B43="","",_xll.BDP($A43&amp;" Corp",U$5))</f>
        <v>#NAME?</v>
      </c>
      <c r="V43" s="51" t="e">
        <f ca="1">IF($B43="","",IF($T43="VARIABLE",_xll.BDP($A43&amp;" Corp",V$4),_xll.BDP($A43&amp;" Corp",V$5)))</f>
        <v>#NAME?</v>
      </c>
      <c r="W43" s="30" t="e">
        <f ca="1">IF($B43="","",IF($T43="VARIABLE",_xll.BDP($A43&amp;" Corp",W$4),_xll.BDP($A43&amp;" Corp",W$5)))</f>
        <v>#NAME?</v>
      </c>
      <c r="X43" s="30" t="e">
        <f ca="1">IF($B43="","",_xll.BDP($A43&amp;" Corp",X$5))</f>
        <v>#NAME?</v>
      </c>
      <c r="Y43" s="33" t="e">
        <f ca="1">IF($B43="","",_xll.BDP($A43&amp;" Corp",Y$5))</f>
        <v>#NAME?</v>
      </c>
      <c r="Z43" s="52" t="e">
        <f ca="1">IF($B43="","",_xll.BDP($A43&amp;" Corp",Z$5))</f>
        <v>#NAME?</v>
      </c>
      <c r="AA43" s="53" t="e">
        <f ca="1">IF($B43="","",_xll.BDP($A43&amp;" Corp",AA$5))</f>
        <v>#NAME?</v>
      </c>
      <c r="AB43" s="54" t="e">
        <f ca="1">IF($B43="","",_xll.BDP($A43&amp;" Corp",AB$5))</f>
        <v>#NAME?</v>
      </c>
      <c r="AC43" s="54" t="e">
        <f ca="1">IF($B43="","",_xll.BDP($A43&amp;" Corp",AC$5))</f>
        <v>#NAME?</v>
      </c>
      <c r="AD43" s="55" t="e">
        <f ca="1">IF($B43="","",_xll.BDP($A43&amp;" Corp",AD$5))</f>
        <v>#NAME?</v>
      </c>
      <c r="AE43" s="56" t="e">
        <f ca="1">IF($B43="","",_xll.BDP($A43&amp;" Corp",AE$5))</f>
        <v>#NAME?</v>
      </c>
      <c r="AF43" s="29" t="e">
        <f ca="1">IF($B43="","",_xll.BDP($A43&amp;" Corp",AF$5))</f>
        <v>#NAME?</v>
      </c>
      <c r="AG43" s="33" t="e">
        <f ca="1">IF($B43="","",_xll.BDP($A43&amp;" Corp",AG$5))</f>
        <v>#NAME?</v>
      </c>
      <c r="AH43" s="30" t="e">
        <f ca="1">IF($B43="","",_xll.BDP($A43&amp;" Corp",AH$5))</f>
        <v>#NAME?</v>
      </c>
      <c r="AI43" s="30" t="e">
        <f ca="1">IF($B43="","",_xll.BDP($A43&amp;" Corp",AI$5))</f>
        <v>#NAME?</v>
      </c>
      <c r="AJ43" s="30" t="e">
        <f ca="1">IF($B43="","",_xll.BDP($A43&amp;" Corp",AJ$5))</f>
        <v>#NAME?</v>
      </c>
      <c r="AK43" s="11" t="e">
        <f ca="1">IF($B43="","",_xll.BDP($A43&amp;" Corp",AK$5))</f>
        <v>#NAME?</v>
      </c>
      <c r="AL43" s="11" t="e">
        <f ca="1">IF($B43="","",_xll.BDP($A43&amp;" Corp",AL$5))</f>
        <v>#NAME?</v>
      </c>
      <c r="AM43" s="11">
        <v>3</v>
      </c>
      <c r="AN43" s="57">
        <v>2</v>
      </c>
    </row>
    <row r="44" spans="1:40" x14ac:dyDescent="0.3">
      <c r="A44" s="67" t="s">
        <v>370</v>
      </c>
      <c r="B44" s="68" t="s">
        <v>370</v>
      </c>
      <c r="C44" s="75">
        <v>7245</v>
      </c>
      <c r="D44" s="75">
        <v>128</v>
      </c>
      <c r="E44" s="75">
        <v>1300000</v>
      </c>
      <c r="F44" s="69">
        <v>1.0262164499999999</v>
      </c>
      <c r="G44" s="70">
        <v>1272511</v>
      </c>
      <c r="H44" s="67">
        <v>1300000</v>
      </c>
      <c r="I44" s="67">
        <v>1.0262164499999999</v>
      </c>
      <c r="J44" s="67">
        <v>1272511</v>
      </c>
      <c r="K44" s="71">
        <v>97.885461538461541</v>
      </c>
      <c r="L44" s="29" t="e">
        <f ca="1">IF(B44="","",_xll.BDP(A44&amp;" Corp","INTERVAL_HIGH","START_DATE_OVERRIDE",TEXT($L$3,"AAAAMMDD"),"END_DATE_OVERRIDE",TEXT($L$4,"AAAAMMDD"),"MARKET_DATA_OVERRIDE",$L$5))</f>
        <v>#NAME?</v>
      </c>
      <c r="M44" s="30" t="e">
        <f ca="1">IF(B44="","",_xll.BDP($A44&amp;" Corp","INTERVAL_LOW","START_DATE_OVERRIDE",TEXT($L$3,"AAAAMMDD"),"END_DATE_OVERRIDE",TEXT($L$4,"AAAAMMDD"),"MARKET_DATA_OVERRIDE",$L$5))</f>
        <v>#NAME?</v>
      </c>
      <c r="N44" s="31" t="s">
        <v>810</v>
      </c>
      <c r="O44" s="32" t="e">
        <f ca="1">IF($B44="","",_xll.BDP($A44&amp;" Corp",O$6))</f>
        <v>#NAME?</v>
      </c>
      <c r="P44" s="32" t="e">
        <f ca="1">IF($B44="","",_xll.BDP($A44&amp;" Corp",P$6))</f>
        <v>#NAME?</v>
      </c>
      <c r="Q44" s="30" t="e">
        <f ca="1">IF($B44="","",_xll.BDP($A44&amp;" Corp",Q$5))</f>
        <v>#NAME?</v>
      </c>
      <c r="R44" s="30" t="e">
        <f ca="1">IF($B44="","",_xll.BDP($A44&amp;" Corp",R$5))</f>
        <v>#NAME?</v>
      </c>
      <c r="S44" s="50" t="e">
        <f ca="1">IF($B44="","",_xll.BDP($A44&amp;" Corp",S$5))</f>
        <v>#NAME?</v>
      </c>
      <c r="T44" s="30" t="e">
        <f ca="1">IF($B44="","",_xll.BDP($A44&amp;" Corp",T$5))</f>
        <v>#NAME?</v>
      </c>
      <c r="U44" s="30" t="e">
        <f ca="1">IF($B44="","",_xll.BDP($A44&amp;" Corp",U$5))</f>
        <v>#NAME?</v>
      </c>
      <c r="V44" s="51" t="e">
        <f ca="1">IF($B44="","",IF($T44="VARIABLE",_xll.BDP($A44&amp;" Corp",V$4),_xll.BDP($A44&amp;" Corp",V$5)))</f>
        <v>#NAME?</v>
      </c>
      <c r="W44" s="30" t="e">
        <f ca="1">IF($B44="","",IF($T44="VARIABLE",_xll.BDP($A44&amp;" Corp",W$4),_xll.BDP($A44&amp;" Corp",W$5)))</f>
        <v>#NAME?</v>
      </c>
      <c r="X44" s="30" t="e">
        <f ca="1">IF($B44="","",_xll.BDP($A44&amp;" Corp",X$5))</f>
        <v>#NAME?</v>
      </c>
      <c r="Y44" s="33" t="e">
        <f ca="1">IF($B44="","",_xll.BDP($A44&amp;" Corp",Y$5))</f>
        <v>#NAME?</v>
      </c>
      <c r="Z44" s="52" t="e">
        <f ca="1">IF($B44="","",_xll.BDP($A44&amp;" Corp",Z$5))</f>
        <v>#NAME?</v>
      </c>
      <c r="AA44" s="53" t="e">
        <f ca="1">IF($B44="","",_xll.BDP($A44&amp;" Corp",AA$5))</f>
        <v>#NAME?</v>
      </c>
      <c r="AB44" s="54" t="e">
        <f ca="1">IF($B44="","",_xll.BDP($A44&amp;" Corp",AB$5))</f>
        <v>#NAME?</v>
      </c>
      <c r="AC44" s="54" t="e">
        <f ca="1">IF($B44="","",_xll.BDP($A44&amp;" Corp",AC$5))</f>
        <v>#NAME?</v>
      </c>
      <c r="AD44" s="55" t="e">
        <f ca="1">IF($B44="","",_xll.BDP($A44&amp;" Corp",AD$5))</f>
        <v>#NAME?</v>
      </c>
      <c r="AE44" s="56" t="e">
        <f ca="1">IF($B44="","",_xll.BDP($A44&amp;" Corp",AE$5))</f>
        <v>#NAME?</v>
      </c>
      <c r="AF44" s="29" t="e">
        <f ca="1">IF($B44="","",_xll.BDP($A44&amp;" Corp",AF$5))</f>
        <v>#NAME?</v>
      </c>
      <c r="AG44" s="33" t="e">
        <f ca="1">IF($B44="","",_xll.BDP($A44&amp;" Corp",AG$5))</f>
        <v>#NAME?</v>
      </c>
      <c r="AH44" s="30" t="e">
        <f ca="1">IF($B44="","",_xll.BDP($A44&amp;" Corp",AH$5))</f>
        <v>#NAME?</v>
      </c>
      <c r="AI44" s="30" t="e">
        <f ca="1">IF($B44="","",_xll.BDP($A44&amp;" Corp",AI$5))</f>
        <v>#NAME?</v>
      </c>
      <c r="AJ44" s="30" t="e">
        <f ca="1">IF($B44="","",_xll.BDP($A44&amp;" Corp",AJ$5))</f>
        <v>#NAME?</v>
      </c>
      <c r="AK44" s="11" t="e">
        <f ca="1">IF($B44="","",_xll.BDP($A44&amp;" Corp",AK$5))</f>
        <v>#NAME?</v>
      </c>
      <c r="AL44" s="11" t="e">
        <f ca="1">IF($B44="","",_xll.BDP($A44&amp;" Corp",AL$5))</f>
        <v>#NAME?</v>
      </c>
      <c r="AM44" s="11">
        <v>2</v>
      </c>
      <c r="AN44" s="57">
        <v>1</v>
      </c>
    </row>
    <row r="45" spans="1:40" x14ac:dyDescent="0.3">
      <c r="A45" s="67" t="s">
        <v>450</v>
      </c>
      <c r="B45" s="68" t="s">
        <v>450</v>
      </c>
      <c r="C45" s="75">
        <v>9571</v>
      </c>
      <c r="D45" s="75">
        <v>128</v>
      </c>
      <c r="E45" s="75">
        <v>100000</v>
      </c>
      <c r="F45" s="69">
        <v>7.0282819999999996E-2</v>
      </c>
      <c r="G45" s="70">
        <v>103038.25</v>
      </c>
      <c r="H45" s="67">
        <v>100000</v>
      </c>
      <c r="I45" s="67">
        <v>7.0282819999999996E-2</v>
      </c>
      <c r="J45" s="67">
        <v>103038.25</v>
      </c>
      <c r="K45" s="71">
        <v>103.03825000000001</v>
      </c>
      <c r="L45" s="29" t="e">
        <f ca="1">IF(B45="","",_xll.BDP(A45&amp;" Corp","INTERVAL_HIGH","START_DATE_OVERRIDE",TEXT($L$3,"AAAAMMDD"),"END_DATE_OVERRIDE",TEXT($L$4,"AAAAMMDD"),"MARKET_DATA_OVERRIDE",$L$5))</f>
        <v>#NAME?</v>
      </c>
      <c r="M45" s="30" t="e">
        <f ca="1">IF(B45="","",_xll.BDP($A45&amp;" Corp","INTERVAL_LOW","START_DATE_OVERRIDE",TEXT($L$3,"AAAAMMDD"),"END_DATE_OVERRIDE",TEXT($L$4,"AAAAMMDD"),"MARKET_DATA_OVERRIDE",$L$5))</f>
        <v>#NAME?</v>
      </c>
      <c r="N45" s="31" t="s">
        <v>811</v>
      </c>
      <c r="O45" s="32" t="e">
        <f ca="1">IF($B45="","",_xll.BDP($A45&amp;" Corp",O$6))</f>
        <v>#NAME?</v>
      </c>
      <c r="P45" s="32" t="e">
        <f ca="1">IF($B45="","",_xll.BDP($A45&amp;" Corp",P$6))</f>
        <v>#NAME?</v>
      </c>
      <c r="Q45" s="30" t="e">
        <f ca="1">IF($B45="","",_xll.BDP($A45&amp;" Corp",Q$5))</f>
        <v>#NAME?</v>
      </c>
      <c r="R45" s="30" t="e">
        <f ca="1">IF($B45="","",_xll.BDP($A45&amp;" Corp",R$5))</f>
        <v>#NAME?</v>
      </c>
      <c r="S45" s="50" t="e">
        <f ca="1">IF($B45="","",_xll.BDP($A45&amp;" Corp",S$5))</f>
        <v>#NAME?</v>
      </c>
      <c r="T45" s="30" t="e">
        <f ca="1">IF($B45="","",_xll.BDP($A45&amp;" Corp",T$5))</f>
        <v>#NAME?</v>
      </c>
      <c r="U45" s="30" t="e">
        <f ca="1">IF($B45="","",_xll.BDP($A45&amp;" Corp",U$5))</f>
        <v>#NAME?</v>
      </c>
      <c r="V45" s="51" t="e">
        <f ca="1">IF($B45="","",IF($T45="VARIABLE",_xll.BDP($A45&amp;" Corp",V$4),_xll.BDP($A45&amp;" Corp",V$5)))</f>
        <v>#NAME?</v>
      </c>
      <c r="W45" s="30" t="e">
        <f ca="1">IF($B45="","",IF($T45="VARIABLE",_xll.BDP($A45&amp;" Corp",W$4),_xll.BDP($A45&amp;" Corp",W$5)))</f>
        <v>#NAME?</v>
      </c>
      <c r="X45" s="30" t="e">
        <f ca="1">IF($B45="","",_xll.BDP($A45&amp;" Corp",X$5))</f>
        <v>#NAME?</v>
      </c>
      <c r="Y45" s="33" t="e">
        <f ca="1">IF($B45="","",_xll.BDP($A45&amp;" Corp",Y$5))</f>
        <v>#NAME?</v>
      </c>
      <c r="Z45" s="52" t="e">
        <f ca="1">IF($B45="","",_xll.BDP($A45&amp;" Corp",Z$5))</f>
        <v>#NAME?</v>
      </c>
      <c r="AA45" s="53" t="e">
        <f ca="1">IF($B45="","",_xll.BDP($A45&amp;" Corp",AA$5))</f>
        <v>#NAME?</v>
      </c>
      <c r="AB45" s="54" t="e">
        <f ca="1">IF($B45="","",_xll.BDP($A45&amp;" Corp",AB$5))</f>
        <v>#NAME?</v>
      </c>
      <c r="AC45" s="54" t="e">
        <f ca="1">IF($B45="","",_xll.BDP($A45&amp;" Corp",AC$5))</f>
        <v>#NAME?</v>
      </c>
      <c r="AD45" s="55" t="e">
        <f ca="1">IF($B45="","",_xll.BDP($A45&amp;" Corp",AD$5))</f>
        <v>#NAME?</v>
      </c>
      <c r="AE45" s="56" t="e">
        <f ca="1">IF($B45="","",_xll.BDP($A45&amp;" Corp",AE$5))</f>
        <v>#NAME?</v>
      </c>
      <c r="AF45" s="29" t="e">
        <f ca="1">IF($B45="","",_xll.BDP($A45&amp;" Corp",AF$5))</f>
        <v>#NAME?</v>
      </c>
      <c r="AG45" s="33" t="e">
        <f ca="1">IF($B45="","",_xll.BDP($A45&amp;" Corp",AG$5))</f>
        <v>#NAME?</v>
      </c>
      <c r="AH45" s="30" t="e">
        <f ca="1">IF($B45="","",_xll.BDP($A45&amp;" Corp",AH$5))</f>
        <v>#NAME?</v>
      </c>
      <c r="AI45" s="30" t="e">
        <f ca="1">IF($B45="","",_xll.BDP($A45&amp;" Corp",AI$5))</f>
        <v>#NAME?</v>
      </c>
      <c r="AJ45" s="30" t="e">
        <f ca="1">IF($B45="","",_xll.BDP($A45&amp;" Corp",AJ$5))</f>
        <v>#NAME?</v>
      </c>
      <c r="AK45" s="11" t="e">
        <f ca="1">IF($B45="","",_xll.BDP($A45&amp;" Corp",AK$5))</f>
        <v>#NAME?</v>
      </c>
      <c r="AL45" s="11" t="e">
        <f ca="1">IF($B45="","",_xll.BDP($A45&amp;" Corp",AL$5))</f>
        <v>#NAME?</v>
      </c>
      <c r="AM45" s="11">
        <v>3</v>
      </c>
      <c r="AN45" s="57">
        <v>3</v>
      </c>
    </row>
    <row r="46" spans="1:40" x14ac:dyDescent="0.3">
      <c r="A46" s="67" t="s">
        <v>167</v>
      </c>
      <c r="B46" s="68" t="s">
        <v>372</v>
      </c>
      <c r="C46" s="75">
        <v>5712</v>
      </c>
      <c r="D46" s="75">
        <v>128</v>
      </c>
      <c r="E46" s="75">
        <v>600000</v>
      </c>
      <c r="F46" s="69">
        <v>0.51052461000000005</v>
      </c>
      <c r="G46" s="70">
        <v>684728.67</v>
      </c>
      <c r="H46" s="67">
        <v>600000</v>
      </c>
      <c r="I46" s="67">
        <v>0.51052461000000005</v>
      </c>
      <c r="J46" s="67">
        <v>684728.67</v>
      </c>
      <c r="K46" s="71">
        <v>114.12144499999999</v>
      </c>
      <c r="L46" s="29" t="e">
        <f ca="1">IF(B46="","",_xll.BDP(A46&amp;" Corp","INTERVAL_HIGH","START_DATE_OVERRIDE",TEXT($L$3,"AAAAMMDD"),"END_DATE_OVERRIDE",TEXT($L$4,"AAAAMMDD"),"MARKET_DATA_OVERRIDE",$L$5))</f>
        <v>#NAME?</v>
      </c>
      <c r="M46" s="30" t="e">
        <f ca="1">IF(B46="","",_xll.BDP($A46&amp;" Corp","INTERVAL_LOW","START_DATE_OVERRIDE",TEXT($L$3,"AAAAMMDD"),"END_DATE_OVERRIDE",TEXT($L$4,"AAAAMMDD"),"MARKET_DATA_OVERRIDE",$L$5))</f>
        <v>#NAME?</v>
      </c>
      <c r="N46" s="31" t="s">
        <v>959</v>
      </c>
      <c r="O46" s="32" t="e">
        <f ca="1">IF($B46="","",_xll.BDP($A46&amp;" Corp",O$6))</f>
        <v>#NAME?</v>
      </c>
      <c r="P46" s="32" t="e">
        <f ca="1">IF($B46="","",_xll.BDP($A46&amp;" Corp",P$6))</f>
        <v>#NAME?</v>
      </c>
      <c r="Q46" s="30" t="e">
        <f ca="1">IF($B46="","",_xll.BDP($A46&amp;" Corp",Q$5))</f>
        <v>#NAME?</v>
      </c>
      <c r="R46" s="30" t="e">
        <f ca="1">IF($B46="","",_xll.BDP($A46&amp;" Corp",R$5))</f>
        <v>#NAME?</v>
      </c>
      <c r="S46" s="50" t="e">
        <f ca="1">IF($B46="","",_xll.BDP($A46&amp;" Corp",S$5))</f>
        <v>#NAME?</v>
      </c>
      <c r="T46" s="30" t="e">
        <f ca="1">IF($B46="","",_xll.BDP($A46&amp;" Corp",T$5))</f>
        <v>#NAME?</v>
      </c>
      <c r="U46" s="30" t="e">
        <f ca="1">IF($B46="","",_xll.BDP($A46&amp;" Corp",U$5))</f>
        <v>#NAME?</v>
      </c>
      <c r="V46" s="51" t="e">
        <f ca="1">IF($B46="","",IF($T46="VARIABLE",_xll.BDP($A46&amp;" Corp",V$4),_xll.BDP($A46&amp;" Corp",V$5)))</f>
        <v>#NAME?</v>
      </c>
      <c r="W46" s="30" t="e">
        <f ca="1">IF($B46="","",IF($T46="VARIABLE",_xll.BDP($A46&amp;" Corp",W$4),_xll.BDP($A46&amp;" Corp",W$5)))</f>
        <v>#NAME?</v>
      </c>
      <c r="X46" s="30" t="e">
        <f ca="1">IF($B46="","",_xll.BDP($A46&amp;" Corp",X$5))</f>
        <v>#NAME?</v>
      </c>
      <c r="Y46" s="33" t="e">
        <f ca="1">IF($B46="","",_xll.BDP($A46&amp;" Corp",Y$5))</f>
        <v>#NAME?</v>
      </c>
      <c r="Z46" s="52" t="e">
        <f ca="1">IF($B46="","",_xll.BDP($A46&amp;" Corp",Z$5))</f>
        <v>#NAME?</v>
      </c>
      <c r="AA46" s="53" t="e">
        <f ca="1">IF($B46="","",_xll.BDP($A46&amp;" Corp",AA$5))</f>
        <v>#NAME?</v>
      </c>
      <c r="AB46" s="54" t="e">
        <f ca="1">IF($B46="","",_xll.BDP($A46&amp;" Corp",AB$5))</f>
        <v>#NAME?</v>
      </c>
      <c r="AC46" s="54" t="e">
        <f ca="1">IF($B46="","",_xll.BDP($A46&amp;" Corp",AC$5))</f>
        <v>#NAME?</v>
      </c>
      <c r="AD46" s="55" t="e">
        <f ca="1">IF($B46="","",_xll.BDP($A46&amp;" Corp",AD$5))</f>
        <v>#NAME?</v>
      </c>
      <c r="AE46" s="56" t="e">
        <f ca="1">IF($B46="","",_xll.BDP($A46&amp;" Corp",AE$5))</f>
        <v>#NAME?</v>
      </c>
      <c r="AF46" s="29" t="e">
        <f ca="1">IF($B46="","",_xll.BDP($A46&amp;" Corp",AF$5))</f>
        <v>#NAME?</v>
      </c>
      <c r="AG46" s="33" t="e">
        <f ca="1">IF($B46="","",_xll.BDP($A46&amp;" Corp",AG$5))</f>
        <v>#NAME?</v>
      </c>
      <c r="AH46" s="30" t="e">
        <f ca="1">IF($B46="","",_xll.BDP($A46&amp;" Corp",AH$5))</f>
        <v>#NAME?</v>
      </c>
      <c r="AI46" s="30" t="e">
        <f ca="1">IF($B46="","",_xll.BDP($A46&amp;" Corp",AI$5))</f>
        <v>#NAME?</v>
      </c>
      <c r="AJ46" s="30" t="e">
        <f ca="1">IF($B46="","",_xll.BDP($A46&amp;" Corp",AJ$5))</f>
        <v>#NAME?</v>
      </c>
      <c r="AK46" s="11" t="e">
        <f ca="1">IF($B46="","",_xll.BDP($A46&amp;" Corp",AK$5))</f>
        <v>#NAME?</v>
      </c>
      <c r="AL46" s="11" t="e">
        <f ca="1">IF($B46="","",_xll.BDP($A46&amp;" Corp",AL$5))</f>
        <v>#NAME?</v>
      </c>
      <c r="AM46" s="11" t="e">
        <v>#VALUE!</v>
      </c>
      <c r="AN46" s="57" t="e">
        <v>#VALUE!</v>
      </c>
    </row>
    <row r="47" spans="1:40" x14ac:dyDescent="0.3">
      <c r="A47" s="67" t="s">
        <v>462</v>
      </c>
      <c r="B47" s="68" t="s">
        <v>462</v>
      </c>
      <c r="C47" s="75">
        <v>8985</v>
      </c>
      <c r="D47" s="75">
        <v>128</v>
      </c>
      <c r="E47" s="75">
        <v>300000</v>
      </c>
      <c r="F47" s="69">
        <v>0.12064247</v>
      </c>
      <c r="G47" s="70">
        <v>306682.2</v>
      </c>
      <c r="H47" s="67">
        <v>300000</v>
      </c>
      <c r="I47" s="67">
        <v>0.12064247</v>
      </c>
      <c r="J47" s="67">
        <v>306682.2</v>
      </c>
      <c r="K47" s="71">
        <v>102.2274</v>
      </c>
      <c r="L47" s="29" t="e">
        <f ca="1">IF(B47="","",_xll.BDP(A47&amp;" Corp","INTERVAL_HIGH","START_DATE_OVERRIDE",TEXT($L$3,"AAAAMMDD"),"END_DATE_OVERRIDE",TEXT($L$4,"AAAAMMDD"),"MARKET_DATA_OVERRIDE",$L$5))</f>
        <v>#NAME?</v>
      </c>
      <c r="M47" s="30" t="e">
        <f ca="1">IF(B47="","",_xll.BDP($A47&amp;" Corp","INTERVAL_LOW","START_DATE_OVERRIDE",TEXT($L$3,"AAAAMMDD"),"END_DATE_OVERRIDE",TEXT($L$4,"AAAAMMDD"),"MARKET_DATA_OVERRIDE",$L$5))</f>
        <v>#NAME?</v>
      </c>
      <c r="N47" s="31" t="s">
        <v>812</v>
      </c>
      <c r="O47" s="32" t="e">
        <f ca="1">IF($B47="","",_xll.BDP($A47&amp;" Corp",O$6))</f>
        <v>#NAME?</v>
      </c>
      <c r="P47" s="32" t="e">
        <f ca="1">IF($B47="","",_xll.BDP($A47&amp;" Corp",P$6))</f>
        <v>#NAME?</v>
      </c>
      <c r="Q47" s="30" t="e">
        <f ca="1">IF($B47="","",_xll.BDP($A47&amp;" Corp",Q$5))</f>
        <v>#NAME?</v>
      </c>
      <c r="R47" s="30" t="e">
        <f ca="1">IF($B47="","",_xll.BDP($A47&amp;" Corp",R$5))</f>
        <v>#NAME?</v>
      </c>
      <c r="S47" s="50" t="e">
        <f ca="1">IF($B47="","",_xll.BDP($A47&amp;" Corp",S$5))</f>
        <v>#NAME?</v>
      </c>
      <c r="T47" s="30" t="e">
        <f ca="1">IF($B47="","",_xll.BDP($A47&amp;" Corp",T$5))</f>
        <v>#NAME?</v>
      </c>
      <c r="U47" s="30" t="e">
        <f ca="1">IF($B47="","",_xll.BDP($A47&amp;" Corp",U$5))</f>
        <v>#NAME?</v>
      </c>
      <c r="V47" s="51" t="e">
        <f ca="1">IF($B47="","",IF($T47="VARIABLE",_xll.BDP($A47&amp;" Corp",V$4),_xll.BDP($A47&amp;" Corp",V$5)))</f>
        <v>#NAME?</v>
      </c>
      <c r="W47" s="30" t="e">
        <f ca="1">IF($B47="","",IF($T47="VARIABLE",_xll.BDP($A47&amp;" Corp",W$4),_xll.BDP($A47&amp;" Corp",W$5)))</f>
        <v>#NAME?</v>
      </c>
      <c r="X47" s="30" t="e">
        <f ca="1">IF($B47="","",_xll.BDP($A47&amp;" Corp",X$5))</f>
        <v>#NAME?</v>
      </c>
      <c r="Y47" s="33" t="e">
        <f ca="1">IF($B47="","",_xll.BDP($A47&amp;" Corp",Y$5))</f>
        <v>#NAME?</v>
      </c>
      <c r="Z47" s="52" t="e">
        <f ca="1">IF($B47="","",_xll.BDP($A47&amp;" Corp",Z$5))</f>
        <v>#NAME?</v>
      </c>
      <c r="AA47" s="53" t="e">
        <f ca="1">IF($B47="","",_xll.BDP($A47&amp;" Corp",AA$5))</f>
        <v>#NAME?</v>
      </c>
      <c r="AB47" s="54" t="e">
        <f ca="1">IF($B47="","",_xll.BDP($A47&amp;" Corp",AB$5))</f>
        <v>#NAME?</v>
      </c>
      <c r="AC47" s="54" t="e">
        <f ca="1">IF($B47="","",_xll.BDP($A47&amp;" Corp",AC$5))</f>
        <v>#NAME?</v>
      </c>
      <c r="AD47" s="55" t="e">
        <f ca="1">IF($B47="","",_xll.BDP($A47&amp;" Corp",AD$5))</f>
        <v>#NAME?</v>
      </c>
      <c r="AE47" s="56" t="e">
        <f ca="1">IF($B47="","",_xll.BDP($A47&amp;" Corp",AE$5))</f>
        <v>#NAME?</v>
      </c>
      <c r="AF47" s="29" t="e">
        <f ca="1">IF($B47="","",_xll.BDP($A47&amp;" Corp",AF$5))</f>
        <v>#NAME?</v>
      </c>
      <c r="AG47" s="33" t="e">
        <f ca="1">IF($B47="","",_xll.BDP($A47&amp;" Corp",AG$5))</f>
        <v>#NAME?</v>
      </c>
      <c r="AH47" s="30" t="e">
        <f ca="1">IF($B47="","",_xll.BDP($A47&amp;" Corp",AH$5))</f>
        <v>#NAME?</v>
      </c>
      <c r="AI47" s="30" t="e">
        <f ca="1">IF($B47="","",_xll.BDP($A47&amp;" Corp",AI$5))</f>
        <v>#NAME?</v>
      </c>
      <c r="AJ47" s="30" t="e">
        <f ca="1">IF($B47="","",_xll.BDP($A47&amp;" Corp",AJ$5))</f>
        <v>#NAME?</v>
      </c>
      <c r="AK47" s="11" t="e">
        <f ca="1">IF($B47="","",_xll.BDP($A47&amp;" Corp",AK$5))</f>
        <v>#NAME?</v>
      </c>
      <c r="AL47" s="11" t="e">
        <f ca="1">IF($B47="","",_xll.BDP($A47&amp;" Corp",AL$5))</f>
        <v>#NAME?</v>
      </c>
      <c r="AM47" s="11">
        <v>3</v>
      </c>
      <c r="AN47" s="57">
        <v>2</v>
      </c>
    </row>
    <row r="48" spans="1:40" x14ac:dyDescent="0.3">
      <c r="A48" s="67" t="s">
        <v>464</v>
      </c>
      <c r="B48" s="68" t="s">
        <v>464</v>
      </c>
      <c r="C48" s="75">
        <v>9469</v>
      </c>
      <c r="D48" s="75">
        <v>128</v>
      </c>
      <c r="E48" s="75">
        <v>500000</v>
      </c>
      <c r="F48" s="69">
        <v>0.20874472999999999</v>
      </c>
      <c r="G48" s="70">
        <v>501250</v>
      </c>
      <c r="H48" s="67">
        <v>500000</v>
      </c>
      <c r="I48" s="67">
        <v>0.20874472999999999</v>
      </c>
      <c r="J48" s="67">
        <v>501250</v>
      </c>
      <c r="K48" s="71">
        <v>100.25</v>
      </c>
      <c r="L48" s="29" t="e">
        <f ca="1">IF(B48="","",_xll.BDP(A48&amp;" Corp","INTERVAL_HIGH","START_DATE_OVERRIDE",TEXT($L$3,"AAAAMMDD"),"END_DATE_OVERRIDE",TEXT($L$4,"AAAAMMDD"),"MARKET_DATA_OVERRIDE",$L$5))</f>
        <v>#NAME?</v>
      </c>
      <c r="M48" s="30" t="e">
        <f ca="1">IF(B48="","",_xll.BDP($A48&amp;" Corp","INTERVAL_LOW","START_DATE_OVERRIDE",TEXT($L$3,"AAAAMMDD"),"END_DATE_OVERRIDE",TEXT($L$4,"AAAAMMDD"),"MARKET_DATA_OVERRIDE",$L$5))</f>
        <v>#NAME?</v>
      </c>
      <c r="N48" s="31" t="s">
        <v>966</v>
      </c>
      <c r="O48" s="32" t="e">
        <f ca="1">IF($B48="","",_xll.BDP($A48&amp;" Corp",O$6))</f>
        <v>#NAME?</v>
      </c>
      <c r="P48" s="32" t="e">
        <f ca="1">IF($B48="","",_xll.BDP($A48&amp;" Corp",P$6))</f>
        <v>#NAME?</v>
      </c>
      <c r="Q48" s="30" t="e">
        <f ca="1">IF($B48="","",_xll.BDP($A48&amp;" Corp",Q$5))</f>
        <v>#NAME?</v>
      </c>
      <c r="R48" s="30" t="e">
        <f ca="1">IF($B48="","",_xll.BDP($A48&amp;" Corp",R$5))</f>
        <v>#NAME?</v>
      </c>
      <c r="S48" s="50" t="e">
        <f ca="1">IF($B48="","",_xll.BDP($A48&amp;" Corp",S$5))</f>
        <v>#NAME?</v>
      </c>
      <c r="T48" s="30" t="e">
        <f ca="1">IF($B48="","",_xll.BDP($A48&amp;" Corp",T$5))</f>
        <v>#NAME?</v>
      </c>
      <c r="U48" s="30" t="e">
        <f ca="1">IF($B48="","",_xll.BDP($A48&amp;" Corp",U$5))</f>
        <v>#NAME?</v>
      </c>
      <c r="V48" s="51" t="e">
        <f ca="1">IF($B48="","",IF($T48="VARIABLE",_xll.BDP($A48&amp;" Corp",V$4),_xll.BDP($A48&amp;" Corp",V$5)))</f>
        <v>#NAME?</v>
      </c>
      <c r="W48" s="30" t="e">
        <f ca="1">IF($B48="","",IF($T48="VARIABLE",_xll.BDP($A48&amp;" Corp",W$4),_xll.BDP($A48&amp;" Corp",W$5)))</f>
        <v>#NAME?</v>
      </c>
      <c r="X48" s="30" t="e">
        <f ca="1">IF($B48="","",_xll.BDP($A48&amp;" Corp",X$5))</f>
        <v>#NAME?</v>
      </c>
      <c r="Y48" s="33" t="e">
        <f ca="1">IF($B48="","",_xll.BDP($A48&amp;" Corp",Y$5))</f>
        <v>#NAME?</v>
      </c>
      <c r="Z48" s="52" t="e">
        <f ca="1">IF($B48="","",_xll.BDP($A48&amp;" Corp",Z$5))</f>
        <v>#NAME?</v>
      </c>
      <c r="AA48" s="53" t="e">
        <f ca="1">IF($B48="","",_xll.BDP($A48&amp;" Corp",AA$5))</f>
        <v>#NAME?</v>
      </c>
      <c r="AB48" s="54" t="e">
        <f ca="1">IF($B48="","",_xll.BDP($A48&amp;" Corp",AB$5))</f>
        <v>#NAME?</v>
      </c>
      <c r="AC48" s="54" t="e">
        <f ca="1">IF($B48="","",_xll.BDP($A48&amp;" Corp",AC$5))</f>
        <v>#NAME?</v>
      </c>
      <c r="AD48" s="55" t="e">
        <f ca="1">IF($B48="","",_xll.BDP($A48&amp;" Corp",AD$5))</f>
        <v>#NAME?</v>
      </c>
      <c r="AE48" s="56" t="e">
        <f ca="1">IF($B48="","",_xll.BDP($A48&amp;" Corp",AE$5))</f>
        <v>#NAME?</v>
      </c>
      <c r="AF48" s="29" t="e">
        <f ca="1">IF($B48="","",_xll.BDP($A48&amp;" Corp",AF$5))</f>
        <v>#NAME?</v>
      </c>
      <c r="AG48" s="33" t="e">
        <f ca="1">IF($B48="","",_xll.BDP($A48&amp;" Corp",AG$5))</f>
        <v>#NAME?</v>
      </c>
      <c r="AH48" s="30" t="e">
        <f ca="1">IF($B48="","",_xll.BDP($A48&amp;" Corp",AH$5))</f>
        <v>#NAME?</v>
      </c>
      <c r="AI48" s="30" t="e">
        <f ca="1">IF($B48="","",_xll.BDP($A48&amp;" Corp",AI$5))</f>
        <v>#NAME?</v>
      </c>
      <c r="AJ48" s="30" t="e">
        <f ca="1">IF($B48="","",_xll.BDP($A48&amp;" Corp",AJ$5))</f>
        <v>#NAME?</v>
      </c>
      <c r="AK48" s="11" t="e">
        <f ca="1">IF($B48="","",_xll.BDP($A48&amp;" Corp",AK$5))</f>
        <v>#NAME?</v>
      </c>
      <c r="AL48" s="11" t="e">
        <f ca="1">IF($B48="","",_xll.BDP($A48&amp;" Corp",AL$5))</f>
        <v>#NAME?</v>
      </c>
      <c r="AM48" s="11">
        <v>4</v>
      </c>
      <c r="AN48" s="57">
        <v>3</v>
      </c>
    </row>
    <row r="49" spans="1:40" x14ac:dyDescent="0.3">
      <c r="A49" s="67" t="s">
        <v>263</v>
      </c>
      <c r="B49" s="68" t="s">
        <v>263</v>
      </c>
      <c r="C49" s="75">
        <v>8774</v>
      </c>
      <c r="D49" s="75">
        <v>128</v>
      </c>
      <c r="E49" s="75">
        <v>82898.12</v>
      </c>
      <c r="F49" s="69">
        <v>7.0818329999999999E-2</v>
      </c>
      <c r="G49" s="70">
        <v>127222</v>
      </c>
      <c r="H49" s="67">
        <v>82898.12</v>
      </c>
      <c r="I49" s="67">
        <v>7.0818329999999999E-2</v>
      </c>
      <c r="J49" s="67">
        <v>127222</v>
      </c>
      <c r="K49" s="71">
        <v>153.4678952912322</v>
      </c>
      <c r="L49" s="29" t="e">
        <f ca="1">IF(B49="","",_xll.BDP(A49&amp;" Corp","INTERVAL_HIGH","START_DATE_OVERRIDE",TEXT($L$3,"AAAAMMDD"),"END_DATE_OVERRIDE",TEXT($L$4,"AAAAMMDD"),"MARKET_DATA_OVERRIDE",$L$5))</f>
        <v>#NAME?</v>
      </c>
      <c r="M49" s="30" t="e">
        <f ca="1">IF(B49="","",_xll.BDP($A49&amp;" Corp","INTERVAL_LOW","START_DATE_OVERRIDE",TEXT($L$3,"AAAAMMDD"),"END_DATE_OVERRIDE",TEXT($L$4,"AAAAMMDD"),"MARKET_DATA_OVERRIDE",$L$5))</f>
        <v>#NAME?</v>
      </c>
      <c r="N49" s="31" t="s">
        <v>813</v>
      </c>
      <c r="O49" s="32" t="e">
        <f ca="1">IF($B49="","",_xll.BDP($A49&amp;" Corp",O$6))</f>
        <v>#NAME?</v>
      </c>
      <c r="P49" s="32" t="e">
        <f ca="1">IF($B49="","",_xll.BDP($A49&amp;" Corp",P$6))</f>
        <v>#NAME?</v>
      </c>
      <c r="Q49" s="30" t="e">
        <f ca="1">IF($B49="","",_xll.BDP($A49&amp;" Corp",Q$5))</f>
        <v>#NAME?</v>
      </c>
      <c r="R49" s="30" t="e">
        <f ca="1">IF($B49="","",_xll.BDP($A49&amp;" Corp",R$5))</f>
        <v>#NAME?</v>
      </c>
      <c r="S49" s="50" t="e">
        <f ca="1">IF($B49="","",_xll.BDP($A49&amp;" Corp",S$5))</f>
        <v>#NAME?</v>
      </c>
      <c r="T49" s="30" t="e">
        <f ca="1">IF($B49="","",_xll.BDP($A49&amp;" Corp",T$5))</f>
        <v>#NAME?</v>
      </c>
      <c r="U49" s="30" t="e">
        <f ca="1">IF($B49="","",_xll.BDP($A49&amp;" Corp",U$5))</f>
        <v>#NAME?</v>
      </c>
      <c r="V49" s="51" t="e">
        <f ca="1">IF($B49="","",IF($T49="VARIABLE",_xll.BDP($A49&amp;" Corp",V$4),_xll.BDP($A49&amp;" Corp",V$5)))</f>
        <v>#NAME?</v>
      </c>
      <c r="W49" s="30" t="e">
        <f ca="1">IF($B49="","",IF($T49="VARIABLE",_xll.BDP($A49&amp;" Corp",W$4),_xll.BDP($A49&amp;" Corp",W$5)))</f>
        <v>#NAME?</v>
      </c>
      <c r="X49" s="30" t="e">
        <f ca="1">IF($B49="","",_xll.BDP($A49&amp;" Corp",X$5))</f>
        <v>#NAME?</v>
      </c>
      <c r="Y49" s="33" t="e">
        <f ca="1">IF($B49="","",_xll.BDP($A49&amp;" Corp",Y$5))</f>
        <v>#NAME?</v>
      </c>
      <c r="Z49" s="52" t="e">
        <f ca="1">IF($B49="","",_xll.BDP($A49&amp;" Corp",Z$5))</f>
        <v>#NAME?</v>
      </c>
      <c r="AA49" s="53" t="e">
        <f ca="1">IF($B49="","",_xll.BDP($A49&amp;" Corp",AA$5))</f>
        <v>#NAME?</v>
      </c>
      <c r="AB49" s="54" t="e">
        <f ca="1">IF($B49="","",_xll.BDP($A49&amp;" Corp",AB$5))</f>
        <v>#NAME?</v>
      </c>
      <c r="AC49" s="54" t="e">
        <f ca="1">IF($B49="","",_xll.BDP($A49&amp;" Corp",AC$5))</f>
        <v>#NAME?</v>
      </c>
      <c r="AD49" s="55" t="e">
        <f ca="1">IF($B49="","",_xll.BDP($A49&amp;" Corp",AD$5))</f>
        <v>#NAME?</v>
      </c>
      <c r="AE49" s="56" t="e">
        <f ca="1">IF($B49="","",_xll.BDP($A49&amp;" Corp",AE$5))</f>
        <v>#NAME?</v>
      </c>
      <c r="AF49" s="29" t="e">
        <f ca="1">IF($B49="","",_xll.BDP($A49&amp;" Corp",AF$5))</f>
        <v>#NAME?</v>
      </c>
      <c r="AG49" s="33" t="e">
        <f ca="1">IF($B49="","",_xll.BDP($A49&amp;" Corp",AG$5))</f>
        <v>#NAME?</v>
      </c>
      <c r="AH49" s="30" t="e">
        <f ca="1">IF($B49="","",_xll.BDP($A49&amp;" Corp",AH$5))</f>
        <v>#NAME?</v>
      </c>
      <c r="AI49" s="30" t="e">
        <f ca="1">IF($B49="","",_xll.BDP($A49&amp;" Corp",AI$5))</f>
        <v>#NAME?</v>
      </c>
      <c r="AJ49" s="30" t="e">
        <f ca="1">IF($B49="","",_xll.BDP($A49&amp;" Corp",AJ$5))</f>
        <v>#NAME?</v>
      </c>
      <c r="AK49" s="11" t="e">
        <f ca="1">IF($B49="","",_xll.BDP($A49&amp;" Corp",AK$5))</f>
        <v>#NAME?</v>
      </c>
      <c r="AL49" s="11" t="e">
        <f ca="1">IF($B49="","",_xll.BDP($A49&amp;" Corp",AL$5))</f>
        <v>#NAME?</v>
      </c>
      <c r="AM49" s="11">
        <v>16</v>
      </c>
      <c r="AN49" s="57">
        <v>16</v>
      </c>
    </row>
    <row r="50" spans="1:40" x14ac:dyDescent="0.3">
      <c r="A50" s="67" t="s">
        <v>266</v>
      </c>
      <c r="B50" s="68" t="s">
        <v>266</v>
      </c>
      <c r="C50" s="75">
        <v>7201</v>
      </c>
      <c r="D50" s="75">
        <v>128</v>
      </c>
      <c r="E50" s="75">
        <v>249636.76</v>
      </c>
      <c r="F50" s="69">
        <v>0.24011326999999999</v>
      </c>
      <c r="G50" s="70">
        <v>435475</v>
      </c>
      <c r="H50" s="67">
        <v>249636.76</v>
      </c>
      <c r="I50" s="67">
        <v>0.24011326999999999</v>
      </c>
      <c r="J50" s="67">
        <v>435475</v>
      </c>
      <c r="K50" s="71">
        <v>174.44345936872438</v>
      </c>
      <c r="L50" s="29" t="e">
        <f ca="1">IF(B50="","",_xll.BDP(A50&amp;" Corp","INTERVAL_HIGH","START_DATE_OVERRIDE",TEXT($L$3,"AAAAMMDD"),"END_DATE_OVERRIDE",TEXT($L$4,"AAAAMMDD"),"MARKET_DATA_OVERRIDE",$L$5))</f>
        <v>#NAME?</v>
      </c>
      <c r="M50" s="30" t="e">
        <f ca="1">IF(B50="","",_xll.BDP($A50&amp;" Corp","INTERVAL_LOW","START_DATE_OVERRIDE",TEXT($L$3,"AAAAMMDD"),"END_DATE_OVERRIDE",TEXT($L$4,"AAAAMMDD"),"MARKET_DATA_OVERRIDE",$L$5))</f>
        <v>#NAME?</v>
      </c>
      <c r="N50" s="31" t="s">
        <v>967</v>
      </c>
      <c r="O50" s="32" t="e">
        <f ca="1">IF($B50="","",_xll.BDP($A50&amp;" Corp",O$6))</f>
        <v>#NAME?</v>
      </c>
      <c r="P50" s="32" t="e">
        <f ca="1">IF($B50="","",_xll.BDP($A50&amp;" Corp",P$6))</f>
        <v>#NAME?</v>
      </c>
      <c r="Q50" s="30" t="e">
        <f ca="1">IF($B50="","",_xll.BDP($A50&amp;" Corp",Q$5))</f>
        <v>#NAME?</v>
      </c>
      <c r="R50" s="30" t="e">
        <f ca="1">IF($B50="","",_xll.BDP($A50&amp;" Corp",R$5))</f>
        <v>#NAME?</v>
      </c>
      <c r="S50" s="50" t="e">
        <f ca="1">IF($B50="","",_xll.BDP($A50&amp;" Corp",S$5))</f>
        <v>#NAME?</v>
      </c>
      <c r="T50" s="30" t="e">
        <f ca="1">IF($B50="","",_xll.BDP($A50&amp;" Corp",T$5))</f>
        <v>#NAME?</v>
      </c>
      <c r="U50" s="30" t="e">
        <f ca="1">IF($B50="","",_xll.BDP($A50&amp;" Corp",U$5))</f>
        <v>#NAME?</v>
      </c>
      <c r="V50" s="51" t="e">
        <f ca="1">IF($B50="","",IF($T50="VARIABLE",_xll.BDP($A50&amp;" Corp",V$4),_xll.BDP($A50&amp;" Corp",V$5)))</f>
        <v>#NAME?</v>
      </c>
      <c r="W50" s="30" t="e">
        <f ca="1">IF($B50="","",IF($T50="VARIABLE",_xll.BDP($A50&amp;" Corp",W$4),_xll.BDP($A50&amp;" Corp",W$5)))</f>
        <v>#NAME?</v>
      </c>
      <c r="X50" s="30" t="e">
        <f ca="1">IF($B50="","",_xll.BDP($A50&amp;" Corp",X$5))</f>
        <v>#NAME?</v>
      </c>
      <c r="Y50" s="33" t="e">
        <f ca="1">IF($B50="","",_xll.BDP($A50&amp;" Corp",Y$5))</f>
        <v>#NAME?</v>
      </c>
      <c r="Z50" s="52" t="e">
        <f ca="1">IF($B50="","",_xll.BDP($A50&amp;" Corp",Z$5))</f>
        <v>#NAME?</v>
      </c>
      <c r="AA50" s="53" t="e">
        <f ca="1">IF($B50="","",_xll.BDP($A50&amp;" Corp",AA$5))</f>
        <v>#NAME?</v>
      </c>
      <c r="AB50" s="54" t="e">
        <f ca="1">IF($B50="","",_xll.BDP($A50&amp;" Corp",AB$5))</f>
        <v>#NAME?</v>
      </c>
      <c r="AC50" s="54" t="e">
        <f ca="1">IF($B50="","",_xll.BDP($A50&amp;" Corp",AC$5))</f>
        <v>#NAME?</v>
      </c>
      <c r="AD50" s="55" t="e">
        <f ca="1">IF($B50="","",_xll.BDP($A50&amp;" Corp",AD$5))</f>
        <v>#NAME?</v>
      </c>
      <c r="AE50" s="56" t="e">
        <f ca="1">IF($B50="","",_xll.BDP($A50&amp;" Corp",AE$5))</f>
        <v>#NAME?</v>
      </c>
      <c r="AF50" s="29" t="e">
        <f ca="1">IF($B50="","",_xll.BDP($A50&amp;" Corp",AF$5))</f>
        <v>#NAME?</v>
      </c>
      <c r="AG50" s="33" t="e">
        <f ca="1">IF($B50="","",_xll.BDP($A50&amp;" Corp",AG$5))</f>
        <v>#NAME?</v>
      </c>
      <c r="AH50" s="30" t="e">
        <f ca="1">IF($B50="","",_xll.BDP($A50&amp;" Corp",AH$5))</f>
        <v>#NAME?</v>
      </c>
      <c r="AI50" s="30" t="e">
        <f ca="1">IF($B50="","",_xll.BDP($A50&amp;" Corp",AI$5))</f>
        <v>#NAME?</v>
      </c>
      <c r="AJ50" s="30" t="e">
        <f ca="1">IF($B50="","",_xll.BDP($A50&amp;" Corp",AJ$5))</f>
        <v>#NAME?</v>
      </c>
      <c r="AK50" s="11" t="e">
        <f ca="1">IF($B50="","",_xll.BDP($A50&amp;" Corp",AK$5))</f>
        <v>#NAME?</v>
      </c>
      <c r="AL50" s="11" t="e">
        <f ca="1">IF($B50="","",_xll.BDP($A50&amp;" Corp",AL$5))</f>
        <v>#NAME?</v>
      </c>
      <c r="AM50" s="11">
        <v>13</v>
      </c>
      <c r="AN50" s="57">
        <v>13</v>
      </c>
    </row>
    <row r="51" spans="1:40" x14ac:dyDescent="0.3">
      <c r="A51" s="67" t="s">
        <v>516</v>
      </c>
      <c r="B51" s="68" t="s">
        <v>516</v>
      </c>
      <c r="C51" s="75">
        <v>10393</v>
      </c>
      <c r="D51" s="75">
        <v>128</v>
      </c>
      <c r="E51" s="75">
        <v>1846947.1</v>
      </c>
      <c r="F51" s="69">
        <v>1.3519741199999999</v>
      </c>
      <c r="G51" s="70">
        <v>1983750</v>
      </c>
      <c r="H51" s="67">
        <v>1846947.1</v>
      </c>
      <c r="I51" s="67">
        <v>1.3519741199999999</v>
      </c>
      <c r="J51" s="67">
        <v>1983750</v>
      </c>
      <c r="K51" s="71">
        <v>107.40697446071952</v>
      </c>
      <c r="L51" s="29" t="e">
        <f ca="1">IF(B51="","",_xll.BDP(A51&amp;" Corp","INTERVAL_HIGH","START_DATE_OVERRIDE",TEXT($L$3,"AAAAMMDD"),"END_DATE_OVERRIDE",TEXT($L$4,"AAAAMMDD"),"MARKET_DATA_OVERRIDE",$L$5))</f>
        <v>#NAME?</v>
      </c>
      <c r="M51" s="30" t="e">
        <f ca="1">IF(B51="","",_xll.BDP($A51&amp;" Corp","INTERVAL_LOW","START_DATE_OVERRIDE",TEXT($L$3,"AAAAMMDD"),"END_DATE_OVERRIDE",TEXT($L$4,"AAAAMMDD"),"MARKET_DATA_OVERRIDE",$L$5))</f>
        <v>#NAME?</v>
      </c>
      <c r="N51" s="31" t="s">
        <v>814</v>
      </c>
      <c r="O51" s="32" t="e">
        <f ca="1">IF($B51="","",_xll.BDP($A51&amp;" Corp",O$6))</f>
        <v>#NAME?</v>
      </c>
      <c r="P51" s="32" t="e">
        <f ca="1">IF($B51="","",_xll.BDP($A51&amp;" Corp",P$6))</f>
        <v>#NAME?</v>
      </c>
      <c r="Q51" s="30" t="e">
        <f ca="1">IF($B51="","",_xll.BDP($A51&amp;" Corp",Q$5))</f>
        <v>#NAME?</v>
      </c>
      <c r="R51" s="30" t="e">
        <f ca="1">IF($B51="","",_xll.BDP($A51&amp;" Corp",R$5))</f>
        <v>#NAME?</v>
      </c>
      <c r="S51" s="50" t="e">
        <f ca="1">IF($B51="","",_xll.BDP($A51&amp;" Corp",S$5))</f>
        <v>#NAME?</v>
      </c>
      <c r="T51" s="30" t="e">
        <f ca="1">IF($B51="","",_xll.BDP($A51&amp;" Corp",T$5))</f>
        <v>#NAME?</v>
      </c>
      <c r="U51" s="30" t="e">
        <f ca="1">IF($B51="","",_xll.BDP($A51&amp;" Corp",U$5))</f>
        <v>#NAME?</v>
      </c>
      <c r="V51" s="51" t="e">
        <f ca="1">IF($B51="","",IF($T51="VARIABLE",_xll.BDP($A51&amp;" Corp",V$4),_xll.BDP($A51&amp;" Corp",V$5)))</f>
        <v>#NAME?</v>
      </c>
      <c r="W51" s="30" t="e">
        <f ca="1">IF($B51="","",IF($T51="VARIABLE",_xll.BDP($A51&amp;" Corp",W$4),_xll.BDP($A51&amp;" Corp",W$5)))</f>
        <v>#NAME?</v>
      </c>
      <c r="X51" s="30" t="e">
        <f ca="1">IF($B51="","",_xll.BDP($A51&amp;" Corp",X$5))</f>
        <v>#NAME?</v>
      </c>
      <c r="Y51" s="33" t="e">
        <f ca="1">IF($B51="","",_xll.BDP($A51&amp;" Corp",Y$5))</f>
        <v>#NAME?</v>
      </c>
      <c r="Z51" s="52" t="e">
        <f ca="1">IF($B51="","",_xll.BDP($A51&amp;" Corp",Z$5))</f>
        <v>#NAME?</v>
      </c>
      <c r="AA51" s="53" t="e">
        <f ca="1">IF($B51="","",_xll.BDP($A51&amp;" Corp",AA$5))</f>
        <v>#NAME?</v>
      </c>
      <c r="AB51" s="54" t="e">
        <f ca="1">IF($B51="","",_xll.BDP($A51&amp;" Corp",AB$5))</f>
        <v>#NAME?</v>
      </c>
      <c r="AC51" s="54" t="e">
        <f ca="1">IF($B51="","",_xll.BDP($A51&amp;" Corp",AC$5))</f>
        <v>#NAME?</v>
      </c>
      <c r="AD51" s="55" t="e">
        <f ca="1">IF($B51="","",_xll.BDP($A51&amp;" Corp",AD$5))</f>
        <v>#NAME?</v>
      </c>
      <c r="AE51" s="56" t="e">
        <f ca="1">IF($B51="","",_xll.BDP($A51&amp;" Corp",AE$5))</f>
        <v>#NAME?</v>
      </c>
      <c r="AF51" s="29" t="e">
        <f ca="1">IF($B51="","",_xll.BDP($A51&amp;" Corp",AF$5))</f>
        <v>#NAME?</v>
      </c>
      <c r="AG51" s="33" t="e">
        <f ca="1">IF($B51="","",_xll.BDP($A51&amp;" Corp",AG$5))</f>
        <v>#NAME?</v>
      </c>
      <c r="AH51" s="30" t="e">
        <f ca="1">IF($B51="","",_xll.BDP($A51&amp;" Corp",AH$5))</f>
        <v>#NAME?</v>
      </c>
      <c r="AI51" s="30" t="e">
        <f ca="1">IF($B51="","",_xll.BDP($A51&amp;" Corp",AI$5))</f>
        <v>#NAME?</v>
      </c>
      <c r="AJ51" s="30" t="e">
        <f ca="1">IF($B51="","",_xll.BDP($A51&amp;" Corp",AJ$5))</f>
        <v>#NAME?</v>
      </c>
      <c r="AK51" s="11" t="e">
        <f ca="1">IF($B51="","",_xll.BDP($A51&amp;" Corp",AK$5))</f>
        <v>#NAME?</v>
      </c>
      <c r="AL51" s="11" t="e">
        <f ca="1">IF($B51="","",_xll.BDP($A51&amp;" Corp",AL$5))</f>
        <v>#NAME?</v>
      </c>
      <c r="AM51" s="11">
        <v>20</v>
      </c>
      <c r="AN51" s="57">
        <v>19</v>
      </c>
    </row>
    <row r="52" spans="1:40" x14ac:dyDescent="0.3">
      <c r="A52" s="67" t="s">
        <v>518</v>
      </c>
      <c r="B52" s="68" t="s">
        <v>518</v>
      </c>
      <c r="C52" s="75">
        <v>7017</v>
      </c>
      <c r="D52" s="75">
        <v>128</v>
      </c>
      <c r="E52" s="75">
        <v>1215875</v>
      </c>
      <c r="F52" s="69">
        <v>0.93023997000000003</v>
      </c>
      <c r="G52" s="70">
        <v>1403184.7</v>
      </c>
      <c r="H52" s="67">
        <v>1215875</v>
      </c>
      <c r="I52" s="67">
        <v>0.93023997000000003</v>
      </c>
      <c r="J52" s="67">
        <v>1403184.7</v>
      </c>
      <c r="K52" s="71">
        <v>115.40534183201399</v>
      </c>
      <c r="L52" s="29" t="e">
        <f ca="1">IF(B52="","",_xll.BDP(A52&amp;" Corp","INTERVAL_HIGH","START_DATE_OVERRIDE",TEXT($L$3,"AAAAMMDD"),"END_DATE_OVERRIDE",TEXT($L$4,"AAAAMMDD"),"MARKET_DATA_OVERRIDE",$L$5))</f>
        <v>#NAME?</v>
      </c>
      <c r="M52" s="30" t="e">
        <f ca="1">IF(B52="","",_xll.BDP($A52&amp;" Corp","INTERVAL_LOW","START_DATE_OVERRIDE",TEXT($L$3,"AAAAMMDD"),"END_DATE_OVERRIDE",TEXT($L$4,"AAAAMMDD"),"MARKET_DATA_OVERRIDE",$L$5))</f>
        <v>#NAME?</v>
      </c>
      <c r="N52" s="31" t="s">
        <v>815</v>
      </c>
      <c r="O52" s="32" t="e">
        <f ca="1">IF($B52="","",_xll.BDP($A52&amp;" Corp",O$6))</f>
        <v>#NAME?</v>
      </c>
      <c r="P52" s="32" t="e">
        <f ca="1">IF($B52="","",_xll.BDP($A52&amp;" Corp",P$6))</f>
        <v>#NAME?</v>
      </c>
      <c r="Q52" s="30" t="e">
        <f ca="1">IF($B52="","",_xll.BDP($A52&amp;" Corp",Q$5))</f>
        <v>#NAME?</v>
      </c>
      <c r="R52" s="30" t="e">
        <f ca="1">IF($B52="","",_xll.BDP($A52&amp;" Corp",R$5))</f>
        <v>#NAME?</v>
      </c>
      <c r="S52" s="50" t="e">
        <f ca="1">IF($B52="","",_xll.BDP($A52&amp;" Corp",S$5))</f>
        <v>#NAME?</v>
      </c>
      <c r="T52" s="30" t="e">
        <f ca="1">IF($B52="","",_xll.BDP($A52&amp;" Corp",T$5))</f>
        <v>#NAME?</v>
      </c>
      <c r="U52" s="30" t="e">
        <f ca="1">IF($B52="","",_xll.BDP($A52&amp;" Corp",U$5))</f>
        <v>#NAME?</v>
      </c>
      <c r="V52" s="51" t="e">
        <f ca="1">IF($B52="","",IF($T52="VARIABLE",_xll.BDP($A52&amp;" Corp",V$4),_xll.BDP($A52&amp;" Corp",V$5)))</f>
        <v>#NAME?</v>
      </c>
      <c r="W52" s="30" t="e">
        <f ca="1">IF($B52="","",IF($T52="VARIABLE",_xll.BDP($A52&amp;" Corp",W$4),_xll.BDP($A52&amp;" Corp",W$5)))</f>
        <v>#NAME?</v>
      </c>
      <c r="X52" s="30" t="e">
        <f ca="1">IF($B52="","",_xll.BDP($A52&amp;" Corp",X$5))</f>
        <v>#NAME?</v>
      </c>
      <c r="Y52" s="33" t="e">
        <f ca="1">IF($B52="","",_xll.BDP($A52&amp;" Corp",Y$5))</f>
        <v>#NAME?</v>
      </c>
      <c r="Z52" s="52" t="e">
        <f ca="1">IF($B52="","",_xll.BDP($A52&amp;" Corp",Z$5))</f>
        <v>#NAME?</v>
      </c>
      <c r="AA52" s="53" t="e">
        <f ca="1">IF($B52="","",_xll.BDP($A52&amp;" Corp",AA$5))</f>
        <v>#NAME?</v>
      </c>
      <c r="AB52" s="54" t="e">
        <f ca="1">IF($B52="","",_xll.BDP($A52&amp;" Corp",AB$5))</f>
        <v>#NAME?</v>
      </c>
      <c r="AC52" s="54" t="e">
        <f ca="1">IF($B52="","",_xll.BDP($A52&amp;" Corp",AC$5))</f>
        <v>#NAME?</v>
      </c>
      <c r="AD52" s="55" t="e">
        <f ca="1">IF($B52="","",_xll.BDP($A52&amp;" Corp",AD$5))</f>
        <v>#NAME?</v>
      </c>
      <c r="AE52" s="56" t="e">
        <f ca="1">IF($B52="","",_xll.BDP($A52&amp;" Corp",AE$5))</f>
        <v>#NAME?</v>
      </c>
      <c r="AF52" s="29" t="e">
        <f ca="1">IF($B52="","",_xll.BDP($A52&amp;" Corp",AF$5))</f>
        <v>#NAME?</v>
      </c>
      <c r="AG52" s="33" t="e">
        <f ca="1">IF($B52="","",_xll.BDP($A52&amp;" Corp",AG$5))</f>
        <v>#NAME?</v>
      </c>
      <c r="AH52" s="30" t="e">
        <f ca="1">IF($B52="","",_xll.BDP($A52&amp;" Corp",AH$5))</f>
        <v>#NAME?</v>
      </c>
      <c r="AI52" s="30" t="e">
        <f ca="1">IF($B52="","",_xll.BDP($A52&amp;" Corp",AI$5))</f>
        <v>#NAME?</v>
      </c>
      <c r="AJ52" s="30" t="e">
        <f ca="1">IF($B52="","",_xll.BDP($A52&amp;" Corp",AJ$5))</f>
        <v>#NAME?</v>
      </c>
      <c r="AK52" s="11" t="e">
        <f ca="1">IF($B52="","",_xll.BDP($A52&amp;" Corp",AK$5))</f>
        <v>#NAME?</v>
      </c>
      <c r="AL52" s="11" t="e">
        <f ca="1">IF($B52="","",_xll.BDP($A52&amp;" Corp",AL$5))</f>
        <v>#NAME?</v>
      </c>
      <c r="AM52" s="11">
        <v>6</v>
      </c>
      <c r="AN52" s="57">
        <v>6</v>
      </c>
    </row>
    <row r="53" spans="1:40" x14ac:dyDescent="0.3">
      <c r="A53" s="67" t="s">
        <v>520</v>
      </c>
      <c r="B53" s="68" t="s">
        <v>520</v>
      </c>
      <c r="C53" s="75">
        <v>10327</v>
      </c>
      <c r="D53" s="75">
        <v>128</v>
      </c>
      <c r="E53" s="75">
        <v>832594.8</v>
      </c>
      <c r="F53" s="69">
        <v>0.69919408000000005</v>
      </c>
      <c r="G53" s="70">
        <v>879427.73</v>
      </c>
      <c r="H53" s="67">
        <v>832594.8</v>
      </c>
      <c r="I53" s="67">
        <v>0.69919408000000005</v>
      </c>
      <c r="J53" s="67">
        <v>879427.73</v>
      </c>
      <c r="K53" s="71">
        <v>105.62493664385124</v>
      </c>
      <c r="L53" s="29" t="e">
        <f ca="1">IF(B53="","",_xll.BDP(A53&amp;" Corp","INTERVAL_HIGH","START_DATE_OVERRIDE",TEXT($L$3,"AAAAMMDD"),"END_DATE_OVERRIDE",TEXT($L$4,"AAAAMMDD"),"MARKET_DATA_OVERRIDE",$L$5))</f>
        <v>#NAME?</v>
      </c>
      <c r="M53" s="30" t="e">
        <f ca="1">IF(B53="","",_xll.BDP($A53&amp;" Corp","INTERVAL_LOW","START_DATE_OVERRIDE",TEXT($L$3,"AAAAMMDD"),"END_DATE_OVERRIDE",TEXT($L$4,"AAAAMMDD"),"MARKET_DATA_OVERRIDE",$L$5))</f>
        <v>#NAME?</v>
      </c>
      <c r="N53" s="31" t="s">
        <v>816</v>
      </c>
      <c r="O53" s="32" t="e">
        <f ca="1">IF($B53="","",_xll.BDP($A53&amp;" Corp",O$6))</f>
        <v>#NAME?</v>
      </c>
      <c r="P53" s="32" t="e">
        <f ca="1">IF($B53="","",_xll.BDP($A53&amp;" Corp",P$6))</f>
        <v>#NAME?</v>
      </c>
      <c r="Q53" s="30" t="e">
        <f ca="1">IF($B53="","",_xll.BDP($A53&amp;" Corp",Q$5))</f>
        <v>#NAME?</v>
      </c>
      <c r="R53" s="30" t="e">
        <f ca="1">IF($B53="","",_xll.BDP($A53&amp;" Corp",R$5))</f>
        <v>#NAME?</v>
      </c>
      <c r="S53" s="50" t="e">
        <f ca="1">IF($B53="","",_xll.BDP($A53&amp;" Corp",S$5))</f>
        <v>#NAME?</v>
      </c>
      <c r="T53" s="30" t="e">
        <f ca="1">IF($B53="","",_xll.BDP($A53&amp;" Corp",T$5))</f>
        <v>#NAME?</v>
      </c>
      <c r="U53" s="30" t="e">
        <f ca="1">IF($B53="","",_xll.BDP($A53&amp;" Corp",U$5))</f>
        <v>#NAME?</v>
      </c>
      <c r="V53" s="51" t="e">
        <f ca="1">IF($B53="","",IF($T53="VARIABLE",_xll.BDP($A53&amp;" Corp",V$4),_xll.BDP($A53&amp;" Corp",V$5)))</f>
        <v>#NAME?</v>
      </c>
      <c r="W53" s="30" t="e">
        <f ca="1">IF($B53="","",IF($T53="VARIABLE",_xll.BDP($A53&amp;" Corp",W$4),_xll.BDP($A53&amp;" Corp",W$5)))</f>
        <v>#NAME?</v>
      </c>
      <c r="X53" s="30" t="e">
        <f ca="1">IF($B53="","",_xll.BDP($A53&amp;" Corp",X$5))</f>
        <v>#NAME?</v>
      </c>
      <c r="Y53" s="33" t="e">
        <f ca="1">IF($B53="","",_xll.BDP($A53&amp;" Corp",Y$5))</f>
        <v>#NAME?</v>
      </c>
      <c r="Z53" s="52" t="e">
        <f ca="1">IF($B53="","",_xll.BDP($A53&amp;" Corp",Z$5))</f>
        <v>#NAME?</v>
      </c>
      <c r="AA53" s="53" t="e">
        <f ca="1">IF($B53="","",_xll.BDP($A53&amp;" Corp",AA$5))</f>
        <v>#NAME?</v>
      </c>
      <c r="AB53" s="54" t="e">
        <f ca="1">IF($B53="","",_xll.BDP($A53&amp;" Corp",AB$5))</f>
        <v>#NAME?</v>
      </c>
      <c r="AC53" s="54" t="e">
        <f ca="1">IF($B53="","",_xll.BDP($A53&amp;" Corp",AC$5))</f>
        <v>#NAME?</v>
      </c>
      <c r="AD53" s="55" t="e">
        <f ca="1">IF($B53="","",_xll.BDP($A53&amp;" Corp",AD$5))</f>
        <v>#NAME?</v>
      </c>
      <c r="AE53" s="56" t="e">
        <f ca="1">IF($B53="","",_xll.BDP($A53&amp;" Corp",AE$5))</f>
        <v>#NAME?</v>
      </c>
      <c r="AF53" s="29" t="e">
        <f ca="1">IF($B53="","",_xll.BDP($A53&amp;" Corp",AF$5))</f>
        <v>#NAME?</v>
      </c>
      <c r="AG53" s="33" t="e">
        <f ca="1">IF($B53="","",_xll.BDP($A53&amp;" Corp",AG$5))</f>
        <v>#NAME?</v>
      </c>
      <c r="AH53" s="30" t="e">
        <f ca="1">IF($B53="","",_xll.BDP($A53&amp;" Corp",AH$5))</f>
        <v>#NAME?</v>
      </c>
      <c r="AI53" s="30" t="e">
        <f ca="1">IF($B53="","",_xll.BDP($A53&amp;" Corp",AI$5))</f>
        <v>#NAME?</v>
      </c>
      <c r="AJ53" s="30" t="e">
        <f ca="1">IF($B53="","",_xll.BDP($A53&amp;" Corp",AJ$5))</f>
        <v>#NAME?</v>
      </c>
      <c r="AK53" s="11" t="e">
        <f ca="1">IF($B53="","",_xll.BDP($A53&amp;" Corp",AK$5))</f>
        <v>#NAME?</v>
      </c>
      <c r="AL53" s="11" t="e">
        <f ca="1">IF($B53="","",_xll.BDP($A53&amp;" Corp",AL$5))</f>
        <v>#NAME?</v>
      </c>
      <c r="AM53" s="11">
        <v>1</v>
      </c>
      <c r="AN53" s="57">
        <v>0</v>
      </c>
    </row>
    <row r="54" spans="1:40" x14ac:dyDescent="0.3">
      <c r="A54" s="67" t="s">
        <v>521</v>
      </c>
      <c r="B54" s="68" t="s">
        <v>521</v>
      </c>
      <c r="C54" s="75">
        <v>8076</v>
      </c>
      <c r="D54" s="75">
        <v>128</v>
      </c>
      <c r="E54" s="75">
        <v>180554.3</v>
      </c>
      <c r="F54" s="69">
        <v>0.13300053000000001</v>
      </c>
      <c r="G54" s="70">
        <v>199671.87</v>
      </c>
      <c r="H54" s="67">
        <v>180554.3</v>
      </c>
      <c r="I54" s="67">
        <v>0.13300053000000001</v>
      </c>
      <c r="J54" s="67">
        <v>199671.87</v>
      </c>
      <c r="K54" s="71">
        <v>110.58826624455912</v>
      </c>
      <c r="L54" s="29" t="e">
        <f ca="1">IF(B54="","",_xll.BDP(A54&amp;" Corp","INTERVAL_HIGH","START_DATE_OVERRIDE",TEXT($L$3,"AAAAMMDD"),"END_DATE_OVERRIDE",TEXT($L$4,"AAAAMMDD"),"MARKET_DATA_OVERRIDE",$L$5))</f>
        <v>#NAME?</v>
      </c>
      <c r="M54" s="30" t="e">
        <f ca="1">IF(B54="","",_xll.BDP($A54&amp;" Corp","INTERVAL_LOW","START_DATE_OVERRIDE",TEXT($L$3,"AAAAMMDD"),"END_DATE_OVERRIDE",TEXT($L$4,"AAAAMMDD"),"MARKET_DATA_OVERRIDE",$L$5))</f>
        <v>#NAME?</v>
      </c>
      <c r="N54" s="31" t="s">
        <v>817</v>
      </c>
      <c r="O54" s="32" t="e">
        <f ca="1">IF($B54="","",_xll.BDP($A54&amp;" Corp",O$6))</f>
        <v>#NAME?</v>
      </c>
      <c r="P54" s="32" t="e">
        <f ca="1">IF($B54="","",_xll.BDP($A54&amp;" Corp",P$6))</f>
        <v>#NAME?</v>
      </c>
      <c r="Q54" s="30" t="e">
        <f ca="1">IF($B54="","",_xll.BDP($A54&amp;" Corp",Q$5))</f>
        <v>#NAME?</v>
      </c>
      <c r="R54" s="30" t="e">
        <f ca="1">IF($B54="","",_xll.BDP($A54&amp;" Corp",R$5))</f>
        <v>#NAME?</v>
      </c>
      <c r="S54" s="50" t="e">
        <f ca="1">IF($B54="","",_xll.BDP($A54&amp;" Corp",S$5))</f>
        <v>#NAME?</v>
      </c>
      <c r="T54" s="30" t="e">
        <f ca="1">IF($B54="","",_xll.BDP($A54&amp;" Corp",T$5))</f>
        <v>#NAME?</v>
      </c>
      <c r="U54" s="30" t="e">
        <f ca="1">IF($B54="","",_xll.BDP($A54&amp;" Corp",U$5))</f>
        <v>#NAME?</v>
      </c>
      <c r="V54" s="51" t="e">
        <f ca="1">IF($B54="","",IF($T54="VARIABLE",_xll.BDP($A54&amp;" Corp",V$4),_xll.BDP($A54&amp;" Corp",V$5)))</f>
        <v>#NAME?</v>
      </c>
      <c r="W54" s="30" t="e">
        <f ca="1">IF($B54="","",IF($T54="VARIABLE",_xll.BDP($A54&amp;" Corp",W$4),_xll.BDP($A54&amp;" Corp",W$5)))</f>
        <v>#NAME?</v>
      </c>
      <c r="X54" s="30" t="e">
        <f ca="1">IF($B54="","",_xll.BDP($A54&amp;" Corp",X$5))</f>
        <v>#NAME?</v>
      </c>
      <c r="Y54" s="33" t="e">
        <f ca="1">IF($B54="","",_xll.BDP($A54&amp;" Corp",Y$5))</f>
        <v>#NAME?</v>
      </c>
      <c r="Z54" s="52" t="e">
        <f ca="1">IF($B54="","",_xll.BDP($A54&amp;" Corp",Z$5))</f>
        <v>#NAME?</v>
      </c>
      <c r="AA54" s="53" t="e">
        <f ca="1">IF($B54="","",_xll.BDP($A54&amp;" Corp",AA$5))</f>
        <v>#NAME?</v>
      </c>
      <c r="AB54" s="54" t="e">
        <f ca="1">IF($B54="","",_xll.BDP($A54&amp;" Corp",AB$5))</f>
        <v>#NAME?</v>
      </c>
      <c r="AC54" s="54" t="e">
        <f ca="1">IF($B54="","",_xll.BDP($A54&amp;" Corp",AC$5))</f>
        <v>#NAME?</v>
      </c>
      <c r="AD54" s="55" t="e">
        <f ca="1">IF($B54="","",_xll.BDP($A54&amp;" Corp",AD$5))</f>
        <v>#NAME?</v>
      </c>
      <c r="AE54" s="56" t="e">
        <f ca="1">IF($B54="","",_xll.BDP($A54&amp;" Corp",AE$5))</f>
        <v>#NAME?</v>
      </c>
      <c r="AF54" s="29" t="e">
        <f ca="1">IF($B54="","",_xll.BDP($A54&amp;" Corp",AF$5))</f>
        <v>#NAME?</v>
      </c>
      <c r="AG54" s="33" t="e">
        <f ca="1">IF($B54="","",_xll.BDP($A54&amp;" Corp",AG$5))</f>
        <v>#NAME?</v>
      </c>
      <c r="AH54" s="30" t="e">
        <f ca="1">IF($B54="","",_xll.BDP($A54&amp;" Corp",AH$5))</f>
        <v>#NAME?</v>
      </c>
      <c r="AI54" s="30" t="e">
        <f ca="1">IF($B54="","",_xll.BDP($A54&amp;" Corp",AI$5))</f>
        <v>#NAME?</v>
      </c>
      <c r="AJ54" s="30" t="e">
        <f ca="1">IF($B54="","",_xll.BDP($A54&amp;" Corp",AJ$5))</f>
        <v>#NAME?</v>
      </c>
      <c r="AK54" s="11" t="e">
        <f ca="1">IF($B54="","",_xll.BDP($A54&amp;" Corp",AK$5))</f>
        <v>#NAME?</v>
      </c>
      <c r="AL54" s="11" t="e">
        <f ca="1">IF($B54="","",_xll.BDP($A54&amp;" Corp",AL$5))</f>
        <v>#NAME?</v>
      </c>
      <c r="AM54" s="11">
        <v>4</v>
      </c>
      <c r="AN54" s="57">
        <v>4</v>
      </c>
    </row>
    <row r="55" spans="1:40" x14ac:dyDescent="0.3">
      <c r="A55" s="67" t="s">
        <v>523</v>
      </c>
      <c r="B55" s="68" t="s">
        <v>523</v>
      </c>
      <c r="C55" s="75">
        <v>7720</v>
      </c>
      <c r="D55" s="75">
        <v>128</v>
      </c>
      <c r="E55" s="75">
        <v>182149.36</v>
      </c>
      <c r="F55" s="69">
        <v>0.11900184</v>
      </c>
      <c r="G55" s="70">
        <v>198500</v>
      </c>
      <c r="H55" s="67">
        <v>182149.36</v>
      </c>
      <c r="I55" s="67">
        <v>0.11900184</v>
      </c>
      <c r="J55" s="67">
        <v>198500</v>
      </c>
      <c r="K55" s="71">
        <v>108.97650148208042</v>
      </c>
      <c r="L55" s="29" t="e">
        <f ca="1">IF(B55="","",_xll.BDP(A55&amp;" Corp","INTERVAL_HIGH","START_DATE_OVERRIDE",TEXT($L$3,"AAAAMMDD"),"END_DATE_OVERRIDE",TEXT($L$4,"AAAAMMDD"),"MARKET_DATA_OVERRIDE",$L$5))</f>
        <v>#NAME?</v>
      </c>
      <c r="M55" s="30" t="e">
        <f ca="1">IF(B55="","",_xll.BDP($A55&amp;" Corp","INTERVAL_LOW","START_DATE_OVERRIDE",TEXT($L$3,"AAAAMMDD"),"END_DATE_OVERRIDE",TEXT($L$4,"AAAAMMDD"),"MARKET_DATA_OVERRIDE",$L$5))</f>
        <v>#NAME?</v>
      </c>
      <c r="N55" s="31" t="s">
        <v>818</v>
      </c>
      <c r="O55" s="32" t="e">
        <f ca="1">IF($B55="","",_xll.BDP($A55&amp;" Corp",O$6))</f>
        <v>#NAME?</v>
      </c>
      <c r="P55" s="32" t="e">
        <f ca="1">IF($B55="","",_xll.BDP($A55&amp;" Corp",P$6))</f>
        <v>#NAME?</v>
      </c>
      <c r="Q55" s="30" t="e">
        <f ca="1">IF($B55="","",_xll.BDP($A55&amp;" Corp",Q$5))</f>
        <v>#NAME?</v>
      </c>
      <c r="R55" s="30" t="e">
        <f ca="1">IF($B55="","",_xll.BDP($A55&amp;" Corp",R$5))</f>
        <v>#NAME?</v>
      </c>
      <c r="S55" s="50" t="e">
        <f ca="1">IF($B55="","",_xll.BDP($A55&amp;" Corp",S$5))</f>
        <v>#NAME?</v>
      </c>
      <c r="T55" s="30" t="e">
        <f ca="1">IF($B55="","",_xll.BDP($A55&amp;" Corp",T$5))</f>
        <v>#NAME?</v>
      </c>
      <c r="U55" s="30" t="e">
        <f ca="1">IF($B55="","",_xll.BDP($A55&amp;" Corp",U$5))</f>
        <v>#NAME?</v>
      </c>
      <c r="V55" s="51" t="e">
        <f ca="1">IF($B55="","",IF($T55="VARIABLE",_xll.BDP($A55&amp;" Corp",V$4),_xll.BDP($A55&amp;" Corp",V$5)))</f>
        <v>#NAME?</v>
      </c>
      <c r="W55" s="30" t="e">
        <f ca="1">IF($B55="","",IF($T55="VARIABLE",_xll.BDP($A55&amp;" Corp",W$4),_xll.BDP($A55&amp;" Corp",W$5)))</f>
        <v>#NAME?</v>
      </c>
      <c r="X55" s="30" t="e">
        <f ca="1">IF($B55="","",_xll.BDP($A55&amp;" Corp",X$5))</f>
        <v>#NAME?</v>
      </c>
      <c r="Y55" s="33" t="e">
        <f ca="1">IF($B55="","",_xll.BDP($A55&amp;" Corp",Y$5))</f>
        <v>#NAME?</v>
      </c>
      <c r="Z55" s="52" t="e">
        <f ca="1">IF($B55="","",_xll.BDP($A55&amp;" Corp",Z$5))</f>
        <v>#NAME?</v>
      </c>
      <c r="AA55" s="53" t="e">
        <f ca="1">IF($B55="","",_xll.BDP($A55&amp;" Corp",AA$5))</f>
        <v>#NAME?</v>
      </c>
      <c r="AB55" s="54" t="e">
        <f ca="1">IF($B55="","",_xll.BDP($A55&amp;" Corp",AB$5))</f>
        <v>#NAME?</v>
      </c>
      <c r="AC55" s="54" t="e">
        <f ca="1">IF($B55="","",_xll.BDP($A55&amp;" Corp",AC$5))</f>
        <v>#NAME?</v>
      </c>
      <c r="AD55" s="55" t="e">
        <f ca="1">IF($B55="","",_xll.BDP($A55&amp;" Corp",AD$5))</f>
        <v>#NAME?</v>
      </c>
      <c r="AE55" s="56" t="e">
        <f ca="1">IF($B55="","",_xll.BDP($A55&amp;" Corp",AE$5))</f>
        <v>#NAME?</v>
      </c>
      <c r="AF55" s="29" t="e">
        <f ca="1">IF($B55="","",_xll.BDP($A55&amp;" Corp",AF$5))</f>
        <v>#NAME?</v>
      </c>
      <c r="AG55" s="33" t="e">
        <f ca="1">IF($B55="","",_xll.BDP($A55&amp;" Corp",AG$5))</f>
        <v>#NAME?</v>
      </c>
      <c r="AH55" s="30" t="e">
        <f ca="1">IF($B55="","",_xll.BDP($A55&amp;" Corp",AH$5))</f>
        <v>#NAME?</v>
      </c>
      <c r="AI55" s="30" t="e">
        <f ca="1">IF($B55="","",_xll.BDP($A55&amp;" Corp",AI$5))</f>
        <v>#NAME?</v>
      </c>
      <c r="AJ55" s="30" t="e">
        <f ca="1">IF($B55="","",_xll.BDP($A55&amp;" Corp",AJ$5))</f>
        <v>#NAME?</v>
      </c>
      <c r="AK55" s="11" t="e">
        <f ca="1">IF($B55="","",_xll.BDP($A55&amp;" Corp",AK$5))</f>
        <v>#NAME?</v>
      </c>
      <c r="AL55" s="11" t="e">
        <f ca="1">IF($B55="","",_xll.BDP($A55&amp;" Corp",AL$5))</f>
        <v>#NAME?</v>
      </c>
      <c r="AM55" s="11">
        <v>7</v>
      </c>
      <c r="AN55" s="57">
        <v>7</v>
      </c>
    </row>
    <row r="56" spans="1:40" x14ac:dyDescent="0.3">
      <c r="A56" s="67" t="s">
        <v>524</v>
      </c>
      <c r="B56" s="68" t="s">
        <v>524</v>
      </c>
      <c r="C56" s="75">
        <v>8075</v>
      </c>
      <c r="D56" s="75">
        <v>128</v>
      </c>
      <c r="E56" s="75">
        <v>176865.94</v>
      </c>
      <c r="F56" s="69">
        <v>0.14232775</v>
      </c>
      <c r="G56" s="70">
        <v>199046.88</v>
      </c>
      <c r="H56" s="67">
        <v>176865.94</v>
      </c>
      <c r="I56" s="67">
        <v>0.14232775</v>
      </c>
      <c r="J56" s="67">
        <v>199046.88</v>
      </c>
      <c r="K56" s="71">
        <v>112.54110316548228</v>
      </c>
      <c r="L56" s="29" t="e">
        <f ca="1">IF(B56="","",_xll.BDP(A56&amp;" Corp","INTERVAL_HIGH","START_DATE_OVERRIDE",TEXT($L$3,"AAAAMMDD"),"END_DATE_OVERRIDE",TEXT($L$4,"AAAAMMDD"),"MARKET_DATA_OVERRIDE",$L$5))</f>
        <v>#NAME?</v>
      </c>
      <c r="M56" s="30" t="e">
        <f ca="1">IF(B56="","",_xll.BDP($A56&amp;" Corp","INTERVAL_LOW","START_DATE_OVERRIDE",TEXT($L$3,"AAAAMMDD"),"END_DATE_OVERRIDE",TEXT($L$4,"AAAAMMDD"),"MARKET_DATA_OVERRIDE",$L$5))</f>
        <v>#NAME?</v>
      </c>
      <c r="N56" s="31" t="s">
        <v>819</v>
      </c>
      <c r="O56" s="32" t="e">
        <f ca="1">IF($B56="","",_xll.BDP($A56&amp;" Corp",O$6))</f>
        <v>#NAME?</v>
      </c>
      <c r="P56" s="32" t="e">
        <f ca="1">IF($B56="","",_xll.BDP($A56&amp;" Corp",P$6))</f>
        <v>#NAME?</v>
      </c>
      <c r="Q56" s="30" t="e">
        <f ca="1">IF($B56="","",_xll.BDP($A56&amp;" Corp",Q$5))</f>
        <v>#NAME?</v>
      </c>
      <c r="R56" s="30" t="e">
        <f ca="1">IF($B56="","",_xll.BDP($A56&amp;" Corp",R$5))</f>
        <v>#NAME?</v>
      </c>
      <c r="S56" s="50" t="e">
        <f ca="1">IF($B56="","",_xll.BDP($A56&amp;" Corp",S$5))</f>
        <v>#NAME?</v>
      </c>
      <c r="T56" s="30" t="e">
        <f ca="1">IF($B56="","",_xll.BDP($A56&amp;" Corp",T$5))</f>
        <v>#NAME?</v>
      </c>
      <c r="U56" s="30" t="e">
        <f ca="1">IF($B56="","",_xll.BDP($A56&amp;" Corp",U$5))</f>
        <v>#NAME?</v>
      </c>
      <c r="V56" s="51" t="e">
        <f ca="1">IF($B56="","",IF($T56="VARIABLE",_xll.BDP($A56&amp;" Corp",V$4),_xll.BDP($A56&amp;" Corp",V$5)))</f>
        <v>#NAME?</v>
      </c>
      <c r="W56" s="30" t="e">
        <f ca="1">IF($B56="","",IF($T56="VARIABLE",_xll.BDP($A56&amp;" Corp",W$4),_xll.BDP($A56&amp;" Corp",W$5)))</f>
        <v>#NAME?</v>
      </c>
      <c r="X56" s="30" t="e">
        <f ca="1">IF($B56="","",_xll.BDP($A56&amp;" Corp",X$5))</f>
        <v>#NAME?</v>
      </c>
      <c r="Y56" s="33" t="e">
        <f ca="1">IF($B56="","",_xll.BDP($A56&amp;" Corp",Y$5))</f>
        <v>#NAME?</v>
      </c>
      <c r="Z56" s="52" t="e">
        <f ca="1">IF($B56="","",_xll.BDP($A56&amp;" Corp",Z$5))</f>
        <v>#NAME?</v>
      </c>
      <c r="AA56" s="53" t="e">
        <f ca="1">IF($B56="","",_xll.BDP($A56&amp;" Corp",AA$5))</f>
        <v>#NAME?</v>
      </c>
      <c r="AB56" s="54" t="e">
        <f ca="1">IF($B56="","",_xll.BDP($A56&amp;" Corp",AB$5))</f>
        <v>#NAME?</v>
      </c>
      <c r="AC56" s="54" t="e">
        <f ca="1">IF($B56="","",_xll.BDP($A56&amp;" Corp",AC$5))</f>
        <v>#NAME?</v>
      </c>
      <c r="AD56" s="55" t="e">
        <f ca="1">IF($B56="","",_xll.BDP($A56&amp;" Corp",AD$5))</f>
        <v>#NAME?</v>
      </c>
      <c r="AE56" s="56" t="e">
        <f ca="1">IF($B56="","",_xll.BDP($A56&amp;" Corp",AE$5))</f>
        <v>#NAME?</v>
      </c>
      <c r="AF56" s="29" t="e">
        <f ca="1">IF($B56="","",_xll.BDP($A56&amp;" Corp",AF$5))</f>
        <v>#NAME?</v>
      </c>
      <c r="AG56" s="33" t="e">
        <f ca="1">IF($B56="","",_xll.BDP($A56&amp;" Corp",AG$5))</f>
        <v>#NAME?</v>
      </c>
      <c r="AH56" s="30" t="e">
        <f ca="1">IF($B56="","",_xll.BDP($A56&amp;" Corp",AH$5))</f>
        <v>#NAME?</v>
      </c>
      <c r="AI56" s="30" t="e">
        <f ca="1">IF($B56="","",_xll.BDP($A56&amp;" Corp",AI$5))</f>
        <v>#NAME?</v>
      </c>
      <c r="AJ56" s="30" t="e">
        <f ca="1">IF($B56="","",_xll.BDP($A56&amp;" Corp",AJ$5))</f>
        <v>#NAME?</v>
      </c>
      <c r="AK56" s="11" t="e">
        <f ca="1">IF($B56="","",_xll.BDP($A56&amp;" Corp",AK$5))</f>
        <v>#NAME?</v>
      </c>
      <c r="AL56" s="11" t="e">
        <f ca="1">IF($B56="","",_xll.BDP($A56&amp;" Corp",AL$5))</f>
        <v>#NAME?</v>
      </c>
      <c r="AM56" s="11">
        <v>2</v>
      </c>
      <c r="AN56" s="57">
        <v>2</v>
      </c>
    </row>
    <row r="57" spans="1:40" x14ac:dyDescent="0.3">
      <c r="A57" s="67" t="s">
        <v>526</v>
      </c>
      <c r="B57" s="68" t="s">
        <v>526</v>
      </c>
      <c r="C57" s="75">
        <v>9771</v>
      </c>
      <c r="D57" s="75">
        <v>128</v>
      </c>
      <c r="E57" s="75">
        <v>355534.45</v>
      </c>
      <c r="F57" s="69">
        <v>0.26414503</v>
      </c>
      <c r="G57" s="70">
        <v>380671.87</v>
      </c>
      <c r="H57" s="67">
        <v>355534.45</v>
      </c>
      <c r="I57" s="67">
        <v>0.26414503</v>
      </c>
      <c r="J57" s="67">
        <v>380671.87</v>
      </c>
      <c r="K57" s="71">
        <v>107.07031906472074</v>
      </c>
      <c r="L57" s="29" t="e">
        <f ca="1">IF(B57="","",_xll.BDP(A57&amp;" Corp","INTERVAL_HIGH","START_DATE_OVERRIDE",TEXT($L$3,"AAAAMMDD"),"END_DATE_OVERRIDE",TEXT($L$4,"AAAAMMDD"),"MARKET_DATA_OVERRIDE",$L$5))</f>
        <v>#NAME?</v>
      </c>
      <c r="M57" s="30" t="e">
        <f ca="1">IF(B57="","",_xll.BDP($A57&amp;" Corp","INTERVAL_LOW","START_DATE_OVERRIDE",TEXT($L$3,"AAAAMMDD"),"END_DATE_OVERRIDE",TEXT($L$4,"AAAAMMDD"),"MARKET_DATA_OVERRIDE",$L$5))</f>
        <v>#NAME?</v>
      </c>
      <c r="N57" s="31" t="s">
        <v>820</v>
      </c>
      <c r="O57" s="32" t="e">
        <f ca="1">IF($B57="","",_xll.BDP($A57&amp;" Corp",O$6))</f>
        <v>#NAME?</v>
      </c>
      <c r="P57" s="32" t="e">
        <f ca="1">IF($B57="","",_xll.BDP($A57&amp;" Corp",P$6))</f>
        <v>#NAME?</v>
      </c>
      <c r="Q57" s="30" t="e">
        <f ca="1">IF($B57="","",_xll.BDP($A57&amp;" Corp",Q$5))</f>
        <v>#NAME?</v>
      </c>
      <c r="R57" s="30" t="e">
        <f ca="1">IF($B57="","",_xll.BDP($A57&amp;" Corp",R$5))</f>
        <v>#NAME?</v>
      </c>
      <c r="S57" s="50" t="e">
        <f ca="1">IF($B57="","",_xll.BDP($A57&amp;" Corp",S$5))</f>
        <v>#NAME?</v>
      </c>
      <c r="T57" s="30" t="e">
        <f ca="1">IF($B57="","",_xll.BDP($A57&amp;" Corp",T$5))</f>
        <v>#NAME?</v>
      </c>
      <c r="U57" s="30" t="e">
        <f ca="1">IF($B57="","",_xll.BDP($A57&amp;" Corp",U$5))</f>
        <v>#NAME?</v>
      </c>
      <c r="V57" s="51" t="e">
        <f ca="1">IF($B57="","",IF($T57="VARIABLE",_xll.BDP($A57&amp;" Corp",V$4),_xll.BDP($A57&amp;" Corp",V$5)))</f>
        <v>#NAME?</v>
      </c>
      <c r="W57" s="30" t="e">
        <f ca="1">IF($B57="","",IF($T57="VARIABLE",_xll.BDP($A57&amp;" Corp",W$4),_xll.BDP($A57&amp;" Corp",W$5)))</f>
        <v>#NAME?</v>
      </c>
      <c r="X57" s="30" t="e">
        <f ca="1">IF($B57="","",_xll.BDP($A57&amp;" Corp",X$5))</f>
        <v>#NAME?</v>
      </c>
      <c r="Y57" s="33" t="e">
        <f ca="1">IF($B57="","",_xll.BDP($A57&amp;" Corp",Y$5))</f>
        <v>#NAME?</v>
      </c>
      <c r="Z57" s="52" t="e">
        <f ca="1">IF($B57="","",_xll.BDP($A57&amp;" Corp",Z$5))</f>
        <v>#NAME?</v>
      </c>
      <c r="AA57" s="53" t="e">
        <f ca="1">IF($B57="","",_xll.BDP($A57&amp;" Corp",AA$5))</f>
        <v>#NAME?</v>
      </c>
      <c r="AB57" s="54" t="e">
        <f ca="1">IF($B57="","",_xll.BDP($A57&amp;" Corp",AB$5))</f>
        <v>#NAME?</v>
      </c>
      <c r="AC57" s="54" t="e">
        <f ca="1">IF($B57="","",_xll.BDP($A57&amp;" Corp",AC$5))</f>
        <v>#NAME?</v>
      </c>
      <c r="AD57" s="55" t="e">
        <f ca="1">IF($B57="","",_xll.BDP($A57&amp;" Corp",AD$5))</f>
        <v>#NAME?</v>
      </c>
      <c r="AE57" s="56" t="e">
        <f ca="1">IF($B57="","",_xll.BDP($A57&amp;" Corp",AE$5))</f>
        <v>#NAME?</v>
      </c>
      <c r="AF57" s="29" t="e">
        <f ca="1">IF($B57="","",_xll.BDP($A57&amp;" Corp",AF$5))</f>
        <v>#NAME?</v>
      </c>
      <c r="AG57" s="33" t="e">
        <f ca="1">IF($B57="","",_xll.BDP($A57&amp;" Corp",AG$5))</f>
        <v>#NAME?</v>
      </c>
      <c r="AH57" s="30" t="e">
        <f ca="1">IF($B57="","",_xll.BDP($A57&amp;" Corp",AH$5))</f>
        <v>#NAME?</v>
      </c>
      <c r="AI57" s="30" t="e">
        <f ca="1">IF($B57="","",_xll.BDP($A57&amp;" Corp",AI$5))</f>
        <v>#NAME?</v>
      </c>
      <c r="AJ57" s="30" t="e">
        <f ca="1">IF($B57="","",_xll.BDP($A57&amp;" Corp",AJ$5))</f>
        <v>#NAME?</v>
      </c>
      <c r="AK57" s="11" t="e">
        <f ca="1">IF($B57="","",_xll.BDP($A57&amp;" Corp",AK$5))</f>
        <v>#NAME?</v>
      </c>
      <c r="AL57" s="11" t="e">
        <f ca="1">IF($B57="","",_xll.BDP($A57&amp;" Corp",AL$5))</f>
        <v>#NAME?</v>
      </c>
      <c r="AM57" s="11">
        <v>5</v>
      </c>
      <c r="AN57" s="57">
        <v>5</v>
      </c>
    </row>
    <row r="58" spans="1:40" x14ac:dyDescent="0.3">
      <c r="A58" s="67" t="s">
        <v>528</v>
      </c>
      <c r="B58" s="68" t="s">
        <v>528</v>
      </c>
      <c r="C58" s="75">
        <v>9730</v>
      </c>
      <c r="D58" s="75">
        <v>128</v>
      </c>
      <c r="E58" s="75">
        <v>266849.98</v>
      </c>
      <c r="F58" s="69">
        <v>0.1979244</v>
      </c>
      <c r="G58" s="70">
        <v>291671.88</v>
      </c>
      <c r="H58" s="67">
        <v>266849.98</v>
      </c>
      <c r="I58" s="67">
        <v>0.1979244</v>
      </c>
      <c r="J58" s="67">
        <v>291671.88</v>
      </c>
      <c r="K58" s="71">
        <v>109.30181819762551</v>
      </c>
      <c r="L58" s="29" t="e">
        <f ca="1">IF(B58="","",_xll.BDP(A58&amp;" Corp","INTERVAL_HIGH","START_DATE_OVERRIDE",TEXT($L$3,"AAAAMMDD"),"END_DATE_OVERRIDE",TEXT($L$4,"AAAAMMDD"),"MARKET_DATA_OVERRIDE",$L$5))</f>
        <v>#NAME?</v>
      </c>
      <c r="M58" s="30" t="e">
        <f ca="1">IF(B58="","",_xll.BDP($A58&amp;" Corp","INTERVAL_LOW","START_DATE_OVERRIDE",TEXT($L$3,"AAAAMMDD"),"END_DATE_OVERRIDE",TEXT($L$4,"AAAAMMDD"),"MARKET_DATA_OVERRIDE",$L$5))</f>
        <v>#NAME?</v>
      </c>
      <c r="N58" s="31" t="s">
        <v>821</v>
      </c>
      <c r="O58" s="32" t="e">
        <f ca="1">IF($B58="","",_xll.BDP($A58&amp;" Corp",O$6))</f>
        <v>#NAME?</v>
      </c>
      <c r="P58" s="32" t="e">
        <f ca="1">IF($B58="","",_xll.BDP($A58&amp;" Corp",P$6))</f>
        <v>#NAME?</v>
      </c>
      <c r="Q58" s="30" t="e">
        <f ca="1">IF($B58="","",_xll.BDP($A58&amp;" Corp",Q$5))</f>
        <v>#NAME?</v>
      </c>
      <c r="R58" s="30" t="e">
        <f ca="1">IF($B58="","",_xll.BDP($A58&amp;" Corp",R$5))</f>
        <v>#NAME?</v>
      </c>
      <c r="S58" s="50" t="e">
        <f ca="1">IF($B58="","",_xll.BDP($A58&amp;" Corp",S$5))</f>
        <v>#NAME?</v>
      </c>
      <c r="T58" s="30" t="e">
        <f ca="1">IF($B58="","",_xll.BDP($A58&amp;" Corp",T$5))</f>
        <v>#NAME?</v>
      </c>
      <c r="U58" s="30" t="e">
        <f ca="1">IF($B58="","",_xll.BDP($A58&amp;" Corp",U$5))</f>
        <v>#NAME?</v>
      </c>
      <c r="V58" s="51" t="e">
        <f ca="1">IF($B58="","",IF($T58="VARIABLE",_xll.BDP($A58&amp;" Corp",V$4),_xll.BDP($A58&amp;" Corp",V$5)))</f>
        <v>#NAME?</v>
      </c>
      <c r="W58" s="30" t="e">
        <f ca="1">IF($B58="","",IF($T58="VARIABLE",_xll.BDP($A58&amp;" Corp",W$4),_xll.BDP($A58&amp;" Corp",W$5)))</f>
        <v>#NAME?</v>
      </c>
      <c r="X58" s="30" t="e">
        <f ca="1">IF($B58="","",_xll.BDP($A58&amp;" Corp",X$5))</f>
        <v>#NAME?</v>
      </c>
      <c r="Y58" s="33" t="e">
        <f ca="1">IF($B58="","",_xll.BDP($A58&amp;" Corp",Y$5))</f>
        <v>#NAME?</v>
      </c>
      <c r="Z58" s="52" t="e">
        <f ca="1">IF($B58="","",_xll.BDP($A58&amp;" Corp",Z$5))</f>
        <v>#NAME?</v>
      </c>
      <c r="AA58" s="53" t="e">
        <f ca="1">IF($B58="","",_xll.BDP($A58&amp;" Corp",AA$5))</f>
        <v>#NAME?</v>
      </c>
      <c r="AB58" s="54" t="e">
        <f ca="1">IF($B58="","",_xll.BDP($A58&amp;" Corp",AB$5))</f>
        <v>#NAME?</v>
      </c>
      <c r="AC58" s="54" t="e">
        <f ca="1">IF($B58="","",_xll.BDP($A58&amp;" Corp",AC$5))</f>
        <v>#NAME?</v>
      </c>
      <c r="AD58" s="55" t="e">
        <f ca="1">IF($B58="","",_xll.BDP($A58&amp;" Corp",AD$5))</f>
        <v>#NAME?</v>
      </c>
      <c r="AE58" s="56" t="e">
        <f ca="1">IF($B58="","",_xll.BDP($A58&amp;" Corp",AE$5))</f>
        <v>#NAME?</v>
      </c>
      <c r="AF58" s="29" t="e">
        <f ca="1">IF($B58="","",_xll.BDP($A58&amp;" Corp",AF$5))</f>
        <v>#NAME?</v>
      </c>
      <c r="AG58" s="33" t="e">
        <f ca="1">IF($B58="","",_xll.BDP($A58&amp;" Corp",AG$5))</f>
        <v>#NAME?</v>
      </c>
      <c r="AH58" s="30" t="e">
        <f ca="1">IF($B58="","",_xll.BDP($A58&amp;" Corp",AH$5))</f>
        <v>#NAME?</v>
      </c>
      <c r="AI58" s="30" t="e">
        <f ca="1">IF($B58="","",_xll.BDP($A58&amp;" Corp",AI$5))</f>
        <v>#NAME?</v>
      </c>
      <c r="AJ58" s="30" t="e">
        <f ca="1">IF($B58="","",_xll.BDP($A58&amp;" Corp",AJ$5))</f>
        <v>#NAME?</v>
      </c>
      <c r="AK58" s="11" t="e">
        <f ca="1">IF($B58="","",_xll.BDP($A58&amp;" Corp",AK$5))</f>
        <v>#NAME?</v>
      </c>
      <c r="AL58" s="11" t="e">
        <f ca="1">IF($B58="","",_xll.BDP($A58&amp;" Corp",AL$5))</f>
        <v>#NAME?</v>
      </c>
      <c r="AM58" s="11">
        <v>6</v>
      </c>
      <c r="AN58" s="57">
        <v>5</v>
      </c>
    </row>
    <row r="59" spans="1:40" x14ac:dyDescent="0.3">
      <c r="A59" s="67" t="s">
        <v>530</v>
      </c>
      <c r="B59" s="68" t="s">
        <v>530</v>
      </c>
      <c r="C59" s="75">
        <v>9924</v>
      </c>
      <c r="D59" s="75">
        <v>128</v>
      </c>
      <c r="E59" s="75">
        <v>460702.11</v>
      </c>
      <c r="F59" s="69">
        <v>0.34752901000000003</v>
      </c>
      <c r="G59" s="70">
        <v>462851.55</v>
      </c>
      <c r="H59" s="67">
        <v>460702.11</v>
      </c>
      <c r="I59" s="67">
        <v>0.34752901000000003</v>
      </c>
      <c r="J59" s="67">
        <v>462851.55</v>
      </c>
      <c r="K59" s="71">
        <v>100.46655744641586</v>
      </c>
      <c r="L59" s="29" t="e">
        <f ca="1">IF(B59="","",_xll.BDP(A59&amp;" Corp","INTERVAL_HIGH","START_DATE_OVERRIDE",TEXT($L$3,"AAAAMMDD"),"END_DATE_OVERRIDE",TEXT($L$4,"AAAAMMDD"),"MARKET_DATA_OVERRIDE",$L$5))</f>
        <v>#NAME?</v>
      </c>
      <c r="M59" s="30" t="e">
        <f ca="1">IF(B59="","",_xll.BDP($A59&amp;" Corp","INTERVAL_LOW","START_DATE_OVERRIDE",TEXT($L$3,"AAAAMMDD"),"END_DATE_OVERRIDE",TEXT($L$4,"AAAAMMDD"),"MARKET_DATA_OVERRIDE",$L$5))</f>
        <v>#NAME?</v>
      </c>
      <c r="N59" s="31" t="s">
        <v>822</v>
      </c>
      <c r="O59" s="32" t="e">
        <f ca="1">IF($B59="","",_xll.BDP($A59&amp;" Corp",O$6))</f>
        <v>#NAME?</v>
      </c>
      <c r="P59" s="32" t="e">
        <f ca="1">IF($B59="","",_xll.BDP($A59&amp;" Corp",P$6))</f>
        <v>#NAME?</v>
      </c>
      <c r="Q59" s="30" t="e">
        <f ca="1">IF($B59="","",_xll.BDP($A59&amp;" Corp",Q$5))</f>
        <v>#NAME?</v>
      </c>
      <c r="R59" s="30" t="e">
        <f ca="1">IF($B59="","",_xll.BDP($A59&amp;" Corp",R$5))</f>
        <v>#NAME?</v>
      </c>
      <c r="S59" s="50" t="e">
        <f ca="1">IF($B59="","",_xll.BDP($A59&amp;" Corp",S$5))</f>
        <v>#NAME?</v>
      </c>
      <c r="T59" s="30" t="e">
        <f ca="1">IF($B59="","",_xll.BDP($A59&amp;" Corp",T$5))</f>
        <v>#NAME?</v>
      </c>
      <c r="U59" s="30" t="e">
        <f ca="1">IF($B59="","",_xll.BDP($A59&amp;" Corp",U$5))</f>
        <v>#NAME?</v>
      </c>
      <c r="V59" s="51" t="e">
        <f ca="1">IF($B59="","",IF($T59="VARIABLE",_xll.BDP($A59&amp;" Corp",V$4),_xll.BDP($A59&amp;" Corp",V$5)))</f>
        <v>#NAME?</v>
      </c>
      <c r="W59" s="30" t="e">
        <f ca="1">IF($B59="","",IF($T59="VARIABLE",_xll.BDP($A59&amp;" Corp",W$4),_xll.BDP($A59&amp;" Corp",W$5)))</f>
        <v>#NAME?</v>
      </c>
      <c r="X59" s="30" t="e">
        <f ca="1">IF($B59="","",_xll.BDP($A59&amp;" Corp",X$5))</f>
        <v>#NAME?</v>
      </c>
      <c r="Y59" s="33" t="e">
        <f ca="1">IF($B59="","",_xll.BDP($A59&amp;" Corp",Y$5))</f>
        <v>#NAME?</v>
      </c>
      <c r="Z59" s="52" t="e">
        <f ca="1">IF($B59="","",_xll.BDP($A59&amp;" Corp",Z$5))</f>
        <v>#NAME?</v>
      </c>
      <c r="AA59" s="53" t="e">
        <f ca="1">IF($B59="","",_xll.BDP($A59&amp;" Corp",AA$5))</f>
        <v>#NAME?</v>
      </c>
      <c r="AB59" s="54" t="e">
        <f ca="1">IF($B59="","",_xll.BDP($A59&amp;" Corp",AB$5))</f>
        <v>#NAME?</v>
      </c>
      <c r="AC59" s="54" t="e">
        <f ca="1">IF($B59="","",_xll.BDP($A59&amp;" Corp",AC$5))</f>
        <v>#NAME?</v>
      </c>
      <c r="AD59" s="55" t="e">
        <f ca="1">IF($B59="","",_xll.BDP($A59&amp;" Corp",AD$5))</f>
        <v>#NAME?</v>
      </c>
      <c r="AE59" s="56" t="e">
        <f ca="1">IF($B59="","",_xll.BDP($A59&amp;" Corp",AE$5))</f>
        <v>#NAME?</v>
      </c>
      <c r="AF59" s="29" t="e">
        <f ca="1">IF($B59="","",_xll.BDP($A59&amp;" Corp",AF$5))</f>
        <v>#NAME?</v>
      </c>
      <c r="AG59" s="33" t="e">
        <f ca="1">IF($B59="","",_xll.BDP($A59&amp;" Corp",AG$5))</f>
        <v>#NAME?</v>
      </c>
      <c r="AH59" s="30" t="e">
        <f ca="1">IF($B59="","",_xll.BDP($A59&amp;" Corp",AH$5))</f>
        <v>#NAME?</v>
      </c>
      <c r="AI59" s="30" t="e">
        <f ca="1">IF($B59="","",_xll.BDP($A59&amp;" Corp",AI$5))</f>
        <v>#NAME?</v>
      </c>
      <c r="AJ59" s="30" t="e">
        <f ca="1">IF($B59="","",_xll.BDP($A59&amp;" Corp",AJ$5))</f>
        <v>#NAME?</v>
      </c>
      <c r="AK59" s="11" t="e">
        <f ca="1">IF($B59="","",_xll.BDP($A59&amp;" Corp",AK$5))</f>
        <v>#NAME?</v>
      </c>
      <c r="AL59" s="11" t="e">
        <f ca="1">IF($B59="","",_xll.BDP($A59&amp;" Corp",AL$5))</f>
        <v>#NAME?</v>
      </c>
      <c r="AM59" s="11">
        <v>4</v>
      </c>
      <c r="AN59" s="57">
        <v>3</v>
      </c>
    </row>
    <row r="60" spans="1:40" x14ac:dyDescent="0.3">
      <c r="A60" s="67" t="s">
        <v>532</v>
      </c>
      <c r="B60" s="68" t="s">
        <v>532</v>
      </c>
      <c r="C60" s="75">
        <v>9653</v>
      </c>
      <c r="D60" s="75">
        <v>128</v>
      </c>
      <c r="E60" s="75">
        <v>618664.11</v>
      </c>
      <c r="F60" s="69">
        <v>0.48584070000000001</v>
      </c>
      <c r="G60" s="70">
        <v>693015.64</v>
      </c>
      <c r="H60" s="67">
        <v>618664.11</v>
      </c>
      <c r="I60" s="67">
        <v>0.48584070000000001</v>
      </c>
      <c r="J60" s="67">
        <v>693015.64</v>
      </c>
      <c r="K60" s="71">
        <v>112.0180771436701</v>
      </c>
      <c r="L60" s="29" t="e">
        <f ca="1">IF(B60="","",_xll.BDP(A60&amp;" Corp","INTERVAL_HIGH","START_DATE_OVERRIDE",TEXT($L$3,"AAAAMMDD"),"END_DATE_OVERRIDE",TEXT($L$4,"AAAAMMDD"),"MARKET_DATA_OVERRIDE",$L$5))</f>
        <v>#NAME?</v>
      </c>
      <c r="M60" s="30" t="e">
        <f ca="1">IF(B60="","",_xll.BDP($A60&amp;" Corp","INTERVAL_LOW","START_DATE_OVERRIDE",TEXT($L$3,"AAAAMMDD"),"END_DATE_OVERRIDE",TEXT($L$4,"AAAAMMDD"),"MARKET_DATA_OVERRIDE",$L$5))</f>
        <v>#NAME?</v>
      </c>
      <c r="N60" s="31" t="s">
        <v>823</v>
      </c>
      <c r="O60" s="32" t="e">
        <f ca="1">IF($B60="","",_xll.BDP($A60&amp;" Corp",O$6))</f>
        <v>#NAME?</v>
      </c>
      <c r="P60" s="32" t="e">
        <f ca="1">IF($B60="","",_xll.BDP($A60&amp;" Corp",P$6))</f>
        <v>#NAME?</v>
      </c>
      <c r="Q60" s="30" t="e">
        <f ca="1">IF($B60="","",_xll.BDP($A60&amp;" Corp",Q$5))</f>
        <v>#NAME?</v>
      </c>
      <c r="R60" s="30" t="e">
        <f ca="1">IF($B60="","",_xll.BDP($A60&amp;" Corp",R$5))</f>
        <v>#NAME?</v>
      </c>
      <c r="S60" s="50" t="e">
        <f ca="1">IF($B60="","",_xll.BDP($A60&amp;" Corp",S$5))</f>
        <v>#NAME?</v>
      </c>
      <c r="T60" s="30" t="e">
        <f ca="1">IF($B60="","",_xll.BDP($A60&amp;" Corp",T$5))</f>
        <v>#NAME?</v>
      </c>
      <c r="U60" s="30" t="e">
        <f ca="1">IF($B60="","",_xll.BDP($A60&amp;" Corp",U$5))</f>
        <v>#NAME?</v>
      </c>
      <c r="V60" s="51" t="e">
        <f ca="1">IF($B60="","",IF($T60="VARIABLE",_xll.BDP($A60&amp;" Corp",V$4),_xll.BDP($A60&amp;" Corp",V$5)))</f>
        <v>#NAME?</v>
      </c>
      <c r="W60" s="30" t="e">
        <f ca="1">IF($B60="","",IF($T60="VARIABLE",_xll.BDP($A60&amp;" Corp",W$4),_xll.BDP($A60&amp;" Corp",W$5)))</f>
        <v>#NAME?</v>
      </c>
      <c r="X60" s="30" t="e">
        <f ca="1">IF($B60="","",_xll.BDP($A60&amp;" Corp",X$5))</f>
        <v>#NAME?</v>
      </c>
      <c r="Y60" s="33" t="e">
        <f ca="1">IF($B60="","",_xll.BDP($A60&amp;" Corp",Y$5))</f>
        <v>#NAME?</v>
      </c>
      <c r="Z60" s="52" t="e">
        <f ca="1">IF($B60="","",_xll.BDP($A60&amp;" Corp",Z$5))</f>
        <v>#NAME?</v>
      </c>
      <c r="AA60" s="53" t="e">
        <f ca="1">IF($B60="","",_xll.BDP($A60&amp;" Corp",AA$5))</f>
        <v>#NAME?</v>
      </c>
      <c r="AB60" s="54" t="e">
        <f ca="1">IF($B60="","",_xll.BDP($A60&amp;" Corp",AB$5))</f>
        <v>#NAME?</v>
      </c>
      <c r="AC60" s="54" t="e">
        <f ca="1">IF($B60="","",_xll.BDP($A60&amp;" Corp",AC$5))</f>
        <v>#NAME?</v>
      </c>
      <c r="AD60" s="55" t="e">
        <f ca="1">IF($B60="","",_xll.BDP($A60&amp;" Corp",AD$5))</f>
        <v>#NAME?</v>
      </c>
      <c r="AE60" s="56" t="e">
        <f ca="1">IF($B60="","",_xll.BDP($A60&amp;" Corp",AE$5))</f>
        <v>#NAME?</v>
      </c>
      <c r="AF60" s="29" t="e">
        <f ca="1">IF($B60="","",_xll.BDP($A60&amp;" Corp",AF$5))</f>
        <v>#NAME?</v>
      </c>
      <c r="AG60" s="33" t="e">
        <f ca="1">IF($B60="","",_xll.BDP($A60&amp;" Corp",AG$5))</f>
        <v>#NAME?</v>
      </c>
      <c r="AH60" s="30" t="e">
        <f ca="1">IF($B60="","",_xll.BDP($A60&amp;" Corp",AH$5))</f>
        <v>#NAME?</v>
      </c>
      <c r="AI60" s="30" t="e">
        <f ca="1">IF($B60="","",_xll.BDP($A60&amp;" Corp",AI$5))</f>
        <v>#NAME?</v>
      </c>
      <c r="AJ60" s="30" t="e">
        <f ca="1">IF($B60="","",_xll.BDP($A60&amp;" Corp",AJ$5))</f>
        <v>#NAME?</v>
      </c>
      <c r="AK60" s="11" t="e">
        <f ca="1">IF($B60="","",_xll.BDP($A60&amp;" Corp",AK$5))</f>
        <v>#NAME?</v>
      </c>
      <c r="AL60" s="11" t="e">
        <f ca="1">IF($B60="","",_xll.BDP($A60&amp;" Corp",AL$5))</f>
        <v>#NAME?</v>
      </c>
      <c r="AM60" s="11">
        <v>4</v>
      </c>
      <c r="AN60" s="57">
        <v>3</v>
      </c>
    </row>
    <row r="61" spans="1:40" x14ac:dyDescent="0.3">
      <c r="A61" s="67" t="s">
        <v>534</v>
      </c>
      <c r="B61" s="68" t="s">
        <v>534</v>
      </c>
      <c r="C61" s="75">
        <v>9880</v>
      </c>
      <c r="D61" s="75">
        <v>128</v>
      </c>
      <c r="E61" s="75">
        <v>499670.45</v>
      </c>
      <c r="F61" s="69">
        <v>0.36703605</v>
      </c>
      <c r="G61" s="70">
        <v>476648.43</v>
      </c>
      <c r="H61" s="67">
        <v>499670.45</v>
      </c>
      <c r="I61" s="67">
        <v>0.36703605</v>
      </c>
      <c r="J61" s="67">
        <v>476648.43</v>
      </c>
      <c r="K61" s="71">
        <v>95.392559235792305</v>
      </c>
      <c r="L61" s="29" t="e">
        <f ca="1">IF(B61="","",_xll.BDP(A61&amp;" Corp","INTERVAL_HIGH","START_DATE_OVERRIDE",TEXT($L$3,"AAAAMMDD"),"END_DATE_OVERRIDE",TEXT($L$4,"AAAAMMDD"),"MARKET_DATA_OVERRIDE",$L$5))</f>
        <v>#NAME?</v>
      </c>
      <c r="M61" s="30" t="e">
        <f ca="1">IF(B61="","",_xll.BDP($A61&amp;" Corp","INTERVAL_LOW","START_DATE_OVERRIDE",TEXT($L$3,"AAAAMMDD"),"END_DATE_OVERRIDE",TEXT($L$4,"AAAAMMDD"),"MARKET_DATA_OVERRIDE",$L$5))</f>
        <v>#NAME?</v>
      </c>
      <c r="N61" s="31" t="s">
        <v>824</v>
      </c>
      <c r="O61" s="32" t="e">
        <f ca="1">IF($B61="","",_xll.BDP($A61&amp;" Corp",O$6))</f>
        <v>#NAME?</v>
      </c>
      <c r="P61" s="32" t="e">
        <f ca="1">IF($B61="","",_xll.BDP($A61&amp;" Corp",P$6))</f>
        <v>#NAME?</v>
      </c>
      <c r="Q61" s="30" t="e">
        <f ca="1">IF($B61="","",_xll.BDP($A61&amp;" Corp",Q$5))</f>
        <v>#NAME?</v>
      </c>
      <c r="R61" s="30" t="e">
        <f ca="1">IF($B61="","",_xll.BDP($A61&amp;" Corp",R$5))</f>
        <v>#NAME?</v>
      </c>
      <c r="S61" s="50" t="e">
        <f ca="1">IF($B61="","",_xll.BDP($A61&amp;" Corp",S$5))</f>
        <v>#NAME?</v>
      </c>
      <c r="T61" s="30" t="e">
        <f ca="1">IF($B61="","",_xll.BDP($A61&amp;" Corp",T$5))</f>
        <v>#NAME?</v>
      </c>
      <c r="U61" s="30" t="e">
        <f ca="1">IF($B61="","",_xll.BDP($A61&amp;" Corp",U$5))</f>
        <v>#NAME?</v>
      </c>
      <c r="V61" s="51" t="e">
        <f ca="1">IF($B61="","",IF($T61="VARIABLE",_xll.BDP($A61&amp;" Corp",V$4),_xll.BDP($A61&amp;" Corp",V$5)))</f>
        <v>#NAME?</v>
      </c>
      <c r="W61" s="30" t="e">
        <f ca="1">IF($B61="","",IF($T61="VARIABLE",_xll.BDP($A61&amp;" Corp",W$4),_xll.BDP($A61&amp;" Corp",W$5)))</f>
        <v>#NAME?</v>
      </c>
      <c r="X61" s="30" t="e">
        <f ca="1">IF($B61="","",_xll.BDP($A61&amp;" Corp",X$5))</f>
        <v>#NAME?</v>
      </c>
      <c r="Y61" s="33" t="e">
        <f ca="1">IF($B61="","",_xll.BDP($A61&amp;" Corp",Y$5))</f>
        <v>#NAME?</v>
      </c>
      <c r="Z61" s="52" t="e">
        <f ca="1">IF($B61="","",_xll.BDP($A61&amp;" Corp",Z$5))</f>
        <v>#NAME?</v>
      </c>
      <c r="AA61" s="53" t="e">
        <f ca="1">IF($B61="","",_xll.BDP($A61&amp;" Corp",AA$5))</f>
        <v>#NAME?</v>
      </c>
      <c r="AB61" s="54" t="e">
        <f ca="1">IF($B61="","",_xll.BDP($A61&amp;" Corp",AB$5))</f>
        <v>#NAME?</v>
      </c>
      <c r="AC61" s="54" t="e">
        <f ca="1">IF($B61="","",_xll.BDP($A61&amp;" Corp",AC$5))</f>
        <v>#NAME?</v>
      </c>
      <c r="AD61" s="55" t="e">
        <f ca="1">IF($B61="","",_xll.BDP($A61&amp;" Corp",AD$5))</f>
        <v>#NAME?</v>
      </c>
      <c r="AE61" s="56" t="e">
        <f ca="1">IF($B61="","",_xll.BDP($A61&amp;" Corp",AE$5))</f>
        <v>#NAME?</v>
      </c>
      <c r="AF61" s="29" t="e">
        <f ca="1">IF($B61="","",_xll.BDP($A61&amp;" Corp",AF$5))</f>
        <v>#NAME?</v>
      </c>
      <c r="AG61" s="33" t="e">
        <f ca="1">IF($B61="","",_xll.BDP($A61&amp;" Corp",AG$5))</f>
        <v>#NAME?</v>
      </c>
      <c r="AH61" s="30" t="e">
        <f ca="1">IF($B61="","",_xll.BDP($A61&amp;" Corp",AH$5))</f>
        <v>#NAME?</v>
      </c>
      <c r="AI61" s="30" t="e">
        <f ca="1">IF($B61="","",_xll.BDP($A61&amp;" Corp",AI$5))</f>
        <v>#NAME?</v>
      </c>
      <c r="AJ61" s="30" t="e">
        <f ca="1">IF($B61="","",_xll.BDP($A61&amp;" Corp",AJ$5))</f>
        <v>#NAME?</v>
      </c>
      <c r="AK61" s="11" t="e">
        <f ca="1">IF($B61="","",_xll.BDP($A61&amp;" Corp",AK$5))</f>
        <v>#NAME?</v>
      </c>
      <c r="AL61" s="11" t="e">
        <f ca="1">IF($B61="","",_xll.BDP($A61&amp;" Corp",AL$5))</f>
        <v>#NAME?</v>
      </c>
      <c r="AM61" s="11">
        <v>2</v>
      </c>
      <c r="AN61" s="57">
        <v>1</v>
      </c>
    </row>
    <row r="62" spans="1:40" x14ac:dyDescent="0.3">
      <c r="A62" s="67" t="s">
        <v>319</v>
      </c>
      <c r="B62" s="68" t="s">
        <v>319</v>
      </c>
      <c r="C62" s="75">
        <v>7112</v>
      </c>
      <c r="D62" s="75">
        <v>128</v>
      </c>
      <c r="E62" s="75">
        <v>189573.46</v>
      </c>
      <c r="F62" s="69">
        <v>0.14232474000000001</v>
      </c>
      <c r="G62" s="70">
        <v>203056</v>
      </c>
      <c r="H62" s="67">
        <v>189573.46</v>
      </c>
      <c r="I62" s="67">
        <v>0.14232474000000001</v>
      </c>
      <c r="J62" s="67">
        <v>203056</v>
      </c>
      <c r="K62" s="71">
        <v>107.11203983933194</v>
      </c>
      <c r="L62" s="29" t="e">
        <f ca="1">IF(B62="","",_xll.BDP(A62&amp;" Corp","INTERVAL_HIGH","START_DATE_OVERRIDE",TEXT($L$3,"AAAAMMDD"),"END_DATE_OVERRIDE",TEXT($L$4,"AAAAMMDD"),"MARKET_DATA_OVERRIDE",$L$5))</f>
        <v>#NAME?</v>
      </c>
      <c r="M62" s="30" t="e">
        <f ca="1">IF(B62="","",_xll.BDP($A62&amp;" Corp","INTERVAL_LOW","START_DATE_OVERRIDE",TEXT($L$3,"AAAAMMDD"),"END_DATE_OVERRIDE",TEXT($L$4,"AAAAMMDD"),"MARKET_DATA_OVERRIDE",$L$5))</f>
        <v>#NAME?</v>
      </c>
      <c r="N62" s="31" t="s">
        <v>825</v>
      </c>
      <c r="O62" s="32" t="e">
        <f ca="1">IF($B62="","",_xll.BDP($A62&amp;" Corp",O$6))</f>
        <v>#NAME?</v>
      </c>
      <c r="P62" s="32" t="e">
        <f ca="1">IF($B62="","",_xll.BDP($A62&amp;" Corp",P$6))</f>
        <v>#NAME?</v>
      </c>
      <c r="Q62" s="30" t="e">
        <f ca="1">IF($B62="","",_xll.BDP($A62&amp;" Corp",Q$5))</f>
        <v>#NAME?</v>
      </c>
      <c r="R62" s="30" t="e">
        <f ca="1">IF($B62="","",_xll.BDP($A62&amp;" Corp",R$5))</f>
        <v>#NAME?</v>
      </c>
      <c r="S62" s="50" t="e">
        <f ca="1">IF($B62="","",_xll.BDP($A62&amp;" Corp",S$5))</f>
        <v>#NAME?</v>
      </c>
      <c r="T62" s="30" t="e">
        <f ca="1">IF($B62="","",_xll.BDP($A62&amp;" Corp",T$5))</f>
        <v>#NAME?</v>
      </c>
      <c r="U62" s="30" t="e">
        <f ca="1">IF($B62="","",_xll.BDP($A62&amp;" Corp",U$5))</f>
        <v>#NAME?</v>
      </c>
      <c r="V62" s="51" t="e">
        <f ca="1">IF($B62="","",IF($T62="VARIABLE",_xll.BDP($A62&amp;" Corp",V$4),_xll.BDP($A62&amp;" Corp",V$5)))</f>
        <v>#NAME?</v>
      </c>
      <c r="W62" s="30" t="e">
        <f ca="1">IF($B62="","",IF($T62="VARIABLE",_xll.BDP($A62&amp;" Corp",W$4),_xll.BDP($A62&amp;" Corp",W$5)))</f>
        <v>#NAME?</v>
      </c>
      <c r="X62" s="30" t="e">
        <f ca="1">IF($B62="","",_xll.BDP($A62&amp;" Corp",X$5))</f>
        <v>#NAME?</v>
      </c>
      <c r="Y62" s="33" t="e">
        <f ca="1">IF($B62="","",_xll.BDP($A62&amp;" Corp",Y$5))</f>
        <v>#NAME?</v>
      </c>
      <c r="Z62" s="52" t="e">
        <f ca="1">IF($B62="","",_xll.BDP($A62&amp;" Corp",Z$5))</f>
        <v>#NAME?</v>
      </c>
      <c r="AA62" s="53" t="e">
        <f ca="1">IF($B62="","",_xll.BDP($A62&amp;" Corp",AA$5))</f>
        <v>#NAME?</v>
      </c>
      <c r="AB62" s="54" t="e">
        <f ca="1">IF($B62="","",_xll.BDP($A62&amp;" Corp",AB$5))</f>
        <v>#NAME?</v>
      </c>
      <c r="AC62" s="54" t="e">
        <f ca="1">IF($B62="","",_xll.BDP($A62&amp;" Corp",AC$5))</f>
        <v>#NAME?</v>
      </c>
      <c r="AD62" s="55" t="e">
        <f ca="1">IF($B62="","",_xll.BDP($A62&amp;" Corp",AD$5))</f>
        <v>#NAME?</v>
      </c>
      <c r="AE62" s="56" t="e">
        <f ca="1">IF($B62="","",_xll.BDP($A62&amp;" Corp",AE$5))</f>
        <v>#NAME?</v>
      </c>
      <c r="AF62" s="29" t="e">
        <f ca="1">IF($B62="","",_xll.BDP($A62&amp;" Corp",AF$5))</f>
        <v>#NAME?</v>
      </c>
      <c r="AG62" s="33" t="e">
        <f ca="1">IF($B62="","",_xll.BDP($A62&amp;" Corp",AG$5))</f>
        <v>#NAME?</v>
      </c>
      <c r="AH62" s="30" t="e">
        <f ca="1">IF($B62="","",_xll.BDP($A62&amp;" Corp",AH$5))</f>
        <v>#NAME?</v>
      </c>
      <c r="AI62" s="30" t="e">
        <f ca="1">IF($B62="","",_xll.BDP($A62&amp;" Corp",AI$5))</f>
        <v>#NAME?</v>
      </c>
      <c r="AJ62" s="30" t="e">
        <f ca="1">IF($B62="","",_xll.BDP($A62&amp;" Corp",AJ$5))</f>
        <v>#NAME?</v>
      </c>
      <c r="AK62" s="11" t="e">
        <f ca="1">IF($B62="","",_xll.BDP($A62&amp;" Corp",AK$5))</f>
        <v>#NAME?</v>
      </c>
      <c r="AL62" s="11" t="e">
        <f ca="1">IF($B62="","",_xll.BDP($A62&amp;" Corp",AL$5))</f>
        <v>#NAME?</v>
      </c>
      <c r="AM62" s="11">
        <v>6</v>
      </c>
      <c r="AN62" s="57">
        <v>6</v>
      </c>
    </row>
    <row r="63" spans="1:40" x14ac:dyDescent="0.3">
      <c r="A63" s="67" t="s">
        <v>577</v>
      </c>
      <c r="B63" s="68" t="s">
        <v>577</v>
      </c>
      <c r="C63" s="75">
        <v>1034</v>
      </c>
      <c r="D63" s="75">
        <v>128</v>
      </c>
      <c r="E63" s="75">
        <v>189165.88</v>
      </c>
      <c r="F63" s="69">
        <v>0.20076487000000001</v>
      </c>
      <c r="G63" s="70">
        <v>252771.82</v>
      </c>
      <c r="H63" s="67">
        <v>189165.88</v>
      </c>
      <c r="I63" s="67">
        <v>0.20076487000000001</v>
      </c>
      <c r="J63" s="67">
        <v>252771.82</v>
      </c>
      <c r="K63" s="71">
        <v>133.62442529276422</v>
      </c>
      <c r="L63" s="29" t="e">
        <f ca="1">IF(B63="","",_xll.BDP(A63&amp;" Corp","INTERVAL_HIGH","START_DATE_OVERRIDE",TEXT($L$3,"AAAAMMDD"),"END_DATE_OVERRIDE",TEXT($L$4,"AAAAMMDD"),"MARKET_DATA_OVERRIDE",$L$5))</f>
        <v>#NAME?</v>
      </c>
      <c r="M63" s="30" t="e">
        <f ca="1">IF(B63="","",_xll.BDP($A63&amp;" Corp","INTERVAL_LOW","START_DATE_OVERRIDE",TEXT($L$3,"AAAAMMDD"),"END_DATE_OVERRIDE",TEXT($L$4,"AAAAMMDD"),"MARKET_DATA_OVERRIDE",$L$5))</f>
        <v>#NAME?</v>
      </c>
      <c r="N63" s="31" t="s">
        <v>826</v>
      </c>
      <c r="O63" s="32" t="e">
        <f ca="1">IF($B63="","",_xll.BDP($A63&amp;" Corp",O$6))</f>
        <v>#NAME?</v>
      </c>
      <c r="P63" s="32" t="e">
        <f ca="1">IF($B63="","",_xll.BDP($A63&amp;" Corp",P$6))</f>
        <v>#NAME?</v>
      </c>
      <c r="Q63" s="30" t="e">
        <f ca="1">IF($B63="","",_xll.BDP($A63&amp;" Corp",Q$5))</f>
        <v>#NAME?</v>
      </c>
      <c r="R63" s="30" t="e">
        <f ca="1">IF($B63="","",_xll.BDP($A63&amp;" Corp",R$5))</f>
        <v>#NAME?</v>
      </c>
      <c r="S63" s="50" t="e">
        <f ca="1">IF($B63="","",_xll.BDP($A63&amp;" Corp",S$5))</f>
        <v>#NAME?</v>
      </c>
      <c r="T63" s="30" t="e">
        <f ca="1">IF($B63="","",_xll.BDP($A63&amp;" Corp",T$5))</f>
        <v>#NAME?</v>
      </c>
      <c r="U63" s="30" t="e">
        <f ca="1">IF($B63="","",_xll.BDP($A63&amp;" Corp",U$5))</f>
        <v>#NAME?</v>
      </c>
      <c r="V63" s="51" t="e">
        <f ca="1">IF($B63="","",IF($T63="VARIABLE",_xll.BDP($A63&amp;" Corp",V$4),_xll.BDP($A63&amp;" Corp",V$5)))</f>
        <v>#NAME?</v>
      </c>
      <c r="W63" s="30" t="e">
        <f ca="1">IF($B63="","",IF($T63="VARIABLE",_xll.BDP($A63&amp;" Corp",W$4),_xll.BDP($A63&amp;" Corp",W$5)))</f>
        <v>#NAME?</v>
      </c>
      <c r="X63" s="30" t="e">
        <f ca="1">IF($B63="","",_xll.BDP($A63&amp;" Corp",X$5))</f>
        <v>#NAME?</v>
      </c>
      <c r="Y63" s="33" t="e">
        <f ca="1">IF($B63="","",_xll.BDP($A63&amp;" Corp",Y$5))</f>
        <v>#NAME?</v>
      </c>
      <c r="Z63" s="52" t="e">
        <f ca="1">IF($B63="","",_xll.BDP($A63&amp;" Corp",Z$5))</f>
        <v>#NAME?</v>
      </c>
      <c r="AA63" s="53" t="e">
        <f ca="1">IF($B63="","",_xll.BDP($A63&amp;" Corp",AA$5))</f>
        <v>#NAME?</v>
      </c>
      <c r="AB63" s="54" t="e">
        <f ca="1">IF($B63="","",_xll.BDP($A63&amp;" Corp",AB$5))</f>
        <v>#NAME?</v>
      </c>
      <c r="AC63" s="54" t="e">
        <f ca="1">IF($B63="","",_xll.BDP($A63&amp;" Corp",AC$5))</f>
        <v>#NAME?</v>
      </c>
      <c r="AD63" s="55" t="e">
        <f ca="1">IF($B63="","",_xll.BDP($A63&amp;" Corp",AD$5))</f>
        <v>#NAME?</v>
      </c>
      <c r="AE63" s="56" t="e">
        <f ca="1">IF($B63="","",_xll.BDP($A63&amp;" Corp",AE$5))</f>
        <v>#NAME?</v>
      </c>
      <c r="AF63" s="29" t="e">
        <f ca="1">IF($B63="","",_xll.BDP($A63&amp;" Corp",AF$5))</f>
        <v>#NAME?</v>
      </c>
      <c r="AG63" s="33" t="e">
        <f ca="1">IF($B63="","",_xll.BDP($A63&amp;" Corp",AG$5))</f>
        <v>#NAME?</v>
      </c>
      <c r="AH63" s="30" t="e">
        <f ca="1">IF($B63="","",_xll.BDP($A63&amp;" Corp",AH$5))</f>
        <v>#NAME?</v>
      </c>
      <c r="AI63" s="30" t="e">
        <f ca="1">IF($B63="","",_xll.BDP($A63&amp;" Corp",AI$5))</f>
        <v>#NAME?</v>
      </c>
      <c r="AJ63" s="30" t="e">
        <f ca="1">IF($B63="","",_xll.BDP($A63&amp;" Corp",AJ$5))</f>
        <v>#NAME?</v>
      </c>
      <c r="AK63" s="11" t="e">
        <f ca="1">IF($B63="","",_xll.BDP($A63&amp;" Corp",AK$5))</f>
        <v>#NAME?</v>
      </c>
      <c r="AL63" s="11" t="e">
        <f ca="1">IF($B63="","",_xll.BDP($A63&amp;" Corp",AL$5))</f>
        <v>#NAME?</v>
      </c>
      <c r="AM63" s="11">
        <v>13</v>
      </c>
      <c r="AN63" s="57">
        <v>13</v>
      </c>
    </row>
    <row r="64" spans="1:40" x14ac:dyDescent="0.3">
      <c r="A64" s="67" t="s">
        <v>326</v>
      </c>
      <c r="B64" s="68" t="s">
        <v>326</v>
      </c>
      <c r="C64" s="75">
        <v>9263</v>
      </c>
      <c r="D64" s="75">
        <v>128</v>
      </c>
      <c r="E64" s="75">
        <v>100000</v>
      </c>
      <c r="F64" s="69">
        <v>8.3377980000000004E-2</v>
      </c>
      <c r="G64" s="70">
        <v>115136</v>
      </c>
      <c r="H64" s="67">
        <v>100000</v>
      </c>
      <c r="I64" s="67">
        <v>8.3377980000000004E-2</v>
      </c>
      <c r="J64" s="67">
        <v>115136</v>
      </c>
      <c r="K64" s="71">
        <v>115.136</v>
      </c>
      <c r="L64" s="29" t="e">
        <f ca="1">IF(B64="","",_xll.BDP(A64&amp;" Corp","INTERVAL_HIGH","START_DATE_OVERRIDE",TEXT($L$3,"AAAAMMDD"),"END_DATE_OVERRIDE",TEXT($L$4,"AAAAMMDD"),"MARKET_DATA_OVERRIDE",$L$5))</f>
        <v>#NAME?</v>
      </c>
      <c r="M64" s="30" t="e">
        <f ca="1">IF(B64="","",_xll.BDP($A64&amp;" Corp","INTERVAL_LOW","START_DATE_OVERRIDE",TEXT($L$3,"AAAAMMDD"),"END_DATE_OVERRIDE",TEXT($L$4,"AAAAMMDD"),"MARKET_DATA_OVERRIDE",$L$5))</f>
        <v>#NAME?</v>
      </c>
      <c r="N64" s="31" t="s">
        <v>827</v>
      </c>
      <c r="O64" s="32" t="e">
        <f ca="1">IF($B64="","",_xll.BDP($A64&amp;" Corp",O$6))</f>
        <v>#NAME?</v>
      </c>
      <c r="P64" s="32" t="e">
        <f ca="1">IF($B64="","",_xll.BDP($A64&amp;" Corp",P$6))</f>
        <v>#NAME?</v>
      </c>
      <c r="Q64" s="30" t="e">
        <f ca="1">IF($B64="","",_xll.BDP($A64&amp;" Corp",Q$5))</f>
        <v>#NAME?</v>
      </c>
      <c r="R64" s="30" t="e">
        <f ca="1">IF($B64="","",_xll.BDP($A64&amp;" Corp",R$5))</f>
        <v>#NAME?</v>
      </c>
      <c r="S64" s="50" t="e">
        <f ca="1">IF($B64="","",_xll.BDP($A64&amp;" Corp",S$5))</f>
        <v>#NAME?</v>
      </c>
      <c r="T64" s="30" t="e">
        <f ca="1">IF($B64="","",_xll.BDP($A64&amp;" Corp",T$5))</f>
        <v>#NAME?</v>
      </c>
      <c r="U64" s="30" t="e">
        <f ca="1">IF($B64="","",_xll.BDP($A64&amp;" Corp",U$5))</f>
        <v>#NAME?</v>
      </c>
      <c r="V64" s="51" t="e">
        <f ca="1">IF($B64="","",IF($T64="VARIABLE",_xll.BDP($A64&amp;" Corp",V$4),_xll.BDP($A64&amp;" Corp",V$5)))</f>
        <v>#NAME?</v>
      </c>
      <c r="W64" s="30" t="e">
        <f ca="1">IF($B64="","",IF($T64="VARIABLE",_xll.BDP($A64&amp;" Corp",W$4),_xll.BDP($A64&amp;" Corp",W$5)))</f>
        <v>#NAME?</v>
      </c>
      <c r="X64" s="30" t="e">
        <f ca="1">IF($B64="","",_xll.BDP($A64&amp;" Corp",X$5))</f>
        <v>#NAME?</v>
      </c>
      <c r="Y64" s="33" t="e">
        <f ca="1">IF($B64="","",_xll.BDP($A64&amp;" Corp",Y$5))</f>
        <v>#NAME?</v>
      </c>
      <c r="Z64" s="52" t="e">
        <f ca="1">IF($B64="","",_xll.BDP($A64&amp;" Corp",Z$5))</f>
        <v>#NAME?</v>
      </c>
      <c r="AA64" s="53" t="e">
        <f ca="1">IF($B64="","",_xll.BDP($A64&amp;" Corp",AA$5))</f>
        <v>#NAME?</v>
      </c>
      <c r="AB64" s="54" t="e">
        <f ca="1">IF($B64="","",_xll.BDP($A64&amp;" Corp",AB$5))</f>
        <v>#NAME?</v>
      </c>
      <c r="AC64" s="54" t="e">
        <f ca="1">IF($B64="","",_xll.BDP($A64&amp;" Corp",AC$5))</f>
        <v>#NAME?</v>
      </c>
      <c r="AD64" s="55" t="e">
        <f ca="1">IF($B64="","",_xll.BDP($A64&amp;" Corp",AD$5))</f>
        <v>#NAME?</v>
      </c>
      <c r="AE64" s="56" t="e">
        <f ca="1">IF($B64="","",_xll.BDP($A64&amp;" Corp",AE$5))</f>
        <v>#NAME?</v>
      </c>
      <c r="AF64" s="29" t="e">
        <f ca="1">IF($B64="","",_xll.BDP($A64&amp;" Corp",AF$5))</f>
        <v>#NAME?</v>
      </c>
      <c r="AG64" s="33" t="e">
        <f ca="1">IF($B64="","",_xll.BDP($A64&amp;" Corp",AG$5))</f>
        <v>#NAME?</v>
      </c>
      <c r="AH64" s="30" t="e">
        <f ca="1">IF($B64="","",_xll.BDP($A64&amp;" Corp",AH$5))</f>
        <v>#NAME?</v>
      </c>
      <c r="AI64" s="30" t="e">
        <f ca="1">IF($B64="","",_xll.BDP($A64&amp;" Corp",AI$5))</f>
        <v>#NAME?</v>
      </c>
      <c r="AJ64" s="30" t="e">
        <f ca="1">IF($B64="","",_xll.BDP($A64&amp;" Corp",AJ$5))</f>
        <v>#NAME?</v>
      </c>
      <c r="AK64" s="11" t="e">
        <f ca="1">IF($B64="","",_xll.BDP($A64&amp;" Corp",AK$5))</f>
        <v>#NAME?</v>
      </c>
      <c r="AL64" s="11" t="e">
        <f ca="1">IF($B64="","",_xll.BDP($A64&amp;" Corp",AL$5))</f>
        <v>#NAME?</v>
      </c>
      <c r="AM64" s="11">
        <v>1</v>
      </c>
      <c r="AN64" s="57">
        <v>1</v>
      </c>
    </row>
    <row r="65" spans="1:40" x14ac:dyDescent="0.3">
      <c r="A65" s="67" t="s">
        <v>550</v>
      </c>
      <c r="B65" s="68" t="s">
        <v>550</v>
      </c>
      <c r="C65" s="75">
        <v>9244</v>
      </c>
      <c r="D65" s="75">
        <v>128</v>
      </c>
      <c r="E65" s="75">
        <v>300000</v>
      </c>
      <c r="F65" s="69">
        <v>0.24996571000000001</v>
      </c>
      <c r="G65" s="70">
        <v>342187</v>
      </c>
      <c r="H65" s="67">
        <v>300000</v>
      </c>
      <c r="I65" s="67">
        <v>0.24996571000000001</v>
      </c>
      <c r="J65" s="67">
        <v>342187</v>
      </c>
      <c r="K65" s="71">
        <v>114.06233333333333</v>
      </c>
      <c r="L65" s="29" t="e">
        <f ca="1">IF(B65="","",_xll.BDP(A65&amp;" Corp","INTERVAL_HIGH","START_DATE_OVERRIDE",TEXT($L$3,"AAAAMMDD"),"END_DATE_OVERRIDE",TEXT($L$4,"AAAAMMDD"),"MARKET_DATA_OVERRIDE",$L$5))</f>
        <v>#NAME?</v>
      </c>
      <c r="M65" s="30" t="e">
        <f ca="1">IF(B65="","",_xll.BDP($A65&amp;" Corp","INTERVAL_LOW","START_DATE_OVERRIDE",TEXT($L$3,"AAAAMMDD"),"END_DATE_OVERRIDE",TEXT($L$4,"AAAAMMDD"),"MARKET_DATA_OVERRIDE",$L$5))</f>
        <v>#NAME?</v>
      </c>
      <c r="N65" s="31" t="s">
        <v>828</v>
      </c>
      <c r="O65" s="32" t="e">
        <f ca="1">IF($B65="","",_xll.BDP($A65&amp;" Corp",O$6))</f>
        <v>#NAME?</v>
      </c>
      <c r="P65" s="32" t="e">
        <f ca="1">IF($B65="","",_xll.BDP($A65&amp;" Corp",P$6))</f>
        <v>#NAME?</v>
      </c>
      <c r="Q65" s="30" t="e">
        <f ca="1">IF($B65="","",_xll.BDP($A65&amp;" Corp",Q$5))</f>
        <v>#NAME?</v>
      </c>
      <c r="R65" s="30" t="e">
        <f ca="1">IF($B65="","",_xll.BDP($A65&amp;" Corp",R$5))</f>
        <v>#NAME?</v>
      </c>
      <c r="S65" s="50" t="e">
        <f ca="1">IF($B65="","",_xll.BDP($A65&amp;" Corp",S$5))</f>
        <v>#NAME?</v>
      </c>
      <c r="T65" s="30" t="e">
        <f ca="1">IF($B65="","",_xll.BDP($A65&amp;" Corp",T$5))</f>
        <v>#NAME?</v>
      </c>
      <c r="U65" s="30" t="e">
        <f ca="1">IF($B65="","",_xll.BDP($A65&amp;" Corp",U$5))</f>
        <v>#NAME?</v>
      </c>
      <c r="V65" s="51" t="e">
        <f ca="1">IF($B65="","",IF($T65="VARIABLE",_xll.BDP($A65&amp;" Corp",V$4),_xll.BDP($A65&amp;" Corp",V$5)))</f>
        <v>#NAME?</v>
      </c>
      <c r="W65" s="30" t="e">
        <f ca="1">IF($B65="","",IF($T65="VARIABLE",_xll.BDP($A65&amp;" Corp",W$4),_xll.BDP($A65&amp;" Corp",W$5)))</f>
        <v>#NAME?</v>
      </c>
      <c r="X65" s="30" t="e">
        <f ca="1">IF($B65="","",_xll.BDP($A65&amp;" Corp",X$5))</f>
        <v>#NAME?</v>
      </c>
      <c r="Y65" s="33" t="e">
        <f ca="1">IF($B65="","",_xll.BDP($A65&amp;" Corp",Y$5))</f>
        <v>#NAME?</v>
      </c>
      <c r="Z65" s="52" t="e">
        <f ca="1">IF($B65="","",_xll.BDP($A65&amp;" Corp",Z$5))</f>
        <v>#NAME?</v>
      </c>
      <c r="AA65" s="53" t="e">
        <f ca="1">IF($B65="","",_xll.BDP($A65&amp;" Corp",AA$5))</f>
        <v>#NAME?</v>
      </c>
      <c r="AB65" s="54" t="e">
        <f ca="1">IF($B65="","",_xll.BDP($A65&amp;" Corp",AB$5))</f>
        <v>#NAME?</v>
      </c>
      <c r="AC65" s="54" t="e">
        <f ca="1">IF($B65="","",_xll.BDP($A65&amp;" Corp",AC$5))</f>
        <v>#NAME?</v>
      </c>
      <c r="AD65" s="55" t="e">
        <f ca="1">IF($B65="","",_xll.BDP($A65&amp;" Corp",AD$5))</f>
        <v>#NAME?</v>
      </c>
      <c r="AE65" s="56" t="e">
        <f ca="1">IF($B65="","",_xll.BDP($A65&amp;" Corp",AE$5))</f>
        <v>#NAME?</v>
      </c>
      <c r="AF65" s="29" t="e">
        <f ca="1">IF($B65="","",_xll.BDP($A65&amp;" Corp",AF$5))</f>
        <v>#NAME?</v>
      </c>
      <c r="AG65" s="33" t="e">
        <f ca="1">IF($B65="","",_xll.BDP($A65&amp;" Corp",AG$5))</f>
        <v>#NAME?</v>
      </c>
      <c r="AH65" s="30" t="e">
        <f ca="1">IF($B65="","",_xll.BDP($A65&amp;" Corp",AH$5))</f>
        <v>#NAME?</v>
      </c>
      <c r="AI65" s="30" t="e">
        <f ca="1">IF($B65="","",_xll.BDP($A65&amp;" Corp",AI$5))</f>
        <v>#NAME?</v>
      </c>
      <c r="AJ65" s="30" t="e">
        <f ca="1">IF($B65="","",_xll.BDP($A65&amp;" Corp",AJ$5))</f>
        <v>#NAME?</v>
      </c>
      <c r="AK65" s="11" t="e">
        <f ca="1">IF($B65="","",_xll.BDP($A65&amp;" Corp",AK$5))</f>
        <v>#NAME?</v>
      </c>
      <c r="AL65" s="11" t="e">
        <f ca="1">IF($B65="","",_xll.BDP($A65&amp;" Corp",AL$5))</f>
        <v>#NAME?</v>
      </c>
      <c r="AM65" s="11">
        <v>2</v>
      </c>
      <c r="AN65" s="57">
        <v>1</v>
      </c>
    </row>
    <row r="66" spans="1:40" x14ac:dyDescent="0.3">
      <c r="A66" s="67" t="s">
        <v>328</v>
      </c>
      <c r="B66" s="68" t="s">
        <v>328</v>
      </c>
      <c r="C66" s="75">
        <v>9275</v>
      </c>
      <c r="D66" s="75">
        <v>128</v>
      </c>
      <c r="E66" s="75">
        <v>200000</v>
      </c>
      <c r="F66" s="69">
        <v>0.16238316</v>
      </c>
      <c r="G66" s="70">
        <v>230666</v>
      </c>
      <c r="H66" s="67">
        <v>200000</v>
      </c>
      <c r="I66" s="67">
        <v>0.16238316</v>
      </c>
      <c r="J66" s="67">
        <v>230666</v>
      </c>
      <c r="K66" s="71">
        <v>115.333</v>
      </c>
      <c r="L66" s="29" t="e">
        <f ca="1">IF(B66="","",_xll.BDP(A66&amp;" Corp","INTERVAL_HIGH","START_DATE_OVERRIDE",TEXT($L$3,"AAAAMMDD"),"END_DATE_OVERRIDE",TEXT($L$4,"AAAAMMDD"),"MARKET_DATA_OVERRIDE",$L$5))</f>
        <v>#NAME?</v>
      </c>
      <c r="M66" s="30" t="e">
        <f ca="1">IF(B66="","",_xll.BDP($A66&amp;" Corp","INTERVAL_LOW","START_DATE_OVERRIDE",TEXT($L$3,"AAAAMMDD"),"END_DATE_OVERRIDE",TEXT($L$4,"AAAAMMDD"),"MARKET_DATA_OVERRIDE",$L$5))</f>
        <v>#NAME?</v>
      </c>
      <c r="N66" s="31" t="s">
        <v>829</v>
      </c>
      <c r="O66" s="32" t="e">
        <f ca="1">IF($B66="","",_xll.BDP($A66&amp;" Corp",O$6))</f>
        <v>#NAME?</v>
      </c>
      <c r="P66" s="32" t="e">
        <f ca="1">IF($B66="","",_xll.BDP($A66&amp;" Corp",P$6))</f>
        <v>#NAME?</v>
      </c>
      <c r="Q66" s="30" t="e">
        <f ca="1">IF($B66="","",_xll.BDP($A66&amp;" Corp",Q$5))</f>
        <v>#NAME?</v>
      </c>
      <c r="R66" s="30" t="e">
        <f ca="1">IF($B66="","",_xll.BDP($A66&amp;" Corp",R$5))</f>
        <v>#NAME?</v>
      </c>
      <c r="S66" s="50" t="e">
        <f ca="1">IF($B66="","",_xll.BDP($A66&amp;" Corp",S$5))</f>
        <v>#NAME?</v>
      </c>
      <c r="T66" s="30" t="e">
        <f ca="1">IF($B66="","",_xll.BDP($A66&amp;" Corp",T$5))</f>
        <v>#NAME?</v>
      </c>
      <c r="U66" s="30" t="e">
        <f ca="1">IF($B66="","",_xll.BDP($A66&amp;" Corp",U$5))</f>
        <v>#NAME?</v>
      </c>
      <c r="V66" s="51" t="e">
        <f ca="1">IF($B66="","",IF($T66="VARIABLE",_xll.BDP($A66&amp;" Corp",V$4),_xll.BDP($A66&amp;" Corp",V$5)))</f>
        <v>#NAME?</v>
      </c>
      <c r="W66" s="30" t="e">
        <f ca="1">IF($B66="","",IF($T66="VARIABLE",_xll.BDP($A66&amp;" Corp",W$4),_xll.BDP($A66&amp;" Corp",W$5)))</f>
        <v>#NAME?</v>
      </c>
      <c r="X66" s="30" t="e">
        <f ca="1">IF($B66="","",_xll.BDP($A66&amp;" Corp",X$5))</f>
        <v>#NAME?</v>
      </c>
      <c r="Y66" s="33" t="e">
        <f ca="1">IF($B66="","",_xll.BDP($A66&amp;" Corp",Y$5))</f>
        <v>#NAME?</v>
      </c>
      <c r="Z66" s="52" t="e">
        <f ca="1">IF($B66="","",_xll.BDP($A66&amp;" Corp",Z$5))</f>
        <v>#NAME?</v>
      </c>
      <c r="AA66" s="53" t="e">
        <f ca="1">IF($B66="","",_xll.BDP($A66&amp;" Corp",AA$5))</f>
        <v>#NAME?</v>
      </c>
      <c r="AB66" s="54" t="e">
        <f ca="1">IF($B66="","",_xll.BDP($A66&amp;" Corp",AB$5))</f>
        <v>#NAME?</v>
      </c>
      <c r="AC66" s="54" t="e">
        <f ca="1">IF($B66="","",_xll.BDP($A66&amp;" Corp",AC$5))</f>
        <v>#NAME?</v>
      </c>
      <c r="AD66" s="55" t="e">
        <f ca="1">IF($B66="","",_xll.BDP($A66&amp;" Corp",AD$5))</f>
        <v>#NAME?</v>
      </c>
      <c r="AE66" s="56" t="e">
        <f ca="1">IF($B66="","",_xll.BDP($A66&amp;" Corp",AE$5))</f>
        <v>#NAME?</v>
      </c>
      <c r="AF66" s="29" t="e">
        <f ca="1">IF($B66="","",_xll.BDP($A66&amp;" Corp",AF$5))</f>
        <v>#NAME?</v>
      </c>
      <c r="AG66" s="33" t="e">
        <f ca="1">IF($B66="","",_xll.BDP($A66&amp;" Corp",AG$5))</f>
        <v>#NAME?</v>
      </c>
      <c r="AH66" s="30" t="e">
        <f ca="1">IF($B66="","",_xll.BDP($A66&amp;" Corp",AH$5))</f>
        <v>#NAME?</v>
      </c>
      <c r="AI66" s="30" t="e">
        <f ca="1">IF($B66="","",_xll.BDP($A66&amp;" Corp",AI$5))</f>
        <v>#NAME?</v>
      </c>
      <c r="AJ66" s="30" t="e">
        <f ca="1">IF($B66="","",_xll.BDP($A66&amp;" Corp",AJ$5))</f>
        <v>#NAME?</v>
      </c>
      <c r="AK66" s="11" t="e">
        <f ca="1">IF($B66="","",_xll.BDP($A66&amp;" Corp",AK$5))</f>
        <v>#NAME?</v>
      </c>
      <c r="AL66" s="11" t="e">
        <f ca="1">IF($B66="","",_xll.BDP($A66&amp;" Corp",AL$5))</f>
        <v>#NAME?</v>
      </c>
      <c r="AM66" s="11">
        <v>2</v>
      </c>
      <c r="AN66" s="57">
        <v>2</v>
      </c>
    </row>
    <row r="67" spans="1:40" x14ac:dyDescent="0.3">
      <c r="A67" s="67" t="s">
        <v>451</v>
      </c>
      <c r="B67" s="68" t="s">
        <v>451</v>
      </c>
      <c r="C67" s="75">
        <v>1410</v>
      </c>
      <c r="D67" s="75">
        <v>128</v>
      </c>
      <c r="E67" s="75">
        <v>700000</v>
      </c>
      <c r="F67" s="69">
        <v>0.56101785000000004</v>
      </c>
      <c r="G67" s="70">
        <v>708906</v>
      </c>
      <c r="H67" s="67">
        <v>700000</v>
      </c>
      <c r="I67" s="67">
        <v>0.56101785000000004</v>
      </c>
      <c r="J67" s="67">
        <v>708906</v>
      </c>
      <c r="K67" s="71">
        <v>101.27228571428572</v>
      </c>
      <c r="L67" s="29" t="e">
        <f ca="1">IF(B67="","",_xll.BDP(A67&amp;" Corp","INTERVAL_HIGH","START_DATE_OVERRIDE",TEXT($L$3,"AAAAMMDD"),"END_DATE_OVERRIDE",TEXT($L$4,"AAAAMMDD"),"MARKET_DATA_OVERRIDE",$L$5))</f>
        <v>#NAME?</v>
      </c>
      <c r="M67" s="30" t="e">
        <f ca="1">IF(B67="","",_xll.BDP($A67&amp;" Corp","INTERVAL_LOW","START_DATE_OVERRIDE",TEXT($L$3,"AAAAMMDD"),"END_DATE_OVERRIDE",TEXT($L$4,"AAAAMMDD"),"MARKET_DATA_OVERRIDE",$L$5))</f>
        <v>#NAME?</v>
      </c>
      <c r="N67" s="31" t="s">
        <v>830</v>
      </c>
      <c r="O67" s="32" t="e">
        <f ca="1">IF($B67="","",_xll.BDP($A67&amp;" Corp",O$6))</f>
        <v>#NAME?</v>
      </c>
      <c r="P67" s="32" t="e">
        <f ca="1">IF($B67="","",_xll.BDP($A67&amp;" Corp",P$6))</f>
        <v>#NAME?</v>
      </c>
      <c r="Q67" s="30" t="e">
        <f ca="1">IF($B67="","",_xll.BDP($A67&amp;" Corp",Q$5))</f>
        <v>#NAME?</v>
      </c>
      <c r="R67" s="30" t="e">
        <f ca="1">IF($B67="","",_xll.BDP($A67&amp;" Corp",R$5))</f>
        <v>#NAME?</v>
      </c>
      <c r="S67" s="50" t="e">
        <f ca="1">IF($B67="","",_xll.BDP($A67&amp;" Corp",S$5))</f>
        <v>#NAME?</v>
      </c>
      <c r="T67" s="30" t="e">
        <f ca="1">IF($B67="","",_xll.BDP($A67&amp;" Corp",T$5))</f>
        <v>#NAME?</v>
      </c>
      <c r="U67" s="30" t="e">
        <f ca="1">IF($B67="","",_xll.BDP($A67&amp;" Corp",U$5))</f>
        <v>#NAME?</v>
      </c>
      <c r="V67" s="51" t="e">
        <f ca="1">IF($B67="","",IF($T67="VARIABLE",_xll.BDP($A67&amp;" Corp",V$4),_xll.BDP($A67&amp;" Corp",V$5)))</f>
        <v>#NAME?</v>
      </c>
      <c r="W67" s="30" t="e">
        <f ca="1">IF($B67="","",IF($T67="VARIABLE",_xll.BDP($A67&amp;" Corp",W$4),_xll.BDP($A67&amp;" Corp",W$5)))</f>
        <v>#NAME?</v>
      </c>
      <c r="X67" s="30" t="e">
        <f ca="1">IF($B67="","",_xll.BDP($A67&amp;" Corp",X$5))</f>
        <v>#NAME?</v>
      </c>
      <c r="Y67" s="33" t="e">
        <f ca="1">IF($B67="","",_xll.BDP($A67&amp;" Corp",Y$5))</f>
        <v>#NAME?</v>
      </c>
      <c r="Z67" s="52" t="e">
        <f ca="1">IF($B67="","",_xll.BDP($A67&amp;" Corp",Z$5))</f>
        <v>#NAME?</v>
      </c>
      <c r="AA67" s="53" t="e">
        <f ca="1">IF($B67="","",_xll.BDP($A67&amp;" Corp",AA$5))</f>
        <v>#NAME?</v>
      </c>
      <c r="AB67" s="54" t="e">
        <f ca="1">IF($B67="","",_xll.BDP($A67&amp;" Corp",AB$5))</f>
        <v>#NAME?</v>
      </c>
      <c r="AC67" s="54" t="e">
        <f ca="1">IF($B67="","",_xll.BDP($A67&amp;" Corp",AC$5))</f>
        <v>#NAME?</v>
      </c>
      <c r="AD67" s="55" t="e">
        <f ca="1">IF($B67="","",_xll.BDP($A67&amp;" Corp",AD$5))</f>
        <v>#NAME?</v>
      </c>
      <c r="AE67" s="56" t="e">
        <f ca="1">IF($B67="","",_xll.BDP($A67&amp;" Corp",AE$5))</f>
        <v>#NAME?</v>
      </c>
      <c r="AF67" s="29" t="e">
        <f ca="1">IF($B67="","",_xll.BDP($A67&amp;" Corp",AF$5))</f>
        <v>#NAME?</v>
      </c>
      <c r="AG67" s="33" t="e">
        <f ca="1">IF($B67="","",_xll.BDP($A67&amp;" Corp",AG$5))</f>
        <v>#NAME?</v>
      </c>
      <c r="AH67" s="30" t="e">
        <f ca="1">IF($B67="","",_xll.BDP($A67&amp;" Corp",AH$5))</f>
        <v>#NAME?</v>
      </c>
      <c r="AI67" s="30" t="e">
        <f ca="1">IF($B67="","",_xll.BDP($A67&amp;" Corp",AI$5))</f>
        <v>#NAME?</v>
      </c>
      <c r="AJ67" s="30" t="e">
        <f ca="1">IF($B67="","",_xll.BDP($A67&amp;" Corp",AJ$5))</f>
        <v>#NAME?</v>
      </c>
      <c r="AK67" s="11" t="e">
        <f ca="1">IF($B67="","",_xll.BDP($A67&amp;" Corp",AK$5))</f>
        <v>#NAME?</v>
      </c>
      <c r="AL67" s="11" t="e">
        <f ca="1">IF($B67="","",_xll.BDP($A67&amp;" Corp",AL$5))</f>
        <v>#NAME?</v>
      </c>
      <c r="AM67" s="11">
        <v>1</v>
      </c>
      <c r="AN67" s="57">
        <v>1</v>
      </c>
    </row>
    <row r="68" spans="1:40" x14ac:dyDescent="0.3">
      <c r="A68" s="67" t="s">
        <v>452</v>
      </c>
      <c r="B68" s="68" t="s">
        <v>452</v>
      </c>
      <c r="C68" s="75">
        <v>9897</v>
      </c>
      <c r="D68" s="75">
        <v>128</v>
      </c>
      <c r="E68" s="75">
        <v>100000</v>
      </c>
      <c r="F68" s="69">
        <v>8.0794060000000001E-2</v>
      </c>
      <c r="G68" s="70">
        <v>105010</v>
      </c>
      <c r="H68" s="67">
        <v>100000</v>
      </c>
      <c r="I68" s="67">
        <v>8.0794060000000001E-2</v>
      </c>
      <c r="J68" s="67">
        <v>105010</v>
      </c>
      <c r="K68" s="71">
        <v>105.01</v>
      </c>
      <c r="L68" s="29" t="e">
        <f ca="1">IF(B68="","",_xll.BDP(A68&amp;" Corp","INTERVAL_HIGH","START_DATE_OVERRIDE",TEXT($L$3,"AAAAMMDD"),"END_DATE_OVERRIDE",TEXT($L$4,"AAAAMMDD"),"MARKET_DATA_OVERRIDE",$L$5))</f>
        <v>#NAME?</v>
      </c>
      <c r="M68" s="30" t="e">
        <f ca="1">IF(B68="","",_xll.BDP($A68&amp;" Corp","INTERVAL_LOW","START_DATE_OVERRIDE",TEXT($L$3,"AAAAMMDD"),"END_DATE_OVERRIDE",TEXT($L$4,"AAAAMMDD"),"MARKET_DATA_OVERRIDE",$L$5))</f>
        <v>#NAME?</v>
      </c>
      <c r="N68" s="31" t="s">
        <v>831</v>
      </c>
      <c r="O68" s="32" t="e">
        <f ca="1">IF($B68="","",_xll.BDP($A68&amp;" Corp",O$6))</f>
        <v>#NAME?</v>
      </c>
      <c r="P68" s="32" t="e">
        <f ca="1">IF($B68="","",_xll.BDP($A68&amp;" Corp",P$6))</f>
        <v>#NAME?</v>
      </c>
      <c r="Q68" s="30" t="e">
        <f ca="1">IF($B68="","",_xll.BDP($A68&amp;" Corp",Q$5))</f>
        <v>#NAME?</v>
      </c>
      <c r="R68" s="30" t="e">
        <f ca="1">IF($B68="","",_xll.BDP($A68&amp;" Corp",R$5))</f>
        <v>#NAME?</v>
      </c>
      <c r="S68" s="50" t="e">
        <f ca="1">IF($B68="","",_xll.BDP($A68&amp;" Corp",S$5))</f>
        <v>#NAME?</v>
      </c>
      <c r="T68" s="30" t="e">
        <f ca="1">IF($B68="","",_xll.BDP($A68&amp;" Corp",T$5))</f>
        <v>#NAME?</v>
      </c>
      <c r="U68" s="30" t="e">
        <f ca="1">IF($B68="","",_xll.BDP($A68&amp;" Corp",U$5))</f>
        <v>#NAME?</v>
      </c>
      <c r="V68" s="51" t="e">
        <f ca="1">IF($B68="","",IF($T68="VARIABLE",_xll.BDP($A68&amp;" Corp",V$4),_xll.BDP($A68&amp;" Corp",V$5)))</f>
        <v>#NAME?</v>
      </c>
      <c r="W68" s="30" t="e">
        <f ca="1">IF($B68="","",IF($T68="VARIABLE",_xll.BDP($A68&amp;" Corp",W$4),_xll.BDP($A68&amp;" Corp",W$5)))</f>
        <v>#NAME?</v>
      </c>
      <c r="X68" s="30" t="e">
        <f ca="1">IF($B68="","",_xll.BDP($A68&amp;" Corp",X$5))</f>
        <v>#NAME?</v>
      </c>
      <c r="Y68" s="33" t="e">
        <f ca="1">IF($B68="","",_xll.BDP($A68&amp;" Corp",Y$5))</f>
        <v>#NAME?</v>
      </c>
      <c r="Z68" s="52" t="e">
        <f ca="1">IF($B68="","",_xll.BDP($A68&amp;" Corp",Z$5))</f>
        <v>#NAME?</v>
      </c>
      <c r="AA68" s="53" t="e">
        <f ca="1">IF($B68="","",_xll.BDP($A68&amp;" Corp",AA$5))</f>
        <v>#NAME?</v>
      </c>
      <c r="AB68" s="54" t="e">
        <f ca="1">IF($B68="","",_xll.BDP($A68&amp;" Corp",AB$5))</f>
        <v>#NAME?</v>
      </c>
      <c r="AC68" s="54" t="e">
        <f ca="1">IF($B68="","",_xll.BDP($A68&amp;" Corp",AC$5))</f>
        <v>#NAME?</v>
      </c>
      <c r="AD68" s="55" t="e">
        <f ca="1">IF($B68="","",_xll.BDP($A68&amp;" Corp",AD$5))</f>
        <v>#NAME?</v>
      </c>
      <c r="AE68" s="56" t="e">
        <f ca="1">IF($B68="","",_xll.BDP($A68&amp;" Corp",AE$5))</f>
        <v>#NAME?</v>
      </c>
      <c r="AF68" s="29" t="e">
        <f ca="1">IF($B68="","",_xll.BDP($A68&amp;" Corp",AF$5))</f>
        <v>#NAME?</v>
      </c>
      <c r="AG68" s="33" t="e">
        <f ca="1">IF($B68="","",_xll.BDP($A68&amp;" Corp",AG$5))</f>
        <v>#NAME?</v>
      </c>
      <c r="AH68" s="30" t="e">
        <f ca="1">IF($B68="","",_xll.BDP($A68&amp;" Corp",AH$5))</f>
        <v>#NAME?</v>
      </c>
      <c r="AI68" s="30" t="e">
        <f ca="1">IF($B68="","",_xll.BDP($A68&amp;" Corp",AI$5))</f>
        <v>#NAME?</v>
      </c>
      <c r="AJ68" s="30" t="e">
        <f ca="1">IF($B68="","",_xll.BDP($A68&amp;" Corp",AJ$5))</f>
        <v>#NAME?</v>
      </c>
      <c r="AK68" s="11" t="e">
        <f ca="1">IF($B68="","",_xll.BDP($A68&amp;" Corp",AK$5))</f>
        <v>#NAME?</v>
      </c>
      <c r="AL68" s="11" t="e">
        <f ca="1">IF($B68="","",_xll.BDP($A68&amp;" Corp",AL$5))</f>
        <v>#NAME?</v>
      </c>
      <c r="AM68" s="11">
        <v>1</v>
      </c>
      <c r="AN68" s="57">
        <v>1</v>
      </c>
    </row>
    <row r="69" spans="1:40" x14ac:dyDescent="0.3">
      <c r="A69" s="67" t="s">
        <v>269</v>
      </c>
      <c r="B69" s="68" t="s">
        <v>269</v>
      </c>
      <c r="C69" s="75">
        <v>6512</v>
      </c>
      <c r="D69" s="75">
        <v>128</v>
      </c>
      <c r="E69" s="75">
        <v>172794.7</v>
      </c>
      <c r="F69" s="69">
        <v>0.15346788</v>
      </c>
      <c r="G69" s="70">
        <v>203307</v>
      </c>
      <c r="H69" s="67">
        <v>172794.7</v>
      </c>
      <c r="I69" s="67">
        <v>0.15346788</v>
      </c>
      <c r="J69" s="67">
        <v>203307</v>
      </c>
      <c r="K69" s="71">
        <v>117.6581226160293</v>
      </c>
      <c r="L69" s="29" t="e">
        <f ca="1">IF(B69="","",_xll.BDP(A69&amp;" Corp","INTERVAL_HIGH","START_DATE_OVERRIDE",TEXT($L$3,"AAAAMMDD"),"END_DATE_OVERRIDE",TEXT($L$4,"AAAAMMDD"),"MARKET_DATA_OVERRIDE",$L$5))</f>
        <v>#NAME?</v>
      </c>
      <c r="M69" s="30" t="e">
        <f ca="1">IF(B69="","",_xll.BDP($A69&amp;" Corp","INTERVAL_LOW","START_DATE_OVERRIDE",TEXT($L$3,"AAAAMMDD"),"END_DATE_OVERRIDE",TEXT($L$4,"AAAAMMDD"),"MARKET_DATA_OVERRIDE",$L$5))</f>
        <v>#NAME?</v>
      </c>
      <c r="N69" s="31" t="s">
        <v>832</v>
      </c>
      <c r="O69" s="32" t="e">
        <f ca="1">IF($B69="","",_xll.BDP($A69&amp;" Corp",O$6))</f>
        <v>#NAME?</v>
      </c>
      <c r="P69" s="32" t="e">
        <f ca="1">IF($B69="","",_xll.BDP($A69&amp;" Corp",P$6))</f>
        <v>#NAME?</v>
      </c>
      <c r="Q69" s="30" t="e">
        <f ca="1">IF($B69="","",_xll.BDP($A69&amp;" Corp",Q$5))</f>
        <v>#NAME?</v>
      </c>
      <c r="R69" s="30" t="e">
        <f ca="1">IF($B69="","",_xll.BDP($A69&amp;" Corp",R$5))</f>
        <v>#NAME?</v>
      </c>
      <c r="S69" s="50" t="e">
        <f ca="1">IF($B69="","",_xll.BDP($A69&amp;" Corp",S$5))</f>
        <v>#NAME?</v>
      </c>
      <c r="T69" s="30" t="e">
        <f ca="1">IF($B69="","",_xll.BDP($A69&amp;" Corp",T$5))</f>
        <v>#NAME?</v>
      </c>
      <c r="U69" s="30" t="e">
        <f ca="1">IF($B69="","",_xll.BDP($A69&amp;" Corp",U$5))</f>
        <v>#NAME?</v>
      </c>
      <c r="V69" s="51" t="e">
        <f ca="1">IF($B69="","",IF($T69="VARIABLE",_xll.BDP($A69&amp;" Corp",V$4),_xll.BDP($A69&amp;" Corp",V$5)))</f>
        <v>#NAME?</v>
      </c>
      <c r="W69" s="30" t="e">
        <f ca="1">IF($B69="","",IF($T69="VARIABLE",_xll.BDP($A69&amp;" Corp",W$4),_xll.BDP($A69&amp;" Corp",W$5)))</f>
        <v>#NAME?</v>
      </c>
      <c r="X69" s="30" t="e">
        <f ca="1">IF($B69="","",_xll.BDP($A69&amp;" Corp",X$5))</f>
        <v>#NAME?</v>
      </c>
      <c r="Y69" s="33" t="e">
        <f ca="1">IF($B69="","",_xll.BDP($A69&amp;" Corp",Y$5))</f>
        <v>#NAME?</v>
      </c>
      <c r="Z69" s="52" t="e">
        <f ca="1">IF($B69="","",_xll.BDP($A69&amp;" Corp",Z$5))</f>
        <v>#NAME?</v>
      </c>
      <c r="AA69" s="53" t="e">
        <f ca="1">IF($B69="","",_xll.BDP($A69&amp;" Corp",AA$5))</f>
        <v>#NAME?</v>
      </c>
      <c r="AB69" s="54" t="e">
        <f ca="1">IF($B69="","",_xll.BDP($A69&amp;" Corp",AB$5))</f>
        <v>#NAME?</v>
      </c>
      <c r="AC69" s="54" t="e">
        <f ca="1">IF($B69="","",_xll.BDP($A69&amp;" Corp",AC$5))</f>
        <v>#NAME?</v>
      </c>
      <c r="AD69" s="55" t="e">
        <f ca="1">IF($B69="","",_xll.BDP($A69&amp;" Corp",AD$5))</f>
        <v>#NAME?</v>
      </c>
      <c r="AE69" s="56" t="e">
        <f ca="1">IF($B69="","",_xll.BDP($A69&amp;" Corp",AE$5))</f>
        <v>#NAME?</v>
      </c>
      <c r="AF69" s="29" t="e">
        <f ca="1">IF($B69="","",_xll.BDP($A69&amp;" Corp",AF$5))</f>
        <v>#NAME?</v>
      </c>
      <c r="AG69" s="33" t="e">
        <f ca="1">IF($B69="","",_xll.BDP($A69&amp;" Corp",AG$5))</f>
        <v>#NAME?</v>
      </c>
      <c r="AH69" s="30" t="e">
        <f ca="1">IF($B69="","",_xll.BDP($A69&amp;" Corp",AH$5))</f>
        <v>#NAME?</v>
      </c>
      <c r="AI69" s="30" t="e">
        <f ca="1">IF($B69="","",_xll.BDP($A69&amp;" Corp",AI$5))</f>
        <v>#NAME?</v>
      </c>
      <c r="AJ69" s="30" t="e">
        <f ca="1">IF($B69="","",_xll.BDP($A69&amp;" Corp",AJ$5))</f>
        <v>#NAME?</v>
      </c>
      <c r="AK69" s="11" t="e">
        <f ca="1">IF($B69="","",_xll.BDP($A69&amp;" Corp",AK$5))</f>
        <v>#NAME?</v>
      </c>
      <c r="AL69" s="11" t="e">
        <f ca="1">IF($B69="","",_xll.BDP($A69&amp;" Corp",AL$5))</f>
        <v>#NAME?</v>
      </c>
      <c r="AM69" s="11">
        <v>3</v>
      </c>
      <c r="AN69" s="57">
        <v>2</v>
      </c>
    </row>
    <row r="70" spans="1:40" x14ac:dyDescent="0.3">
      <c r="A70" s="67" t="s">
        <v>330</v>
      </c>
      <c r="B70" s="68" t="s">
        <v>330</v>
      </c>
      <c r="C70" s="75">
        <v>9260</v>
      </c>
      <c r="D70" s="75">
        <v>128</v>
      </c>
      <c r="E70" s="75">
        <v>400000</v>
      </c>
      <c r="F70" s="69">
        <v>0.30473265999999999</v>
      </c>
      <c r="G70" s="70">
        <v>415304</v>
      </c>
      <c r="H70" s="67">
        <v>400000</v>
      </c>
      <c r="I70" s="67">
        <v>0.30473265999999999</v>
      </c>
      <c r="J70" s="67">
        <v>415304</v>
      </c>
      <c r="K70" s="71">
        <v>103.82599999999999</v>
      </c>
      <c r="L70" s="29" t="e">
        <f ca="1">IF(B70="","",_xll.BDP(A70&amp;" Corp","INTERVAL_HIGH","START_DATE_OVERRIDE",TEXT($L$3,"AAAAMMDD"),"END_DATE_OVERRIDE",TEXT($L$4,"AAAAMMDD"),"MARKET_DATA_OVERRIDE",$L$5))</f>
        <v>#NAME?</v>
      </c>
      <c r="M70" s="30" t="e">
        <f ca="1">IF(B70="","",_xll.BDP($A70&amp;" Corp","INTERVAL_LOW","START_DATE_OVERRIDE",TEXT($L$3,"AAAAMMDD"),"END_DATE_OVERRIDE",TEXT($L$4,"AAAAMMDD"),"MARKET_DATA_OVERRIDE",$L$5))</f>
        <v>#NAME?</v>
      </c>
      <c r="N70" s="31" t="s">
        <v>833</v>
      </c>
      <c r="O70" s="32" t="e">
        <f ca="1">IF($B70="","",_xll.BDP($A70&amp;" Corp",O$6))</f>
        <v>#NAME?</v>
      </c>
      <c r="P70" s="32" t="e">
        <f ca="1">IF($B70="","",_xll.BDP($A70&amp;" Corp",P$6))</f>
        <v>#NAME?</v>
      </c>
      <c r="Q70" s="30" t="e">
        <f ca="1">IF($B70="","",_xll.BDP($A70&amp;" Corp",Q$5))</f>
        <v>#NAME?</v>
      </c>
      <c r="R70" s="30" t="e">
        <f ca="1">IF($B70="","",_xll.BDP($A70&amp;" Corp",R$5))</f>
        <v>#NAME?</v>
      </c>
      <c r="S70" s="50" t="e">
        <f ca="1">IF($B70="","",_xll.BDP($A70&amp;" Corp",S$5))</f>
        <v>#NAME?</v>
      </c>
      <c r="T70" s="30" t="e">
        <f ca="1">IF($B70="","",_xll.BDP($A70&amp;" Corp",T$5))</f>
        <v>#NAME?</v>
      </c>
      <c r="U70" s="30" t="e">
        <f ca="1">IF($B70="","",_xll.BDP($A70&amp;" Corp",U$5))</f>
        <v>#NAME?</v>
      </c>
      <c r="V70" s="51" t="e">
        <f ca="1">IF($B70="","",IF($T70="VARIABLE",_xll.BDP($A70&amp;" Corp",V$4),_xll.BDP($A70&amp;" Corp",V$5)))</f>
        <v>#NAME?</v>
      </c>
      <c r="W70" s="30" t="e">
        <f ca="1">IF($B70="","",IF($T70="VARIABLE",_xll.BDP($A70&amp;" Corp",W$4),_xll.BDP($A70&amp;" Corp",W$5)))</f>
        <v>#NAME?</v>
      </c>
      <c r="X70" s="30" t="e">
        <f ca="1">IF($B70="","",_xll.BDP($A70&amp;" Corp",X$5))</f>
        <v>#NAME?</v>
      </c>
      <c r="Y70" s="33" t="e">
        <f ca="1">IF($B70="","",_xll.BDP($A70&amp;" Corp",Y$5))</f>
        <v>#NAME?</v>
      </c>
      <c r="Z70" s="52" t="e">
        <f ca="1">IF($B70="","",_xll.BDP($A70&amp;" Corp",Z$5))</f>
        <v>#NAME?</v>
      </c>
      <c r="AA70" s="53" t="e">
        <f ca="1">IF($B70="","",_xll.BDP($A70&amp;" Corp",AA$5))</f>
        <v>#NAME?</v>
      </c>
      <c r="AB70" s="54" t="e">
        <f ca="1">IF($B70="","",_xll.BDP($A70&amp;" Corp",AB$5))</f>
        <v>#NAME?</v>
      </c>
      <c r="AC70" s="54" t="e">
        <f ca="1">IF($B70="","",_xll.BDP($A70&amp;" Corp",AC$5))</f>
        <v>#NAME?</v>
      </c>
      <c r="AD70" s="55" t="e">
        <f ca="1">IF($B70="","",_xll.BDP($A70&amp;" Corp",AD$5))</f>
        <v>#NAME?</v>
      </c>
      <c r="AE70" s="56" t="e">
        <f ca="1">IF($B70="","",_xll.BDP($A70&amp;" Corp",AE$5))</f>
        <v>#NAME?</v>
      </c>
      <c r="AF70" s="29" t="e">
        <f ca="1">IF($B70="","",_xll.BDP($A70&amp;" Corp",AF$5))</f>
        <v>#NAME?</v>
      </c>
      <c r="AG70" s="33" t="e">
        <f ca="1">IF($B70="","",_xll.BDP($A70&amp;" Corp",AG$5))</f>
        <v>#NAME?</v>
      </c>
      <c r="AH70" s="30" t="e">
        <f ca="1">IF($B70="","",_xll.BDP($A70&amp;" Corp",AH$5))</f>
        <v>#NAME?</v>
      </c>
      <c r="AI70" s="30" t="e">
        <f ca="1">IF($B70="","",_xll.BDP($A70&amp;" Corp",AI$5))</f>
        <v>#NAME?</v>
      </c>
      <c r="AJ70" s="30" t="e">
        <f ca="1">IF($B70="","",_xll.BDP($A70&amp;" Corp",AJ$5))</f>
        <v>#NAME?</v>
      </c>
      <c r="AK70" s="11" t="e">
        <f ca="1">IF($B70="","",_xll.BDP($A70&amp;" Corp",AK$5))</f>
        <v>#NAME?</v>
      </c>
      <c r="AL70" s="11" t="e">
        <f ca="1">IF($B70="","",_xll.BDP($A70&amp;" Corp",AL$5))</f>
        <v>#NAME?</v>
      </c>
      <c r="AM70" s="11">
        <v>3</v>
      </c>
      <c r="AN70" s="57">
        <v>3</v>
      </c>
    </row>
    <row r="71" spans="1:40" x14ac:dyDescent="0.3">
      <c r="A71" s="67" t="s">
        <v>536</v>
      </c>
      <c r="B71" s="68" t="s">
        <v>536</v>
      </c>
      <c r="C71" s="75">
        <v>7068</v>
      </c>
      <c r="D71" s="75">
        <v>128</v>
      </c>
      <c r="E71" s="75">
        <v>300000</v>
      </c>
      <c r="F71" s="69">
        <v>0.21981965000000001</v>
      </c>
      <c r="G71" s="70">
        <v>335055</v>
      </c>
      <c r="H71" s="67">
        <v>300000</v>
      </c>
      <c r="I71" s="67">
        <v>0.21981965000000001</v>
      </c>
      <c r="J71" s="67">
        <v>335055</v>
      </c>
      <c r="K71" s="71">
        <v>111.685</v>
      </c>
      <c r="L71" s="29" t="e">
        <f ca="1">IF(B71="","",_xll.BDP(A71&amp;" Corp","INTERVAL_HIGH","START_DATE_OVERRIDE",TEXT($L$3,"AAAAMMDD"),"END_DATE_OVERRIDE",TEXT($L$4,"AAAAMMDD"),"MARKET_DATA_OVERRIDE",$L$5))</f>
        <v>#NAME?</v>
      </c>
      <c r="M71" s="30" t="e">
        <f ca="1">IF(B71="","",_xll.BDP($A71&amp;" Corp","INTERVAL_LOW","START_DATE_OVERRIDE",TEXT($L$3,"AAAAMMDD"),"END_DATE_OVERRIDE",TEXT($L$4,"AAAAMMDD"),"MARKET_DATA_OVERRIDE",$L$5))</f>
        <v>#NAME?</v>
      </c>
      <c r="N71" s="31" t="s">
        <v>834</v>
      </c>
      <c r="O71" s="32" t="e">
        <f ca="1">IF($B71="","",_xll.BDP($A71&amp;" Corp",O$6))</f>
        <v>#NAME?</v>
      </c>
      <c r="P71" s="32" t="e">
        <f ca="1">IF($B71="","",_xll.BDP($A71&amp;" Corp",P$6))</f>
        <v>#NAME?</v>
      </c>
      <c r="Q71" s="30" t="e">
        <f ca="1">IF($B71="","",_xll.BDP($A71&amp;" Corp",Q$5))</f>
        <v>#NAME?</v>
      </c>
      <c r="R71" s="30" t="e">
        <f ca="1">IF($B71="","",_xll.BDP($A71&amp;" Corp",R$5))</f>
        <v>#NAME?</v>
      </c>
      <c r="S71" s="50" t="e">
        <f ca="1">IF($B71="","",_xll.BDP($A71&amp;" Corp",S$5))</f>
        <v>#NAME?</v>
      </c>
      <c r="T71" s="30" t="e">
        <f ca="1">IF($B71="","",_xll.BDP($A71&amp;" Corp",T$5))</f>
        <v>#NAME?</v>
      </c>
      <c r="U71" s="30" t="e">
        <f ca="1">IF($B71="","",_xll.BDP($A71&amp;" Corp",U$5))</f>
        <v>#NAME?</v>
      </c>
      <c r="V71" s="51" t="e">
        <f ca="1">IF($B71="","",IF($T71="VARIABLE",_xll.BDP($A71&amp;" Corp",V$4),_xll.BDP($A71&amp;" Corp",V$5)))</f>
        <v>#NAME?</v>
      </c>
      <c r="W71" s="30" t="e">
        <f ca="1">IF($B71="","",IF($T71="VARIABLE",_xll.BDP($A71&amp;" Corp",W$4),_xll.BDP($A71&amp;" Corp",W$5)))</f>
        <v>#NAME?</v>
      </c>
      <c r="X71" s="30" t="e">
        <f ca="1">IF($B71="","",_xll.BDP($A71&amp;" Corp",X$5))</f>
        <v>#NAME?</v>
      </c>
      <c r="Y71" s="33" t="e">
        <f ca="1">IF($B71="","",_xll.BDP($A71&amp;" Corp",Y$5))</f>
        <v>#NAME?</v>
      </c>
      <c r="Z71" s="52" t="e">
        <f ca="1">IF($B71="","",_xll.BDP($A71&amp;" Corp",Z$5))</f>
        <v>#NAME?</v>
      </c>
      <c r="AA71" s="53" t="e">
        <f ca="1">IF($B71="","",_xll.BDP($A71&amp;" Corp",AA$5))</f>
        <v>#NAME?</v>
      </c>
      <c r="AB71" s="54" t="e">
        <f ca="1">IF($B71="","",_xll.BDP($A71&amp;" Corp",AB$5))</f>
        <v>#NAME?</v>
      </c>
      <c r="AC71" s="54" t="e">
        <f ca="1">IF($B71="","",_xll.BDP($A71&amp;" Corp",AC$5))</f>
        <v>#NAME?</v>
      </c>
      <c r="AD71" s="55" t="e">
        <f ca="1">IF($B71="","",_xll.BDP($A71&amp;" Corp",AD$5))</f>
        <v>#NAME?</v>
      </c>
      <c r="AE71" s="56" t="e">
        <f ca="1">IF($B71="","",_xll.BDP($A71&amp;" Corp",AE$5))</f>
        <v>#NAME?</v>
      </c>
      <c r="AF71" s="29" t="e">
        <f ca="1">IF($B71="","",_xll.BDP($A71&amp;" Corp",AF$5))</f>
        <v>#NAME?</v>
      </c>
      <c r="AG71" s="33" t="e">
        <f ca="1">IF($B71="","",_xll.BDP($A71&amp;" Corp",AG$5))</f>
        <v>#NAME?</v>
      </c>
      <c r="AH71" s="30" t="e">
        <f ca="1">IF($B71="","",_xll.BDP($A71&amp;" Corp",AH$5))</f>
        <v>#NAME?</v>
      </c>
      <c r="AI71" s="30" t="e">
        <f ca="1">IF($B71="","",_xll.BDP($A71&amp;" Corp",AI$5))</f>
        <v>#NAME?</v>
      </c>
      <c r="AJ71" s="30" t="e">
        <f ca="1">IF($B71="","",_xll.BDP($A71&amp;" Corp",AJ$5))</f>
        <v>#NAME?</v>
      </c>
      <c r="AK71" s="11" t="e">
        <f ca="1">IF($B71="","",_xll.BDP($A71&amp;" Corp",AK$5))</f>
        <v>#NAME?</v>
      </c>
      <c r="AL71" s="11" t="e">
        <f ca="1">IF($B71="","",_xll.BDP($A71&amp;" Corp",AL$5))</f>
        <v>#NAME?</v>
      </c>
      <c r="AM71" s="11">
        <v>5</v>
      </c>
      <c r="AN71" s="57">
        <v>5</v>
      </c>
    </row>
    <row r="72" spans="1:40" x14ac:dyDescent="0.3">
      <c r="A72" s="67" t="s">
        <v>248</v>
      </c>
      <c r="B72" s="68" t="s">
        <v>248</v>
      </c>
      <c r="C72" s="75">
        <v>3472</v>
      </c>
      <c r="D72" s="75">
        <v>128</v>
      </c>
      <c r="E72" s="75">
        <v>100000</v>
      </c>
      <c r="F72" s="69">
        <v>8.1796320000000006E-2</v>
      </c>
      <c r="G72" s="70">
        <v>98792</v>
      </c>
      <c r="H72" s="67">
        <v>100000</v>
      </c>
      <c r="I72" s="67">
        <v>8.1796320000000006E-2</v>
      </c>
      <c r="J72" s="67">
        <v>98792</v>
      </c>
      <c r="K72" s="71">
        <v>98.792000000000002</v>
      </c>
      <c r="L72" s="29" t="e">
        <f ca="1">IF(B72="","",_xll.BDP(A72&amp;" Corp","INTERVAL_HIGH","START_DATE_OVERRIDE",TEXT($L$3,"AAAAMMDD"),"END_DATE_OVERRIDE",TEXT($L$4,"AAAAMMDD"),"MARKET_DATA_OVERRIDE",$L$5))</f>
        <v>#NAME?</v>
      </c>
      <c r="M72" s="30" t="e">
        <f ca="1">IF(B72="","",_xll.BDP($A72&amp;" Corp","INTERVAL_LOW","START_DATE_OVERRIDE",TEXT($L$3,"AAAAMMDD"),"END_DATE_OVERRIDE",TEXT($L$4,"AAAAMMDD"),"MARKET_DATA_OVERRIDE",$L$5))</f>
        <v>#NAME?</v>
      </c>
      <c r="N72" s="31" t="s">
        <v>835</v>
      </c>
      <c r="O72" s="32" t="e">
        <f ca="1">IF($B72="","",_xll.BDP($A72&amp;" Corp",O$6))</f>
        <v>#NAME?</v>
      </c>
      <c r="P72" s="32" t="e">
        <f ca="1">IF($B72="","",_xll.BDP($A72&amp;" Corp",P$6))</f>
        <v>#NAME?</v>
      </c>
      <c r="Q72" s="30" t="e">
        <f ca="1">IF($B72="","",_xll.BDP($A72&amp;" Corp",Q$5))</f>
        <v>#NAME?</v>
      </c>
      <c r="R72" s="30" t="e">
        <f ca="1">IF($B72="","",_xll.BDP($A72&amp;" Corp",R$5))</f>
        <v>#NAME?</v>
      </c>
      <c r="S72" s="50" t="e">
        <f ca="1">IF($B72="","",_xll.BDP($A72&amp;" Corp",S$5))</f>
        <v>#NAME?</v>
      </c>
      <c r="T72" s="30" t="e">
        <f ca="1">IF($B72="","",_xll.BDP($A72&amp;" Corp",T$5))</f>
        <v>#NAME?</v>
      </c>
      <c r="U72" s="30" t="e">
        <f ca="1">IF($B72="","",_xll.BDP($A72&amp;" Corp",U$5))</f>
        <v>#NAME?</v>
      </c>
      <c r="V72" s="51" t="e">
        <f ca="1">IF($B72="","",IF($T72="VARIABLE",_xll.BDP($A72&amp;" Corp",V$4),_xll.BDP($A72&amp;" Corp",V$5)))</f>
        <v>#NAME?</v>
      </c>
      <c r="W72" s="30" t="e">
        <f ca="1">IF($B72="","",IF($T72="VARIABLE",_xll.BDP($A72&amp;" Corp",W$4),_xll.BDP($A72&amp;" Corp",W$5)))</f>
        <v>#NAME?</v>
      </c>
      <c r="X72" s="30" t="e">
        <f ca="1">IF($B72="","",_xll.BDP($A72&amp;" Corp",X$5))</f>
        <v>#NAME?</v>
      </c>
      <c r="Y72" s="33" t="e">
        <f ca="1">IF($B72="","",_xll.BDP($A72&amp;" Corp",Y$5))</f>
        <v>#NAME?</v>
      </c>
      <c r="Z72" s="52" t="e">
        <f ca="1">IF($B72="","",_xll.BDP($A72&amp;" Corp",Z$5))</f>
        <v>#NAME?</v>
      </c>
      <c r="AA72" s="53" t="e">
        <f ca="1">IF($B72="","",_xll.BDP($A72&amp;" Corp",AA$5))</f>
        <v>#NAME?</v>
      </c>
      <c r="AB72" s="54" t="e">
        <f ca="1">IF($B72="","",_xll.BDP($A72&amp;" Corp",AB$5))</f>
        <v>#NAME?</v>
      </c>
      <c r="AC72" s="54" t="e">
        <f ca="1">IF($B72="","",_xll.BDP($A72&amp;" Corp",AC$5))</f>
        <v>#NAME?</v>
      </c>
      <c r="AD72" s="55" t="e">
        <f ca="1">IF($B72="","",_xll.BDP($A72&amp;" Corp",AD$5))</f>
        <v>#NAME?</v>
      </c>
      <c r="AE72" s="56" t="e">
        <f ca="1">IF($B72="","",_xll.BDP($A72&amp;" Corp",AE$5))</f>
        <v>#NAME?</v>
      </c>
      <c r="AF72" s="29" t="e">
        <f ca="1">IF($B72="","",_xll.BDP($A72&amp;" Corp",AF$5))</f>
        <v>#NAME?</v>
      </c>
      <c r="AG72" s="33" t="e">
        <f ca="1">IF($B72="","",_xll.BDP($A72&amp;" Corp",AG$5))</f>
        <v>#NAME?</v>
      </c>
      <c r="AH72" s="30" t="e">
        <f ca="1">IF($B72="","",_xll.BDP($A72&amp;" Corp",AH$5))</f>
        <v>#NAME?</v>
      </c>
      <c r="AI72" s="30" t="e">
        <f ca="1">IF($B72="","",_xll.BDP($A72&amp;" Corp",AI$5))</f>
        <v>#NAME?</v>
      </c>
      <c r="AJ72" s="30" t="e">
        <f ca="1">IF($B72="","",_xll.BDP($A72&amp;" Corp",AJ$5))</f>
        <v>#NAME?</v>
      </c>
      <c r="AK72" s="11" t="e">
        <f ca="1">IF($B72="","",_xll.BDP($A72&amp;" Corp",AK$5))</f>
        <v>#NAME?</v>
      </c>
      <c r="AL72" s="11" t="e">
        <f ca="1">IF($B72="","",_xll.BDP($A72&amp;" Corp",AL$5))</f>
        <v>#NAME?</v>
      </c>
      <c r="AM72" s="11">
        <v>1</v>
      </c>
      <c r="AN72" s="57">
        <v>0.3</v>
      </c>
    </row>
    <row r="73" spans="1:40" x14ac:dyDescent="0.3">
      <c r="A73" s="67" t="s">
        <v>279</v>
      </c>
      <c r="B73" s="68" t="s">
        <v>279</v>
      </c>
      <c r="C73" s="75">
        <v>3598</v>
      </c>
      <c r="D73" s="75">
        <v>128</v>
      </c>
      <c r="E73" s="75">
        <v>100000</v>
      </c>
      <c r="F73" s="69">
        <v>8.0149230000000002E-2</v>
      </c>
      <c r="G73" s="70">
        <v>107294</v>
      </c>
      <c r="H73" s="67">
        <v>100000</v>
      </c>
      <c r="I73" s="67">
        <v>8.0149230000000002E-2</v>
      </c>
      <c r="J73" s="67">
        <v>107294</v>
      </c>
      <c r="K73" s="71">
        <v>107.294</v>
      </c>
      <c r="L73" s="29" t="e">
        <f ca="1">IF(B73="","",_xll.BDP(A73&amp;" Corp","INTERVAL_HIGH","START_DATE_OVERRIDE",TEXT($L$3,"AAAAMMDD"),"END_DATE_OVERRIDE",TEXT($L$4,"AAAAMMDD"),"MARKET_DATA_OVERRIDE",$L$5))</f>
        <v>#NAME?</v>
      </c>
      <c r="M73" s="30" t="e">
        <f ca="1">IF(B73="","",_xll.BDP($A73&amp;" Corp","INTERVAL_LOW","START_DATE_OVERRIDE",TEXT($L$3,"AAAAMMDD"),"END_DATE_OVERRIDE",TEXT($L$4,"AAAAMMDD"),"MARKET_DATA_OVERRIDE",$L$5))</f>
        <v>#NAME?</v>
      </c>
      <c r="N73" s="31" t="s">
        <v>836</v>
      </c>
      <c r="O73" s="32" t="e">
        <f ca="1">IF($B73="","",_xll.BDP($A73&amp;" Corp",O$6))</f>
        <v>#NAME?</v>
      </c>
      <c r="P73" s="32" t="e">
        <f ca="1">IF($B73="","",_xll.BDP($A73&amp;" Corp",P$6))</f>
        <v>#NAME?</v>
      </c>
      <c r="Q73" s="30" t="e">
        <f ca="1">IF($B73="","",_xll.BDP($A73&amp;" Corp",Q$5))</f>
        <v>#NAME?</v>
      </c>
      <c r="R73" s="30" t="e">
        <f ca="1">IF($B73="","",_xll.BDP($A73&amp;" Corp",R$5))</f>
        <v>#NAME?</v>
      </c>
      <c r="S73" s="50" t="e">
        <f ca="1">IF($B73="","",_xll.BDP($A73&amp;" Corp",S$5))</f>
        <v>#NAME?</v>
      </c>
      <c r="T73" s="30" t="e">
        <f ca="1">IF($B73="","",_xll.BDP($A73&amp;" Corp",T$5))</f>
        <v>#NAME?</v>
      </c>
      <c r="U73" s="30" t="e">
        <f ca="1">IF($B73="","",_xll.BDP($A73&amp;" Corp",U$5))</f>
        <v>#NAME?</v>
      </c>
      <c r="V73" s="51" t="e">
        <f ca="1">IF($B73="","",IF($T73="VARIABLE",_xll.BDP($A73&amp;" Corp",V$4),_xll.BDP($A73&amp;" Corp",V$5)))</f>
        <v>#NAME?</v>
      </c>
      <c r="W73" s="30" t="e">
        <f ca="1">IF($B73="","",IF($T73="VARIABLE",_xll.BDP($A73&amp;" Corp",W$4),_xll.BDP($A73&amp;" Corp",W$5)))</f>
        <v>#NAME?</v>
      </c>
      <c r="X73" s="30" t="e">
        <f ca="1">IF($B73="","",_xll.BDP($A73&amp;" Corp",X$5))</f>
        <v>#NAME?</v>
      </c>
      <c r="Y73" s="33" t="e">
        <f ca="1">IF($B73="","",_xll.BDP($A73&amp;" Corp",Y$5))</f>
        <v>#NAME?</v>
      </c>
      <c r="Z73" s="52" t="e">
        <f ca="1">IF($B73="","",_xll.BDP($A73&amp;" Corp",Z$5))</f>
        <v>#NAME?</v>
      </c>
      <c r="AA73" s="53" t="e">
        <f ca="1">IF($B73="","",_xll.BDP($A73&amp;" Corp",AA$5))</f>
        <v>#NAME?</v>
      </c>
      <c r="AB73" s="54" t="e">
        <f ca="1">IF($B73="","",_xll.BDP($A73&amp;" Corp",AB$5))</f>
        <v>#NAME?</v>
      </c>
      <c r="AC73" s="54" t="e">
        <f ca="1">IF($B73="","",_xll.BDP($A73&amp;" Corp",AC$5))</f>
        <v>#NAME?</v>
      </c>
      <c r="AD73" s="55" t="e">
        <f ca="1">IF($B73="","",_xll.BDP($A73&amp;" Corp",AD$5))</f>
        <v>#NAME?</v>
      </c>
      <c r="AE73" s="56" t="e">
        <f ca="1">IF($B73="","",_xll.BDP($A73&amp;" Corp",AE$5))</f>
        <v>#NAME?</v>
      </c>
      <c r="AF73" s="29" t="e">
        <f ca="1">IF($B73="","",_xll.BDP($A73&amp;" Corp",AF$5))</f>
        <v>#NAME?</v>
      </c>
      <c r="AG73" s="33" t="e">
        <f ca="1">IF($B73="","",_xll.BDP($A73&amp;" Corp",AG$5))</f>
        <v>#NAME?</v>
      </c>
      <c r="AH73" s="30" t="e">
        <f ca="1">IF($B73="","",_xll.BDP($A73&amp;" Corp",AH$5))</f>
        <v>#NAME?</v>
      </c>
      <c r="AI73" s="30" t="e">
        <f ca="1">IF($B73="","",_xll.BDP($A73&amp;" Corp",AI$5))</f>
        <v>#NAME?</v>
      </c>
      <c r="AJ73" s="30" t="e">
        <f ca="1">IF($B73="","",_xll.BDP($A73&amp;" Corp",AJ$5))</f>
        <v>#NAME?</v>
      </c>
      <c r="AK73" s="11" t="e">
        <f ca="1">IF($B73="","",_xll.BDP($A73&amp;" Corp",AK$5))</f>
        <v>#NAME?</v>
      </c>
      <c r="AL73" s="11" t="e">
        <f ca="1">IF($B73="","",_xll.BDP($A73&amp;" Corp",AL$5))</f>
        <v>#NAME?</v>
      </c>
      <c r="AM73" s="11">
        <v>2</v>
      </c>
      <c r="AN73" s="57">
        <v>2</v>
      </c>
    </row>
    <row r="74" spans="1:40" x14ac:dyDescent="0.3">
      <c r="A74" s="67" t="s">
        <v>301</v>
      </c>
      <c r="B74" s="68" t="s">
        <v>301</v>
      </c>
      <c r="C74" s="75">
        <v>10263</v>
      </c>
      <c r="D74" s="75">
        <v>128</v>
      </c>
      <c r="E74" s="75">
        <v>100000</v>
      </c>
      <c r="F74" s="69">
        <v>8.0893720000000002E-2</v>
      </c>
      <c r="G74" s="70">
        <v>98461</v>
      </c>
      <c r="H74" s="67">
        <v>100000</v>
      </c>
      <c r="I74" s="67">
        <v>8.0893720000000002E-2</v>
      </c>
      <c r="J74" s="67">
        <v>98461</v>
      </c>
      <c r="K74" s="71">
        <v>98.460999999999999</v>
      </c>
      <c r="L74" s="29" t="e">
        <f ca="1">IF(B74="","",_xll.BDP(A74&amp;" Corp","INTERVAL_HIGH","START_DATE_OVERRIDE",TEXT($L$3,"AAAAMMDD"),"END_DATE_OVERRIDE",TEXT($L$4,"AAAAMMDD"),"MARKET_DATA_OVERRIDE",$L$5))</f>
        <v>#NAME?</v>
      </c>
      <c r="M74" s="30" t="e">
        <f ca="1">IF(B74="","",_xll.BDP($A74&amp;" Corp","INTERVAL_LOW","START_DATE_OVERRIDE",TEXT($L$3,"AAAAMMDD"),"END_DATE_OVERRIDE",TEXT($L$4,"AAAAMMDD"),"MARKET_DATA_OVERRIDE",$L$5))</f>
        <v>#NAME?</v>
      </c>
      <c r="N74" s="31" t="s">
        <v>837</v>
      </c>
      <c r="O74" s="32" t="e">
        <f ca="1">IF($B74="","",_xll.BDP($A74&amp;" Corp",O$6))</f>
        <v>#NAME?</v>
      </c>
      <c r="P74" s="32" t="e">
        <f ca="1">IF($B74="","",_xll.BDP($A74&amp;" Corp",P$6))</f>
        <v>#NAME?</v>
      </c>
      <c r="Q74" s="30" t="e">
        <f ca="1">IF($B74="","",_xll.BDP($A74&amp;" Corp",Q$5))</f>
        <v>#NAME?</v>
      </c>
      <c r="R74" s="30" t="e">
        <f ca="1">IF($B74="","",_xll.BDP($A74&amp;" Corp",R$5))</f>
        <v>#NAME?</v>
      </c>
      <c r="S74" s="50" t="e">
        <f ca="1">IF($B74="","",_xll.BDP($A74&amp;" Corp",S$5))</f>
        <v>#NAME?</v>
      </c>
      <c r="T74" s="30" t="e">
        <f ca="1">IF($B74="","",_xll.BDP($A74&amp;" Corp",T$5))</f>
        <v>#NAME?</v>
      </c>
      <c r="U74" s="30" t="e">
        <f ca="1">IF($B74="","",_xll.BDP($A74&amp;" Corp",U$5))</f>
        <v>#NAME?</v>
      </c>
      <c r="V74" s="51" t="e">
        <f ca="1">IF($B74="","",IF($T74="VARIABLE",_xll.BDP($A74&amp;" Corp",V$4),_xll.BDP($A74&amp;" Corp",V$5)))</f>
        <v>#NAME?</v>
      </c>
      <c r="W74" s="30" t="e">
        <f ca="1">IF($B74="","",IF($T74="VARIABLE",_xll.BDP($A74&amp;" Corp",W$4),_xll.BDP($A74&amp;" Corp",W$5)))</f>
        <v>#NAME?</v>
      </c>
      <c r="X74" s="30" t="e">
        <f ca="1">IF($B74="","",_xll.BDP($A74&amp;" Corp",X$5))</f>
        <v>#NAME?</v>
      </c>
      <c r="Y74" s="33" t="e">
        <f ca="1">IF($B74="","",_xll.BDP($A74&amp;" Corp",Y$5))</f>
        <v>#NAME?</v>
      </c>
      <c r="Z74" s="52" t="e">
        <f ca="1">IF($B74="","",_xll.BDP($A74&amp;" Corp",Z$5))</f>
        <v>#NAME?</v>
      </c>
      <c r="AA74" s="53" t="e">
        <f ca="1">IF($B74="","",_xll.BDP($A74&amp;" Corp",AA$5))</f>
        <v>#NAME?</v>
      </c>
      <c r="AB74" s="54" t="e">
        <f ca="1">IF($B74="","",_xll.BDP($A74&amp;" Corp",AB$5))</f>
        <v>#NAME?</v>
      </c>
      <c r="AC74" s="54" t="e">
        <f ca="1">IF($B74="","",_xll.BDP($A74&amp;" Corp",AC$5))</f>
        <v>#NAME?</v>
      </c>
      <c r="AD74" s="55" t="e">
        <f ca="1">IF($B74="","",_xll.BDP($A74&amp;" Corp",AD$5))</f>
        <v>#NAME?</v>
      </c>
      <c r="AE74" s="56" t="e">
        <f ca="1">IF($B74="","",_xll.BDP($A74&amp;" Corp",AE$5))</f>
        <v>#NAME?</v>
      </c>
      <c r="AF74" s="29" t="e">
        <f ca="1">IF($B74="","",_xll.BDP($A74&amp;" Corp",AF$5))</f>
        <v>#NAME?</v>
      </c>
      <c r="AG74" s="33" t="e">
        <f ca="1">IF($B74="","",_xll.BDP($A74&amp;" Corp",AG$5))</f>
        <v>#NAME?</v>
      </c>
      <c r="AH74" s="30" t="e">
        <f ca="1">IF($B74="","",_xll.BDP($A74&amp;" Corp",AH$5))</f>
        <v>#NAME?</v>
      </c>
      <c r="AI74" s="30" t="e">
        <f ca="1">IF($B74="","",_xll.BDP($A74&amp;" Corp",AI$5))</f>
        <v>#NAME?</v>
      </c>
      <c r="AJ74" s="30" t="e">
        <f ca="1">IF($B74="","",_xll.BDP($A74&amp;" Corp",AJ$5))</f>
        <v>#NAME?</v>
      </c>
      <c r="AK74" s="11" t="e">
        <f ca="1">IF($B74="","",_xll.BDP($A74&amp;" Corp",AK$5))</f>
        <v>#NAME?</v>
      </c>
      <c r="AL74" s="11" t="e">
        <f ca="1">IF($B74="","",_xll.BDP($A74&amp;" Corp",AL$5))</f>
        <v>#NAME?</v>
      </c>
      <c r="AM74" s="11">
        <v>1</v>
      </c>
      <c r="AN74" s="57">
        <v>0</v>
      </c>
    </row>
    <row r="75" spans="1:40" x14ac:dyDescent="0.3">
      <c r="A75" s="67" t="s">
        <v>435</v>
      </c>
      <c r="B75" s="68" t="s">
        <v>435</v>
      </c>
      <c r="C75" s="75">
        <v>7497</v>
      </c>
      <c r="D75" s="75">
        <v>128</v>
      </c>
      <c r="E75" s="75">
        <v>100000</v>
      </c>
      <c r="F75" s="69">
        <v>7.784692E-2</v>
      </c>
      <c r="G75" s="70">
        <v>101177</v>
      </c>
      <c r="H75" s="67">
        <v>100000</v>
      </c>
      <c r="I75" s="67">
        <v>7.784692E-2</v>
      </c>
      <c r="J75" s="67">
        <v>101177</v>
      </c>
      <c r="K75" s="71">
        <v>101.17700000000001</v>
      </c>
      <c r="L75" s="29" t="e">
        <f ca="1">IF(B75="","",_xll.BDP(A75&amp;" Corp","INTERVAL_HIGH","START_DATE_OVERRIDE",TEXT($L$3,"AAAAMMDD"),"END_DATE_OVERRIDE",TEXT($L$4,"AAAAMMDD"),"MARKET_DATA_OVERRIDE",$L$5))</f>
        <v>#NAME?</v>
      </c>
      <c r="M75" s="30" t="e">
        <f ca="1">IF(B75="","",_xll.BDP($A75&amp;" Corp","INTERVAL_LOW","START_DATE_OVERRIDE",TEXT($L$3,"AAAAMMDD"),"END_DATE_OVERRIDE",TEXT($L$4,"AAAAMMDD"),"MARKET_DATA_OVERRIDE",$L$5))</f>
        <v>#NAME?</v>
      </c>
      <c r="N75" s="31" t="s">
        <v>838</v>
      </c>
      <c r="O75" s="32" t="e">
        <f ca="1">IF($B75="","",_xll.BDP($A75&amp;" Corp",O$6))</f>
        <v>#NAME?</v>
      </c>
      <c r="P75" s="32" t="e">
        <f ca="1">IF($B75="","",_xll.BDP($A75&amp;" Corp",P$6))</f>
        <v>#NAME?</v>
      </c>
      <c r="Q75" s="30" t="e">
        <f ca="1">IF($B75="","",_xll.BDP($A75&amp;" Corp",Q$5))</f>
        <v>#NAME?</v>
      </c>
      <c r="R75" s="30" t="e">
        <f ca="1">IF($B75="","",_xll.BDP($A75&amp;" Corp",R$5))</f>
        <v>#NAME?</v>
      </c>
      <c r="S75" s="50" t="e">
        <f ca="1">IF($B75="","",_xll.BDP($A75&amp;" Corp",S$5))</f>
        <v>#NAME?</v>
      </c>
      <c r="T75" s="30" t="e">
        <f ca="1">IF($B75="","",_xll.BDP($A75&amp;" Corp",T$5))</f>
        <v>#NAME?</v>
      </c>
      <c r="U75" s="30" t="e">
        <f ca="1">IF($B75="","",_xll.BDP($A75&amp;" Corp",U$5))</f>
        <v>#NAME?</v>
      </c>
      <c r="V75" s="51" t="e">
        <f ca="1">IF($B75="","",IF($T75="VARIABLE",_xll.BDP($A75&amp;" Corp",V$4),_xll.BDP($A75&amp;" Corp",V$5)))</f>
        <v>#NAME?</v>
      </c>
      <c r="W75" s="30" t="e">
        <f ca="1">IF($B75="","",IF($T75="VARIABLE",_xll.BDP($A75&amp;" Corp",W$4),_xll.BDP($A75&amp;" Corp",W$5)))</f>
        <v>#NAME?</v>
      </c>
      <c r="X75" s="30" t="e">
        <f ca="1">IF($B75="","",_xll.BDP($A75&amp;" Corp",X$5))</f>
        <v>#NAME?</v>
      </c>
      <c r="Y75" s="33" t="e">
        <f ca="1">IF($B75="","",_xll.BDP($A75&amp;" Corp",Y$5))</f>
        <v>#NAME?</v>
      </c>
      <c r="Z75" s="52" t="e">
        <f ca="1">IF($B75="","",_xll.BDP($A75&amp;" Corp",Z$5))</f>
        <v>#NAME?</v>
      </c>
      <c r="AA75" s="53" t="e">
        <f ca="1">IF($B75="","",_xll.BDP($A75&amp;" Corp",AA$5))</f>
        <v>#NAME?</v>
      </c>
      <c r="AB75" s="54" t="e">
        <f ca="1">IF($B75="","",_xll.BDP($A75&amp;" Corp",AB$5))</f>
        <v>#NAME?</v>
      </c>
      <c r="AC75" s="54" t="e">
        <f ca="1">IF($B75="","",_xll.BDP($A75&amp;" Corp",AC$5))</f>
        <v>#NAME?</v>
      </c>
      <c r="AD75" s="55" t="e">
        <f ca="1">IF($B75="","",_xll.BDP($A75&amp;" Corp",AD$5))</f>
        <v>#NAME?</v>
      </c>
      <c r="AE75" s="56" t="e">
        <f ca="1">IF($B75="","",_xll.BDP($A75&amp;" Corp",AE$5))</f>
        <v>#NAME?</v>
      </c>
      <c r="AF75" s="29" t="e">
        <f ca="1">IF($B75="","",_xll.BDP($A75&amp;" Corp",AF$5))</f>
        <v>#NAME?</v>
      </c>
      <c r="AG75" s="33" t="e">
        <f ca="1">IF($B75="","",_xll.BDP($A75&amp;" Corp",AG$5))</f>
        <v>#NAME?</v>
      </c>
      <c r="AH75" s="30" t="e">
        <f ca="1">IF($B75="","",_xll.BDP($A75&amp;" Corp",AH$5))</f>
        <v>#NAME?</v>
      </c>
      <c r="AI75" s="30" t="e">
        <f ca="1">IF($B75="","",_xll.BDP($A75&amp;" Corp",AI$5))</f>
        <v>#NAME?</v>
      </c>
      <c r="AJ75" s="30" t="e">
        <f ca="1">IF($B75="","",_xll.BDP($A75&amp;" Corp",AJ$5))</f>
        <v>#NAME?</v>
      </c>
      <c r="AK75" s="11" t="e">
        <f ca="1">IF($B75="","",_xll.BDP($A75&amp;" Corp",AK$5))</f>
        <v>#NAME?</v>
      </c>
      <c r="AL75" s="11" t="e">
        <f ca="1">IF($B75="","",_xll.BDP($A75&amp;" Corp",AL$5))</f>
        <v>#NAME?</v>
      </c>
      <c r="AM75" s="11">
        <v>2</v>
      </c>
      <c r="AN75" s="57">
        <v>2</v>
      </c>
    </row>
    <row r="76" spans="1:40" x14ac:dyDescent="0.3">
      <c r="A76" s="67" t="s">
        <v>552</v>
      </c>
      <c r="B76" s="68" t="s">
        <v>552</v>
      </c>
      <c r="C76" s="75">
        <v>8899</v>
      </c>
      <c r="D76" s="75">
        <v>128</v>
      </c>
      <c r="E76" s="75">
        <v>200000</v>
      </c>
      <c r="F76" s="69">
        <v>0.15950397999999999</v>
      </c>
      <c r="G76" s="70">
        <v>203590</v>
      </c>
      <c r="H76" s="67">
        <v>200000</v>
      </c>
      <c r="I76" s="67">
        <v>0.15950397999999999</v>
      </c>
      <c r="J76" s="67">
        <v>203590</v>
      </c>
      <c r="K76" s="71">
        <v>101.795</v>
      </c>
      <c r="L76" s="29" t="e">
        <f ca="1">IF(B76="","",_xll.BDP(A76&amp;" Corp","INTERVAL_HIGH","START_DATE_OVERRIDE",TEXT($L$3,"AAAAMMDD"),"END_DATE_OVERRIDE",TEXT($L$4,"AAAAMMDD"),"MARKET_DATA_OVERRIDE",$L$5))</f>
        <v>#NAME?</v>
      </c>
      <c r="M76" s="30" t="e">
        <f ca="1">IF(B76="","",_xll.BDP($A76&amp;" Corp","INTERVAL_LOW","START_DATE_OVERRIDE",TEXT($L$3,"AAAAMMDD"),"END_DATE_OVERRIDE",TEXT($L$4,"AAAAMMDD"),"MARKET_DATA_OVERRIDE",$L$5))</f>
        <v>#NAME?</v>
      </c>
      <c r="N76" s="31" t="s">
        <v>839</v>
      </c>
      <c r="O76" s="32" t="e">
        <f ca="1">IF($B76="","",_xll.BDP($A76&amp;" Corp",O$6))</f>
        <v>#NAME?</v>
      </c>
      <c r="P76" s="32" t="e">
        <f ca="1">IF($B76="","",_xll.BDP($A76&amp;" Corp",P$6))</f>
        <v>#NAME?</v>
      </c>
      <c r="Q76" s="30" t="e">
        <f ca="1">IF($B76="","",_xll.BDP($A76&amp;" Corp",Q$5))</f>
        <v>#NAME?</v>
      </c>
      <c r="R76" s="30" t="e">
        <f ca="1">IF($B76="","",_xll.BDP($A76&amp;" Corp",R$5))</f>
        <v>#NAME?</v>
      </c>
      <c r="S76" s="50" t="e">
        <f ca="1">IF($B76="","",_xll.BDP($A76&amp;" Corp",S$5))</f>
        <v>#NAME?</v>
      </c>
      <c r="T76" s="30" t="e">
        <f ca="1">IF($B76="","",_xll.BDP($A76&amp;" Corp",T$5))</f>
        <v>#NAME?</v>
      </c>
      <c r="U76" s="30" t="e">
        <f ca="1">IF($B76="","",_xll.BDP($A76&amp;" Corp",U$5))</f>
        <v>#NAME?</v>
      </c>
      <c r="V76" s="51" t="e">
        <f ca="1">IF($B76="","",IF($T76="VARIABLE",_xll.BDP($A76&amp;" Corp",V$4),_xll.BDP($A76&amp;" Corp",V$5)))</f>
        <v>#NAME?</v>
      </c>
      <c r="W76" s="30" t="e">
        <f ca="1">IF($B76="","",IF($T76="VARIABLE",_xll.BDP($A76&amp;" Corp",W$4),_xll.BDP($A76&amp;" Corp",W$5)))</f>
        <v>#NAME?</v>
      </c>
      <c r="X76" s="30" t="e">
        <f ca="1">IF($B76="","",_xll.BDP($A76&amp;" Corp",X$5))</f>
        <v>#NAME?</v>
      </c>
      <c r="Y76" s="33" t="e">
        <f ca="1">IF($B76="","",_xll.BDP($A76&amp;" Corp",Y$5))</f>
        <v>#NAME?</v>
      </c>
      <c r="Z76" s="52" t="e">
        <f ca="1">IF($B76="","",_xll.BDP($A76&amp;" Corp",Z$5))</f>
        <v>#NAME?</v>
      </c>
      <c r="AA76" s="53" t="e">
        <f ca="1">IF($B76="","",_xll.BDP($A76&amp;" Corp",AA$5))</f>
        <v>#NAME?</v>
      </c>
      <c r="AB76" s="54" t="e">
        <f ca="1">IF($B76="","",_xll.BDP($A76&amp;" Corp",AB$5))</f>
        <v>#NAME?</v>
      </c>
      <c r="AC76" s="54" t="e">
        <f ca="1">IF($B76="","",_xll.BDP($A76&amp;" Corp",AC$5))</f>
        <v>#NAME?</v>
      </c>
      <c r="AD76" s="55" t="e">
        <f ca="1">IF($B76="","",_xll.BDP($A76&amp;" Corp",AD$5))</f>
        <v>#NAME?</v>
      </c>
      <c r="AE76" s="56" t="e">
        <f ca="1">IF($B76="","",_xll.BDP($A76&amp;" Corp",AE$5))</f>
        <v>#NAME?</v>
      </c>
      <c r="AF76" s="29" t="e">
        <f ca="1">IF($B76="","",_xll.BDP($A76&amp;" Corp",AF$5))</f>
        <v>#NAME?</v>
      </c>
      <c r="AG76" s="33" t="e">
        <f ca="1">IF($B76="","",_xll.BDP($A76&amp;" Corp",AG$5))</f>
        <v>#NAME?</v>
      </c>
      <c r="AH76" s="30" t="e">
        <f ca="1">IF($B76="","",_xll.BDP($A76&amp;" Corp",AH$5))</f>
        <v>#NAME?</v>
      </c>
      <c r="AI76" s="30" t="e">
        <f ca="1">IF($B76="","",_xll.BDP($A76&amp;" Corp",AI$5))</f>
        <v>#NAME?</v>
      </c>
      <c r="AJ76" s="30" t="e">
        <f ca="1">IF($B76="","",_xll.BDP($A76&amp;" Corp",AJ$5))</f>
        <v>#NAME?</v>
      </c>
      <c r="AK76" s="11" t="e">
        <f ca="1">IF($B76="","",_xll.BDP($A76&amp;" Corp",AK$5))</f>
        <v>#NAME?</v>
      </c>
      <c r="AL76" s="11" t="e">
        <f ca="1">IF($B76="","",_xll.BDP($A76&amp;" Corp",AL$5))</f>
        <v>#NAME?</v>
      </c>
      <c r="AM76" s="11">
        <v>1</v>
      </c>
      <c r="AN76" s="57">
        <v>1</v>
      </c>
    </row>
    <row r="77" spans="1:40" x14ac:dyDescent="0.3">
      <c r="A77" s="67" t="s">
        <v>374</v>
      </c>
      <c r="B77" s="68" t="s">
        <v>374</v>
      </c>
      <c r="C77" s="75">
        <v>9504</v>
      </c>
      <c r="D77" s="75">
        <v>128</v>
      </c>
      <c r="E77" s="75">
        <v>169247.69</v>
      </c>
      <c r="F77" s="69">
        <v>0.14271782</v>
      </c>
      <c r="G77" s="70">
        <v>223024</v>
      </c>
      <c r="H77" s="67">
        <v>169247.69</v>
      </c>
      <c r="I77" s="67">
        <v>0.14271782</v>
      </c>
      <c r="J77" s="67">
        <v>223024</v>
      </c>
      <c r="K77" s="71">
        <v>131.77373351447218</v>
      </c>
      <c r="L77" s="29" t="e">
        <f ca="1">IF(B77="","",_xll.BDP(A77&amp;" Corp","INTERVAL_HIGH","START_DATE_OVERRIDE",TEXT($L$3,"AAAAMMDD"),"END_DATE_OVERRIDE",TEXT($L$4,"AAAAMMDD"),"MARKET_DATA_OVERRIDE",$L$5))</f>
        <v>#NAME?</v>
      </c>
      <c r="M77" s="30" t="e">
        <f ca="1">IF(B77="","",_xll.BDP($A77&amp;" Corp","INTERVAL_LOW","START_DATE_OVERRIDE",TEXT($L$3,"AAAAMMDD"),"END_DATE_OVERRIDE",TEXT($L$4,"AAAAMMDD"),"MARKET_DATA_OVERRIDE",$L$5))</f>
        <v>#NAME?</v>
      </c>
      <c r="N77" s="31" t="s">
        <v>840</v>
      </c>
      <c r="O77" s="32" t="e">
        <f ca="1">IF($B77="","",_xll.BDP($A77&amp;" Corp",O$6))</f>
        <v>#NAME?</v>
      </c>
      <c r="P77" s="32" t="e">
        <f ca="1">IF($B77="","",_xll.BDP($A77&amp;" Corp",P$6))</f>
        <v>#NAME?</v>
      </c>
      <c r="Q77" s="30" t="e">
        <f ca="1">IF($B77="","",_xll.BDP($A77&amp;" Corp",Q$5))</f>
        <v>#NAME?</v>
      </c>
      <c r="R77" s="30" t="e">
        <f ca="1">IF($B77="","",_xll.BDP($A77&amp;" Corp",R$5))</f>
        <v>#NAME?</v>
      </c>
      <c r="S77" s="50" t="e">
        <f ca="1">IF($B77="","",_xll.BDP($A77&amp;" Corp",S$5))</f>
        <v>#NAME?</v>
      </c>
      <c r="T77" s="30" t="e">
        <f ca="1">IF($B77="","",_xll.BDP($A77&amp;" Corp",T$5))</f>
        <v>#NAME?</v>
      </c>
      <c r="U77" s="30" t="e">
        <f ca="1">IF($B77="","",_xll.BDP($A77&amp;" Corp",U$5))</f>
        <v>#NAME?</v>
      </c>
      <c r="V77" s="51" t="e">
        <f ca="1">IF($B77="","",IF($T77="VARIABLE",_xll.BDP($A77&amp;" Corp",V$4),_xll.BDP($A77&amp;" Corp",V$5)))</f>
        <v>#NAME?</v>
      </c>
      <c r="W77" s="30" t="e">
        <f ca="1">IF($B77="","",IF($T77="VARIABLE",_xll.BDP($A77&amp;" Corp",W$4),_xll.BDP($A77&amp;" Corp",W$5)))</f>
        <v>#NAME?</v>
      </c>
      <c r="X77" s="30" t="e">
        <f ca="1">IF($B77="","",_xll.BDP($A77&amp;" Corp",X$5))</f>
        <v>#NAME?</v>
      </c>
      <c r="Y77" s="33" t="e">
        <f ca="1">IF($B77="","",_xll.BDP($A77&amp;" Corp",Y$5))</f>
        <v>#NAME?</v>
      </c>
      <c r="Z77" s="52" t="e">
        <f ca="1">IF($B77="","",_xll.BDP($A77&amp;" Corp",Z$5))</f>
        <v>#NAME?</v>
      </c>
      <c r="AA77" s="53" t="e">
        <f ca="1">IF($B77="","",_xll.BDP($A77&amp;" Corp",AA$5))</f>
        <v>#NAME?</v>
      </c>
      <c r="AB77" s="54" t="e">
        <f ca="1">IF($B77="","",_xll.BDP($A77&amp;" Corp",AB$5))</f>
        <v>#NAME?</v>
      </c>
      <c r="AC77" s="54" t="e">
        <f ca="1">IF($B77="","",_xll.BDP($A77&amp;" Corp",AC$5))</f>
        <v>#NAME?</v>
      </c>
      <c r="AD77" s="55" t="e">
        <f ca="1">IF($B77="","",_xll.BDP($A77&amp;" Corp",AD$5))</f>
        <v>#NAME?</v>
      </c>
      <c r="AE77" s="56" t="e">
        <f ca="1">IF($B77="","",_xll.BDP($A77&amp;" Corp",AE$5))</f>
        <v>#NAME?</v>
      </c>
      <c r="AF77" s="29" t="e">
        <f ca="1">IF($B77="","",_xll.BDP($A77&amp;" Corp",AF$5))</f>
        <v>#NAME?</v>
      </c>
      <c r="AG77" s="33" t="e">
        <f ca="1">IF($B77="","",_xll.BDP($A77&amp;" Corp",AG$5))</f>
        <v>#NAME?</v>
      </c>
      <c r="AH77" s="30" t="e">
        <f ca="1">IF($B77="","",_xll.BDP($A77&amp;" Corp",AH$5))</f>
        <v>#NAME?</v>
      </c>
      <c r="AI77" s="30" t="e">
        <f ca="1">IF($B77="","",_xll.BDP($A77&amp;" Corp",AI$5))</f>
        <v>#NAME?</v>
      </c>
      <c r="AJ77" s="30" t="e">
        <f ca="1">IF($B77="","",_xll.BDP($A77&amp;" Corp",AJ$5))</f>
        <v>#NAME?</v>
      </c>
      <c r="AK77" s="11" t="e">
        <f ca="1">IF($B77="","",_xll.BDP($A77&amp;" Corp",AK$5))</f>
        <v>#NAME?</v>
      </c>
      <c r="AL77" s="11" t="e">
        <f ca="1">IF($B77="","",_xll.BDP($A77&amp;" Corp",AL$5))</f>
        <v>#NAME?</v>
      </c>
      <c r="AM77" s="11">
        <v>4</v>
      </c>
      <c r="AN77" s="57">
        <v>4</v>
      </c>
    </row>
    <row r="78" spans="1:40" x14ac:dyDescent="0.3">
      <c r="A78" s="67" t="s">
        <v>466</v>
      </c>
      <c r="B78" s="68" t="s">
        <v>466</v>
      </c>
      <c r="C78" s="75">
        <v>7081</v>
      </c>
      <c r="D78" s="75">
        <v>128</v>
      </c>
      <c r="E78" s="75">
        <v>200000</v>
      </c>
      <c r="F78" s="69">
        <v>0.15783251000000001</v>
      </c>
      <c r="G78" s="70">
        <v>207424</v>
      </c>
      <c r="H78" s="67">
        <v>200000</v>
      </c>
      <c r="I78" s="67">
        <v>0.15783251000000001</v>
      </c>
      <c r="J78" s="67">
        <v>207424</v>
      </c>
      <c r="K78" s="71">
        <v>103.712</v>
      </c>
      <c r="L78" s="29" t="e">
        <f ca="1">IF(B78="","",_xll.BDP(A78&amp;" Corp","INTERVAL_HIGH","START_DATE_OVERRIDE",TEXT($L$3,"AAAAMMDD"),"END_DATE_OVERRIDE",TEXT($L$4,"AAAAMMDD"),"MARKET_DATA_OVERRIDE",$L$5))</f>
        <v>#NAME?</v>
      </c>
      <c r="M78" s="30" t="e">
        <f ca="1">IF(B78="","",_xll.BDP($A78&amp;" Corp","INTERVAL_LOW","START_DATE_OVERRIDE",TEXT($L$3,"AAAAMMDD"),"END_DATE_OVERRIDE",TEXT($L$4,"AAAAMMDD"),"MARKET_DATA_OVERRIDE",$L$5))</f>
        <v>#NAME?</v>
      </c>
      <c r="N78" s="31" t="s">
        <v>841</v>
      </c>
      <c r="O78" s="32" t="e">
        <f ca="1">IF($B78="","",_xll.BDP($A78&amp;" Corp",O$6))</f>
        <v>#NAME?</v>
      </c>
      <c r="P78" s="32" t="e">
        <f ca="1">IF($B78="","",_xll.BDP($A78&amp;" Corp",P$6))</f>
        <v>#NAME?</v>
      </c>
      <c r="Q78" s="30" t="e">
        <f ca="1">IF($B78="","",_xll.BDP($A78&amp;" Corp",Q$5))</f>
        <v>#NAME?</v>
      </c>
      <c r="R78" s="30" t="e">
        <f ca="1">IF($B78="","",_xll.BDP($A78&amp;" Corp",R$5))</f>
        <v>#NAME?</v>
      </c>
      <c r="S78" s="50" t="e">
        <f ca="1">IF($B78="","",_xll.BDP($A78&amp;" Corp",S$5))</f>
        <v>#NAME?</v>
      </c>
      <c r="T78" s="30" t="e">
        <f ca="1">IF($B78="","",_xll.BDP($A78&amp;" Corp",T$5))</f>
        <v>#NAME?</v>
      </c>
      <c r="U78" s="30" t="e">
        <f ca="1">IF($B78="","",_xll.BDP($A78&amp;" Corp",U$5))</f>
        <v>#NAME?</v>
      </c>
      <c r="V78" s="51" t="e">
        <f ca="1">IF($B78="","",IF($T78="VARIABLE",_xll.BDP($A78&amp;" Corp",V$4),_xll.BDP($A78&amp;" Corp",V$5)))</f>
        <v>#NAME?</v>
      </c>
      <c r="W78" s="30" t="e">
        <f ca="1">IF($B78="","",IF($T78="VARIABLE",_xll.BDP($A78&amp;" Corp",W$4),_xll.BDP($A78&amp;" Corp",W$5)))</f>
        <v>#NAME?</v>
      </c>
      <c r="X78" s="30" t="e">
        <f ca="1">IF($B78="","",_xll.BDP($A78&amp;" Corp",X$5))</f>
        <v>#NAME?</v>
      </c>
      <c r="Y78" s="33" t="e">
        <f ca="1">IF($B78="","",_xll.BDP($A78&amp;" Corp",Y$5))</f>
        <v>#NAME?</v>
      </c>
      <c r="Z78" s="52" t="e">
        <f ca="1">IF($B78="","",_xll.BDP($A78&amp;" Corp",Z$5))</f>
        <v>#NAME?</v>
      </c>
      <c r="AA78" s="53" t="e">
        <f ca="1">IF($B78="","",_xll.BDP($A78&amp;" Corp",AA$5))</f>
        <v>#NAME?</v>
      </c>
      <c r="AB78" s="54" t="e">
        <f ca="1">IF($B78="","",_xll.BDP($A78&amp;" Corp",AB$5))</f>
        <v>#NAME?</v>
      </c>
      <c r="AC78" s="54" t="e">
        <f ca="1">IF($B78="","",_xll.BDP($A78&amp;" Corp",AC$5))</f>
        <v>#NAME?</v>
      </c>
      <c r="AD78" s="55" t="e">
        <f ca="1">IF($B78="","",_xll.BDP($A78&amp;" Corp",AD$5))</f>
        <v>#NAME?</v>
      </c>
      <c r="AE78" s="56" t="e">
        <f ca="1">IF($B78="","",_xll.BDP($A78&amp;" Corp",AE$5))</f>
        <v>#NAME?</v>
      </c>
      <c r="AF78" s="29" t="e">
        <f ca="1">IF($B78="","",_xll.BDP($A78&amp;" Corp",AF$5))</f>
        <v>#NAME?</v>
      </c>
      <c r="AG78" s="33" t="e">
        <f ca="1">IF($B78="","",_xll.BDP($A78&amp;" Corp",AG$5))</f>
        <v>#NAME?</v>
      </c>
      <c r="AH78" s="30" t="e">
        <f ca="1">IF($B78="","",_xll.BDP($A78&amp;" Corp",AH$5))</f>
        <v>#NAME?</v>
      </c>
      <c r="AI78" s="30" t="e">
        <f ca="1">IF($B78="","",_xll.BDP($A78&amp;" Corp",AI$5))</f>
        <v>#NAME?</v>
      </c>
      <c r="AJ78" s="30" t="e">
        <f ca="1">IF($B78="","",_xll.BDP($A78&amp;" Corp",AJ$5))</f>
        <v>#NAME?</v>
      </c>
      <c r="AK78" s="11" t="e">
        <f ca="1">IF($B78="","",_xll.BDP($A78&amp;" Corp",AK$5))</f>
        <v>#NAME?</v>
      </c>
      <c r="AL78" s="11" t="e">
        <f ca="1">IF($B78="","",_xll.BDP($A78&amp;" Corp",AL$5))</f>
        <v>#NAME?</v>
      </c>
      <c r="AM78" s="11">
        <v>2</v>
      </c>
      <c r="AN78" s="57">
        <v>1</v>
      </c>
    </row>
    <row r="79" spans="1:40" x14ac:dyDescent="0.3">
      <c r="A79" s="67" t="s">
        <v>310</v>
      </c>
      <c r="B79" s="68" t="s">
        <v>310</v>
      </c>
      <c r="C79" s="75">
        <v>5760</v>
      </c>
      <c r="D79" s="75">
        <v>128</v>
      </c>
      <c r="E79" s="75">
        <v>600000</v>
      </c>
      <c r="F79" s="69">
        <v>0.46514316</v>
      </c>
      <c r="G79" s="70">
        <v>602452</v>
      </c>
      <c r="H79" s="67">
        <v>600000</v>
      </c>
      <c r="I79" s="67">
        <v>0.46514316</v>
      </c>
      <c r="J79" s="67">
        <v>602452</v>
      </c>
      <c r="K79" s="71">
        <v>100.40866666666666</v>
      </c>
      <c r="L79" s="29" t="e">
        <f ca="1">IF(B79="","",_xll.BDP(A79&amp;" Corp","INTERVAL_HIGH","START_DATE_OVERRIDE",TEXT($L$3,"AAAAMMDD"),"END_DATE_OVERRIDE",TEXT($L$4,"AAAAMMDD"),"MARKET_DATA_OVERRIDE",$L$5))</f>
        <v>#NAME?</v>
      </c>
      <c r="M79" s="30" t="e">
        <f ca="1">IF(B79="","",_xll.BDP($A79&amp;" Corp","INTERVAL_LOW","START_DATE_OVERRIDE",TEXT($L$3,"AAAAMMDD"),"END_DATE_OVERRIDE",TEXT($L$4,"AAAAMMDD"),"MARKET_DATA_OVERRIDE",$L$5))</f>
        <v>#NAME?</v>
      </c>
      <c r="N79" s="31" t="s">
        <v>842</v>
      </c>
      <c r="O79" s="32" t="e">
        <f ca="1">IF($B79="","",_xll.BDP($A79&amp;" Corp",O$6))</f>
        <v>#NAME?</v>
      </c>
      <c r="P79" s="32" t="e">
        <f ca="1">IF($B79="","",_xll.BDP($A79&amp;" Corp",P$6))</f>
        <v>#NAME?</v>
      </c>
      <c r="Q79" s="30" t="e">
        <f ca="1">IF($B79="","",_xll.BDP($A79&amp;" Corp",Q$5))</f>
        <v>#NAME?</v>
      </c>
      <c r="R79" s="30" t="e">
        <f ca="1">IF($B79="","",_xll.BDP($A79&amp;" Corp",R$5))</f>
        <v>#NAME?</v>
      </c>
      <c r="S79" s="50" t="e">
        <f ca="1">IF($B79="","",_xll.BDP($A79&amp;" Corp",S$5))</f>
        <v>#NAME?</v>
      </c>
      <c r="T79" s="30" t="e">
        <f ca="1">IF($B79="","",_xll.BDP($A79&amp;" Corp",T$5))</f>
        <v>#NAME?</v>
      </c>
      <c r="U79" s="30" t="e">
        <f ca="1">IF($B79="","",_xll.BDP($A79&amp;" Corp",U$5))</f>
        <v>#NAME?</v>
      </c>
      <c r="V79" s="51" t="e">
        <f ca="1">IF($B79="","",IF($T79="VARIABLE",_xll.BDP($A79&amp;" Corp",V$4),_xll.BDP($A79&amp;" Corp",V$5)))</f>
        <v>#NAME?</v>
      </c>
      <c r="W79" s="30" t="e">
        <f ca="1">IF($B79="","",IF($T79="VARIABLE",_xll.BDP($A79&amp;" Corp",W$4),_xll.BDP($A79&amp;" Corp",W$5)))</f>
        <v>#NAME?</v>
      </c>
      <c r="X79" s="30" t="e">
        <f ca="1">IF($B79="","",_xll.BDP($A79&amp;" Corp",X$5))</f>
        <v>#NAME?</v>
      </c>
      <c r="Y79" s="33" t="e">
        <f ca="1">IF($B79="","",_xll.BDP($A79&amp;" Corp",Y$5))</f>
        <v>#NAME?</v>
      </c>
      <c r="Z79" s="52" t="e">
        <f ca="1">IF($B79="","",_xll.BDP($A79&amp;" Corp",Z$5))</f>
        <v>#NAME?</v>
      </c>
      <c r="AA79" s="53" t="e">
        <f ca="1">IF($B79="","",_xll.BDP($A79&amp;" Corp",AA$5))</f>
        <v>#NAME?</v>
      </c>
      <c r="AB79" s="54" t="e">
        <f ca="1">IF($B79="","",_xll.BDP($A79&amp;" Corp",AB$5))</f>
        <v>#NAME?</v>
      </c>
      <c r="AC79" s="54" t="e">
        <f ca="1">IF($B79="","",_xll.BDP($A79&amp;" Corp",AC$5))</f>
        <v>#NAME?</v>
      </c>
      <c r="AD79" s="55" t="e">
        <f ca="1">IF($B79="","",_xll.BDP($A79&amp;" Corp",AD$5))</f>
        <v>#NAME?</v>
      </c>
      <c r="AE79" s="56" t="e">
        <f ca="1">IF($B79="","",_xll.BDP($A79&amp;" Corp",AE$5))</f>
        <v>#NAME?</v>
      </c>
      <c r="AF79" s="29" t="e">
        <f ca="1">IF($B79="","",_xll.BDP($A79&amp;" Corp",AF$5))</f>
        <v>#NAME?</v>
      </c>
      <c r="AG79" s="33" t="e">
        <f ca="1">IF($B79="","",_xll.BDP($A79&amp;" Corp",AG$5))</f>
        <v>#NAME?</v>
      </c>
      <c r="AH79" s="30" t="e">
        <f ca="1">IF($B79="","",_xll.BDP($A79&amp;" Corp",AH$5))</f>
        <v>#NAME?</v>
      </c>
      <c r="AI79" s="30" t="e">
        <f ca="1">IF($B79="","",_xll.BDP($A79&amp;" Corp",AI$5))</f>
        <v>#NAME?</v>
      </c>
      <c r="AJ79" s="30" t="e">
        <f ca="1">IF($B79="","",_xll.BDP($A79&amp;" Corp",AJ$5))</f>
        <v>#NAME?</v>
      </c>
      <c r="AK79" s="11" t="e">
        <f ca="1">IF($B79="","",_xll.BDP($A79&amp;" Corp",AK$5))</f>
        <v>#NAME?</v>
      </c>
      <c r="AL79" s="11" t="e">
        <f ca="1">IF($B79="","",_xll.BDP($A79&amp;" Corp",AL$5))</f>
        <v>#NAME?</v>
      </c>
      <c r="AM79" s="11">
        <v>7</v>
      </c>
      <c r="AN79" s="57">
        <v>1</v>
      </c>
    </row>
    <row r="80" spans="1:40" x14ac:dyDescent="0.3">
      <c r="A80" s="67" t="s">
        <v>537</v>
      </c>
      <c r="B80" s="68" t="s">
        <v>537</v>
      </c>
      <c r="C80" s="75">
        <v>6232</v>
      </c>
      <c r="D80" s="75">
        <v>128</v>
      </c>
      <c r="E80" s="75">
        <v>200000</v>
      </c>
      <c r="F80" s="69">
        <v>0.15874637999999999</v>
      </c>
      <c r="G80" s="70">
        <v>209252</v>
      </c>
      <c r="H80" s="67">
        <v>200000</v>
      </c>
      <c r="I80" s="67">
        <v>0.15874637999999999</v>
      </c>
      <c r="J80" s="67">
        <v>209252</v>
      </c>
      <c r="K80" s="71">
        <v>104.626</v>
      </c>
      <c r="L80" s="29" t="e">
        <f ca="1">IF(B80="","",_xll.BDP(A80&amp;" Corp","INTERVAL_HIGH","START_DATE_OVERRIDE",TEXT($L$3,"AAAAMMDD"),"END_DATE_OVERRIDE",TEXT($L$4,"AAAAMMDD"),"MARKET_DATA_OVERRIDE",$L$5))</f>
        <v>#NAME?</v>
      </c>
      <c r="M80" s="30" t="e">
        <f ca="1">IF(B80="","",_xll.BDP($A80&amp;" Corp","INTERVAL_LOW","START_DATE_OVERRIDE",TEXT($L$3,"AAAAMMDD"),"END_DATE_OVERRIDE",TEXT($L$4,"AAAAMMDD"),"MARKET_DATA_OVERRIDE",$L$5))</f>
        <v>#NAME?</v>
      </c>
      <c r="N80" s="31" t="s">
        <v>843</v>
      </c>
      <c r="O80" s="32" t="e">
        <f ca="1">IF($B80="","",_xll.BDP($A80&amp;" Corp",O$6))</f>
        <v>#NAME?</v>
      </c>
      <c r="P80" s="32" t="e">
        <f ca="1">IF($B80="","",_xll.BDP($A80&amp;" Corp",P$6))</f>
        <v>#NAME?</v>
      </c>
      <c r="Q80" s="30" t="e">
        <f ca="1">IF($B80="","",_xll.BDP($A80&amp;" Corp",Q$5))</f>
        <v>#NAME?</v>
      </c>
      <c r="R80" s="30" t="e">
        <f ca="1">IF($B80="","",_xll.BDP($A80&amp;" Corp",R$5))</f>
        <v>#NAME?</v>
      </c>
      <c r="S80" s="50" t="e">
        <f ca="1">IF($B80="","",_xll.BDP($A80&amp;" Corp",S$5))</f>
        <v>#NAME?</v>
      </c>
      <c r="T80" s="30" t="e">
        <f ca="1">IF($B80="","",_xll.BDP($A80&amp;" Corp",T$5))</f>
        <v>#NAME?</v>
      </c>
      <c r="U80" s="30" t="e">
        <f ca="1">IF($B80="","",_xll.BDP($A80&amp;" Corp",U$5))</f>
        <v>#NAME?</v>
      </c>
      <c r="V80" s="51" t="e">
        <f ca="1">IF($B80="","",IF($T80="VARIABLE",_xll.BDP($A80&amp;" Corp",V$4),_xll.BDP($A80&amp;" Corp",V$5)))</f>
        <v>#NAME?</v>
      </c>
      <c r="W80" s="30" t="e">
        <f ca="1">IF($B80="","",IF($T80="VARIABLE",_xll.BDP($A80&amp;" Corp",W$4),_xll.BDP($A80&amp;" Corp",W$5)))</f>
        <v>#NAME?</v>
      </c>
      <c r="X80" s="30" t="e">
        <f ca="1">IF($B80="","",_xll.BDP($A80&amp;" Corp",X$5))</f>
        <v>#NAME?</v>
      </c>
      <c r="Y80" s="33" t="e">
        <f ca="1">IF($B80="","",_xll.BDP($A80&amp;" Corp",Y$5))</f>
        <v>#NAME?</v>
      </c>
      <c r="Z80" s="52" t="e">
        <f ca="1">IF($B80="","",_xll.BDP($A80&amp;" Corp",Z$5))</f>
        <v>#NAME?</v>
      </c>
      <c r="AA80" s="53" t="e">
        <f ca="1">IF($B80="","",_xll.BDP($A80&amp;" Corp",AA$5))</f>
        <v>#NAME?</v>
      </c>
      <c r="AB80" s="54" t="e">
        <f ca="1">IF($B80="","",_xll.BDP($A80&amp;" Corp",AB$5))</f>
        <v>#NAME?</v>
      </c>
      <c r="AC80" s="54" t="e">
        <f ca="1">IF($B80="","",_xll.BDP($A80&amp;" Corp",AC$5))</f>
        <v>#NAME?</v>
      </c>
      <c r="AD80" s="55" t="e">
        <f ca="1">IF($B80="","",_xll.BDP($A80&amp;" Corp",AD$5))</f>
        <v>#NAME?</v>
      </c>
      <c r="AE80" s="56" t="e">
        <f ca="1">IF($B80="","",_xll.BDP($A80&amp;" Corp",AE$5))</f>
        <v>#NAME?</v>
      </c>
      <c r="AF80" s="29" t="e">
        <f ca="1">IF($B80="","",_xll.BDP($A80&amp;" Corp",AF$5))</f>
        <v>#NAME?</v>
      </c>
      <c r="AG80" s="33" t="e">
        <f ca="1">IF($B80="","",_xll.BDP($A80&amp;" Corp",AG$5))</f>
        <v>#NAME?</v>
      </c>
      <c r="AH80" s="30" t="e">
        <f ca="1">IF($B80="","",_xll.BDP($A80&amp;" Corp",AH$5))</f>
        <v>#NAME?</v>
      </c>
      <c r="AI80" s="30" t="e">
        <f ca="1">IF($B80="","",_xll.BDP($A80&amp;" Corp",AI$5))</f>
        <v>#NAME?</v>
      </c>
      <c r="AJ80" s="30" t="e">
        <f ca="1">IF($B80="","",_xll.BDP($A80&amp;" Corp",AJ$5))</f>
        <v>#NAME?</v>
      </c>
      <c r="AK80" s="11" t="e">
        <f ca="1">IF($B80="","",_xll.BDP($A80&amp;" Corp",AK$5))</f>
        <v>#NAME?</v>
      </c>
      <c r="AL80" s="11" t="e">
        <f ca="1">IF($B80="","",_xll.BDP($A80&amp;" Corp",AL$5))</f>
        <v>#NAME?</v>
      </c>
      <c r="AM80" s="11">
        <v>2</v>
      </c>
      <c r="AN80" s="57">
        <v>1</v>
      </c>
    </row>
    <row r="81" spans="1:40" x14ac:dyDescent="0.3">
      <c r="A81" s="67" t="s">
        <v>376</v>
      </c>
      <c r="B81" s="68" t="s">
        <v>376</v>
      </c>
      <c r="C81" s="75">
        <v>7145</v>
      </c>
      <c r="D81" s="75">
        <v>128</v>
      </c>
      <c r="E81" s="75">
        <v>85881.14</v>
      </c>
      <c r="F81" s="69">
        <v>7.8199160000000004E-2</v>
      </c>
      <c r="G81" s="70">
        <v>106099</v>
      </c>
      <c r="H81" s="67">
        <v>85881.14</v>
      </c>
      <c r="I81" s="67">
        <v>7.8199160000000004E-2</v>
      </c>
      <c r="J81" s="67">
        <v>106099</v>
      </c>
      <c r="K81" s="71">
        <v>123.54167632148339</v>
      </c>
      <c r="L81" s="29" t="e">
        <f ca="1">IF(B81="","",_xll.BDP(A81&amp;" Corp","INTERVAL_HIGH","START_DATE_OVERRIDE",TEXT($L$3,"AAAAMMDD"),"END_DATE_OVERRIDE",TEXT($L$4,"AAAAMMDD"),"MARKET_DATA_OVERRIDE",$L$5))</f>
        <v>#NAME?</v>
      </c>
      <c r="M81" s="30" t="e">
        <f ca="1">IF(B81="","",_xll.BDP($A81&amp;" Corp","INTERVAL_LOW","START_DATE_OVERRIDE",TEXT($L$3,"AAAAMMDD"),"END_DATE_OVERRIDE",TEXT($L$4,"AAAAMMDD"),"MARKET_DATA_OVERRIDE",$L$5))</f>
        <v>#NAME?</v>
      </c>
      <c r="N81" s="31" t="s">
        <v>844</v>
      </c>
      <c r="O81" s="32" t="e">
        <f ca="1">IF($B81="","",_xll.BDP($A81&amp;" Corp",O$6))</f>
        <v>#NAME?</v>
      </c>
      <c r="P81" s="32" t="e">
        <f ca="1">IF($B81="","",_xll.BDP($A81&amp;" Corp",P$6))</f>
        <v>#NAME?</v>
      </c>
      <c r="Q81" s="30" t="e">
        <f ca="1">IF($B81="","",_xll.BDP($A81&amp;" Corp",Q$5))</f>
        <v>#NAME?</v>
      </c>
      <c r="R81" s="30" t="e">
        <f ca="1">IF($B81="","",_xll.BDP($A81&amp;" Corp",R$5))</f>
        <v>#NAME?</v>
      </c>
      <c r="S81" s="50" t="e">
        <f ca="1">IF($B81="","",_xll.BDP($A81&amp;" Corp",S$5))</f>
        <v>#NAME?</v>
      </c>
      <c r="T81" s="30" t="e">
        <f ca="1">IF($B81="","",_xll.BDP($A81&amp;" Corp",T$5))</f>
        <v>#NAME?</v>
      </c>
      <c r="U81" s="30" t="e">
        <f ca="1">IF($B81="","",_xll.BDP($A81&amp;" Corp",U$5))</f>
        <v>#NAME?</v>
      </c>
      <c r="V81" s="51" t="e">
        <f ca="1">IF($B81="","",IF($T81="VARIABLE",_xll.BDP($A81&amp;" Corp",V$4),_xll.BDP($A81&amp;" Corp",V$5)))</f>
        <v>#NAME?</v>
      </c>
      <c r="W81" s="30" t="e">
        <f ca="1">IF($B81="","",IF($T81="VARIABLE",_xll.BDP($A81&amp;" Corp",W$4),_xll.BDP($A81&amp;" Corp",W$5)))</f>
        <v>#NAME?</v>
      </c>
      <c r="X81" s="30" t="e">
        <f ca="1">IF($B81="","",_xll.BDP($A81&amp;" Corp",X$5))</f>
        <v>#NAME?</v>
      </c>
      <c r="Y81" s="33" t="e">
        <f ca="1">IF($B81="","",_xll.BDP($A81&amp;" Corp",Y$5))</f>
        <v>#NAME?</v>
      </c>
      <c r="Z81" s="52" t="e">
        <f ca="1">IF($B81="","",_xll.BDP($A81&amp;" Corp",Z$5))</f>
        <v>#NAME?</v>
      </c>
      <c r="AA81" s="53" t="e">
        <f ca="1">IF($B81="","",_xll.BDP($A81&amp;" Corp",AA$5))</f>
        <v>#NAME?</v>
      </c>
      <c r="AB81" s="54" t="e">
        <f ca="1">IF($B81="","",_xll.BDP($A81&amp;" Corp",AB$5))</f>
        <v>#NAME?</v>
      </c>
      <c r="AC81" s="54" t="e">
        <f ca="1">IF($B81="","",_xll.BDP($A81&amp;" Corp",AC$5))</f>
        <v>#NAME?</v>
      </c>
      <c r="AD81" s="55" t="e">
        <f ca="1">IF($B81="","",_xll.BDP($A81&amp;" Corp",AD$5))</f>
        <v>#NAME?</v>
      </c>
      <c r="AE81" s="56" t="e">
        <f ca="1">IF($B81="","",_xll.BDP($A81&amp;" Corp",AE$5))</f>
        <v>#NAME?</v>
      </c>
      <c r="AF81" s="29" t="e">
        <f ca="1">IF($B81="","",_xll.BDP($A81&amp;" Corp",AF$5))</f>
        <v>#NAME?</v>
      </c>
      <c r="AG81" s="33" t="e">
        <f ca="1">IF($B81="","",_xll.BDP($A81&amp;" Corp",AG$5))</f>
        <v>#NAME?</v>
      </c>
      <c r="AH81" s="30" t="e">
        <f ca="1">IF($B81="","",_xll.BDP($A81&amp;" Corp",AH$5))</f>
        <v>#NAME?</v>
      </c>
      <c r="AI81" s="30" t="e">
        <f ca="1">IF($B81="","",_xll.BDP($A81&amp;" Corp",AI$5))</f>
        <v>#NAME?</v>
      </c>
      <c r="AJ81" s="30" t="e">
        <f ca="1">IF($B81="","",_xll.BDP($A81&amp;" Corp",AJ$5))</f>
        <v>#NAME?</v>
      </c>
      <c r="AK81" s="11" t="e">
        <f ca="1">IF($B81="","",_xll.BDP($A81&amp;" Corp",AK$5))</f>
        <v>#NAME?</v>
      </c>
      <c r="AL81" s="11" t="e">
        <f ca="1">IF($B81="","",_xll.BDP($A81&amp;" Corp",AL$5))</f>
        <v>#NAME?</v>
      </c>
      <c r="AM81" s="11">
        <v>1</v>
      </c>
      <c r="AN81" s="57">
        <v>1</v>
      </c>
    </row>
    <row r="82" spans="1:40" x14ac:dyDescent="0.3">
      <c r="A82" s="67" t="s">
        <v>271</v>
      </c>
      <c r="B82" s="68" t="s">
        <v>271</v>
      </c>
      <c r="C82" s="75">
        <v>9358</v>
      </c>
      <c r="D82" s="75">
        <v>128</v>
      </c>
      <c r="E82" s="75">
        <v>100000</v>
      </c>
      <c r="F82" s="69">
        <v>8.2527299999999998E-2</v>
      </c>
      <c r="G82" s="70">
        <v>101674</v>
      </c>
      <c r="H82" s="67">
        <v>100000</v>
      </c>
      <c r="I82" s="67">
        <v>8.2527299999999998E-2</v>
      </c>
      <c r="J82" s="67">
        <v>101674</v>
      </c>
      <c r="K82" s="71">
        <v>101.67400000000001</v>
      </c>
      <c r="L82" s="29" t="e">
        <f ca="1">IF(B82="","",_xll.BDP(A82&amp;" Corp","INTERVAL_HIGH","START_DATE_OVERRIDE",TEXT($L$3,"AAAAMMDD"),"END_DATE_OVERRIDE",TEXT($L$4,"AAAAMMDD"),"MARKET_DATA_OVERRIDE",$L$5))</f>
        <v>#NAME?</v>
      </c>
      <c r="M82" s="30" t="e">
        <f ca="1">IF(B82="","",_xll.BDP($A82&amp;" Corp","INTERVAL_LOW","START_DATE_OVERRIDE",TEXT($L$3,"AAAAMMDD"),"END_DATE_OVERRIDE",TEXT($L$4,"AAAAMMDD"),"MARKET_DATA_OVERRIDE",$L$5))</f>
        <v>#NAME?</v>
      </c>
      <c r="N82" s="31" t="s">
        <v>845</v>
      </c>
      <c r="O82" s="32" t="e">
        <f ca="1">IF($B82="","",_xll.BDP($A82&amp;" Corp",O$6))</f>
        <v>#NAME?</v>
      </c>
      <c r="P82" s="32" t="e">
        <f ca="1">IF($B82="","",_xll.BDP($A82&amp;" Corp",P$6))</f>
        <v>#NAME?</v>
      </c>
      <c r="Q82" s="30" t="e">
        <f ca="1">IF($B82="","",_xll.BDP($A82&amp;" Corp",Q$5))</f>
        <v>#NAME?</v>
      </c>
      <c r="R82" s="30" t="e">
        <f ca="1">IF($B82="","",_xll.BDP($A82&amp;" Corp",R$5))</f>
        <v>#NAME?</v>
      </c>
      <c r="S82" s="50" t="e">
        <f ca="1">IF($B82="","",_xll.BDP($A82&amp;" Corp",S$5))</f>
        <v>#NAME?</v>
      </c>
      <c r="T82" s="30" t="e">
        <f ca="1">IF($B82="","",_xll.BDP($A82&amp;" Corp",T$5))</f>
        <v>#NAME?</v>
      </c>
      <c r="U82" s="30" t="e">
        <f ca="1">IF($B82="","",_xll.BDP($A82&amp;" Corp",U$5))</f>
        <v>#NAME?</v>
      </c>
      <c r="V82" s="51" t="e">
        <f ca="1">IF($B82="","",IF($T82="VARIABLE",_xll.BDP($A82&amp;" Corp",V$4),_xll.BDP($A82&amp;" Corp",V$5)))</f>
        <v>#NAME?</v>
      </c>
      <c r="W82" s="30" t="e">
        <f ca="1">IF($B82="","",IF($T82="VARIABLE",_xll.BDP($A82&amp;" Corp",W$4),_xll.BDP($A82&amp;" Corp",W$5)))</f>
        <v>#NAME?</v>
      </c>
      <c r="X82" s="30" t="e">
        <f ca="1">IF($B82="","",_xll.BDP($A82&amp;" Corp",X$5))</f>
        <v>#NAME?</v>
      </c>
      <c r="Y82" s="33" t="e">
        <f ca="1">IF($B82="","",_xll.BDP($A82&amp;" Corp",Y$5))</f>
        <v>#NAME?</v>
      </c>
      <c r="Z82" s="52" t="e">
        <f ca="1">IF($B82="","",_xll.BDP($A82&amp;" Corp",Z$5))</f>
        <v>#NAME?</v>
      </c>
      <c r="AA82" s="53" t="e">
        <f ca="1">IF($B82="","",_xll.BDP($A82&amp;" Corp",AA$5))</f>
        <v>#NAME?</v>
      </c>
      <c r="AB82" s="54" t="e">
        <f ca="1">IF($B82="","",_xll.BDP($A82&amp;" Corp",AB$5))</f>
        <v>#NAME?</v>
      </c>
      <c r="AC82" s="54" t="e">
        <f ca="1">IF($B82="","",_xll.BDP($A82&amp;" Corp",AC$5))</f>
        <v>#NAME?</v>
      </c>
      <c r="AD82" s="55" t="e">
        <f ca="1">IF($B82="","",_xll.BDP($A82&amp;" Corp",AD$5))</f>
        <v>#NAME?</v>
      </c>
      <c r="AE82" s="56" t="e">
        <f ca="1">IF($B82="","",_xll.BDP($A82&amp;" Corp",AE$5))</f>
        <v>#NAME?</v>
      </c>
      <c r="AF82" s="29" t="e">
        <f ca="1">IF($B82="","",_xll.BDP($A82&amp;" Corp",AF$5))</f>
        <v>#NAME?</v>
      </c>
      <c r="AG82" s="33" t="e">
        <f ca="1">IF($B82="","",_xll.BDP($A82&amp;" Corp",AG$5))</f>
        <v>#NAME?</v>
      </c>
      <c r="AH82" s="30" t="e">
        <f ca="1">IF($B82="","",_xll.BDP($A82&amp;" Corp",AH$5))</f>
        <v>#NAME?</v>
      </c>
      <c r="AI82" s="30" t="e">
        <f ca="1">IF($B82="","",_xll.BDP($A82&amp;" Corp",AI$5))</f>
        <v>#NAME?</v>
      </c>
      <c r="AJ82" s="30" t="e">
        <f ca="1">IF($B82="","",_xll.BDP($A82&amp;" Corp",AJ$5))</f>
        <v>#NAME?</v>
      </c>
      <c r="AK82" s="11" t="e">
        <f ca="1">IF($B82="","",_xll.BDP($A82&amp;" Corp",AK$5))</f>
        <v>#NAME?</v>
      </c>
      <c r="AL82" s="11" t="e">
        <f ca="1">IF($B82="","",_xll.BDP($A82&amp;" Corp",AL$5))</f>
        <v>#NAME?</v>
      </c>
      <c r="AM82" s="11">
        <v>1</v>
      </c>
      <c r="AN82" s="57">
        <v>0.1</v>
      </c>
    </row>
    <row r="83" spans="1:40" x14ac:dyDescent="0.3">
      <c r="A83" s="67" t="s">
        <v>304</v>
      </c>
      <c r="B83" s="68" t="s">
        <v>304</v>
      </c>
      <c r="C83" s="75">
        <v>6337</v>
      </c>
      <c r="D83" s="75">
        <v>128</v>
      </c>
      <c r="E83" s="75">
        <v>500000</v>
      </c>
      <c r="F83" s="69">
        <v>0.39430532000000001</v>
      </c>
      <c r="G83" s="70">
        <v>500611.66</v>
      </c>
      <c r="H83" s="67">
        <v>500000</v>
      </c>
      <c r="I83" s="67">
        <v>0.39430532000000001</v>
      </c>
      <c r="J83" s="67">
        <v>500611.66</v>
      </c>
      <c r="K83" s="71">
        <v>100.122332</v>
      </c>
      <c r="L83" s="29" t="e">
        <f ca="1">IF(B83="","",_xll.BDP(A83&amp;" Corp","INTERVAL_HIGH","START_DATE_OVERRIDE",TEXT($L$3,"AAAAMMDD"),"END_DATE_OVERRIDE",TEXT($L$4,"AAAAMMDD"),"MARKET_DATA_OVERRIDE",$L$5))</f>
        <v>#NAME?</v>
      </c>
      <c r="M83" s="30" t="e">
        <f ca="1">IF(B83="","",_xll.BDP($A83&amp;" Corp","INTERVAL_LOW","START_DATE_OVERRIDE",TEXT($L$3,"AAAAMMDD"),"END_DATE_OVERRIDE",TEXT($L$4,"AAAAMMDD"),"MARKET_DATA_OVERRIDE",$L$5))</f>
        <v>#NAME?</v>
      </c>
      <c r="N83" s="31" t="s">
        <v>846</v>
      </c>
      <c r="O83" s="32" t="e">
        <f ca="1">IF($B83="","",_xll.BDP($A83&amp;" Corp",O$6))</f>
        <v>#NAME?</v>
      </c>
      <c r="P83" s="32" t="e">
        <f ca="1">IF($B83="","",_xll.BDP($A83&amp;" Corp",P$6))</f>
        <v>#NAME?</v>
      </c>
      <c r="Q83" s="30" t="e">
        <f ca="1">IF($B83="","",_xll.BDP($A83&amp;" Corp",Q$5))</f>
        <v>#NAME?</v>
      </c>
      <c r="R83" s="30" t="e">
        <f ca="1">IF($B83="","",_xll.BDP($A83&amp;" Corp",R$5))</f>
        <v>#NAME?</v>
      </c>
      <c r="S83" s="50" t="e">
        <f ca="1">IF($B83="","",_xll.BDP($A83&amp;" Corp",S$5))</f>
        <v>#NAME?</v>
      </c>
      <c r="T83" s="30" t="e">
        <f ca="1">IF($B83="","",_xll.BDP($A83&amp;" Corp",T$5))</f>
        <v>#NAME?</v>
      </c>
      <c r="U83" s="30" t="e">
        <f ca="1">IF($B83="","",_xll.BDP($A83&amp;" Corp",U$5))</f>
        <v>#NAME?</v>
      </c>
      <c r="V83" s="51" t="e">
        <f ca="1">IF($B83="","",IF($T83="VARIABLE",_xll.BDP($A83&amp;" Corp",V$4),_xll.BDP($A83&amp;" Corp",V$5)))</f>
        <v>#NAME?</v>
      </c>
      <c r="W83" s="30" t="e">
        <f ca="1">IF($B83="","",IF($T83="VARIABLE",_xll.BDP($A83&amp;" Corp",W$4),_xll.BDP($A83&amp;" Corp",W$5)))</f>
        <v>#NAME?</v>
      </c>
      <c r="X83" s="30" t="e">
        <f ca="1">IF($B83="","",_xll.BDP($A83&amp;" Corp",X$5))</f>
        <v>#NAME?</v>
      </c>
      <c r="Y83" s="33" t="e">
        <f ca="1">IF($B83="","",_xll.BDP($A83&amp;" Corp",Y$5))</f>
        <v>#NAME?</v>
      </c>
      <c r="Z83" s="52" t="e">
        <f ca="1">IF($B83="","",_xll.BDP($A83&amp;" Corp",Z$5))</f>
        <v>#NAME?</v>
      </c>
      <c r="AA83" s="53" t="e">
        <f ca="1">IF($B83="","",_xll.BDP($A83&amp;" Corp",AA$5))</f>
        <v>#NAME?</v>
      </c>
      <c r="AB83" s="54" t="e">
        <f ca="1">IF($B83="","",_xll.BDP($A83&amp;" Corp",AB$5))</f>
        <v>#NAME?</v>
      </c>
      <c r="AC83" s="54" t="e">
        <f ca="1">IF($B83="","",_xll.BDP($A83&amp;" Corp",AC$5))</f>
        <v>#NAME?</v>
      </c>
      <c r="AD83" s="55" t="e">
        <f ca="1">IF($B83="","",_xll.BDP($A83&amp;" Corp",AD$5))</f>
        <v>#NAME?</v>
      </c>
      <c r="AE83" s="56" t="e">
        <f ca="1">IF($B83="","",_xll.BDP($A83&amp;" Corp",AE$5))</f>
        <v>#NAME?</v>
      </c>
      <c r="AF83" s="29" t="e">
        <f ca="1">IF($B83="","",_xll.BDP($A83&amp;" Corp",AF$5))</f>
        <v>#NAME?</v>
      </c>
      <c r="AG83" s="33" t="e">
        <f ca="1">IF($B83="","",_xll.BDP($A83&amp;" Corp",AG$5))</f>
        <v>#NAME?</v>
      </c>
      <c r="AH83" s="30" t="e">
        <f ca="1">IF($B83="","",_xll.BDP($A83&amp;" Corp",AH$5))</f>
        <v>#NAME?</v>
      </c>
      <c r="AI83" s="30" t="e">
        <f ca="1">IF($B83="","",_xll.BDP($A83&amp;" Corp",AI$5))</f>
        <v>#NAME?</v>
      </c>
      <c r="AJ83" s="30" t="e">
        <f ca="1">IF($B83="","",_xll.BDP($A83&amp;" Corp",AJ$5))</f>
        <v>#NAME?</v>
      </c>
      <c r="AK83" s="11" t="e">
        <f ca="1">IF($B83="","",_xll.BDP($A83&amp;" Corp",AK$5))</f>
        <v>#NAME?</v>
      </c>
      <c r="AL83" s="11" t="e">
        <f ca="1">IF($B83="","",_xll.BDP($A83&amp;" Corp",AL$5))</f>
        <v>#NAME?</v>
      </c>
      <c r="AM83" s="11">
        <v>3</v>
      </c>
      <c r="AN83" s="57">
        <v>3</v>
      </c>
    </row>
    <row r="84" spans="1:40" x14ac:dyDescent="0.3">
      <c r="A84" s="67" t="s">
        <v>585</v>
      </c>
      <c r="B84" s="68" t="s">
        <v>585</v>
      </c>
      <c r="C84" s="75">
        <v>7060</v>
      </c>
      <c r="D84" s="75">
        <v>128</v>
      </c>
      <c r="E84" s="75">
        <v>900000</v>
      </c>
      <c r="F84" s="69">
        <v>0.70616283000000002</v>
      </c>
      <c r="G84" s="70">
        <v>935963</v>
      </c>
      <c r="H84" s="67">
        <v>900000</v>
      </c>
      <c r="I84" s="67">
        <v>0.70616283000000002</v>
      </c>
      <c r="J84" s="67">
        <v>935963</v>
      </c>
      <c r="K84" s="71">
        <v>103.99588888888889</v>
      </c>
      <c r="L84" s="29" t="e">
        <f ca="1">IF(B84="","",_xll.BDP(A84&amp;" Corp","INTERVAL_HIGH","START_DATE_OVERRIDE",TEXT($L$3,"AAAAMMDD"),"END_DATE_OVERRIDE",TEXT($L$4,"AAAAMMDD"),"MARKET_DATA_OVERRIDE",$L$5))</f>
        <v>#NAME?</v>
      </c>
      <c r="M84" s="30" t="e">
        <f ca="1">IF(B84="","",_xll.BDP($A84&amp;" Corp","INTERVAL_LOW","START_DATE_OVERRIDE",TEXT($L$3,"AAAAMMDD"),"END_DATE_OVERRIDE",TEXT($L$4,"AAAAMMDD"),"MARKET_DATA_OVERRIDE",$L$5))</f>
        <v>#NAME?</v>
      </c>
      <c r="N84" s="31" t="s">
        <v>847</v>
      </c>
      <c r="O84" s="32" t="e">
        <f ca="1">IF($B84="","",_xll.BDP($A84&amp;" Corp",O$6))</f>
        <v>#NAME?</v>
      </c>
      <c r="P84" s="32" t="e">
        <f ca="1">IF($B84="","",_xll.BDP($A84&amp;" Corp",P$6))</f>
        <v>#NAME?</v>
      </c>
      <c r="Q84" s="30" t="e">
        <f ca="1">IF($B84="","",_xll.BDP($A84&amp;" Corp",Q$5))</f>
        <v>#NAME?</v>
      </c>
      <c r="R84" s="30" t="e">
        <f ca="1">IF($B84="","",_xll.BDP($A84&amp;" Corp",R$5))</f>
        <v>#NAME?</v>
      </c>
      <c r="S84" s="50" t="e">
        <f ca="1">IF($B84="","",_xll.BDP($A84&amp;" Corp",S$5))</f>
        <v>#NAME?</v>
      </c>
      <c r="T84" s="30" t="e">
        <f ca="1">IF($B84="","",_xll.BDP($A84&amp;" Corp",T$5))</f>
        <v>#NAME?</v>
      </c>
      <c r="U84" s="30" t="e">
        <f ca="1">IF($B84="","",_xll.BDP($A84&amp;" Corp",U$5))</f>
        <v>#NAME?</v>
      </c>
      <c r="V84" s="51" t="e">
        <f ca="1">IF($B84="","",IF($T84="VARIABLE",_xll.BDP($A84&amp;" Corp",V$4),_xll.BDP($A84&amp;" Corp",V$5)))</f>
        <v>#NAME?</v>
      </c>
      <c r="W84" s="30" t="e">
        <f ca="1">IF($B84="","",IF($T84="VARIABLE",_xll.BDP($A84&amp;" Corp",W$4),_xll.BDP($A84&amp;" Corp",W$5)))</f>
        <v>#NAME?</v>
      </c>
      <c r="X84" s="30" t="e">
        <f ca="1">IF($B84="","",_xll.BDP($A84&amp;" Corp",X$5))</f>
        <v>#NAME?</v>
      </c>
      <c r="Y84" s="33" t="e">
        <f ca="1">IF($B84="","",_xll.BDP($A84&amp;" Corp",Y$5))</f>
        <v>#NAME?</v>
      </c>
      <c r="Z84" s="52" t="e">
        <f ca="1">IF($B84="","",_xll.BDP($A84&amp;" Corp",Z$5))</f>
        <v>#NAME?</v>
      </c>
      <c r="AA84" s="53" t="e">
        <f ca="1">IF($B84="","",_xll.BDP($A84&amp;" Corp",AA$5))</f>
        <v>#NAME?</v>
      </c>
      <c r="AB84" s="54" t="e">
        <f ca="1">IF($B84="","",_xll.BDP($A84&amp;" Corp",AB$5))</f>
        <v>#NAME?</v>
      </c>
      <c r="AC84" s="54" t="e">
        <f ca="1">IF($B84="","",_xll.BDP($A84&amp;" Corp",AC$5))</f>
        <v>#NAME?</v>
      </c>
      <c r="AD84" s="55" t="e">
        <f ca="1">IF($B84="","",_xll.BDP($A84&amp;" Corp",AD$5))</f>
        <v>#NAME?</v>
      </c>
      <c r="AE84" s="56" t="e">
        <f ca="1">IF($B84="","",_xll.BDP($A84&amp;" Corp",AE$5))</f>
        <v>#NAME?</v>
      </c>
      <c r="AF84" s="29" t="e">
        <f ca="1">IF($B84="","",_xll.BDP($A84&amp;" Corp",AF$5))</f>
        <v>#NAME?</v>
      </c>
      <c r="AG84" s="33" t="e">
        <f ca="1">IF($B84="","",_xll.BDP($A84&amp;" Corp",AG$5))</f>
        <v>#NAME?</v>
      </c>
      <c r="AH84" s="30" t="e">
        <f ca="1">IF($B84="","",_xll.BDP($A84&amp;" Corp",AH$5))</f>
        <v>#NAME?</v>
      </c>
      <c r="AI84" s="30" t="e">
        <f ca="1">IF($B84="","",_xll.BDP($A84&amp;" Corp",AI$5))</f>
        <v>#NAME?</v>
      </c>
      <c r="AJ84" s="30" t="e">
        <f ca="1">IF($B84="","",_xll.BDP($A84&amp;" Corp",AJ$5))</f>
        <v>#NAME?</v>
      </c>
      <c r="AK84" s="11" t="e">
        <f ca="1">IF($B84="","",_xll.BDP($A84&amp;" Corp",AK$5))</f>
        <v>#NAME?</v>
      </c>
      <c r="AL84" s="11" t="e">
        <f ca="1">IF($B84="","",_xll.BDP($A84&amp;" Corp",AL$5))</f>
        <v>#NAME?</v>
      </c>
      <c r="AM84" s="11">
        <v>2</v>
      </c>
      <c r="AN84" s="57">
        <v>2</v>
      </c>
    </row>
    <row r="85" spans="1:40" x14ac:dyDescent="0.3">
      <c r="A85" s="67" t="s">
        <v>378</v>
      </c>
      <c r="B85" s="68" t="s">
        <v>378</v>
      </c>
      <c r="C85" s="75">
        <v>7394</v>
      </c>
      <c r="D85" s="75">
        <v>128</v>
      </c>
      <c r="E85" s="75">
        <v>84666.84</v>
      </c>
      <c r="F85" s="69">
        <v>7.7293810000000004E-2</v>
      </c>
      <c r="G85" s="70">
        <v>110136</v>
      </c>
      <c r="H85" s="67">
        <v>84666.84</v>
      </c>
      <c r="I85" s="67">
        <v>7.7293810000000004E-2</v>
      </c>
      <c r="J85" s="67">
        <v>110136</v>
      </c>
      <c r="K85" s="71">
        <v>130.08162345494412</v>
      </c>
      <c r="L85" s="29" t="e">
        <f ca="1">IF(B85="","",_xll.BDP(A85&amp;" Corp","INTERVAL_HIGH","START_DATE_OVERRIDE",TEXT($L$3,"AAAAMMDD"),"END_DATE_OVERRIDE",TEXT($L$4,"AAAAMMDD"),"MARKET_DATA_OVERRIDE",$L$5))</f>
        <v>#NAME?</v>
      </c>
      <c r="M85" s="30" t="e">
        <f ca="1">IF(B85="","",_xll.BDP($A85&amp;" Corp","INTERVAL_LOW","START_DATE_OVERRIDE",TEXT($L$3,"AAAAMMDD"),"END_DATE_OVERRIDE",TEXT($L$4,"AAAAMMDD"),"MARKET_DATA_OVERRIDE",$L$5))</f>
        <v>#NAME?</v>
      </c>
      <c r="N85" s="31" t="s">
        <v>848</v>
      </c>
      <c r="O85" s="32" t="e">
        <f ca="1">IF($B85="","",_xll.BDP($A85&amp;" Corp",O$6))</f>
        <v>#NAME?</v>
      </c>
      <c r="P85" s="32" t="e">
        <f ca="1">IF($B85="","",_xll.BDP($A85&amp;" Corp",P$6))</f>
        <v>#NAME?</v>
      </c>
      <c r="Q85" s="30" t="e">
        <f ca="1">IF($B85="","",_xll.BDP($A85&amp;" Corp",Q$5))</f>
        <v>#NAME?</v>
      </c>
      <c r="R85" s="30" t="e">
        <f ca="1">IF($B85="","",_xll.BDP($A85&amp;" Corp",R$5))</f>
        <v>#NAME?</v>
      </c>
      <c r="S85" s="50" t="e">
        <f ca="1">IF($B85="","",_xll.BDP($A85&amp;" Corp",S$5))</f>
        <v>#NAME?</v>
      </c>
      <c r="T85" s="30" t="e">
        <f ca="1">IF($B85="","",_xll.BDP($A85&amp;" Corp",T$5))</f>
        <v>#NAME?</v>
      </c>
      <c r="U85" s="30" t="e">
        <f ca="1">IF($B85="","",_xll.BDP($A85&amp;" Corp",U$5))</f>
        <v>#NAME?</v>
      </c>
      <c r="V85" s="51" t="e">
        <f ca="1">IF($B85="","",IF($T85="VARIABLE",_xll.BDP($A85&amp;" Corp",V$4),_xll.BDP($A85&amp;" Corp",V$5)))</f>
        <v>#NAME?</v>
      </c>
      <c r="W85" s="30" t="e">
        <f ca="1">IF($B85="","",IF($T85="VARIABLE",_xll.BDP($A85&amp;" Corp",W$4),_xll.BDP($A85&amp;" Corp",W$5)))</f>
        <v>#NAME?</v>
      </c>
      <c r="X85" s="30" t="e">
        <f ca="1">IF($B85="","",_xll.BDP($A85&amp;" Corp",X$5))</f>
        <v>#NAME?</v>
      </c>
      <c r="Y85" s="33" t="e">
        <f ca="1">IF($B85="","",_xll.BDP($A85&amp;" Corp",Y$5))</f>
        <v>#NAME?</v>
      </c>
      <c r="Z85" s="52" t="e">
        <f ca="1">IF($B85="","",_xll.BDP($A85&amp;" Corp",Z$5))</f>
        <v>#NAME?</v>
      </c>
      <c r="AA85" s="53" t="e">
        <f ca="1">IF($B85="","",_xll.BDP($A85&amp;" Corp",AA$5))</f>
        <v>#NAME?</v>
      </c>
      <c r="AB85" s="54" t="e">
        <f ca="1">IF($B85="","",_xll.BDP($A85&amp;" Corp",AB$5))</f>
        <v>#NAME?</v>
      </c>
      <c r="AC85" s="54" t="e">
        <f ca="1">IF($B85="","",_xll.BDP($A85&amp;" Corp",AC$5))</f>
        <v>#NAME?</v>
      </c>
      <c r="AD85" s="55" t="e">
        <f ca="1">IF($B85="","",_xll.BDP($A85&amp;" Corp",AD$5))</f>
        <v>#NAME?</v>
      </c>
      <c r="AE85" s="56" t="e">
        <f ca="1">IF($B85="","",_xll.BDP($A85&amp;" Corp",AE$5))</f>
        <v>#NAME?</v>
      </c>
      <c r="AF85" s="29" t="e">
        <f ca="1">IF($B85="","",_xll.BDP($A85&amp;" Corp",AF$5))</f>
        <v>#NAME?</v>
      </c>
      <c r="AG85" s="33" t="e">
        <f ca="1">IF($B85="","",_xll.BDP($A85&amp;" Corp",AG$5))</f>
        <v>#NAME?</v>
      </c>
      <c r="AH85" s="30" t="e">
        <f ca="1">IF($B85="","",_xll.BDP($A85&amp;" Corp",AH$5))</f>
        <v>#NAME?</v>
      </c>
      <c r="AI85" s="30" t="e">
        <f ca="1">IF($B85="","",_xll.BDP($A85&amp;" Corp",AI$5))</f>
        <v>#NAME?</v>
      </c>
      <c r="AJ85" s="30" t="e">
        <f ca="1">IF($B85="","",_xll.BDP($A85&amp;" Corp",AJ$5))</f>
        <v>#NAME?</v>
      </c>
      <c r="AK85" s="11" t="e">
        <f ca="1">IF($B85="","",_xll.BDP($A85&amp;" Corp",AK$5))</f>
        <v>#NAME?</v>
      </c>
      <c r="AL85" s="11" t="e">
        <f ca="1">IF($B85="","",_xll.BDP($A85&amp;" Corp",AL$5))</f>
        <v>#NAME?</v>
      </c>
      <c r="AM85" s="11">
        <v>1</v>
      </c>
      <c r="AN85" s="57">
        <v>1</v>
      </c>
    </row>
    <row r="86" spans="1:40" x14ac:dyDescent="0.3">
      <c r="A86" s="67" t="s">
        <v>380</v>
      </c>
      <c r="B86" s="68" t="s">
        <v>380</v>
      </c>
      <c r="C86" s="75">
        <v>8277</v>
      </c>
      <c r="D86" s="75">
        <v>128</v>
      </c>
      <c r="E86" s="75">
        <v>600000</v>
      </c>
      <c r="F86" s="69">
        <v>0.45188015999999998</v>
      </c>
      <c r="G86" s="70">
        <v>606397.5</v>
      </c>
      <c r="H86" s="67">
        <v>600000</v>
      </c>
      <c r="I86" s="67">
        <v>0.45188015999999998</v>
      </c>
      <c r="J86" s="67">
        <v>606397.5</v>
      </c>
      <c r="K86" s="71">
        <v>101.06625</v>
      </c>
      <c r="L86" s="29" t="e">
        <f ca="1">IF(B86="","",_xll.BDP(A86&amp;" Corp","INTERVAL_HIGH","START_DATE_OVERRIDE",TEXT($L$3,"AAAAMMDD"),"END_DATE_OVERRIDE",TEXT($L$4,"AAAAMMDD"),"MARKET_DATA_OVERRIDE",$L$5))</f>
        <v>#NAME?</v>
      </c>
      <c r="M86" s="30" t="e">
        <f ca="1">IF(B86="","",_xll.BDP($A86&amp;" Corp","INTERVAL_LOW","START_DATE_OVERRIDE",TEXT($L$3,"AAAAMMDD"),"END_DATE_OVERRIDE",TEXT($L$4,"AAAAMMDD"),"MARKET_DATA_OVERRIDE",$L$5))</f>
        <v>#NAME?</v>
      </c>
      <c r="N86" s="31" t="s">
        <v>849</v>
      </c>
      <c r="O86" s="32" t="e">
        <f ca="1">IF($B86="","",_xll.BDP($A86&amp;" Corp",O$6))</f>
        <v>#NAME?</v>
      </c>
      <c r="P86" s="32" t="e">
        <f ca="1">IF($B86="","",_xll.BDP($A86&amp;" Corp",P$6))</f>
        <v>#NAME?</v>
      </c>
      <c r="Q86" s="30" t="e">
        <f ca="1">IF($B86="","",_xll.BDP($A86&amp;" Corp",Q$5))</f>
        <v>#NAME?</v>
      </c>
      <c r="R86" s="30" t="e">
        <f ca="1">IF($B86="","",_xll.BDP($A86&amp;" Corp",R$5))</f>
        <v>#NAME?</v>
      </c>
      <c r="S86" s="50" t="e">
        <f ca="1">IF($B86="","",_xll.BDP($A86&amp;" Corp",S$5))</f>
        <v>#NAME?</v>
      </c>
      <c r="T86" s="30" t="e">
        <f ca="1">IF($B86="","",_xll.BDP($A86&amp;" Corp",T$5))</f>
        <v>#NAME?</v>
      </c>
      <c r="U86" s="30" t="e">
        <f ca="1">IF($B86="","",_xll.BDP($A86&amp;" Corp",U$5))</f>
        <v>#NAME?</v>
      </c>
      <c r="V86" s="51" t="e">
        <f ca="1">IF($B86="","",IF($T86="VARIABLE",_xll.BDP($A86&amp;" Corp",V$4),_xll.BDP($A86&amp;" Corp",V$5)))</f>
        <v>#NAME?</v>
      </c>
      <c r="W86" s="30" t="e">
        <f ca="1">IF($B86="","",IF($T86="VARIABLE",_xll.BDP($A86&amp;" Corp",W$4),_xll.BDP($A86&amp;" Corp",W$5)))</f>
        <v>#NAME?</v>
      </c>
      <c r="X86" s="30" t="e">
        <f ca="1">IF($B86="","",_xll.BDP($A86&amp;" Corp",X$5))</f>
        <v>#NAME?</v>
      </c>
      <c r="Y86" s="33" t="e">
        <f ca="1">IF($B86="","",_xll.BDP($A86&amp;" Corp",Y$5))</f>
        <v>#NAME?</v>
      </c>
      <c r="Z86" s="52" t="e">
        <f ca="1">IF($B86="","",_xll.BDP($A86&amp;" Corp",Z$5))</f>
        <v>#NAME?</v>
      </c>
      <c r="AA86" s="53" t="e">
        <f ca="1">IF($B86="","",_xll.BDP($A86&amp;" Corp",AA$5))</f>
        <v>#NAME?</v>
      </c>
      <c r="AB86" s="54" t="e">
        <f ca="1">IF($B86="","",_xll.BDP($A86&amp;" Corp",AB$5))</f>
        <v>#NAME?</v>
      </c>
      <c r="AC86" s="54" t="e">
        <f ca="1">IF($B86="","",_xll.BDP($A86&amp;" Corp",AC$5))</f>
        <v>#NAME?</v>
      </c>
      <c r="AD86" s="55" t="e">
        <f ca="1">IF($B86="","",_xll.BDP($A86&amp;" Corp",AD$5))</f>
        <v>#NAME?</v>
      </c>
      <c r="AE86" s="56" t="e">
        <f ca="1">IF($B86="","",_xll.BDP($A86&amp;" Corp",AE$5))</f>
        <v>#NAME?</v>
      </c>
      <c r="AF86" s="29" t="e">
        <f ca="1">IF($B86="","",_xll.BDP($A86&amp;" Corp",AF$5))</f>
        <v>#NAME?</v>
      </c>
      <c r="AG86" s="33" t="e">
        <f ca="1">IF($B86="","",_xll.BDP($A86&amp;" Corp",AG$5))</f>
        <v>#NAME?</v>
      </c>
      <c r="AH86" s="30" t="e">
        <f ca="1">IF($B86="","",_xll.BDP($A86&amp;" Corp",AH$5))</f>
        <v>#NAME?</v>
      </c>
      <c r="AI86" s="30" t="e">
        <f ca="1">IF($B86="","",_xll.BDP($A86&amp;" Corp",AI$5))</f>
        <v>#NAME?</v>
      </c>
      <c r="AJ86" s="30" t="e">
        <f ca="1">IF($B86="","",_xll.BDP($A86&amp;" Corp",AJ$5))</f>
        <v>#NAME?</v>
      </c>
      <c r="AK86" s="11" t="e">
        <f ca="1">IF($B86="","",_xll.BDP($A86&amp;" Corp",AK$5))</f>
        <v>#NAME?</v>
      </c>
      <c r="AL86" s="11" t="e">
        <f ca="1">IF($B86="","",_xll.BDP($A86&amp;" Corp",AL$5))</f>
        <v>#NAME?</v>
      </c>
      <c r="AM86" s="11">
        <v>3</v>
      </c>
      <c r="AN86" s="57">
        <v>2</v>
      </c>
    </row>
    <row r="87" spans="1:40" x14ac:dyDescent="0.3">
      <c r="A87" s="67" t="s">
        <v>539</v>
      </c>
      <c r="B87" s="68" t="s">
        <v>539</v>
      </c>
      <c r="C87" s="75">
        <v>7048</v>
      </c>
      <c r="D87" s="75">
        <v>128</v>
      </c>
      <c r="E87" s="75">
        <v>300000</v>
      </c>
      <c r="F87" s="69">
        <v>0.21638099999999999</v>
      </c>
      <c r="G87" s="70">
        <v>333246</v>
      </c>
      <c r="H87" s="67">
        <v>300000</v>
      </c>
      <c r="I87" s="67">
        <v>0.21638099999999999</v>
      </c>
      <c r="J87" s="67">
        <v>333246</v>
      </c>
      <c r="K87" s="71">
        <v>111.08199999999999</v>
      </c>
      <c r="L87" s="29" t="e">
        <f ca="1">IF(B87="","",_xll.BDP(A87&amp;" Corp","INTERVAL_HIGH","START_DATE_OVERRIDE",TEXT($L$3,"AAAAMMDD"),"END_DATE_OVERRIDE",TEXT($L$4,"AAAAMMDD"),"MARKET_DATA_OVERRIDE",$L$5))</f>
        <v>#NAME?</v>
      </c>
      <c r="M87" s="30" t="e">
        <f ca="1">IF(B87="","",_xll.BDP($A87&amp;" Corp","INTERVAL_LOW","START_DATE_OVERRIDE",TEXT($L$3,"AAAAMMDD"),"END_DATE_OVERRIDE",TEXT($L$4,"AAAAMMDD"),"MARKET_DATA_OVERRIDE",$L$5))</f>
        <v>#NAME?</v>
      </c>
      <c r="N87" s="31" t="s">
        <v>850</v>
      </c>
      <c r="O87" s="32" t="e">
        <f ca="1">IF($B87="","",_xll.BDP($A87&amp;" Corp",O$6))</f>
        <v>#NAME?</v>
      </c>
      <c r="P87" s="32" t="e">
        <f ca="1">IF($B87="","",_xll.BDP($A87&amp;" Corp",P$6))</f>
        <v>#NAME?</v>
      </c>
      <c r="Q87" s="30" t="e">
        <f ca="1">IF($B87="","",_xll.BDP($A87&amp;" Corp",Q$5))</f>
        <v>#NAME?</v>
      </c>
      <c r="R87" s="30" t="e">
        <f ca="1">IF($B87="","",_xll.BDP($A87&amp;" Corp",R$5))</f>
        <v>#NAME?</v>
      </c>
      <c r="S87" s="50" t="e">
        <f ca="1">IF($B87="","",_xll.BDP($A87&amp;" Corp",S$5))</f>
        <v>#NAME?</v>
      </c>
      <c r="T87" s="30" t="e">
        <f ca="1">IF($B87="","",_xll.BDP($A87&amp;" Corp",T$5))</f>
        <v>#NAME?</v>
      </c>
      <c r="U87" s="30" t="e">
        <f ca="1">IF($B87="","",_xll.BDP($A87&amp;" Corp",U$5))</f>
        <v>#NAME?</v>
      </c>
      <c r="V87" s="51" t="e">
        <f ca="1">IF($B87="","",IF($T87="VARIABLE",_xll.BDP($A87&amp;" Corp",V$4),_xll.BDP($A87&amp;" Corp",V$5)))</f>
        <v>#NAME?</v>
      </c>
      <c r="W87" s="30" t="e">
        <f ca="1">IF($B87="","",IF($T87="VARIABLE",_xll.BDP($A87&amp;" Corp",W$4),_xll.BDP($A87&amp;" Corp",W$5)))</f>
        <v>#NAME?</v>
      </c>
      <c r="X87" s="30" t="e">
        <f ca="1">IF($B87="","",_xll.BDP($A87&amp;" Corp",X$5))</f>
        <v>#NAME?</v>
      </c>
      <c r="Y87" s="33" t="e">
        <f ca="1">IF($B87="","",_xll.BDP($A87&amp;" Corp",Y$5))</f>
        <v>#NAME?</v>
      </c>
      <c r="Z87" s="52" t="e">
        <f ca="1">IF($B87="","",_xll.BDP($A87&amp;" Corp",Z$5))</f>
        <v>#NAME?</v>
      </c>
      <c r="AA87" s="53" t="e">
        <f ca="1">IF($B87="","",_xll.BDP($A87&amp;" Corp",AA$5))</f>
        <v>#NAME?</v>
      </c>
      <c r="AB87" s="54" t="e">
        <f ca="1">IF($B87="","",_xll.BDP($A87&amp;" Corp",AB$5))</f>
        <v>#NAME?</v>
      </c>
      <c r="AC87" s="54" t="e">
        <f ca="1">IF($B87="","",_xll.BDP($A87&amp;" Corp",AC$5))</f>
        <v>#NAME?</v>
      </c>
      <c r="AD87" s="55" t="e">
        <f ca="1">IF($B87="","",_xll.BDP($A87&amp;" Corp",AD$5))</f>
        <v>#NAME?</v>
      </c>
      <c r="AE87" s="56" t="e">
        <f ca="1">IF($B87="","",_xll.BDP($A87&amp;" Corp",AE$5))</f>
        <v>#NAME?</v>
      </c>
      <c r="AF87" s="29" t="e">
        <f ca="1">IF($B87="","",_xll.BDP($A87&amp;" Corp",AF$5))</f>
        <v>#NAME?</v>
      </c>
      <c r="AG87" s="33" t="e">
        <f ca="1">IF($B87="","",_xll.BDP($A87&amp;" Corp",AG$5))</f>
        <v>#NAME?</v>
      </c>
      <c r="AH87" s="30" t="e">
        <f ca="1">IF($B87="","",_xll.BDP($A87&amp;" Corp",AH$5))</f>
        <v>#NAME?</v>
      </c>
      <c r="AI87" s="30" t="e">
        <f ca="1">IF($B87="","",_xll.BDP($A87&amp;" Corp",AI$5))</f>
        <v>#NAME?</v>
      </c>
      <c r="AJ87" s="30" t="e">
        <f ca="1">IF($B87="","",_xll.BDP($A87&amp;" Corp",AJ$5))</f>
        <v>#NAME?</v>
      </c>
      <c r="AK87" s="11" t="e">
        <f ca="1">IF($B87="","",_xll.BDP($A87&amp;" Corp",AK$5))</f>
        <v>#NAME?</v>
      </c>
      <c r="AL87" s="11" t="e">
        <f ca="1">IF($B87="","",_xll.BDP($A87&amp;" Corp",AL$5))</f>
        <v>#NAME?</v>
      </c>
      <c r="AM87" s="11">
        <v>6</v>
      </c>
      <c r="AN87" s="57">
        <v>5</v>
      </c>
    </row>
    <row r="88" spans="1:40" x14ac:dyDescent="0.3">
      <c r="A88" s="67" t="s">
        <v>545</v>
      </c>
      <c r="B88" s="68" t="s">
        <v>545</v>
      </c>
      <c r="C88" s="75">
        <v>6648</v>
      </c>
      <c r="D88" s="75">
        <v>128</v>
      </c>
      <c r="E88" s="75">
        <v>529801.24</v>
      </c>
      <c r="F88" s="69">
        <v>0.47434553000000002</v>
      </c>
      <c r="G88" s="70">
        <v>618444</v>
      </c>
      <c r="H88" s="67">
        <v>529801.24</v>
      </c>
      <c r="I88" s="67">
        <v>0.47434553000000002</v>
      </c>
      <c r="J88" s="67">
        <v>618444</v>
      </c>
      <c r="K88" s="71">
        <v>116.73132361864612</v>
      </c>
      <c r="L88" s="29" t="e">
        <f ca="1">IF(B88="","",_xll.BDP(A88&amp;" Corp","INTERVAL_HIGH","START_DATE_OVERRIDE",TEXT($L$3,"AAAAMMDD"),"END_DATE_OVERRIDE",TEXT($L$4,"AAAAMMDD"),"MARKET_DATA_OVERRIDE",$L$5))</f>
        <v>#NAME?</v>
      </c>
      <c r="M88" s="30" t="e">
        <f ca="1">IF(B88="","",_xll.BDP($A88&amp;" Corp","INTERVAL_LOW","START_DATE_OVERRIDE",TEXT($L$3,"AAAAMMDD"),"END_DATE_OVERRIDE",TEXT($L$4,"AAAAMMDD"),"MARKET_DATA_OVERRIDE",$L$5))</f>
        <v>#NAME?</v>
      </c>
      <c r="N88" s="31" t="s">
        <v>851</v>
      </c>
      <c r="O88" s="32" t="e">
        <f ca="1">IF($B88="","",_xll.BDP($A88&amp;" Corp",O$6))</f>
        <v>#NAME?</v>
      </c>
      <c r="P88" s="32" t="e">
        <f ca="1">IF($B88="","",_xll.BDP($A88&amp;" Corp",P$6))</f>
        <v>#NAME?</v>
      </c>
      <c r="Q88" s="30" t="e">
        <f ca="1">IF($B88="","",_xll.BDP($A88&amp;" Corp",Q$5))</f>
        <v>#NAME?</v>
      </c>
      <c r="R88" s="30" t="e">
        <f ca="1">IF($B88="","",_xll.BDP($A88&amp;" Corp",R$5))</f>
        <v>#NAME?</v>
      </c>
      <c r="S88" s="50" t="e">
        <f ca="1">IF($B88="","",_xll.BDP($A88&amp;" Corp",S$5))</f>
        <v>#NAME?</v>
      </c>
      <c r="T88" s="30" t="e">
        <f ca="1">IF($B88="","",_xll.BDP($A88&amp;" Corp",T$5))</f>
        <v>#NAME?</v>
      </c>
      <c r="U88" s="30" t="e">
        <f ca="1">IF($B88="","",_xll.BDP($A88&amp;" Corp",U$5))</f>
        <v>#NAME?</v>
      </c>
      <c r="V88" s="51" t="e">
        <f ca="1">IF($B88="","",IF($T88="VARIABLE",_xll.BDP($A88&amp;" Corp",V$4),_xll.BDP($A88&amp;" Corp",V$5)))</f>
        <v>#NAME?</v>
      </c>
      <c r="W88" s="30" t="e">
        <f ca="1">IF($B88="","",IF($T88="VARIABLE",_xll.BDP($A88&amp;" Corp",W$4),_xll.BDP($A88&amp;" Corp",W$5)))</f>
        <v>#NAME?</v>
      </c>
      <c r="X88" s="30" t="e">
        <f ca="1">IF($B88="","",_xll.BDP($A88&amp;" Corp",X$5))</f>
        <v>#NAME?</v>
      </c>
      <c r="Y88" s="33" t="e">
        <f ca="1">IF($B88="","",_xll.BDP($A88&amp;" Corp",Y$5))</f>
        <v>#NAME?</v>
      </c>
      <c r="Z88" s="52" t="e">
        <f ca="1">IF($B88="","",_xll.BDP($A88&amp;" Corp",Z$5))</f>
        <v>#NAME?</v>
      </c>
      <c r="AA88" s="53" t="e">
        <f ca="1">IF($B88="","",_xll.BDP($A88&amp;" Corp",AA$5))</f>
        <v>#NAME?</v>
      </c>
      <c r="AB88" s="54" t="e">
        <f ca="1">IF($B88="","",_xll.BDP($A88&amp;" Corp",AB$5))</f>
        <v>#NAME?</v>
      </c>
      <c r="AC88" s="54" t="e">
        <f ca="1">IF($B88="","",_xll.BDP($A88&amp;" Corp",AC$5))</f>
        <v>#NAME?</v>
      </c>
      <c r="AD88" s="55" t="e">
        <f ca="1">IF($B88="","",_xll.BDP($A88&amp;" Corp",AD$5))</f>
        <v>#NAME?</v>
      </c>
      <c r="AE88" s="56" t="e">
        <f ca="1">IF($B88="","",_xll.BDP($A88&amp;" Corp",AE$5))</f>
        <v>#NAME?</v>
      </c>
      <c r="AF88" s="29" t="e">
        <f ca="1">IF($B88="","",_xll.BDP($A88&amp;" Corp",AF$5))</f>
        <v>#NAME?</v>
      </c>
      <c r="AG88" s="33" t="e">
        <f ca="1">IF($B88="","",_xll.BDP($A88&amp;" Corp",AG$5))</f>
        <v>#NAME?</v>
      </c>
      <c r="AH88" s="30" t="e">
        <f ca="1">IF($B88="","",_xll.BDP($A88&amp;" Corp",AH$5))</f>
        <v>#NAME?</v>
      </c>
      <c r="AI88" s="30" t="e">
        <f ca="1">IF($B88="","",_xll.BDP($A88&amp;" Corp",AI$5))</f>
        <v>#NAME?</v>
      </c>
      <c r="AJ88" s="30" t="e">
        <f ca="1">IF($B88="","",_xll.BDP($A88&amp;" Corp",AJ$5))</f>
        <v>#NAME?</v>
      </c>
      <c r="AK88" s="11" t="e">
        <f ca="1">IF($B88="","",_xll.BDP($A88&amp;" Corp",AK$5))</f>
        <v>#NAME?</v>
      </c>
      <c r="AL88" s="11" t="e">
        <f ca="1">IF($B88="","",_xll.BDP($A88&amp;" Corp",AL$5))</f>
        <v>#NAME?</v>
      </c>
      <c r="AM88" s="11">
        <v>1</v>
      </c>
      <c r="AN88" s="57">
        <v>0</v>
      </c>
    </row>
    <row r="89" spans="1:40" x14ac:dyDescent="0.3">
      <c r="A89" s="67" t="s">
        <v>382</v>
      </c>
      <c r="B89" s="68" t="s">
        <v>382</v>
      </c>
      <c r="C89" s="75">
        <v>7285</v>
      </c>
      <c r="D89" s="75">
        <v>128</v>
      </c>
      <c r="E89" s="75">
        <v>315000</v>
      </c>
      <c r="F89" s="69">
        <v>0.25726083</v>
      </c>
      <c r="G89" s="70">
        <v>326579.40000000002</v>
      </c>
      <c r="H89" s="67">
        <v>315000</v>
      </c>
      <c r="I89" s="67">
        <v>0.25726083</v>
      </c>
      <c r="J89" s="67">
        <v>326579.40000000002</v>
      </c>
      <c r="K89" s="71">
        <v>103.67600000000002</v>
      </c>
      <c r="L89" s="29" t="e">
        <f ca="1">IF(B89="","",_xll.BDP(A89&amp;" Corp","INTERVAL_HIGH","START_DATE_OVERRIDE",TEXT($L$3,"AAAAMMDD"),"END_DATE_OVERRIDE",TEXT($L$4,"AAAAMMDD"),"MARKET_DATA_OVERRIDE",$L$5))</f>
        <v>#NAME?</v>
      </c>
      <c r="M89" s="30" t="e">
        <f ca="1">IF(B89="","",_xll.BDP($A89&amp;" Corp","INTERVAL_LOW","START_DATE_OVERRIDE",TEXT($L$3,"AAAAMMDD"),"END_DATE_OVERRIDE",TEXT($L$4,"AAAAMMDD"),"MARKET_DATA_OVERRIDE",$L$5))</f>
        <v>#NAME?</v>
      </c>
      <c r="N89" s="31" t="s">
        <v>852</v>
      </c>
      <c r="O89" s="32" t="e">
        <f ca="1">IF($B89="","",_xll.BDP($A89&amp;" Corp",O$6))</f>
        <v>#NAME?</v>
      </c>
      <c r="P89" s="32" t="e">
        <f ca="1">IF($B89="","",_xll.BDP($A89&amp;" Corp",P$6))</f>
        <v>#NAME?</v>
      </c>
      <c r="Q89" s="30" t="e">
        <f ca="1">IF($B89="","",_xll.BDP($A89&amp;" Corp",Q$5))</f>
        <v>#NAME?</v>
      </c>
      <c r="R89" s="30" t="e">
        <f ca="1">IF($B89="","",_xll.BDP($A89&amp;" Corp",R$5))</f>
        <v>#NAME?</v>
      </c>
      <c r="S89" s="50" t="e">
        <f ca="1">IF($B89="","",_xll.BDP($A89&amp;" Corp",S$5))</f>
        <v>#NAME?</v>
      </c>
      <c r="T89" s="30" t="e">
        <f ca="1">IF($B89="","",_xll.BDP($A89&amp;" Corp",T$5))</f>
        <v>#NAME?</v>
      </c>
      <c r="U89" s="30" t="e">
        <f ca="1">IF($B89="","",_xll.BDP($A89&amp;" Corp",U$5))</f>
        <v>#NAME?</v>
      </c>
      <c r="V89" s="51" t="e">
        <f ca="1">IF($B89="","",IF($T89="VARIABLE",_xll.BDP($A89&amp;" Corp",V$4),_xll.BDP($A89&amp;" Corp",V$5)))</f>
        <v>#NAME?</v>
      </c>
      <c r="W89" s="30" t="e">
        <f ca="1">IF($B89="","",IF($T89="VARIABLE",_xll.BDP($A89&amp;" Corp",W$4),_xll.BDP($A89&amp;" Corp",W$5)))</f>
        <v>#NAME?</v>
      </c>
      <c r="X89" s="30" t="e">
        <f ca="1">IF($B89="","",_xll.BDP($A89&amp;" Corp",X$5))</f>
        <v>#NAME?</v>
      </c>
      <c r="Y89" s="33" t="e">
        <f ca="1">IF($B89="","",_xll.BDP($A89&amp;" Corp",Y$5))</f>
        <v>#NAME?</v>
      </c>
      <c r="Z89" s="52" t="e">
        <f ca="1">IF($B89="","",_xll.BDP($A89&amp;" Corp",Z$5))</f>
        <v>#NAME?</v>
      </c>
      <c r="AA89" s="53" t="e">
        <f ca="1">IF($B89="","",_xll.BDP($A89&amp;" Corp",AA$5))</f>
        <v>#NAME?</v>
      </c>
      <c r="AB89" s="54" t="e">
        <f ca="1">IF($B89="","",_xll.BDP($A89&amp;" Corp",AB$5))</f>
        <v>#NAME?</v>
      </c>
      <c r="AC89" s="54" t="e">
        <f ca="1">IF($B89="","",_xll.BDP($A89&amp;" Corp",AC$5))</f>
        <v>#NAME?</v>
      </c>
      <c r="AD89" s="55" t="e">
        <f ca="1">IF($B89="","",_xll.BDP($A89&amp;" Corp",AD$5))</f>
        <v>#NAME?</v>
      </c>
      <c r="AE89" s="56" t="e">
        <f ca="1">IF($B89="","",_xll.BDP($A89&amp;" Corp",AE$5))</f>
        <v>#NAME?</v>
      </c>
      <c r="AF89" s="29" t="e">
        <f ca="1">IF($B89="","",_xll.BDP($A89&amp;" Corp",AF$5))</f>
        <v>#NAME?</v>
      </c>
      <c r="AG89" s="33" t="e">
        <f ca="1">IF($B89="","",_xll.BDP($A89&amp;" Corp",AG$5))</f>
        <v>#NAME?</v>
      </c>
      <c r="AH89" s="30" t="e">
        <f ca="1">IF($B89="","",_xll.BDP($A89&amp;" Corp",AH$5))</f>
        <v>#NAME?</v>
      </c>
      <c r="AI89" s="30" t="e">
        <f ca="1">IF($B89="","",_xll.BDP($A89&amp;" Corp",AI$5))</f>
        <v>#NAME?</v>
      </c>
      <c r="AJ89" s="30" t="e">
        <f ca="1">IF($B89="","",_xll.BDP($A89&amp;" Corp",AJ$5))</f>
        <v>#NAME?</v>
      </c>
      <c r="AK89" s="11" t="e">
        <f ca="1">IF($B89="","",_xll.BDP($A89&amp;" Corp",AK$5))</f>
        <v>#NAME?</v>
      </c>
      <c r="AL89" s="11" t="e">
        <f ca="1">IF($B89="","",_xll.BDP($A89&amp;" Corp",AL$5))</f>
        <v>#NAME?</v>
      </c>
      <c r="AM89" s="11">
        <v>1</v>
      </c>
      <c r="AN89" s="57">
        <v>0.3</v>
      </c>
    </row>
    <row r="90" spans="1:40" x14ac:dyDescent="0.3">
      <c r="A90" s="67" t="s">
        <v>273</v>
      </c>
      <c r="B90" s="68" t="s">
        <v>273</v>
      </c>
      <c r="C90" s="75">
        <v>8958</v>
      </c>
      <c r="D90" s="75">
        <v>128</v>
      </c>
      <c r="E90" s="75">
        <v>100000</v>
      </c>
      <c r="F90" s="69">
        <v>8.1367010000000004E-2</v>
      </c>
      <c r="G90" s="70">
        <v>109131</v>
      </c>
      <c r="H90" s="67">
        <v>100000</v>
      </c>
      <c r="I90" s="67">
        <v>8.1367010000000004E-2</v>
      </c>
      <c r="J90" s="67">
        <v>109131</v>
      </c>
      <c r="K90" s="71">
        <v>109.131</v>
      </c>
      <c r="L90" s="29" t="e">
        <f ca="1">IF(B90="","",_xll.BDP(A90&amp;" Corp","INTERVAL_HIGH","START_DATE_OVERRIDE",TEXT($L$3,"AAAAMMDD"),"END_DATE_OVERRIDE",TEXT($L$4,"AAAAMMDD"),"MARKET_DATA_OVERRIDE",$L$5))</f>
        <v>#NAME?</v>
      </c>
      <c r="M90" s="30" t="e">
        <f ca="1">IF(B90="","",_xll.BDP($A90&amp;" Corp","INTERVAL_LOW","START_DATE_OVERRIDE",TEXT($L$3,"AAAAMMDD"),"END_DATE_OVERRIDE",TEXT($L$4,"AAAAMMDD"),"MARKET_DATA_OVERRIDE",$L$5))</f>
        <v>#NAME?</v>
      </c>
      <c r="N90" s="31" t="s">
        <v>853</v>
      </c>
      <c r="O90" s="32" t="e">
        <f ca="1">IF($B90="","",_xll.BDP($A90&amp;" Corp",O$6))</f>
        <v>#NAME?</v>
      </c>
      <c r="P90" s="32" t="e">
        <f ca="1">IF($B90="","",_xll.BDP($A90&amp;" Corp",P$6))</f>
        <v>#NAME?</v>
      </c>
      <c r="Q90" s="30" t="e">
        <f ca="1">IF($B90="","",_xll.BDP($A90&amp;" Corp",Q$5))</f>
        <v>#NAME?</v>
      </c>
      <c r="R90" s="30" t="e">
        <f ca="1">IF($B90="","",_xll.BDP($A90&amp;" Corp",R$5))</f>
        <v>#NAME?</v>
      </c>
      <c r="S90" s="50" t="e">
        <f ca="1">IF($B90="","",_xll.BDP($A90&amp;" Corp",S$5))</f>
        <v>#NAME?</v>
      </c>
      <c r="T90" s="30" t="e">
        <f ca="1">IF($B90="","",_xll.BDP($A90&amp;" Corp",T$5))</f>
        <v>#NAME?</v>
      </c>
      <c r="U90" s="30" t="e">
        <f ca="1">IF($B90="","",_xll.BDP($A90&amp;" Corp",U$5))</f>
        <v>#NAME?</v>
      </c>
      <c r="V90" s="51" t="e">
        <f ca="1">IF($B90="","",IF($T90="VARIABLE",_xll.BDP($A90&amp;" Corp",V$4),_xll.BDP($A90&amp;" Corp",V$5)))</f>
        <v>#NAME?</v>
      </c>
      <c r="W90" s="30" t="e">
        <f ca="1">IF($B90="","",IF($T90="VARIABLE",_xll.BDP($A90&amp;" Corp",W$4),_xll.BDP($A90&amp;" Corp",W$5)))</f>
        <v>#NAME?</v>
      </c>
      <c r="X90" s="30" t="e">
        <f ca="1">IF($B90="","",_xll.BDP($A90&amp;" Corp",X$5))</f>
        <v>#NAME?</v>
      </c>
      <c r="Y90" s="33" t="e">
        <f ca="1">IF($B90="","",_xll.BDP($A90&amp;" Corp",Y$5))</f>
        <v>#NAME?</v>
      </c>
      <c r="Z90" s="52" t="e">
        <f ca="1">IF($B90="","",_xll.BDP($A90&amp;" Corp",Z$5))</f>
        <v>#NAME?</v>
      </c>
      <c r="AA90" s="53" t="e">
        <f ca="1">IF($B90="","",_xll.BDP($A90&amp;" Corp",AA$5))</f>
        <v>#NAME?</v>
      </c>
      <c r="AB90" s="54" t="e">
        <f ca="1">IF($B90="","",_xll.BDP($A90&amp;" Corp",AB$5))</f>
        <v>#NAME?</v>
      </c>
      <c r="AC90" s="54" t="e">
        <f ca="1">IF($B90="","",_xll.BDP($A90&amp;" Corp",AC$5))</f>
        <v>#NAME?</v>
      </c>
      <c r="AD90" s="55" t="e">
        <f ca="1">IF($B90="","",_xll.BDP($A90&amp;" Corp",AD$5))</f>
        <v>#NAME?</v>
      </c>
      <c r="AE90" s="56" t="e">
        <f ca="1">IF($B90="","",_xll.BDP($A90&amp;" Corp",AE$5))</f>
        <v>#NAME?</v>
      </c>
      <c r="AF90" s="29" t="e">
        <f ca="1">IF($B90="","",_xll.BDP($A90&amp;" Corp",AF$5))</f>
        <v>#NAME?</v>
      </c>
      <c r="AG90" s="33" t="e">
        <f ca="1">IF($B90="","",_xll.BDP($A90&amp;" Corp",AG$5))</f>
        <v>#NAME?</v>
      </c>
      <c r="AH90" s="30" t="e">
        <f ca="1">IF($B90="","",_xll.BDP($A90&amp;" Corp",AH$5))</f>
        <v>#NAME?</v>
      </c>
      <c r="AI90" s="30" t="e">
        <f ca="1">IF($B90="","",_xll.BDP($A90&amp;" Corp",AI$5))</f>
        <v>#NAME?</v>
      </c>
      <c r="AJ90" s="30" t="e">
        <f ca="1">IF($B90="","",_xll.BDP($A90&amp;" Corp",AJ$5))</f>
        <v>#NAME?</v>
      </c>
      <c r="AK90" s="11" t="e">
        <f ca="1">IF($B90="","",_xll.BDP($A90&amp;" Corp",AK$5))</f>
        <v>#NAME?</v>
      </c>
      <c r="AL90" s="11" t="e">
        <f ca="1">IF($B90="","",_xll.BDP($A90&amp;" Corp",AL$5))</f>
        <v>#NAME?</v>
      </c>
      <c r="AM90" s="11">
        <v>2</v>
      </c>
      <c r="AN90" s="57">
        <v>1</v>
      </c>
    </row>
    <row r="91" spans="1:40" x14ac:dyDescent="0.3">
      <c r="A91" s="67" t="s">
        <v>332</v>
      </c>
      <c r="B91" s="68" t="s">
        <v>332</v>
      </c>
      <c r="C91" s="75">
        <v>7213</v>
      </c>
      <c r="D91" s="75">
        <v>128</v>
      </c>
      <c r="E91" s="75">
        <v>900000</v>
      </c>
      <c r="F91" s="69">
        <v>0.66025838000000003</v>
      </c>
      <c r="G91" s="70">
        <v>905552</v>
      </c>
      <c r="H91" s="67">
        <v>900000</v>
      </c>
      <c r="I91" s="67">
        <v>0.66025838000000003</v>
      </c>
      <c r="J91" s="67">
        <v>905552</v>
      </c>
      <c r="K91" s="71">
        <v>100.61688888888889</v>
      </c>
      <c r="L91" s="29" t="e">
        <f ca="1">IF(B91="","",_xll.BDP(A91&amp;" Corp","INTERVAL_HIGH","START_DATE_OVERRIDE",TEXT($L$3,"AAAAMMDD"),"END_DATE_OVERRIDE",TEXT($L$4,"AAAAMMDD"),"MARKET_DATA_OVERRIDE",$L$5))</f>
        <v>#NAME?</v>
      </c>
      <c r="M91" s="30" t="e">
        <f ca="1">IF(B91="","",_xll.BDP($A91&amp;" Corp","INTERVAL_LOW","START_DATE_OVERRIDE",TEXT($L$3,"AAAAMMDD"),"END_DATE_OVERRIDE",TEXT($L$4,"AAAAMMDD"),"MARKET_DATA_OVERRIDE",$L$5))</f>
        <v>#NAME?</v>
      </c>
      <c r="N91" s="31" t="s">
        <v>854</v>
      </c>
      <c r="O91" s="32" t="e">
        <f ca="1">IF($B91="","",_xll.BDP($A91&amp;" Corp",O$6))</f>
        <v>#NAME?</v>
      </c>
      <c r="P91" s="32" t="e">
        <f ca="1">IF($B91="","",_xll.BDP($A91&amp;" Corp",P$6))</f>
        <v>#NAME?</v>
      </c>
      <c r="Q91" s="30" t="e">
        <f ca="1">IF($B91="","",_xll.BDP($A91&amp;" Corp",Q$5))</f>
        <v>#NAME?</v>
      </c>
      <c r="R91" s="30" t="e">
        <f ca="1">IF($B91="","",_xll.BDP($A91&amp;" Corp",R$5))</f>
        <v>#NAME?</v>
      </c>
      <c r="S91" s="50" t="e">
        <f ca="1">IF($B91="","",_xll.BDP($A91&amp;" Corp",S$5))</f>
        <v>#NAME?</v>
      </c>
      <c r="T91" s="30" t="e">
        <f ca="1">IF($B91="","",_xll.BDP($A91&amp;" Corp",T$5))</f>
        <v>#NAME?</v>
      </c>
      <c r="U91" s="30" t="e">
        <f ca="1">IF($B91="","",_xll.BDP($A91&amp;" Corp",U$5))</f>
        <v>#NAME?</v>
      </c>
      <c r="V91" s="51" t="e">
        <f ca="1">IF($B91="","",IF($T91="VARIABLE",_xll.BDP($A91&amp;" Corp",V$4),_xll.BDP($A91&amp;" Corp",V$5)))</f>
        <v>#NAME?</v>
      </c>
      <c r="W91" s="30" t="e">
        <f ca="1">IF($B91="","",IF($T91="VARIABLE",_xll.BDP($A91&amp;" Corp",W$4),_xll.BDP($A91&amp;" Corp",W$5)))</f>
        <v>#NAME?</v>
      </c>
      <c r="X91" s="30" t="e">
        <f ca="1">IF($B91="","",_xll.BDP($A91&amp;" Corp",X$5))</f>
        <v>#NAME?</v>
      </c>
      <c r="Y91" s="33" t="e">
        <f ca="1">IF($B91="","",_xll.BDP($A91&amp;" Corp",Y$5))</f>
        <v>#NAME?</v>
      </c>
      <c r="Z91" s="52" t="e">
        <f ca="1">IF($B91="","",_xll.BDP($A91&amp;" Corp",Z$5))</f>
        <v>#NAME?</v>
      </c>
      <c r="AA91" s="53" t="e">
        <f ca="1">IF($B91="","",_xll.BDP($A91&amp;" Corp",AA$5))</f>
        <v>#NAME?</v>
      </c>
      <c r="AB91" s="54" t="e">
        <f ca="1">IF($B91="","",_xll.BDP($A91&amp;" Corp",AB$5))</f>
        <v>#NAME?</v>
      </c>
      <c r="AC91" s="54" t="e">
        <f ca="1">IF($B91="","",_xll.BDP($A91&amp;" Corp",AC$5))</f>
        <v>#NAME?</v>
      </c>
      <c r="AD91" s="55" t="e">
        <f ca="1">IF($B91="","",_xll.BDP($A91&amp;" Corp",AD$5))</f>
        <v>#NAME?</v>
      </c>
      <c r="AE91" s="56" t="e">
        <f ca="1">IF($B91="","",_xll.BDP($A91&amp;" Corp",AE$5))</f>
        <v>#NAME?</v>
      </c>
      <c r="AF91" s="29" t="e">
        <f ca="1">IF($B91="","",_xll.BDP($A91&amp;" Corp",AF$5))</f>
        <v>#NAME?</v>
      </c>
      <c r="AG91" s="33" t="e">
        <f ca="1">IF($B91="","",_xll.BDP($A91&amp;" Corp",AG$5))</f>
        <v>#NAME?</v>
      </c>
      <c r="AH91" s="30" t="e">
        <f ca="1">IF($B91="","",_xll.BDP($A91&amp;" Corp",AH$5))</f>
        <v>#NAME?</v>
      </c>
      <c r="AI91" s="30" t="e">
        <f ca="1">IF($B91="","",_xll.BDP($A91&amp;" Corp",AI$5))</f>
        <v>#NAME?</v>
      </c>
      <c r="AJ91" s="30" t="e">
        <f ca="1">IF($B91="","",_xll.BDP($A91&amp;" Corp",AJ$5))</f>
        <v>#NAME?</v>
      </c>
      <c r="AK91" s="11" t="e">
        <f ca="1">IF($B91="","",_xll.BDP($A91&amp;" Corp",AK$5))</f>
        <v>#NAME?</v>
      </c>
      <c r="AL91" s="11" t="e">
        <f ca="1">IF($B91="","",_xll.BDP($A91&amp;" Corp",AL$5))</f>
        <v>#NAME?</v>
      </c>
      <c r="AM91" s="11">
        <v>3</v>
      </c>
      <c r="AN91" s="57">
        <v>3</v>
      </c>
    </row>
    <row r="92" spans="1:40" x14ac:dyDescent="0.3">
      <c r="A92" s="67" t="s">
        <v>281</v>
      </c>
      <c r="B92" s="68" t="s">
        <v>281</v>
      </c>
      <c r="C92" s="75">
        <v>9505</v>
      </c>
      <c r="D92" s="75">
        <v>128</v>
      </c>
      <c r="E92" s="75">
        <v>100000</v>
      </c>
      <c r="F92" s="69">
        <v>7.6689709999999994E-2</v>
      </c>
      <c r="G92" s="70">
        <v>100879.5</v>
      </c>
      <c r="H92" s="67">
        <v>100000</v>
      </c>
      <c r="I92" s="67">
        <v>7.6689709999999994E-2</v>
      </c>
      <c r="J92" s="67">
        <v>100879.5</v>
      </c>
      <c r="K92" s="71">
        <v>100.87949999999999</v>
      </c>
      <c r="L92" s="29" t="e">
        <f ca="1">IF(B92="","",_xll.BDP(A92&amp;" Corp","INTERVAL_HIGH","START_DATE_OVERRIDE",TEXT($L$3,"AAAAMMDD"),"END_DATE_OVERRIDE",TEXT($L$4,"AAAAMMDD"),"MARKET_DATA_OVERRIDE",$L$5))</f>
        <v>#NAME?</v>
      </c>
      <c r="M92" s="30" t="e">
        <f ca="1">IF(B92="","",_xll.BDP($A92&amp;" Corp","INTERVAL_LOW","START_DATE_OVERRIDE",TEXT($L$3,"AAAAMMDD"),"END_DATE_OVERRIDE",TEXT($L$4,"AAAAMMDD"),"MARKET_DATA_OVERRIDE",$L$5))</f>
        <v>#NAME?</v>
      </c>
      <c r="N92" s="31" t="s">
        <v>855</v>
      </c>
      <c r="O92" s="32" t="e">
        <f ca="1">IF($B92="","",_xll.BDP($A92&amp;" Corp",O$6))</f>
        <v>#NAME?</v>
      </c>
      <c r="P92" s="32" t="e">
        <f ca="1">IF($B92="","",_xll.BDP($A92&amp;" Corp",P$6))</f>
        <v>#NAME?</v>
      </c>
      <c r="Q92" s="30" t="e">
        <f ca="1">IF($B92="","",_xll.BDP($A92&amp;" Corp",Q$5))</f>
        <v>#NAME?</v>
      </c>
      <c r="R92" s="30" t="e">
        <f ca="1">IF($B92="","",_xll.BDP($A92&amp;" Corp",R$5))</f>
        <v>#NAME?</v>
      </c>
      <c r="S92" s="50" t="e">
        <f ca="1">IF($B92="","",_xll.BDP($A92&amp;" Corp",S$5))</f>
        <v>#NAME?</v>
      </c>
      <c r="T92" s="30" t="e">
        <f ca="1">IF($B92="","",_xll.BDP($A92&amp;" Corp",T$5))</f>
        <v>#NAME?</v>
      </c>
      <c r="U92" s="30" t="e">
        <f ca="1">IF($B92="","",_xll.BDP($A92&amp;" Corp",U$5))</f>
        <v>#NAME?</v>
      </c>
      <c r="V92" s="51" t="e">
        <f ca="1">IF($B92="","",IF($T92="VARIABLE",_xll.BDP($A92&amp;" Corp",V$4),_xll.BDP($A92&amp;" Corp",V$5)))</f>
        <v>#NAME?</v>
      </c>
      <c r="W92" s="30" t="e">
        <f ca="1">IF($B92="","",IF($T92="VARIABLE",_xll.BDP($A92&amp;" Corp",W$4),_xll.BDP($A92&amp;" Corp",W$5)))</f>
        <v>#NAME?</v>
      </c>
      <c r="X92" s="30" t="e">
        <f ca="1">IF($B92="","",_xll.BDP($A92&amp;" Corp",X$5))</f>
        <v>#NAME?</v>
      </c>
      <c r="Y92" s="33" t="e">
        <f ca="1">IF($B92="","",_xll.BDP($A92&amp;" Corp",Y$5))</f>
        <v>#NAME?</v>
      </c>
      <c r="Z92" s="52" t="e">
        <f ca="1">IF($B92="","",_xll.BDP($A92&amp;" Corp",Z$5))</f>
        <v>#NAME?</v>
      </c>
      <c r="AA92" s="53" t="e">
        <f ca="1">IF($B92="","",_xll.BDP($A92&amp;" Corp",AA$5))</f>
        <v>#NAME?</v>
      </c>
      <c r="AB92" s="54" t="e">
        <f ca="1">IF($B92="","",_xll.BDP($A92&amp;" Corp",AB$5))</f>
        <v>#NAME?</v>
      </c>
      <c r="AC92" s="54" t="e">
        <f ca="1">IF($B92="","",_xll.BDP($A92&amp;" Corp",AC$5))</f>
        <v>#NAME?</v>
      </c>
      <c r="AD92" s="55" t="e">
        <f ca="1">IF($B92="","",_xll.BDP($A92&amp;" Corp",AD$5))</f>
        <v>#NAME?</v>
      </c>
      <c r="AE92" s="56" t="e">
        <f ca="1">IF($B92="","",_xll.BDP($A92&amp;" Corp",AE$5))</f>
        <v>#NAME?</v>
      </c>
      <c r="AF92" s="29" t="e">
        <f ca="1">IF($B92="","",_xll.BDP($A92&amp;" Corp",AF$5))</f>
        <v>#NAME?</v>
      </c>
      <c r="AG92" s="33" t="e">
        <f ca="1">IF($B92="","",_xll.BDP($A92&amp;" Corp",AG$5))</f>
        <v>#NAME?</v>
      </c>
      <c r="AH92" s="30" t="e">
        <f ca="1">IF($B92="","",_xll.BDP($A92&amp;" Corp",AH$5))</f>
        <v>#NAME?</v>
      </c>
      <c r="AI92" s="30" t="e">
        <f ca="1">IF($B92="","",_xll.BDP($A92&amp;" Corp",AI$5))</f>
        <v>#NAME?</v>
      </c>
      <c r="AJ92" s="30" t="e">
        <f ca="1">IF($B92="","",_xll.BDP($A92&amp;" Corp",AJ$5))</f>
        <v>#NAME?</v>
      </c>
      <c r="AK92" s="11" t="e">
        <f ca="1">IF($B92="","",_xll.BDP($A92&amp;" Corp",AK$5))</f>
        <v>#NAME?</v>
      </c>
      <c r="AL92" s="11" t="e">
        <f ca="1">IF($B92="","",_xll.BDP($A92&amp;" Corp",AL$5))</f>
        <v>#NAME?</v>
      </c>
      <c r="AM92" s="11">
        <v>2</v>
      </c>
      <c r="AN92" s="57">
        <v>2</v>
      </c>
    </row>
    <row r="93" spans="1:40" x14ac:dyDescent="0.3">
      <c r="A93" s="67" t="s">
        <v>385</v>
      </c>
      <c r="B93" s="68" t="s">
        <v>385</v>
      </c>
      <c r="C93" s="75">
        <v>7033</v>
      </c>
      <c r="D93" s="75">
        <v>128</v>
      </c>
      <c r="E93" s="75">
        <v>500000</v>
      </c>
      <c r="F93" s="69">
        <v>0.40284698000000002</v>
      </c>
      <c r="G93" s="70">
        <v>531847.5</v>
      </c>
      <c r="H93" s="67">
        <v>500000</v>
      </c>
      <c r="I93" s="67">
        <v>0.40284698000000002</v>
      </c>
      <c r="J93" s="67">
        <v>531847.5</v>
      </c>
      <c r="K93" s="71">
        <v>106.3695</v>
      </c>
      <c r="L93" s="29" t="e">
        <f ca="1">IF(B93="","",_xll.BDP(A93&amp;" Corp","INTERVAL_HIGH","START_DATE_OVERRIDE",TEXT($L$3,"AAAAMMDD"),"END_DATE_OVERRIDE",TEXT($L$4,"AAAAMMDD"),"MARKET_DATA_OVERRIDE",$L$5))</f>
        <v>#NAME?</v>
      </c>
      <c r="M93" s="30" t="e">
        <f ca="1">IF(B93="","",_xll.BDP($A93&amp;" Corp","INTERVAL_LOW","START_DATE_OVERRIDE",TEXT($L$3,"AAAAMMDD"),"END_DATE_OVERRIDE",TEXT($L$4,"AAAAMMDD"),"MARKET_DATA_OVERRIDE",$L$5))</f>
        <v>#NAME?</v>
      </c>
      <c r="N93" s="31" t="s">
        <v>856</v>
      </c>
      <c r="O93" s="32" t="e">
        <f ca="1">IF($B93="","",_xll.BDP($A93&amp;" Corp",O$6))</f>
        <v>#NAME?</v>
      </c>
      <c r="P93" s="32" t="e">
        <f ca="1">IF($B93="","",_xll.BDP($A93&amp;" Corp",P$6))</f>
        <v>#NAME?</v>
      </c>
      <c r="Q93" s="30" t="e">
        <f ca="1">IF($B93="","",_xll.BDP($A93&amp;" Corp",Q$5))</f>
        <v>#NAME?</v>
      </c>
      <c r="R93" s="30" t="e">
        <f ca="1">IF($B93="","",_xll.BDP($A93&amp;" Corp",R$5))</f>
        <v>#NAME?</v>
      </c>
      <c r="S93" s="50" t="e">
        <f ca="1">IF($B93="","",_xll.BDP($A93&amp;" Corp",S$5))</f>
        <v>#NAME?</v>
      </c>
      <c r="T93" s="30" t="e">
        <f ca="1">IF($B93="","",_xll.BDP($A93&amp;" Corp",T$5))</f>
        <v>#NAME?</v>
      </c>
      <c r="U93" s="30" t="e">
        <f ca="1">IF($B93="","",_xll.BDP($A93&amp;" Corp",U$5))</f>
        <v>#NAME?</v>
      </c>
      <c r="V93" s="51" t="e">
        <f ca="1">IF($B93="","",IF($T93="VARIABLE",_xll.BDP($A93&amp;" Corp",V$4),_xll.BDP($A93&amp;" Corp",V$5)))</f>
        <v>#NAME?</v>
      </c>
      <c r="W93" s="30" t="e">
        <f ca="1">IF($B93="","",IF($T93="VARIABLE",_xll.BDP($A93&amp;" Corp",W$4),_xll.BDP($A93&amp;" Corp",W$5)))</f>
        <v>#NAME?</v>
      </c>
      <c r="X93" s="30" t="e">
        <f ca="1">IF($B93="","",_xll.BDP($A93&amp;" Corp",X$5))</f>
        <v>#NAME?</v>
      </c>
      <c r="Y93" s="33" t="e">
        <f ca="1">IF($B93="","",_xll.BDP($A93&amp;" Corp",Y$5))</f>
        <v>#NAME?</v>
      </c>
      <c r="Z93" s="52" t="e">
        <f ca="1">IF($B93="","",_xll.BDP($A93&amp;" Corp",Z$5))</f>
        <v>#NAME?</v>
      </c>
      <c r="AA93" s="53" t="e">
        <f ca="1">IF($B93="","",_xll.BDP($A93&amp;" Corp",AA$5))</f>
        <v>#NAME?</v>
      </c>
      <c r="AB93" s="54" t="e">
        <f ca="1">IF($B93="","",_xll.BDP($A93&amp;" Corp",AB$5))</f>
        <v>#NAME?</v>
      </c>
      <c r="AC93" s="54" t="e">
        <f ca="1">IF($B93="","",_xll.BDP($A93&amp;" Corp",AC$5))</f>
        <v>#NAME?</v>
      </c>
      <c r="AD93" s="55" t="e">
        <f ca="1">IF($B93="","",_xll.BDP($A93&amp;" Corp",AD$5))</f>
        <v>#NAME?</v>
      </c>
      <c r="AE93" s="56" t="e">
        <f ca="1">IF($B93="","",_xll.BDP($A93&amp;" Corp",AE$5))</f>
        <v>#NAME?</v>
      </c>
      <c r="AF93" s="29" t="e">
        <f ca="1">IF($B93="","",_xll.BDP($A93&amp;" Corp",AF$5))</f>
        <v>#NAME?</v>
      </c>
      <c r="AG93" s="33" t="e">
        <f ca="1">IF($B93="","",_xll.BDP($A93&amp;" Corp",AG$5))</f>
        <v>#NAME?</v>
      </c>
      <c r="AH93" s="30" t="e">
        <f ca="1">IF($B93="","",_xll.BDP($A93&amp;" Corp",AH$5))</f>
        <v>#NAME?</v>
      </c>
      <c r="AI93" s="30" t="e">
        <f ca="1">IF($B93="","",_xll.BDP($A93&amp;" Corp",AI$5))</f>
        <v>#NAME?</v>
      </c>
      <c r="AJ93" s="30" t="e">
        <f ca="1">IF($B93="","",_xll.BDP($A93&amp;" Corp",AJ$5))</f>
        <v>#NAME?</v>
      </c>
      <c r="AK93" s="11" t="e">
        <f ca="1">IF($B93="","",_xll.BDP($A93&amp;" Corp",AK$5))</f>
        <v>#NAME?</v>
      </c>
      <c r="AL93" s="11" t="e">
        <f ca="1">IF($B93="","",_xll.BDP($A93&amp;" Corp",AL$5))</f>
        <v>#NAME?</v>
      </c>
      <c r="AM93" s="11">
        <v>1</v>
      </c>
      <c r="AN93" s="57">
        <v>1</v>
      </c>
    </row>
    <row r="94" spans="1:40" x14ac:dyDescent="0.3">
      <c r="A94" s="67" t="s">
        <v>430</v>
      </c>
      <c r="B94" s="68" t="s">
        <v>430</v>
      </c>
      <c r="C94" s="75">
        <v>10458</v>
      </c>
      <c r="D94" s="75">
        <v>128</v>
      </c>
      <c r="E94" s="75">
        <v>1000000</v>
      </c>
      <c r="F94" s="69">
        <v>0.78810634999999996</v>
      </c>
      <c r="G94" s="70">
        <v>959170</v>
      </c>
      <c r="H94" s="67">
        <v>1000000</v>
      </c>
      <c r="I94" s="67">
        <v>0.78810634999999996</v>
      </c>
      <c r="J94" s="67">
        <v>959170</v>
      </c>
      <c r="K94" s="71">
        <v>95.917000000000002</v>
      </c>
      <c r="L94" s="29" t="e">
        <f ca="1">IF(B94="","",_xll.BDP(A94&amp;" Corp","INTERVAL_HIGH","START_DATE_OVERRIDE",TEXT($L$3,"AAAAMMDD"),"END_DATE_OVERRIDE",TEXT($L$4,"AAAAMMDD"),"MARKET_DATA_OVERRIDE",$L$5))</f>
        <v>#NAME?</v>
      </c>
      <c r="M94" s="30" t="e">
        <f ca="1">IF(B94="","",_xll.BDP($A94&amp;" Corp","INTERVAL_LOW","START_DATE_OVERRIDE",TEXT($L$3,"AAAAMMDD"),"END_DATE_OVERRIDE",TEXT($L$4,"AAAAMMDD"),"MARKET_DATA_OVERRIDE",$L$5))</f>
        <v>#NAME?</v>
      </c>
      <c r="N94" s="31" t="s">
        <v>857</v>
      </c>
      <c r="O94" s="32" t="e">
        <f ca="1">IF($B94="","",_xll.BDP($A94&amp;" Corp",O$6))</f>
        <v>#NAME?</v>
      </c>
      <c r="P94" s="32" t="e">
        <f ca="1">IF($B94="","",_xll.BDP($A94&amp;" Corp",P$6))</f>
        <v>#NAME?</v>
      </c>
      <c r="Q94" s="30" t="e">
        <f ca="1">IF($B94="","",_xll.BDP($A94&amp;" Corp",Q$5))</f>
        <v>#NAME?</v>
      </c>
      <c r="R94" s="30" t="e">
        <f ca="1">IF($B94="","",_xll.BDP($A94&amp;" Corp",R$5))</f>
        <v>#NAME?</v>
      </c>
      <c r="S94" s="50" t="e">
        <f ca="1">IF($B94="","",_xll.BDP($A94&amp;" Corp",S$5))</f>
        <v>#NAME?</v>
      </c>
      <c r="T94" s="30" t="e">
        <f ca="1">IF($B94="","",_xll.BDP($A94&amp;" Corp",T$5))</f>
        <v>#NAME?</v>
      </c>
      <c r="U94" s="30" t="e">
        <f ca="1">IF($B94="","",_xll.BDP($A94&amp;" Corp",U$5))</f>
        <v>#NAME?</v>
      </c>
      <c r="V94" s="51" t="e">
        <f ca="1">IF($B94="","",IF($T94="VARIABLE",_xll.BDP($A94&amp;" Corp",V$4),_xll.BDP($A94&amp;" Corp",V$5)))</f>
        <v>#NAME?</v>
      </c>
      <c r="W94" s="30" t="e">
        <f ca="1">IF($B94="","",IF($T94="VARIABLE",_xll.BDP($A94&amp;" Corp",W$4),_xll.BDP($A94&amp;" Corp",W$5)))</f>
        <v>#NAME?</v>
      </c>
      <c r="X94" s="30" t="e">
        <f ca="1">IF($B94="","",_xll.BDP($A94&amp;" Corp",X$5))</f>
        <v>#NAME?</v>
      </c>
      <c r="Y94" s="33" t="e">
        <f ca="1">IF($B94="","",_xll.BDP($A94&amp;" Corp",Y$5))</f>
        <v>#NAME?</v>
      </c>
      <c r="Z94" s="52" t="e">
        <f ca="1">IF($B94="","",_xll.BDP($A94&amp;" Corp",Z$5))</f>
        <v>#NAME?</v>
      </c>
      <c r="AA94" s="53" t="e">
        <f ca="1">IF($B94="","",_xll.BDP($A94&amp;" Corp",AA$5))</f>
        <v>#NAME?</v>
      </c>
      <c r="AB94" s="54" t="e">
        <f ca="1">IF($B94="","",_xll.BDP($A94&amp;" Corp",AB$5))</f>
        <v>#NAME?</v>
      </c>
      <c r="AC94" s="54" t="e">
        <f ca="1">IF($B94="","",_xll.BDP($A94&amp;" Corp",AC$5))</f>
        <v>#NAME?</v>
      </c>
      <c r="AD94" s="55" t="e">
        <f ca="1">IF($B94="","",_xll.BDP($A94&amp;" Corp",AD$5))</f>
        <v>#NAME?</v>
      </c>
      <c r="AE94" s="56" t="e">
        <f ca="1">IF($B94="","",_xll.BDP($A94&amp;" Corp",AE$5))</f>
        <v>#NAME?</v>
      </c>
      <c r="AF94" s="29" t="e">
        <f ca="1">IF($B94="","",_xll.BDP($A94&amp;" Corp",AF$5))</f>
        <v>#NAME?</v>
      </c>
      <c r="AG94" s="33" t="e">
        <f ca="1">IF($B94="","",_xll.BDP($A94&amp;" Corp",AG$5))</f>
        <v>#NAME?</v>
      </c>
      <c r="AH94" s="30" t="e">
        <f ca="1">IF($B94="","",_xll.BDP($A94&amp;" Corp",AH$5))</f>
        <v>#NAME?</v>
      </c>
      <c r="AI94" s="30" t="e">
        <f ca="1">IF($B94="","",_xll.BDP($A94&amp;" Corp",AI$5))</f>
        <v>#NAME?</v>
      </c>
      <c r="AJ94" s="30" t="e">
        <f ca="1">IF($B94="","",_xll.BDP($A94&amp;" Corp",AJ$5))</f>
        <v>#NAME?</v>
      </c>
      <c r="AK94" s="11" t="e">
        <f ca="1">IF($B94="","",_xll.BDP($A94&amp;" Corp",AK$5))</f>
        <v>#NAME?</v>
      </c>
      <c r="AL94" s="11" t="e">
        <f ca="1">IF($B94="","",_xll.BDP($A94&amp;" Corp",AL$5))</f>
        <v>#NAME?</v>
      </c>
      <c r="AM94" s="11">
        <v>1</v>
      </c>
      <c r="AN94" s="57">
        <v>1</v>
      </c>
    </row>
    <row r="95" spans="1:40" x14ac:dyDescent="0.3">
      <c r="A95" s="67" t="s">
        <v>284</v>
      </c>
      <c r="B95" s="68" t="s">
        <v>284</v>
      </c>
      <c r="C95" s="75">
        <v>9302</v>
      </c>
      <c r="D95" s="75">
        <v>128</v>
      </c>
      <c r="E95" s="75">
        <v>200000</v>
      </c>
      <c r="F95" s="69">
        <v>0.13972763999999999</v>
      </c>
      <c r="G95" s="70">
        <v>182042</v>
      </c>
      <c r="H95" s="67">
        <v>200000</v>
      </c>
      <c r="I95" s="67">
        <v>0.13972763999999999</v>
      </c>
      <c r="J95" s="67">
        <v>182042</v>
      </c>
      <c r="K95" s="71">
        <v>91.021000000000001</v>
      </c>
      <c r="L95" s="29" t="e">
        <f ca="1">IF(B95="","",_xll.BDP(A95&amp;" Corp","INTERVAL_HIGH","START_DATE_OVERRIDE",TEXT($L$3,"AAAAMMDD"),"END_DATE_OVERRIDE",TEXT($L$4,"AAAAMMDD"),"MARKET_DATA_OVERRIDE",$L$5))</f>
        <v>#NAME?</v>
      </c>
      <c r="M95" s="30" t="e">
        <f ca="1">IF(B95="","",_xll.BDP($A95&amp;" Corp","INTERVAL_LOW","START_DATE_OVERRIDE",TEXT($L$3,"AAAAMMDD"),"END_DATE_OVERRIDE",TEXT($L$4,"AAAAMMDD"),"MARKET_DATA_OVERRIDE",$L$5))</f>
        <v>#NAME?</v>
      </c>
      <c r="N95" s="31" t="s">
        <v>858</v>
      </c>
      <c r="O95" s="32" t="e">
        <f ca="1">IF($B95="","",_xll.BDP($A95&amp;" Corp",O$6))</f>
        <v>#NAME?</v>
      </c>
      <c r="P95" s="32" t="e">
        <f ca="1">IF($B95="","",_xll.BDP($A95&amp;" Corp",P$6))</f>
        <v>#NAME?</v>
      </c>
      <c r="Q95" s="30" t="e">
        <f ca="1">IF($B95="","",_xll.BDP($A95&amp;" Corp",Q$5))</f>
        <v>#NAME?</v>
      </c>
      <c r="R95" s="30" t="e">
        <f ca="1">IF($B95="","",_xll.BDP($A95&amp;" Corp",R$5))</f>
        <v>#NAME?</v>
      </c>
      <c r="S95" s="50" t="e">
        <f ca="1">IF($B95="","",_xll.BDP($A95&amp;" Corp",S$5))</f>
        <v>#NAME?</v>
      </c>
      <c r="T95" s="30" t="e">
        <f ca="1">IF($B95="","",_xll.BDP($A95&amp;" Corp",T$5))</f>
        <v>#NAME?</v>
      </c>
      <c r="U95" s="30" t="e">
        <f ca="1">IF($B95="","",_xll.BDP($A95&amp;" Corp",U$5))</f>
        <v>#NAME?</v>
      </c>
      <c r="V95" s="51" t="e">
        <f ca="1">IF($B95="","",IF($T95="VARIABLE",_xll.BDP($A95&amp;" Corp",V$4),_xll.BDP($A95&amp;" Corp",V$5)))</f>
        <v>#NAME?</v>
      </c>
      <c r="W95" s="30" t="e">
        <f ca="1">IF($B95="","",IF($T95="VARIABLE",_xll.BDP($A95&amp;" Corp",W$4),_xll.BDP($A95&amp;" Corp",W$5)))</f>
        <v>#NAME?</v>
      </c>
      <c r="X95" s="30" t="e">
        <f ca="1">IF($B95="","",_xll.BDP($A95&amp;" Corp",X$5))</f>
        <v>#NAME?</v>
      </c>
      <c r="Y95" s="33" t="e">
        <f ca="1">IF($B95="","",_xll.BDP($A95&amp;" Corp",Y$5))</f>
        <v>#NAME?</v>
      </c>
      <c r="Z95" s="52" t="e">
        <f ca="1">IF($B95="","",_xll.BDP($A95&amp;" Corp",Z$5))</f>
        <v>#NAME?</v>
      </c>
      <c r="AA95" s="53" t="e">
        <f ca="1">IF($B95="","",_xll.BDP($A95&amp;" Corp",AA$5))</f>
        <v>#NAME?</v>
      </c>
      <c r="AB95" s="54" t="e">
        <f ca="1">IF($B95="","",_xll.BDP($A95&amp;" Corp",AB$5))</f>
        <v>#NAME?</v>
      </c>
      <c r="AC95" s="54" t="e">
        <f ca="1">IF($B95="","",_xll.BDP($A95&amp;" Corp",AC$5))</f>
        <v>#NAME?</v>
      </c>
      <c r="AD95" s="55" t="e">
        <f ca="1">IF($B95="","",_xll.BDP($A95&amp;" Corp",AD$5))</f>
        <v>#NAME?</v>
      </c>
      <c r="AE95" s="56" t="e">
        <f ca="1">IF($B95="","",_xll.BDP($A95&amp;" Corp",AE$5))</f>
        <v>#NAME?</v>
      </c>
      <c r="AF95" s="29" t="e">
        <f ca="1">IF($B95="","",_xll.BDP($A95&amp;" Corp",AF$5))</f>
        <v>#NAME?</v>
      </c>
      <c r="AG95" s="33" t="e">
        <f ca="1">IF($B95="","",_xll.BDP($A95&amp;" Corp",AG$5))</f>
        <v>#NAME?</v>
      </c>
      <c r="AH95" s="30" t="e">
        <f ca="1">IF($B95="","",_xll.BDP($A95&amp;" Corp",AH$5))</f>
        <v>#NAME?</v>
      </c>
      <c r="AI95" s="30" t="e">
        <f ca="1">IF($B95="","",_xll.BDP($A95&amp;" Corp",AI$5))</f>
        <v>#NAME?</v>
      </c>
      <c r="AJ95" s="30" t="e">
        <f ca="1">IF($B95="","",_xll.BDP($A95&amp;" Corp",AJ$5))</f>
        <v>#NAME?</v>
      </c>
      <c r="AK95" s="11" t="e">
        <f ca="1">IF($B95="","",_xll.BDP($A95&amp;" Corp",AK$5))</f>
        <v>#NAME?</v>
      </c>
      <c r="AL95" s="11" t="e">
        <f ca="1">IF($B95="","",_xll.BDP($A95&amp;" Corp",AL$5))</f>
        <v>#NAME?</v>
      </c>
      <c r="AM95" s="11">
        <v>4</v>
      </c>
      <c r="AN95" s="57">
        <v>4</v>
      </c>
    </row>
    <row r="96" spans="1:40" x14ac:dyDescent="0.3">
      <c r="A96" s="67" t="s">
        <v>387</v>
      </c>
      <c r="B96" s="68" t="s">
        <v>387</v>
      </c>
      <c r="C96" s="75">
        <v>7086</v>
      </c>
      <c r="D96" s="75">
        <v>128</v>
      </c>
      <c r="E96" s="75">
        <v>100000</v>
      </c>
      <c r="F96" s="69">
        <v>7.6689590000000002E-2</v>
      </c>
      <c r="G96" s="70">
        <v>99596</v>
      </c>
      <c r="H96" s="67">
        <v>100000</v>
      </c>
      <c r="I96" s="67">
        <v>7.6689590000000002E-2</v>
      </c>
      <c r="J96" s="67">
        <v>99596</v>
      </c>
      <c r="K96" s="71">
        <v>99.596000000000004</v>
      </c>
      <c r="L96" s="29" t="e">
        <f ca="1">IF(B96="","",_xll.BDP(A96&amp;" Corp","INTERVAL_HIGH","START_DATE_OVERRIDE",TEXT($L$3,"AAAAMMDD"),"END_DATE_OVERRIDE",TEXT($L$4,"AAAAMMDD"),"MARKET_DATA_OVERRIDE",$L$5))</f>
        <v>#NAME?</v>
      </c>
      <c r="M96" s="30" t="e">
        <f ca="1">IF(B96="","",_xll.BDP($A96&amp;" Corp","INTERVAL_LOW","START_DATE_OVERRIDE",TEXT($L$3,"AAAAMMDD"),"END_DATE_OVERRIDE",TEXT($L$4,"AAAAMMDD"),"MARKET_DATA_OVERRIDE",$L$5))</f>
        <v>#NAME?</v>
      </c>
      <c r="N96" s="31" t="s">
        <v>859</v>
      </c>
      <c r="O96" s="32" t="e">
        <f ca="1">IF($B96="","",_xll.BDP($A96&amp;" Corp",O$6))</f>
        <v>#NAME?</v>
      </c>
      <c r="P96" s="32" t="e">
        <f ca="1">IF($B96="","",_xll.BDP($A96&amp;" Corp",P$6))</f>
        <v>#NAME?</v>
      </c>
      <c r="Q96" s="30" t="e">
        <f ca="1">IF($B96="","",_xll.BDP($A96&amp;" Corp",Q$5))</f>
        <v>#NAME?</v>
      </c>
      <c r="R96" s="30" t="e">
        <f ca="1">IF($B96="","",_xll.BDP($A96&amp;" Corp",R$5))</f>
        <v>#NAME?</v>
      </c>
      <c r="S96" s="50" t="e">
        <f ca="1">IF($B96="","",_xll.BDP($A96&amp;" Corp",S$5))</f>
        <v>#NAME?</v>
      </c>
      <c r="T96" s="30" t="e">
        <f ca="1">IF($B96="","",_xll.BDP($A96&amp;" Corp",T$5))</f>
        <v>#NAME?</v>
      </c>
      <c r="U96" s="30" t="e">
        <f ca="1">IF($B96="","",_xll.BDP($A96&amp;" Corp",U$5))</f>
        <v>#NAME?</v>
      </c>
      <c r="V96" s="51" t="e">
        <f ca="1">IF($B96="","",IF($T96="VARIABLE",_xll.BDP($A96&amp;" Corp",V$4),_xll.BDP($A96&amp;" Corp",V$5)))</f>
        <v>#NAME?</v>
      </c>
      <c r="W96" s="30" t="e">
        <f ca="1">IF($B96="","",IF($T96="VARIABLE",_xll.BDP($A96&amp;" Corp",W$4),_xll.BDP($A96&amp;" Corp",W$5)))</f>
        <v>#NAME?</v>
      </c>
      <c r="X96" s="30" t="e">
        <f ca="1">IF($B96="","",_xll.BDP($A96&amp;" Corp",X$5))</f>
        <v>#NAME?</v>
      </c>
      <c r="Y96" s="33" t="e">
        <f ca="1">IF($B96="","",_xll.BDP($A96&amp;" Corp",Y$5))</f>
        <v>#NAME?</v>
      </c>
      <c r="Z96" s="52" t="e">
        <f ca="1">IF($B96="","",_xll.BDP($A96&amp;" Corp",Z$5))</f>
        <v>#NAME?</v>
      </c>
      <c r="AA96" s="53" t="e">
        <f ca="1">IF($B96="","",_xll.BDP($A96&amp;" Corp",AA$5))</f>
        <v>#NAME?</v>
      </c>
      <c r="AB96" s="54" t="e">
        <f ca="1">IF($B96="","",_xll.BDP($A96&amp;" Corp",AB$5))</f>
        <v>#NAME?</v>
      </c>
      <c r="AC96" s="54" t="e">
        <f ca="1">IF($B96="","",_xll.BDP($A96&amp;" Corp",AC$5))</f>
        <v>#NAME?</v>
      </c>
      <c r="AD96" s="55" t="e">
        <f ca="1">IF($B96="","",_xll.BDP($A96&amp;" Corp",AD$5))</f>
        <v>#NAME?</v>
      </c>
      <c r="AE96" s="56" t="e">
        <f ca="1">IF($B96="","",_xll.BDP($A96&amp;" Corp",AE$5))</f>
        <v>#NAME?</v>
      </c>
      <c r="AF96" s="29" t="e">
        <f ca="1">IF($B96="","",_xll.BDP($A96&amp;" Corp",AF$5))</f>
        <v>#NAME?</v>
      </c>
      <c r="AG96" s="33" t="e">
        <f ca="1">IF($B96="","",_xll.BDP($A96&amp;" Corp",AG$5))</f>
        <v>#NAME?</v>
      </c>
      <c r="AH96" s="30" t="e">
        <f ca="1">IF($B96="","",_xll.BDP($A96&amp;" Corp",AH$5))</f>
        <v>#NAME?</v>
      </c>
      <c r="AI96" s="30" t="e">
        <f ca="1">IF($B96="","",_xll.BDP($A96&amp;" Corp",AI$5))</f>
        <v>#NAME?</v>
      </c>
      <c r="AJ96" s="30" t="e">
        <f ca="1">IF($B96="","",_xll.BDP($A96&amp;" Corp",AJ$5))</f>
        <v>#NAME?</v>
      </c>
      <c r="AK96" s="11" t="e">
        <f ca="1">IF($B96="","",_xll.BDP($A96&amp;" Corp",AK$5))</f>
        <v>#NAME?</v>
      </c>
      <c r="AL96" s="11" t="e">
        <f ca="1">IF($B96="","",_xll.BDP($A96&amp;" Corp",AL$5))</f>
        <v>#NAME?</v>
      </c>
      <c r="AM96" s="11">
        <v>2</v>
      </c>
      <c r="AN96" s="57">
        <v>2</v>
      </c>
    </row>
    <row r="97" spans="1:40" x14ac:dyDescent="0.3">
      <c r="A97" s="67" t="s">
        <v>586</v>
      </c>
      <c r="B97" s="68" t="s">
        <v>586</v>
      </c>
      <c r="C97" s="75">
        <v>7137</v>
      </c>
      <c r="D97" s="75">
        <v>128</v>
      </c>
      <c r="E97" s="75">
        <v>800000</v>
      </c>
      <c r="F97" s="69">
        <v>0.59772592999999996</v>
      </c>
      <c r="G97" s="70">
        <v>798225.7</v>
      </c>
      <c r="H97" s="67">
        <v>800000</v>
      </c>
      <c r="I97" s="67">
        <v>0.59772592999999996</v>
      </c>
      <c r="J97" s="67">
        <v>798225.7</v>
      </c>
      <c r="K97" s="71">
        <v>99.778212499999995</v>
      </c>
      <c r="L97" s="29" t="e">
        <f ca="1">IF(B97="","",_xll.BDP(A97&amp;" Corp","INTERVAL_HIGH","START_DATE_OVERRIDE",TEXT($L$3,"AAAAMMDD"),"END_DATE_OVERRIDE",TEXT($L$4,"AAAAMMDD"),"MARKET_DATA_OVERRIDE",$L$5))</f>
        <v>#NAME?</v>
      </c>
      <c r="M97" s="30" t="e">
        <f ca="1">IF(B97="","",_xll.BDP($A97&amp;" Corp","INTERVAL_LOW","START_DATE_OVERRIDE",TEXT($L$3,"AAAAMMDD"),"END_DATE_OVERRIDE",TEXT($L$4,"AAAAMMDD"),"MARKET_DATA_OVERRIDE",$L$5))</f>
        <v>#NAME?</v>
      </c>
      <c r="N97" s="31" t="s">
        <v>860</v>
      </c>
      <c r="O97" s="32" t="e">
        <f ca="1">IF($B97="","",_xll.BDP($A97&amp;" Corp",O$6))</f>
        <v>#NAME?</v>
      </c>
      <c r="P97" s="32" t="e">
        <f ca="1">IF($B97="","",_xll.BDP($A97&amp;" Corp",P$6))</f>
        <v>#NAME?</v>
      </c>
      <c r="Q97" s="30" t="e">
        <f ca="1">IF($B97="","",_xll.BDP($A97&amp;" Corp",Q$5))</f>
        <v>#NAME?</v>
      </c>
      <c r="R97" s="30" t="e">
        <f ca="1">IF($B97="","",_xll.BDP($A97&amp;" Corp",R$5))</f>
        <v>#NAME?</v>
      </c>
      <c r="S97" s="50" t="e">
        <f ca="1">IF($B97="","",_xll.BDP($A97&amp;" Corp",S$5))</f>
        <v>#NAME?</v>
      </c>
      <c r="T97" s="30" t="e">
        <f ca="1">IF($B97="","",_xll.BDP($A97&amp;" Corp",T$5))</f>
        <v>#NAME?</v>
      </c>
      <c r="U97" s="30" t="e">
        <f ca="1">IF($B97="","",_xll.BDP($A97&amp;" Corp",U$5))</f>
        <v>#NAME?</v>
      </c>
      <c r="V97" s="51" t="e">
        <f ca="1">IF($B97="","",IF($T97="VARIABLE",_xll.BDP($A97&amp;" Corp",V$4),_xll.BDP($A97&amp;" Corp",V$5)))</f>
        <v>#NAME?</v>
      </c>
      <c r="W97" s="30" t="e">
        <f ca="1">IF($B97="","",IF($T97="VARIABLE",_xll.BDP($A97&amp;" Corp",W$4),_xll.BDP($A97&amp;" Corp",W$5)))</f>
        <v>#NAME?</v>
      </c>
      <c r="X97" s="30" t="e">
        <f ca="1">IF($B97="","",_xll.BDP($A97&amp;" Corp",X$5))</f>
        <v>#NAME?</v>
      </c>
      <c r="Y97" s="33" t="e">
        <f ca="1">IF($B97="","",_xll.BDP($A97&amp;" Corp",Y$5))</f>
        <v>#NAME?</v>
      </c>
      <c r="Z97" s="52" t="e">
        <f ca="1">IF($B97="","",_xll.BDP($A97&amp;" Corp",Z$5))</f>
        <v>#NAME?</v>
      </c>
      <c r="AA97" s="53" t="e">
        <f ca="1">IF($B97="","",_xll.BDP($A97&amp;" Corp",AA$5))</f>
        <v>#NAME?</v>
      </c>
      <c r="AB97" s="54" t="e">
        <f ca="1">IF($B97="","",_xll.BDP($A97&amp;" Corp",AB$5))</f>
        <v>#NAME?</v>
      </c>
      <c r="AC97" s="54" t="e">
        <f ca="1">IF($B97="","",_xll.BDP($A97&amp;" Corp",AC$5))</f>
        <v>#NAME?</v>
      </c>
      <c r="AD97" s="55" t="e">
        <f ca="1">IF($B97="","",_xll.BDP($A97&amp;" Corp",AD$5))</f>
        <v>#NAME?</v>
      </c>
      <c r="AE97" s="56" t="e">
        <f ca="1">IF($B97="","",_xll.BDP($A97&amp;" Corp",AE$5))</f>
        <v>#NAME?</v>
      </c>
      <c r="AF97" s="29" t="e">
        <f ca="1">IF($B97="","",_xll.BDP($A97&amp;" Corp",AF$5))</f>
        <v>#NAME?</v>
      </c>
      <c r="AG97" s="33" t="e">
        <f ca="1">IF($B97="","",_xll.BDP($A97&amp;" Corp",AG$5))</f>
        <v>#NAME?</v>
      </c>
      <c r="AH97" s="30" t="e">
        <f ca="1">IF($B97="","",_xll.BDP($A97&amp;" Corp",AH$5))</f>
        <v>#NAME?</v>
      </c>
      <c r="AI97" s="30" t="e">
        <f ca="1">IF($B97="","",_xll.BDP($A97&amp;" Corp",AI$5))</f>
        <v>#NAME?</v>
      </c>
      <c r="AJ97" s="30" t="e">
        <f ca="1">IF($B97="","",_xll.BDP($A97&amp;" Corp",AJ$5))</f>
        <v>#NAME?</v>
      </c>
      <c r="AK97" s="11" t="e">
        <f ca="1">IF($B97="","",_xll.BDP($A97&amp;" Corp",AK$5))</f>
        <v>#NAME?</v>
      </c>
      <c r="AL97" s="11" t="e">
        <f ca="1">IF($B97="","",_xll.BDP($A97&amp;" Corp",AL$5))</f>
        <v>#NAME?</v>
      </c>
      <c r="AM97" s="11">
        <v>3</v>
      </c>
      <c r="AN97" s="57">
        <v>2</v>
      </c>
    </row>
    <row r="98" spans="1:40" x14ac:dyDescent="0.3">
      <c r="A98" s="67" t="s">
        <v>548</v>
      </c>
      <c r="B98" s="68" t="s">
        <v>548</v>
      </c>
      <c r="C98" s="75">
        <v>7165</v>
      </c>
      <c r="D98" s="75">
        <v>128</v>
      </c>
      <c r="E98" s="75">
        <v>271985.49</v>
      </c>
      <c r="F98" s="69">
        <v>0.18938142999999999</v>
      </c>
      <c r="G98" s="70">
        <v>302430</v>
      </c>
      <c r="H98" s="67">
        <v>271985.49</v>
      </c>
      <c r="I98" s="67">
        <v>0.18938142999999999</v>
      </c>
      <c r="J98" s="67">
        <v>302430</v>
      </c>
      <c r="K98" s="71">
        <v>111.19343167902082</v>
      </c>
      <c r="L98" s="29" t="e">
        <f ca="1">IF(B98="","",_xll.BDP(A98&amp;" Corp","INTERVAL_HIGH","START_DATE_OVERRIDE",TEXT($L$3,"AAAAMMDD"),"END_DATE_OVERRIDE",TEXT($L$4,"AAAAMMDD"),"MARKET_DATA_OVERRIDE",$L$5))</f>
        <v>#NAME?</v>
      </c>
      <c r="M98" s="30" t="e">
        <f ca="1">IF(B98="","",_xll.BDP($A98&amp;" Corp","INTERVAL_LOW","START_DATE_OVERRIDE",TEXT($L$3,"AAAAMMDD"),"END_DATE_OVERRIDE",TEXT($L$4,"AAAAMMDD"),"MARKET_DATA_OVERRIDE",$L$5))</f>
        <v>#NAME?</v>
      </c>
      <c r="N98" s="31" t="s">
        <v>861</v>
      </c>
      <c r="O98" s="32" t="e">
        <f ca="1">IF($B98="","",_xll.BDP($A98&amp;" Corp",O$6))</f>
        <v>#NAME?</v>
      </c>
      <c r="P98" s="32" t="e">
        <f ca="1">IF($B98="","",_xll.BDP($A98&amp;" Corp",P$6))</f>
        <v>#NAME?</v>
      </c>
      <c r="Q98" s="30" t="e">
        <f ca="1">IF($B98="","",_xll.BDP($A98&amp;" Corp",Q$5))</f>
        <v>#NAME?</v>
      </c>
      <c r="R98" s="30" t="e">
        <f ca="1">IF($B98="","",_xll.BDP($A98&amp;" Corp",R$5))</f>
        <v>#NAME?</v>
      </c>
      <c r="S98" s="50" t="e">
        <f ca="1">IF($B98="","",_xll.BDP($A98&amp;" Corp",S$5))</f>
        <v>#NAME?</v>
      </c>
      <c r="T98" s="30" t="e">
        <f ca="1">IF($B98="","",_xll.BDP($A98&amp;" Corp",T$5))</f>
        <v>#NAME?</v>
      </c>
      <c r="U98" s="30" t="e">
        <f ca="1">IF($B98="","",_xll.BDP($A98&amp;" Corp",U$5))</f>
        <v>#NAME?</v>
      </c>
      <c r="V98" s="51" t="e">
        <f ca="1">IF($B98="","",IF($T98="VARIABLE",_xll.BDP($A98&amp;" Corp",V$4),_xll.BDP($A98&amp;" Corp",V$5)))</f>
        <v>#NAME?</v>
      </c>
      <c r="W98" s="30" t="e">
        <f ca="1">IF($B98="","",IF($T98="VARIABLE",_xll.BDP($A98&amp;" Corp",W$4),_xll.BDP($A98&amp;" Corp",W$5)))</f>
        <v>#NAME?</v>
      </c>
      <c r="X98" s="30" t="e">
        <f ca="1">IF($B98="","",_xll.BDP($A98&amp;" Corp",X$5))</f>
        <v>#NAME?</v>
      </c>
      <c r="Y98" s="33" t="e">
        <f ca="1">IF($B98="","",_xll.BDP($A98&amp;" Corp",Y$5))</f>
        <v>#NAME?</v>
      </c>
      <c r="Z98" s="52" t="e">
        <f ca="1">IF($B98="","",_xll.BDP($A98&amp;" Corp",Z$5))</f>
        <v>#NAME?</v>
      </c>
      <c r="AA98" s="53" t="e">
        <f ca="1">IF($B98="","",_xll.BDP($A98&amp;" Corp",AA$5))</f>
        <v>#NAME?</v>
      </c>
      <c r="AB98" s="54" t="e">
        <f ca="1">IF($B98="","",_xll.BDP($A98&amp;" Corp",AB$5))</f>
        <v>#NAME?</v>
      </c>
      <c r="AC98" s="54" t="e">
        <f ca="1">IF($B98="","",_xll.BDP($A98&amp;" Corp",AC$5))</f>
        <v>#NAME?</v>
      </c>
      <c r="AD98" s="55" t="e">
        <f ca="1">IF($B98="","",_xll.BDP($A98&amp;" Corp",AD$5))</f>
        <v>#NAME?</v>
      </c>
      <c r="AE98" s="56" t="e">
        <f ca="1">IF($B98="","",_xll.BDP($A98&amp;" Corp",AE$5))</f>
        <v>#NAME?</v>
      </c>
      <c r="AF98" s="29" t="e">
        <f ca="1">IF($B98="","",_xll.BDP($A98&amp;" Corp",AF$5))</f>
        <v>#NAME?</v>
      </c>
      <c r="AG98" s="33" t="e">
        <f ca="1">IF($B98="","",_xll.BDP($A98&amp;" Corp",AG$5))</f>
        <v>#NAME?</v>
      </c>
      <c r="AH98" s="30" t="e">
        <f ca="1">IF($B98="","",_xll.BDP($A98&amp;" Corp",AH$5))</f>
        <v>#NAME?</v>
      </c>
      <c r="AI98" s="30" t="e">
        <f ca="1">IF($B98="","",_xll.BDP($A98&amp;" Corp",AI$5))</f>
        <v>#NAME?</v>
      </c>
      <c r="AJ98" s="30" t="e">
        <f ca="1">IF($B98="","",_xll.BDP($A98&amp;" Corp",AJ$5))</f>
        <v>#NAME?</v>
      </c>
      <c r="AK98" s="11" t="e">
        <f ca="1">IF($B98="","",_xll.BDP($A98&amp;" Corp",AK$5))</f>
        <v>#NAME?</v>
      </c>
      <c r="AL98" s="11" t="e">
        <f ca="1">IF($B98="","",_xll.BDP($A98&amp;" Corp",AL$5))</f>
        <v>#NAME?</v>
      </c>
      <c r="AM98" s="11">
        <v>6</v>
      </c>
      <c r="AN98" s="57">
        <v>6</v>
      </c>
    </row>
    <row r="99" spans="1:40" x14ac:dyDescent="0.3">
      <c r="A99" s="67" t="s">
        <v>389</v>
      </c>
      <c r="B99" s="68" t="s">
        <v>389</v>
      </c>
      <c r="C99" s="75">
        <v>7315</v>
      </c>
      <c r="D99" s="75">
        <v>128</v>
      </c>
      <c r="E99" s="75">
        <v>200000</v>
      </c>
      <c r="F99" s="69">
        <v>0.15499260000000001</v>
      </c>
      <c r="G99" s="70">
        <v>202828</v>
      </c>
      <c r="H99" s="67">
        <v>200000</v>
      </c>
      <c r="I99" s="67">
        <v>0.15499260000000001</v>
      </c>
      <c r="J99" s="67">
        <v>202828</v>
      </c>
      <c r="K99" s="71">
        <v>101.414</v>
      </c>
      <c r="L99" s="29" t="e">
        <f ca="1">IF(B99="","",_xll.BDP(A99&amp;" Corp","INTERVAL_HIGH","START_DATE_OVERRIDE",TEXT($L$3,"AAAAMMDD"),"END_DATE_OVERRIDE",TEXT($L$4,"AAAAMMDD"),"MARKET_DATA_OVERRIDE",$L$5))</f>
        <v>#NAME?</v>
      </c>
      <c r="M99" s="30" t="e">
        <f ca="1">IF(B99="","",_xll.BDP($A99&amp;" Corp","INTERVAL_LOW","START_DATE_OVERRIDE",TEXT($L$3,"AAAAMMDD"),"END_DATE_OVERRIDE",TEXT($L$4,"AAAAMMDD"),"MARKET_DATA_OVERRIDE",$L$5))</f>
        <v>#NAME?</v>
      </c>
      <c r="N99" s="31" t="s">
        <v>862</v>
      </c>
      <c r="O99" s="32" t="e">
        <f ca="1">IF($B99="","",_xll.BDP($A99&amp;" Corp",O$6))</f>
        <v>#NAME?</v>
      </c>
      <c r="P99" s="32" t="e">
        <f ca="1">IF($B99="","",_xll.BDP($A99&amp;" Corp",P$6))</f>
        <v>#NAME?</v>
      </c>
      <c r="Q99" s="30" t="e">
        <f ca="1">IF($B99="","",_xll.BDP($A99&amp;" Corp",Q$5))</f>
        <v>#NAME?</v>
      </c>
      <c r="R99" s="30" t="e">
        <f ca="1">IF($B99="","",_xll.BDP($A99&amp;" Corp",R$5))</f>
        <v>#NAME?</v>
      </c>
      <c r="S99" s="50" t="e">
        <f ca="1">IF($B99="","",_xll.BDP($A99&amp;" Corp",S$5))</f>
        <v>#NAME?</v>
      </c>
      <c r="T99" s="30" t="e">
        <f ca="1">IF($B99="","",_xll.BDP($A99&amp;" Corp",T$5))</f>
        <v>#NAME?</v>
      </c>
      <c r="U99" s="30" t="e">
        <f ca="1">IF($B99="","",_xll.BDP($A99&amp;" Corp",U$5))</f>
        <v>#NAME?</v>
      </c>
      <c r="V99" s="51" t="e">
        <f ca="1">IF($B99="","",IF($T99="VARIABLE",_xll.BDP($A99&amp;" Corp",V$4),_xll.BDP($A99&amp;" Corp",V$5)))</f>
        <v>#NAME?</v>
      </c>
      <c r="W99" s="30" t="e">
        <f ca="1">IF($B99="","",IF($T99="VARIABLE",_xll.BDP($A99&amp;" Corp",W$4),_xll.BDP($A99&amp;" Corp",W$5)))</f>
        <v>#NAME?</v>
      </c>
      <c r="X99" s="30" t="e">
        <f ca="1">IF($B99="","",_xll.BDP($A99&amp;" Corp",X$5))</f>
        <v>#NAME?</v>
      </c>
      <c r="Y99" s="33" t="e">
        <f ca="1">IF($B99="","",_xll.BDP($A99&amp;" Corp",Y$5))</f>
        <v>#NAME?</v>
      </c>
      <c r="Z99" s="52" t="e">
        <f ca="1">IF($B99="","",_xll.BDP($A99&amp;" Corp",Z$5))</f>
        <v>#NAME?</v>
      </c>
      <c r="AA99" s="53" t="e">
        <f ca="1">IF($B99="","",_xll.BDP($A99&amp;" Corp",AA$5))</f>
        <v>#NAME?</v>
      </c>
      <c r="AB99" s="54" t="e">
        <f ca="1">IF($B99="","",_xll.BDP($A99&amp;" Corp",AB$5))</f>
        <v>#NAME?</v>
      </c>
      <c r="AC99" s="54" t="e">
        <f ca="1">IF($B99="","",_xll.BDP($A99&amp;" Corp",AC$5))</f>
        <v>#NAME?</v>
      </c>
      <c r="AD99" s="55" t="e">
        <f ca="1">IF($B99="","",_xll.BDP($A99&amp;" Corp",AD$5))</f>
        <v>#NAME?</v>
      </c>
      <c r="AE99" s="56" t="e">
        <f ca="1">IF($B99="","",_xll.BDP($A99&amp;" Corp",AE$5))</f>
        <v>#NAME?</v>
      </c>
      <c r="AF99" s="29" t="e">
        <f ca="1">IF($B99="","",_xll.BDP($A99&amp;" Corp",AF$5))</f>
        <v>#NAME?</v>
      </c>
      <c r="AG99" s="33" t="e">
        <f ca="1">IF($B99="","",_xll.BDP($A99&amp;" Corp",AG$5))</f>
        <v>#NAME?</v>
      </c>
      <c r="AH99" s="30" t="e">
        <f ca="1">IF($B99="","",_xll.BDP($A99&amp;" Corp",AH$5))</f>
        <v>#NAME?</v>
      </c>
      <c r="AI99" s="30" t="e">
        <f ca="1">IF($B99="","",_xll.BDP($A99&amp;" Corp",AI$5))</f>
        <v>#NAME?</v>
      </c>
      <c r="AJ99" s="30" t="e">
        <f ca="1">IF($B99="","",_xll.BDP($A99&amp;" Corp",AJ$5))</f>
        <v>#NAME?</v>
      </c>
      <c r="AK99" s="11" t="e">
        <f ca="1">IF($B99="","",_xll.BDP($A99&amp;" Corp",AK$5))</f>
        <v>#NAME?</v>
      </c>
      <c r="AL99" s="11" t="e">
        <f ca="1">IF($B99="","",_xll.BDP($A99&amp;" Corp",AL$5))</f>
        <v>#NAME?</v>
      </c>
      <c r="AM99" s="11">
        <v>1</v>
      </c>
      <c r="AN99" s="57">
        <v>1</v>
      </c>
    </row>
    <row r="100" spans="1:40" x14ac:dyDescent="0.3">
      <c r="A100" s="67" t="s">
        <v>468</v>
      </c>
      <c r="B100" s="68" t="s">
        <v>468</v>
      </c>
      <c r="C100" s="75">
        <v>9885</v>
      </c>
      <c r="D100" s="75">
        <v>128</v>
      </c>
      <c r="E100" s="75">
        <v>100000</v>
      </c>
      <c r="F100" s="69">
        <v>3.7949700000000003E-2</v>
      </c>
      <c r="G100" s="70">
        <v>98270</v>
      </c>
      <c r="H100" s="67">
        <v>100000</v>
      </c>
      <c r="I100" s="67">
        <v>3.7949700000000003E-2</v>
      </c>
      <c r="J100" s="67">
        <v>98270</v>
      </c>
      <c r="K100" s="71">
        <v>98.27</v>
      </c>
      <c r="L100" s="29" t="e">
        <f ca="1">IF(B100="","",_xll.BDP(A100&amp;" Corp","INTERVAL_HIGH","START_DATE_OVERRIDE",TEXT($L$3,"AAAAMMDD"),"END_DATE_OVERRIDE",TEXT($L$4,"AAAAMMDD"),"MARKET_DATA_OVERRIDE",$L$5))</f>
        <v>#NAME?</v>
      </c>
      <c r="M100" s="30" t="e">
        <f ca="1">IF(B100="","",_xll.BDP($A100&amp;" Corp","INTERVAL_LOW","START_DATE_OVERRIDE",TEXT($L$3,"AAAAMMDD"),"END_DATE_OVERRIDE",TEXT($L$4,"AAAAMMDD"),"MARKET_DATA_OVERRIDE",$L$5))</f>
        <v>#NAME?</v>
      </c>
      <c r="N100" s="31" t="s">
        <v>863</v>
      </c>
      <c r="O100" s="32" t="e">
        <f ca="1">IF($B100="","",_xll.BDP($A100&amp;" Corp",O$6))</f>
        <v>#NAME?</v>
      </c>
      <c r="P100" s="32" t="e">
        <f ca="1">IF($B100="","",_xll.BDP($A100&amp;" Corp",P$6))</f>
        <v>#NAME?</v>
      </c>
      <c r="Q100" s="30" t="e">
        <f ca="1">IF($B100="","",_xll.BDP($A100&amp;" Corp",Q$5))</f>
        <v>#NAME?</v>
      </c>
      <c r="R100" s="30" t="e">
        <f ca="1">IF($B100="","",_xll.BDP($A100&amp;" Corp",R$5))</f>
        <v>#NAME?</v>
      </c>
      <c r="S100" s="50" t="e">
        <f ca="1">IF($B100="","",_xll.BDP($A100&amp;" Corp",S$5))</f>
        <v>#NAME?</v>
      </c>
      <c r="T100" s="30" t="e">
        <f ca="1">IF($B100="","",_xll.BDP($A100&amp;" Corp",T$5))</f>
        <v>#NAME?</v>
      </c>
      <c r="U100" s="30" t="e">
        <f ca="1">IF($B100="","",_xll.BDP($A100&amp;" Corp",U$5))</f>
        <v>#NAME?</v>
      </c>
      <c r="V100" s="51" t="e">
        <f ca="1">IF($B100="","",IF($T100="VARIABLE",_xll.BDP($A100&amp;" Corp",V$4),_xll.BDP($A100&amp;" Corp",V$5)))</f>
        <v>#NAME?</v>
      </c>
      <c r="W100" s="30" t="e">
        <f ca="1">IF($B100="","",IF($T100="VARIABLE",_xll.BDP($A100&amp;" Corp",W$4),_xll.BDP($A100&amp;" Corp",W$5)))</f>
        <v>#NAME?</v>
      </c>
      <c r="X100" s="30" t="e">
        <f ca="1">IF($B100="","",_xll.BDP($A100&amp;" Corp",X$5))</f>
        <v>#NAME?</v>
      </c>
      <c r="Y100" s="33" t="e">
        <f ca="1">IF($B100="","",_xll.BDP($A100&amp;" Corp",Y$5))</f>
        <v>#NAME?</v>
      </c>
      <c r="Z100" s="52" t="e">
        <f ca="1">IF($B100="","",_xll.BDP($A100&amp;" Corp",Z$5))</f>
        <v>#NAME?</v>
      </c>
      <c r="AA100" s="53" t="e">
        <f ca="1">IF($B100="","",_xll.BDP($A100&amp;" Corp",AA$5))</f>
        <v>#NAME?</v>
      </c>
      <c r="AB100" s="54" t="e">
        <f ca="1">IF($B100="","",_xll.BDP($A100&amp;" Corp",AB$5))</f>
        <v>#NAME?</v>
      </c>
      <c r="AC100" s="54" t="e">
        <f ca="1">IF($B100="","",_xll.BDP($A100&amp;" Corp",AC$5))</f>
        <v>#NAME?</v>
      </c>
      <c r="AD100" s="55" t="e">
        <f ca="1">IF($B100="","",_xll.BDP($A100&amp;" Corp",AD$5))</f>
        <v>#NAME?</v>
      </c>
      <c r="AE100" s="56" t="e">
        <f ca="1">IF($B100="","",_xll.BDP($A100&amp;" Corp",AE$5))</f>
        <v>#NAME?</v>
      </c>
      <c r="AF100" s="29" t="e">
        <f ca="1">IF($B100="","",_xll.BDP($A100&amp;" Corp",AF$5))</f>
        <v>#NAME?</v>
      </c>
      <c r="AG100" s="33" t="e">
        <f ca="1">IF($B100="","",_xll.BDP($A100&amp;" Corp",AG$5))</f>
        <v>#NAME?</v>
      </c>
      <c r="AH100" s="30" t="e">
        <f ca="1">IF($B100="","",_xll.BDP($A100&amp;" Corp",AH$5))</f>
        <v>#NAME?</v>
      </c>
      <c r="AI100" s="30" t="e">
        <f ca="1">IF($B100="","",_xll.BDP($A100&amp;" Corp",AI$5))</f>
        <v>#NAME?</v>
      </c>
      <c r="AJ100" s="30" t="e">
        <f ca="1">IF($B100="","",_xll.BDP($A100&amp;" Corp",AJ$5))</f>
        <v>#NAME?</v>
      </c>
      <c r="AK100" s="11" t="e">
        <f ca="1">IF($B100="","",_xll.BDP($A100&amp;" Corp",AK$5))</f>
        <v>#NAME?</v>
      </c>
      <c r="AL100" s="11" t="e">
        <f ca="1">IF($B100="","",_xll.BDP($A100&amp;" Corp",AL$5))</f>
        <v>#NAME?</v>
      </c>
      <c r="AM100" s="11">
        <v>1</v>
      </c>
      <c r="AN100" s="57">
        <v>1</v>
      </c>
    </row>
    <row r="101" spans="1:40" x14ac:dyDescent="0.3">
      <c r="A101" s="67" t="s">
        <v>391</v>
      </c>
      <c r="B101" s="68" t="s">
        <v>391</v>
      </c>
      <c r="C101" s="75">
        <v>8451</v>
      </c>
      <c r="D101" s="75">
        <v>128</v>
      </c>
      <c r="E101" s="75">
        <v>600000</v>
      </c>
      <c r="F101" s="69">
        <v>0.46241933000000002</v>
      </c>
      <c r="G101" s="70">
        <v>602960</v>
      </c>
      <c r="H101" s="67">
        <v>600000</v>
      </c>
      <c r="I101" s="67">
        <v>0.46241933000000002</v>
      </c>
      <c r="J101" s="67">
        <v>602960</v>
      </c>
      <c r="K101" s="71">
        <v>100.49333333333334</v>
      </c>
      <c r="L101" s="29" t="e">
        <f ca="1">IF(B101="","",_xll.BDP(A101&amp;" Corp","INTERVAL_HIGH","START_DATE_OVERRIDE",TEXT($L$3,"AAAAMMDD"),"END_DATE_OVERRIDE",TEXT($L$4,"AAAAMMDD"),"MARKET_DATA_OVERRIDE",$L$5))</f>
        <v>#NAME?</v>
      </c>
      <c r="M101" s="30" t="e">
        <f ca="1">IF(B101="","",_xll.BDP($A101&amp;" Corp","INTERVAL_LOW","START_DATE_OVERRIDE",TEXT($L$3,"AAAAMMDD"),"END_DATE_OVERRIDE",TEXT($L$4,"AAAAMMDD"),"MARKET_DATA_OVERRIDE",$L$5))</f>
        <v>#NAME?</v>
      </c>
      <c r="N101" s="31" t="s">
        <v>864</v>
      </c>
      <c r="O101" s="32" t="e">
        <f ca="1">IF($B101="","",_xll.BDP($A101&amp;" Corp",O$6))</f>
        <v>#NAME?</v>
      </c>
      <c r="P101" s="32" t="e">
        <f ca="1">IF($B101="","",_xll.BDP($A101&amp;" Corp",P$6))</f>
        <v>#NAME?</v>
      </c>
      <c r="Q101" s="30" t="e">
        <f ca="1">IF($B101="","",_xll.BDP($A101&amp;" Corp",Q$5))</f>
        <v>#NAME?</v>
      </c>
      <c r="R101" s="30" t="e">
        <f ca="1">IF($B101="","",_xll.BDP($A101&amp;" Corp",R$5))</f>
        <v>#NAME?</v>
      </c>
      <c r="S101" s="50" t="e">
        <f ca="1">IF($B101="","",_xll.BDP($A101&amp;" Corp",S$5))</f>
        <v>#NAME?</v>
      </c>
      <c r="T101" s="30" t="e">
        <f ca="1">IF($B101="","",_xll.BDP($A101&amp;" Corp",T$5))</f>
        <v>#NAME?</v>
      </c>
      <c r="U101" s="30" t="e">
        <f ca="1">IF($B101="","",_xll.BDP($A101&amp;" Corp",U$5))</f>
        <v>#NAME?</v>
      </c>
      <c r="V101" s="51" t="e">
        <f ca="1">IF($B101="","",IF($T101="VARIABLE",_xll.BDP($A101&amp;" Corp",V$4),_xll.BDP($A101&amp;" Corp",V$5)))</f>
        <v>#NAME?</v>
      </c>
      <c r="W101" s="30" t="e">
        <f ca="1">IF($B101="","",IF($T101="VARIABLE",_xll.BDP($A101&amp;" Corp",W$4),_xll.BDP($A101&amp;" Corp",W$5)))</f>
        <v>#NAME?</v>
      </c>
      <c r="X101" s="30" t="e">
        <f ca="1">IF($B101="","",_xll.BDP($A101&amp;" Corp",X$5))</f>
        <v>#NAME?</v>
      </c>
      <c r="Y101" s="33" t="e">
        <f ca="1">IF($B101="","",_xll.BDP($A101&amp;" Corp",Y$5))</f>
        <v>#NAME?</v>
      </c>
      <c r="Z101" s="52" t="e">
        <f ca="1">IF($B101="","",_xll.BDP($A101&amp;" Corp",Z$5))</f>
        <v>#NAME?</v>
      </c>
      <c r="AA101" s="53" t="e">
        <f ca="1">IF($B101="","",_xll.BDP($A101&amp;" Corp",AA$5))</f>
        <v>#NAME?</v>
      </c>
      <c r="AB101" s="54" t="e">
        <f ca="1">IF($B101="","",_xll.BDP($A101&amp;" Corp",AB$5))</f>
        <v>#NAME?</v>
      </c>
      <c r="AC101" s="54" t="e">
        <f ca="1">IF($B101="","",_xll.BDP($A101&amp;" Corp",AC$5))</f>
        <v>#NAME?</v>
      </c>
      <c r="AD101" s="55" t="e">
        <f ca="1">IF($B101="","",_xll.BDP($A101&amp;" Corp",AD$5))</f>
        <v>#NAME?</v>
      </c>
      <c r="AE101" s="56" t="e">
        <f ca="1">IF($B101="","",_xll.BDP($A101&amp;" Corp",AE$5))</f>
        <v>#NAME?</v>
      </c>
      <c r="AF101" s="29" t="e">
        <f ca="1">IF($B101="","",_xll.BDP($A101&amp;" Corp",AF$5))</f>
        <v>#NAME?</v>
      </c>
      <c r="AG101" s="33" t="e">
        <f ca="1">IF($B101="","",_xll.BDP($A101&amp;" Corp",AG$5))</f>
        <v>#NAME?</v>
      </c>
      <c r="AH101" s="30" t="e">
        <f ca="1">IF($B101="","",_xll.BDP($A101&amp;" Corp",AH$5))</f>
        <v>#NAME?</v>
      </c>
      <c r="AI101" s="30" t="e">
        <f ca="1">IF($B101="","",_xll.BDP($A101&amp;" Corp",AI$5))</f>
        <v>#NAME?</v>
      </c>
      <c r="AJ101" s="30" t="e">
        <f ca="1">IF($B101="","",_xll.BDP($A101&amp;" Corp",AJ$5))</f>
        <v>#NAME?</v>
      </c>
      <c r="AK101" s="11" t="e">
        <f ca="1">IF($B101="","",_xll.BDP($A101&amp;" Corp",AK$5))</f>
        <v>#NAME?</v>
      </c>
      <c r="AL101" s="11" t="e">
        <f ca="1">IF($B101="","",_xll.BDP($A101&amp;" Corp",AL$5))</f>
        <v>#NAME?</v>
      </c>
      <c r="AM101" s="11">
        <v>2</v>
      </c>
      <c r="AN101" s="57">
        <v>1</v>
      </c>
    </row>
    <row r="102" spans="1:40" x14ac:dyDescent="0.3">
      <c r="A102" s="67" t="s">
        <v>393</v>
      </c>
      <c r="B102" s="68" t="s">
        <v>393</v>
      </c>
      <c r="C102" s="75">
        <v>8366</v>
      </c>
      <c r="D102" s="75">
        <v>128</v>
      </c>
      <c r="E102" s="75">
        <v>700000</v>
      </c>
      <c r="F102" s="69">
        <v>0.54707647000000004</v>
      </c>
      <c r="G102" s="70">
        <v>696026</v>
      </c>
      <c r="H102" s="67">
        <v>700000</v>
      </c>
      <c r="I102" s="67">
        <v>0.54707647000000004</v>
      </c>
      <c r="J102" s="67">
        <v>696026</v>
      </c>
      <c r="K102" s="71">
        <v>99.432285714285712</v>
      </c>
      <c r="L102" s="29" t="e">
        <f ca="1">IF(B102="","",_xll.BDP(A102&amp;" Corp","INTERVAL_HIGH","START_DATE_OVERRIDE",TEXT($L$3,"AAAAMMDD"),"END_DATE_OVERRIDE",TEXT($L$4,"AAAAMMDD"),"MARKET_DATA_OVERRIDE",$L$5))</f>
        <v>#NAME?</v>
      </c>
      <c r="M102" s="30" t="e">
        <f ca="1">IF(B102="","",_xll.BDP($A102&amp;" Corp","INTERVAL_LOW","START_DATE_OVERRIDE",TEXT($L$3,"AAAAMMDD"),"END_DATE_OVERRIDE",TEXT($L$4,"AAAAMMDD"),"MARKET_DATA_OVERRIDE",$L$5))</f>
        <v>#NAME?</v>
      </c>
      <c r="N102" s="31" t="s">
        <v>865</v>
      </c>
      <c r="O102" s="32" t="e">
        <f ca="1">IF($B102="","",_xll.BDP($A102&amp;" Corp",O$6))</f>
        <v>#NAME?</v>
      </c>
      <c r="P102" s="32" t="e">
        <f ca="1">IF($B102="","",_xll.BDP($A102&amp;" Corp",P$6))</f>
        <v>#NAME?</v>
      </c>
      <c r="Q102" s="30" t="e">
        <f ca="1">IF($B102="","",_xll.BDP($A102&amp;" Corp",Q$5))</f>
        <v>#NAME?</v>
      </c>
      <c r="R102" s="30" t="e">
        <f ca="1">IF($B102="","",_xll.BDP($A102&amp;" Corp",R$5))</f>
        <v>#NAME?</v>
      </c>
      <c r="S102" s="50" t="e">
        <f ca="1">IF($B102="","",_xll.BDP($A102&amp;" Corp",S$5))</f>
        <v>#NAME?</v>
      </c>
      <c r="T102" s="30" t="e">
        <f ca="1">IF($B102="","",_xll.BDP($A102&amp;" Corp",T$5))</f>
        <v>#NAME?</v>
      </c>
      <c r="U102" s="30" t="e">
        <f ca="1">IF($B102="","",_xll.BDP($A102&amp;" Corp",U$5))</f>
        <v>#NAME?</v>
      </c>
      <c r="V102" s="51" t="e">
        <f ca="1">IF($B102="","",IF($T102="VARIABLE",_xll.BDP($A102&amp;" Corp",V$4),_xll.BDP($A102&amp;" Corp",V$5)))</f>
        <v>#NAME?</v>
      </c>
      <c r="W102" s="30" t="e">
        <f ca="1">IF($B102="","",IF($T102="VARIABLE",_xll.BDP($A102&amp;" Corp",W$4),_xll.BDP($A102&amp;" Corp",W$5)))</f>
        <v>#NAME?</v>
      </c>
      <c r="X102" s="30" t="e">
        <f ca="1">IF($B102="","",_xll.BDP($A102&amp;" Corp",X$5))</f>
        <v>#NAME?</v>
      </c>
      <c r="Y102" s="33" t="e">
        <f ca="1">IF($B102="","",_xll.BDP($A102&amp;" Corp",Y$5))</f>
        <v>#NAME?</v>
      </c>
      <c r="Z102" s="52" t="e">
        <f ca="1">IF($B102="","",_xll.BDP($A102&amp;" Corp",Z$5))</f>
        <v>#NAME?</v>
      </c>
      <c r="AA102" s="53" t="e">
        <f ca="1">IF($B102="","",_xll.BDP($A102&amp;" Corp",AA$5))</f>
        <v>#NAME?</v>
      </c>
      <c r="AB102" s="54" t="e">
        <f ca="1">IF($B102="","",_xll.BDP($A102&amp;" Corp",AB$5))</f>
        <v>#NAME?</v>
      </c>
      <c r="AC102" s="54" t="e">
        <f ca="1">IF($B102="","",_xll.BDP($A102&amp;" Corp",AC$5))</f>
        <v>#NAME?</v>
      </c>
      <c r="AD102" s="55" t="e">
        <f ca="1">IF($B102="","",_xll.BDP($A102&amp;" Corp",AD$5))</f>
        <v>#NAME?</v>
      </c>
      <c r="AE102" s="56" t="e">
        <f ca="1">IF($B102="","",_xll.BDP($A102&amp;" Corp",AE$5))</f>
        <v>#NAME?</v>
      </c>
      <c r="AF102" s="29" t="e">
        <f ca="1">IF($B102="","",_xll.BDP($A102&amp;" Corp",AF$5))</f>
        <v>#NAME?</v>
      </c>
      <c r="AG102" s="33" t="e">
        <f ca="1">IF($B102="","",_xll.BDP($A102&amp;" Corp",AG$5))</f>
        <v>#NAME?</v>
      </c>
      <c r="AH102" s="30" t="e">
        <f ca="1">IF($B102="","",_xll.BDP($A102&amp;" Corp",AH$5))</f>
        <v>#NAME?</v>
      </c>
      <c r="AI102" s="30" t="e">
        <f ca="1">IF($B102="","",_xll.BDP($A102&amp;" Corp",AI$5))</f>
        <v>#NAME?</v>
      </c>
      <c r="AJ102" s="30" t="e">
        <f ca="1">IF($B102="","",_xll.BDP($A102&amp;" Corp",AJ$5))</f>
        <v>#NAME?</v>
      </c>
      <c r="AK102" s="11" t="e">
        <f ca="1">IF($B102="","",_xll.BDP($A102&amp;" Corp",AK$5))</f>
        <v>#NAME?</v>
      </c>
      <c r="AL102" s="11" t="e">
        <f ca="1">IF($B102="","",_xll.BDP($A102&amp;" Corp",AL$5))</f>
        <v>#NAME?</v>
      </c>
      <c r="AM102" s="11">
        <v>2</v>
      </c>
      <c r="AN102" s="57">
        <v>1</v>
      </c>
    </row>
    <row r="103" spans="1:40" x14ac:dyDescent="0.3">
      <c r="A103" s="67" t="s">
        <v>470</v>
      </c>
      <c r="B103" s="68" t="s">
        <v>470</v>
      </c>
      <c r="C103" s="75">
        <v>7183</v>
      </c>
      <c r="D103" s="75">
        <v>128</v>
      </c>
      <c r="E103" s="75">
        <v>600000</v>
      </c>
      <c r="F103" s="69">
        <v>0.43995511999999998</v>
      </c>
      <c r="G103" s="70">
        <v>593988</v>
      </c>
      <c r="H103" s="67">
        <v>600000</v>
      </c>
      <c r="I103" s="67">
        <v>0.43995511999999998</v>
      </c>
      <c r="J103" s="67">
        <v>593988</v>
      </c>
      <c r="K103" s="71">
        <v>98.998000000000005</v>
      </c>
      <c r="L103" s="29" t="e">
        <f ca="1">IF(B103="","",_xll.BDP(A103&amp;" Corp","INTERVAL_HIGH","START_DATE_OVERRIDE",TEXT($L$3,"AAAAMMDD"),"END_DATE_OVERRIDE",TEXT($L$4,"AAAAMMDD"),"MARKET_DATA_OVERRIDE",$L$5))</f>
        <v>#NAME?</v>
      </c>
      <c r="M103" s="30" t="e">
        <f ca="1">IF(B103="","",_xll.BDP($A103&amp;" Corp","INTERVAL_LOW","START_DATE_OVERRIDE",TEXT($L$3,"AAAAMMDD"),"END_DATE_OVERRIDE",TEXT($L$4,"AAAAMMDD"),"MARKET_DATA_OVERRIDE",$L$5))</f>
        <v>#NAME?</v>
      </c>
      <c r="N103" s="31" t="s">
        <v>866</v>
      </c>
      <c r="O103" s="32" t="e">
        <f ca="1">IF($B103="","",_xll.BDP($A103&amp;" Corp",O$6))</f>
        <v>#NAME?</v>
      </c>
      <c r="P103" s="32" t="e">
        <f ca="1">IF($B103="","",_xll.BDP($A103&amp;" Corp",P$6))</f>
        <v>#NAME?</v>
      </c>
      <c r="Q103" s="30" t="e">
        <f ca="1">IF($B103="","",_xll.BDP($A103&amp;" Corp",Q$5))</f>
        <v>#NAME?</v>
      </c>
      <c r="R103" s="30" t="e">
        <f ca="1">IF($B103="","",_xll.BDP($A103&amp;" Corp",R$5))</f>
        <v>#NAME?</v>
      </c>
      <c r="S103" s="50" t="e">
        <f ca="1">IF($B103="","",_xll.BDP($A103&amp;" Corp",S$5))</f>
        <v>#NAME?</v>
      </c>
      <c r="T103" s="30" t="e">
        <f ca="1">IF($B103="","",_xll.BDP($A103&amp;" Corp",T$5))</f>
        <v>#NAME?</v>
      </c>
      <c r="U103" s="30" t="e">
        <f ca="1">IF($B103="","",_xll.BDP($A103&amp;" Corp",U$5))</f>
        <v>#NAME?</v>
      </c>
      <c r="V103" s="51" t="e">
        <f ca="1">IF($B103="","",IF($T103="VARIABLE",_xll.BDP($A103&amp;" Corp",V$4),_xll.BDP($A103&amp;" Corp",V$5)))</f>
        <v>#NAME?</v>
      </c>
      <c r="W103" s="30" t="e">
        <f ca="1">IF($B103="","",IF($T103="VARIABLE",_xll.BDP($A103&amp;" Corp",W$4),_xll.BDP($A103&amp;" Corp",W$5)))</f>
        <v>#NAME?</v>
      </c>
      <c r="X103" s="30" t="e">
        <f ca="1">IF($B103="","",_xll.BDP($A103&amp;" Corp",X$5))</f>
        <v>#NAME?</v>
      </c>
      <c r="Y103" s="33" t="e">
        <f ca="1">IF($B103="","",_xll.BDP($A103&amp;" Corp",Y$5))</f>
        <v>#NAME?</v>
      </c>
      <c r="Z103" s="52" t="e">
        <f ca="1">IF($B103="","",_xll.BDP($A103&amp;" Corp",Z$5))</f>
        <v>#NAME?</v>
      </c>
      <c r="AA103" s="53" t="e">
        <f ca="1">IF($B103="","",_xll.BDP($A103&amp;" Corp",AA$5))</f>
        <v>#NAME?</v>
      </c>
      <c r="AB103" s="54" t="e">
        <f ca="1">IF($B103="","",_xll.BDP($A103&amp;" Corp",AB$5))</f>
        <v>#NAME?</v>
      </c>
      <c r="AC103" s="54" t="e">
        <f ca="1">IF($B103="","",_xll.BDP($A103&amp;" Corp",AC$5))</f>
        <v>#NAME?</v>
      </c>
      <c r="AD103" s="55" t="e">
        <f ca="1">IF($B103="","",_xll.BDP($A103&amp;" Corp",AD$5))</f>
        <v>#NAME?</v>
      </c>
      <c r="AE103" s="56" t="e">
        <f ca="1">IF($B103="","",_xll.BDP($A103&amp;" Corp",AE$5))</f>
        <v>#NAME?</v>
      </c>
      <c r="AF103" s="29" t="e">
        <f ca="1">IF($B103="","",_xll.BDP($A103&amp;" Corp",AF$5))</f>
        <v>#NAME?</v>
      </c>
      <c r="AG103" s="33" t="e">
        <f ca="1">IF($B103="","",_xll.BDP($A103&amp;" Corp",AG$5))</f>
        <v>#NAME?</v>
      </c>
      <c r="AH103" s="30" t="e">
        <f ca="1">IF($B103="","",_xll.BDP($A103&amp;" Corp",AH$5))</f>
        <v>#NAME?</v>
      </c>
      <c r="AI103" s="30" t="e">
        <f ca="1">IF($B103="","",_xll.BDP($A103&amp;" Corp",AI$5))</f>
        <v>#NAME?</v>
      </c>
      <c r="AJ103" s="30" t="e">
        <f ca="1">IF($B103="","",_xll.BDP($A103&amp;" Corp",AJ$5))</f>
        <v>#NAME?</v>
      </c>
      <c r="AK103" s="11" t="e">
        <f ca="1">IF($B103="","",_xll.BDP($A103&amp;" Corp",AK$5))</f>
        <v>#NAME?</v>
      </c>
      <c r="AL103" s="11" t="e">
        <f ca="1">IF($B103="","",_xll.BDP($A103&amp;" Corp",AL$5))</f>
        <v>#NAME?</v>
      </c>
      <c r="AM103" s="11">
        <v>4</v>
      </c>
      <c r="AN103" s="57">
        <v>3</v>
      </c>
    </row>
    <row r="104" spans="1:40" x14ac:dyDescent="0.3">
      <c r="A104" s="67" t="s">
        <v>395</v>
      </c>
      <c r="B104" s="68" t="s">
        <v>395</v>
      </c>
      <c r="C104" s="75">
        <v>8456</v>
      </c>
      <c r="D104" s="75">
        <v>128</v>
      </c>
      <c r="E104" s="75">
        <v>250000</v>
      </c>
      <c r="F104" s="69">
        <v>0.19549905000000001</v>
      </c>
      <c r="G104" s="70">
        <v>260012.5</v>
      </c>
      <c r="H104" s="67">
        <v>250000</v>
      </c>
      <c r="I104" s="67">
        <v>0.19549905000000001</v>
      </c>
      <c r="J104" s="67">
        <v>260012.5</v>
      </c>
      <c r="K104" s="71">
        <v>104.005</v>
      </c>
      <c r="L104" s="29" t="e">
        <f ca="1">IF(B104="","",_xll.BDP(A104&amp;" Corp","INTERVAL_HIGH","START_DATE_OVERRIDE",TEXT($L$3,"AAAAMMDD"),"END_DATE_OVERRIDE",TEXT($L$4,"AAAAMMDD"),"MARKET_DATA_OVERRIDE",$L$5))</f>
        <v>#NAME?</v>
      </c>
      <c r="M104" s="30" t="e">
        <f ca="1">IF(B104="","",_xll.BDP($A104&amp;" Corp","INTERVAL_LOW","START_DATE_OVERRIDE",TEXT($L$3,"AAAAMMDD"),"END_DATE_OVERRIDE",TEXT($L$4,"AAAAMMDD"),"MARKET_DATA_OVERRIDE",$L$5))</f>
        <v>#NAME?</v>
      </c>
      <c r="N104" s="31" t="s">
        <v>867</v>
      </c>
      <c r="O104" s="32" t="e">
        <f ca="1">IF($B104="","",_xll.BDP($A104&amp;" Corp",O$6))</f>
        <v>#NAME?</v>
      </c>
      <c r="P104" s="32" t="e">
        <f ca="1">IF($B104="","",_xll.BDP($A104&amp;" Corp",P$6))</f>
        <v>#NAME?</v>
      </c>
      <c r="Q104" s="30" t="e">
        <f ca="1">IF($B104="","",_xll.BDP($A104&amp;" Corp",Q$5))</f>
        <v>#NAME?</v>
      </c>
      <c r="R104" s="30" t="e">
        <f ca="1">IF($B104="","",_xll.BDP($A104&amp;" Corp",R$5))</f>
        <v>#NAME?</v>
      </c>
      <c r="S104" s="50" t="e">
        <f ca="1">IF($B104="","",_xll.BDP($A104&amp;" Corp",S$5))</f>
        <v>#NAME?</v>
      </c>
      <c r="T104" s="30" t="e">
        <f ca="1">IF($B104="","",_xll.BDP($A104&amp;" Corp",T$5))</f>
        <v>#NAME?</v>
      </c>
      <c r="U104" s="30" t="e">
        <f ca="1">IF($B104="","",_xll.BDP($A104&amp;" Corp",U$5))</f>
        <v>#NAME?</v>
      </c>
      <c r="V104" s="51" t="e">
        <f ca="1">IF($B104="","",IF($T104="VARIABLE",_xll.BDP($A104&amp;" Corp",V$4),_xll.BDP($A104&amp;" Corp",V$5)))</f>
        <v>#NAME?</v>
      </c>
      <c r="W104" s="30" t="e">
        <f ca="1">IF($B104="","",IF($T104="VARIABLE",_xll.BDP($A104&amp;" Corp",W$4),_xll.BDP($A104&amp;" Corp",W$5)))</f>
        <v>#NAME?</v>
      </c>
      <c r="X104" s="30" t="e">
        <f ca="1">IF($B104="","",_xll.BDP($A104&amp;" Corp",X$5))</f>
        <v>#NAME?</v>
      </c>
      <c r="Y104" s="33" t="e">
        <f ca="1">IF($B104="","",_xll.BDP($A104&amp;" Corp",Y$5))</f>
        <v>#NAME?</v>
      </c>
      <c r="Z104" s="52" t="e">
        <f ca="1">IF($B104="","",_xll.BDP($A104&amp;" Corp",Z$5))</f>
        <v>#NAME?</v>
      </c>
      <c r="AA104" s="53" t="e">
        <f ca="1">IF($B104="","",_xll.BDP($A104&amp;" Corp",AA$5))</f>
        <v>#NAME?</v>
      </c>
      <c r="AB104" s="54" t="e">
        <f ca="1">IF($B104="","",_xll.BDP($A104&amp;" Corp",AB$5))</f>
        <v>#NAME?</v>
      </c>
      <c r="AC104" s="54" t="e">
        <f ca="1">IF($B104="","",_xll.BDP($A104&amp;" Corp",AC$5))</f>
        <v>#NAME?</v>
      </c>
      <c r="AD104" s="55" t="e">
        <f ca="1">IF($B104="","",_xll.BDP($A104&amp;" Corp",AD$5))</f>
        <v>#NAME?</v>
      </c>
      <c r="AE104" s="56" t="e">
        <f ca="1">IF($B104="","",_xll.BDP($A104&amp;" Corp",AE$5))</f>
        <v>#NAME?</v>
      </c>
      <c r="AF104" s="29" t="e">
        <f ca="1">IF($B104="","",_xll.BDP($A104&amp;" Corp",AF$5))</f>
        <v>#NAME?</v>
      </c>
      <c r="AG104" s="33" t="e">
        <f ca="1">IF($B104="","",_xll.BDP($A104&amp;" Corp",AG$5))</f>
        <v>#NAME?</v>
      </c>
      <c r="AH104" s="30" t="e">
        <f ca="1">IF($B104="","",_xll.BDP($A104&amp;" Corp",AH$5))</f>
        <v>#NAME?</v>
      </c>
      <c r="AI104" s="30" t="e">
        <f ca="1">IF($B104="","",_xll.BDP($A104&amp;" Corp",AI$5))</f>
        <v>#NAME?</v>
      </c>
      <c r="AJ104" s="30" t="e">
        <f ca="1">IF($B104="","",_xll.BDP($A104&amp;" Corp",AJ$5))</f>
        <v>#NAME?</v>
      </c>
      <c r="AK104" s="11" t="e">
        <f ca="1">IF($B104="","",_xll.BDP($A104&amp;" Corp",AK$5))</f>
        <v>#NAME?</v>
      </c>
      <c r="AL104" s="11" t="e">
        <f ca="1">IF($B104="","",_xll.BDP($A104&amp;" Corp",AL$5))</f>
        <v>#NAME?</v>
      </c>
      <c r="AM104" s="11">
        <v>2</v>
      </c>
      <c r="AN104" s="57">
        <v>2</v>
      </c>
    </row>
    <row r="105" spans="1:40" x14ac:dyDescent="0.3">
      <c r="A105" s="67" t="s">
        <v>397</v>
      </c>
      <c r="B105" s="68" t="s">
        <v>397</v>
      </c>
      <c r="C105" s="75">
        <v>8824</v>
      </c>
      <c r="D105" s="75">
        <v>128</v>
      </c>
      <c r="E105" s="75">
        <v>200000</v>
      </c>
      <c r="F105" s="69">
        <v>0.15758695</v>
      </c>
      <c r="G105" s="70">
        <v>204248</v>
      </c>
      <c r="H105" s="67">
        <v>200000</v>
      </c>
      <c r="I105" s="67">
        <v>0.15758695</v>
      </c>
      <c r="J105" s="67">
        <v>204248</v>
      </c>
      <c r="K105" s="71">
        <v>102.124</v>
      </c>
      <c r="L105" s="29" t="e">
        <f ca="1">IF(B105="","",_xll.BDP(A105&amp;" Corp","INTERVAL_HIGH","START_DATE_OVERRIDE",TEXT($L$3,"AAAAMMDD"),"END_DATE_OVERRIDE",TEXT($L$4,"AAAAMMDD"),"MARKET_DATA_OVERRIDE",$L$5))</f>
        <v>#NAME?</v>
      </c>
      <c r="M105" s="30" t="e">
        <f ca="1">IF(B105="","",_xll.BDP($A105&amp;" Corp","INTERVAL_LOW","START_DATE_OVERRIDE",TEXT($L$3,"AAAAMMDD"),"END_DATE_OVERRIDE",TEXT($L$4,"AAAAMMDD"),"MARKET_DATA_OVERRIDE",$L$5))</f>
        <v>#NAME?</v>
      </c>
      <c r="N105" s="31" t="s">
        <v>868</v>
      </c>
      <c r="O105" s="32" t="e">
        <f ca="1">IF($B105="","",_xll.BDP($A105&amp;" Corp",O$6))</f>
        <v>#NAME?</v>
      </c>
      <c r="P105" s="32" t="e">
        <f ca="1">IF($B105="","",_xll.BDP($A105&amp;" Corp",P$6))</f>
        <v>#NAME?</v>
      </c>
      <c r="Q105" s="30" t="e">
        <f ca="1">IF($B105="","",_xll.BDP($A105&amp;" Corp",Q$5))</f>
        <v>#NAME?</v>
      </c>
      <c r="R105" s="30" t="e">
        <f ca="1">IF($B105="","",_xll.BDP($A105&amp;" Corp",R$5))</f>
        <v>#NAME?</v>
      </c>
      <c r="S105" s="50" t="e">
        <f ca="1">IF($B105="","",_xll.BDP($A105&amp;" Corp",S$5))</f>
        <v>#NAME?</v>
      </c>
      <c r="T105" s="30" t="e">
        <f ca="1">IF($B105="","",_xll.BDP($A105&amp;" Corp",T$5))</f>
        <v>#NAME?</v>
      </c>
      <c r="U105" s="30" t="e">
        <f ca="1">IF($B105="","",_xll.BDP($A105&amp;" Corp",U$5))</f>
        <v>#NAME?</v>
      </c>
      <c r="V105" s="51" t="e">
        <f ca="1">IF($B105="","",IF($T105="VARIABLE",_xll.BDP($A105&amp;" Corp",V$4),_xll.BDP($A105&amp;" Corp",V$5)))</f>
        <v>#NAME?</v>
      </c>
      <c r="W105" s="30" t="e">
        <f ca="1">IF($B105="","",IF($T105="VARIABLE",_xll.BDP($A105&amp;" Corp",W$4),_xll.BDP($A105&amp;" Corp",W$5)))</f>
        <v>#NAME?</v>
      </c>
      <c r="X105" s="30" t="e">
        <f ca="1">IF($B105="","",_xll.BDP($A105&amp;" Corp",X$5))</f>
        <v>#NAME?</v>
      </c>
      <c r="Y105" s="33" t="e">
        <f ca="1">IF($B105="","",_xll.BDP($A105&amp;" Corp",Y$5))</f>
        <v>#NAME?</v>
      </c>
      <c r="Z105" s="52" t="e">
        <f ca="1">IF($B105="","",_xll.BDP($A105&amp;" Corp",Z$5))</f>
        <v>#NAME?</v>
      </c>
      <c r="AA105" s="53" t="e">
        <f ca="1">IF($B105="","",_xll.BDP($A105&amp;" Corp",AA$5))</f>
        <v>#NAME?</v>
      </c>
      <c r="AB105" s="54" t="e">
        <f ca="1">IF($B105="","",_xll.BDP($A105&amp;" Corp",AB$5))</f>
        <v>#NAME?</v>
      </c>
      <c r="AC105" s="54" t="e">
        <f ca="1">IF($B105="","",_xll.BDP($A105&amp;" Corp",AC$5))</f>
        <v>#NAME?</v>
      </c>
      <c r="AD105" s="55" t="e">
        <f ca="1">IF($B105="","",_xll.BDP($A105&amp;" Corp",AD$5))</f>
        <v>#NAME?</v>
      </c>
      <c r="AE105" s="56" t="e">
        <f ca="1">IF($B105="","",_xll.BDP($A105&amp;" Corp",AE$5))</f>
        <v>#NAME?</v>
      </c>
      <c r="AF105" s="29" t="e">
        <f ca="1">IF($B105="","",_xll.BDP($A105&amp;" Corp",AF$5))</f>
        <v>#NAME?</v>
      </c>
      <c r="AG105" s="33" t="e">
        <f ca="1">IF($B105="","",_xll.BDP($A105&amp;" Corp",AG$5))</f>
        <v>#NAME?</v>
      </c>
      <c r="AH105" s="30" t="e">
        <f ca="1">IF($B105="","",_xll.BDP($A105&amp;" Corp",AH$5))</f>
        <v>#NAME?</v>
      </c>
      <c r="AI105" s="30" t="e">
        <f ca="1">IF($B105="","",_xll.BDP($A105&amp;" Corp",AI$5))</f>
        <v>#NAME?</v>
      </c>
      <c r="AJ105" s="30" t="e">
        <f ca="1">IF($B105="","",_xll.BDP($A105&amp;" Corp",AJ$5))</f>
        <v>#NAME?</v>
      </c>
      <c r="AK105" s="11" t="e">
        <f ca="1">IF($B105="","",_xll.BDP($A105&amp;" Corp",AK$5))</f>
        <v>#NAME?</v>
      </c>
      <c r="AL105" s="11" t="e">
        <f ca="1">IF($B105="","",_xll.BDP($A105&amp;" Corp",AL$5))</f>
        <v>#NAME?</v>
      </c>
      <c r="AM105" s="11">
        <v>2</v>
      </c>
      <c r="AN105" s="57">
        <v>1</v>
      </c>
    </row>
    <row r="106" spans="1:40" x14ac:dyDescent="0.3">
      <c r="A106" s="67" t="s">
        <v>275</v>
      </c>
      <c r="B106" s="68" t="s">
        <v>275</v>
      </c>
      <c r="C106" s="75">
        <v>8982</v>
      </c>
      <c r="D106" s="75">
        <v>128</v>
      </c>
      <c r="E106" s="75">
        <v>500000</v>
      </c>
      <c r="F106" s="69">
        <v>0.39663352000000002</v>
      </c>
      <c r="G106" s="70">
        <v>515135</v>
      </c>
      <c r="H106" s="67">
        <v>500000</v>
      </c>
      <c r="I106" s="67">
        <v>0.39663352000000002</v>
      </c>
      <c r="J106" s="67">
        <v>515135</v>
      </c>
      <c r="K106" s="71">
        <v>103.027</v>
      </c>
      <c r="L106" s="29" t="e">
        <f ca="1">IF(B106="","",_xll.BDP(A106&amp;" Corp","INTERVAL_HIGH","START_DATE_OVERRIDE",TEXT($L$3,"AAAAMMDD"),"END_DATE_OVERRIDE",TEXT($L$4,"AAAAMMDD"),"MARKET_DATA_OVERRIDE",$L$5))</f>
        <v>#NAME?</v>
      </c>
      <c r="M106" s="30" t="e">
        <f ca="1">IF(B106="","",_xll.BDP($A106&amp;" Corp","INTERVAL_LOW","START_DATE_OVERRIDE",TEXT($L$3,"AAAAMMDD"),"END_DATE_OVERRIDE",TEXT($L$4,"AAAAMMDD"),"MARKET_DATA_OVERRIDE",$L$5))</f>
        <v>#NAME?</v>
      </c>
      <c r="N106" s="31" t="s">
        <v>869</v>
      </c>
      <c r="O106" s="32" t="e">
        <f ca="1">IF($B106="","",_xll.BDP($A106&amp;" Corp",O$6))</f>
        <v>#NAME?</v>
      </c>
      <c r="P106" s="32" t="e">
        <f ca="1">IF($B106="","",_xll.BDP($A106&amp;" Corp",P$6))</f>
        <v>#NAME?</v>
      </c>
      <c r="Q106" s="30" t="e">
        <f ca="1">IF($B106="","",_xll.BDP($A106&amp;" Corp",Q$5))</f>
        <v>#NAME?</v>
      </c>
      <c r="R106" s="30" t="e">
        <f ca="1">IF($B106="","",_xll.BDP($A106&amp;" Corp",R$5))</f>
        <v>#NAME?</v>
      </c>
      <c r="S106" s="50" t="e">
        <f ca="1">IF($B106="","",_xll.BDP($A106&amp;" Corp",S$5))</f>
        <v>#NAME?</v>
      </c>
      <c r="T106" s="30" t="e">
        <f ca="1">IF($B106="","",_xll.BDP($A106&amp;" Corp",T$5))</f>
        <v>#NAME?</v>
      </c>
      <c r="U106" s="30" t="e">
        <f ca="1">IF($B106="","",_xll.BDP($A106&amp;" Corp",U$5))</f>
        <v>#NAME?</v>
      </c>
      <c r="V106" s="51" t="e">
        <f ca="1">IF($B106="","",IF($T106="VARIABLE",_xll.BDP($A106&amp;" Corp",V$4),_xll.BDP($A106&amp;" Corp",V$5)))</f>
        <v>#NAME?</v>
      </c>
      <c r="W106" s="30" t="e">
        <f ca="1">IF($B106="","",IF($T106="VARIABLE",_xll.BDP($A106&amp;" Corp",W$4),_xll.BDP($A106&amp;" Corp",W$5)))</f>
        <v>#NAME?</v>
      </c>
      <c r="X106" s="30" t="e">
        <f ca="1">IF($B106="","",_xll.BDP($A106&amp;" Corp",X$5))</f>
        <v>#NAME?</v>
      </c>
      <c r="Y106" s="33" t="e">
        <f ca="1">IF($B106="","",_xll.BDP($A106&amp;" Corp",Y$5))</f>
        <v>#NAME?</v>
      </c>
      <c r="Z106" s="52" t="e">
        <f ca="1">IF($B106="","",_xll.BDP($A106&amp;" Corp",Z$5))</f>
        <v>#NAME?</v>
      </c>
      <c r="AA106" s="53" t="e">
        <f ca="1">IF($B106="","",_xll.BDP($A106&amp;" Corp",AA$5))</f>
        <v>#NAME?</v>
      </c>
      <c r="AB106" s="54" t="e">
        <f ca="1">IF($B106="","",_xll.BDP($A106&amp;" Corp",AB$5))</f>
        <v>#NAME?</v>
      </c>
      <c r="AC106" s="54" t="e">
        <f ca="1">IF($B106="","",_xll.BDP($A106&amp;" Corp",AC$5))</f>
        <v>#NAME?</v>
      </c>
      <c r="AD106" s="55" t="e">
        <f ca="1">IF($B106="","",_xll.BDP($A106&amp;" Corp",AD$5))</f>
        <v>#NAME?</v>
      </c>
      <c r="AE106" s="56" t="e">
        <f ca="1">IF($B106="","",_xll.BDP($A106&amp;" Corp",AE$5))</f>
        <v>#NAME?</v>
      </c>
      <c r="AF106" s="29" t="e">
        <f ca="1">IF($B106="","",_xll.BDP($A106&amp;" Corp",AF$5))</f>
        <v>#NAME?</v>
      </c>
      <c r="AG106" s="33" t="e">
        <f ca="1">IF($B106="","",_xll.BDP($A106&amp;" Corp",AG$5))</f>
        <v>#NAME?</v>
      </c>
      <c r="AH106" s="30" t="e">
        <f ca="1">IF($B106="","",_xll.BDP($A106&amp;" Corp",AH$5))</f>
        <v>#NAME?</v>
      </c>
      <c r="AI106" s="30" t="e">
        <f ca="1">IF($B106="","",_xll.BDP($A106&amp;" Corp",AI$5))</f>
        <v>#NAME?</v>
      </c>
      <c r="AJ106" s="30" t="e">
        <f ca="1">IF($B106="","",_xll.BDP($A106&amp;" Corp",AJ$5))</f>
        <v>#NAME?</v>
      </c>
      <c r="AK106" s="11" t="e">
        <f ca="1">IF($B106="","",_xll.BDP($A106&amp;" Corp",AK$5))</f>
        <v>#NAME?</v>
      </c>
      <c r="AL106" s="11" t="e">
        <f ca="1">IF($B106="","",_xll.BDP($A106&amp;" Corp",AL$5))</f>
        <v>#NAME?</v>
      </c>
      <c r="AM106" s="11">
        <v>2</v>
      </c>
      <c r="AN106" s="57">
        <v>1</v>
      </c>
    </row>
    <row r="107" spans="1:40" x14ac:dyDescent="0.3">
      <c r="A107" s="67" t="s">
        <v>555</v>
      </c>
      <c r="B107" s="68" t="s">
        <v>555</v>
      </c>
      <c r="C107" s="75">
        <v>7282</v>
      </c>
      <c r="D107" s="75">
        <v>128</v>
      </c>
      <c r="E107" s="75">
        <v>1016000</v>
      </c>
      <c r="F107" s="69">
        <v>0.82263684000000004</v>
      </c>
      <c r="G107" s="70">
        <v>992398.28</v>
      </c>
      <c r="H107" s="67">
        <v>1016000</v>
      </c>
      <c r="I107" s="67">
        <v>0.82263684000000004</v>
      </c>
      <c r="J107" s="67">
        <v>992398.28</v>
      </c>
      <c r="K107" s="71">
        <v>97.676996062992131</v>
      </c>
      <c r="L107" s="29" t="e">
        <f ca="1">IF(B107="","",_xll.BDP(A107&amp;" Corp","INTERVAL_HIGH","START_DATE_OVERRIDE",TEXT($L$3,"AAAAMMDD"),"END_DATE_OVERRIDE",TEXT($L$4,"AAAAMMDD"),"MARKET_DATA_OVERRIDE",$L$5))</f>
        <v>#NAME?</v>
      </c>
      <c r="M107" s="30" t="e">
        <f ca="1">IF(B107="","",_xll.BDP($A107&amp;" Corp","INTERVAL_LOW","START_DATE_OVERRIDE",TEXT($L$3,"AAAAMMDD"),"END_DATE_OVERRIDE",TEXT($L$4,"AAAAMMDD"),"MARKET_DATA_OVERRIDE",$L$5))</f>
        <v>#NAME?</v>
      </c>
      <c r="N107" s="31" t="s">
        <v>870</v>
      </c>
      <c r="O107" s="32" t="e">
        <f ca="1">IF($B107="","",_xll.BDP($A107&amp;" Corp",O$6))</f>
        <v>#NAME?</v>
      </c>
      <c r="P107" s="32" t="e">
        <f ca="1">IF($B107="","",_xll.BDP($A107&amp;" Corp",P$6))</f>
        <v>#NAME?</v>
      </c>
      <c r="Q107" s="30" t="e">
        <f ca="1">IF($B107="","",_xll.BDP($A107&amp;" Corp",Q$5))</f>
        <v>#NAME?</v>
      </c>
      <c r="R107" s="30" t="e">
        <f ca="1">IF($B107="","",_xll.BDP($A107&amp;" Corp",R$5))</f>
        <v>#NAME?</v>
      </c>
      <c r="S107" s="50" t="e">
        <f ca="1">IF($B107="","",_xll.BDP($A107&amp;" Corp",S$5))</f>
        <v>#NAME?</v>
      </c>
      <c r="T107" s="30" t="e">
        <f ca="1">IF($B107="","",_xll.BDP($A107&amp;" Corp",T$5))</f>
        <v>#NAME?</v>
      </c>
      <c r="U107" s="30" t="e">
        <f ca="1">IF($B107="","",_xll.BDP($A107&amp;" Corp",U$5))</f>
        <v>#NAME?</v>
      </c>
      <c r="V107" s="51" t="e">
        <f ca="1">IF($B107="","",IF($T107="VARIABLE",_xll.BDP($A107&amp;" Corp",V$4),_xll.BDP($A107&amp;" Corp",V$5)))</f>
        <v>#NAME?</v>
      </c>
      <c r="W107" s="30" t="e">
        <f ca="1">IF($B107="","",IF($T107="VARIABLE",_xll.BDP($A107&amp;" Corp",W$4),_xll.BDP($A107&amp;" Corp",W$5)))</f>
        <v>#NAME?</v>
      </c>
      <c r="X107" s="30" t="e">
        <f ca="1">IF($B107="","",_xll.BDP($A107&amp;" Corp",X$5))</f>
        <v>#NAME?</v>
      </c>
      <c r="Y107" s="33" t="e">
        <f ca="1">IF($B107="","",_xll.BDP($A107&amp;" Corp",Y$5))</f>
        <v>#NAME?</v>
      </c>
      <c r="Z107" s="52" t="e">
        <f ca="1">IF($B107="","",_xll.BDP($A107&amp;" Corp",Z$5))</f>
        <v>#NAME?</v>
      </c>
      <c r="AA107" s="53" t="e">
        <f ca="1">IF($B107="","",_xll.BDP($A107&amp;" Corp",AA$5))</f>
        <v>#NAME?</v>
      </c>
      <c r="AB107" s="54" t="e">
        <f ca="1">IF($B107="","",_xll.BDP($A107&amp;" Corp",AB$5))</f>
        <v>#NAME?</v>
      </c>
      <c r="AC107" s="54" t="e">
        <f ca="1">IF($B107="","",_xll.BDP($A107&amp;" Corp",AC$5))</f>
        <v>#NAME?</v>
      </c>
      <c r="AD107" s="55" t="e">
        <f ca="1">IF($B107="","",_xll.BDP($A107&amp;" Corp",AD$5))</f>
        <v>#NAME?</v>
      </c>
      <c r="AE107" s="56" t="e">
        <f ca="1">IF($B107="","",_xll.BDP($A107&amp;" Corp",AE$5))</f>
        <v>#NAME?</v>
      </c>
      <c r="AF107" s="29" t="e">
        <f ca="1">IF($B107="","",_xll.BDP($A107&amp;" Corp",AF$5))</f>
        <v>#NAME?</v>
      </c>
      <c r="AG107" s="33" t="e">
        <f ca="1">IF($B107="","",_xll.BDP($A107&amp;" Corp",AG$5))</f>
        <v>#NAME?</v>
      </c>
      <c r="AH107" s="30" t="e">
        <f ca="1">IF($B107="","",_xll.BDP($A107&amp;" Corp",AH$5))</f>
        <v>#NAME?</v>
      </c>
      <c r="AI107" s="30" t="e">
        <f ca="1">IF($B107="","",_xll.BDP($A107&amp;" Corp",AI$5))</f>
        <v>#NAME?</v>
      </c>
      <c r="AJ107" s="30" t="e">
        <f ca="1">IF($B107="","",_xll.BDP($A107&amp;" Corp",AJ$5))</f>
        <v>#NAME?</v>
      </c>
      <c r="AK107" s="11" t="e">
        <f ca="1">IF($B107="","",_xll.BDP($A107&amp;" Corp",AK$5))</f>
        <v>#NAME?</v>
      </c>
      <c r="AL107" s="11" t="e">
        <f ca="1">IF($B107="","",_xll.BDP($A107&amp;" Corp",AL$5))</f>
        <v>#NAME?</v>
      </c>
      <c r="AM107" s="11">
        <v>1</v>
      </c>
      <c r="AN107" s="57">
        <v>0.2</v>
      </c>
    </row>
    <row r="108" spans="1:40" x14ac:dyDescent="0.3">
      <c r="A108" s="67" t="s">
        <v>558</v>
      </c>
      <c r="B108" s="68" t="s">
        <v>558</v>
      </c>
      <c r="C108" s="75">
        <v>7283</v>
      </c>
      <c r="D108" s="75">
        <v>128</v>
      </c>
      <c r="E108" s="75">
        <v>200000</v>
      </c>
      <c r="F108" s="69">
        <v>0.1507339</v>
      </c>
      <c r="G108" s="70">
        <v>200188</v>
      </c>
      <c r="H108" s="67">
        <v>200000</v>
      </c>
      <c r="I108" s="67">
        <v>0.1507339</v>
      </c>
      <c r="J108" s="67">
        <v>200188</v>
      </c>
      <c r="K108" s="71">
        <v>100.09399999999999</v>
      </c>
      <c r="L108" s="29" t="e">
        <f ca="1">IF(B108="","",_xll.BDP(A108&amp;" Corp","INTERVAL_HIGH","START_DATE_OVERRIDE",TEXT($L$3,"AAAAMMDD"),"END_DATE_OVERRIDE",TEXT($L$4,"AAAAMMDD"),"MARKET_DATA_OVERRIDE",$L$5))</f>
        <v>#NAME?</v>
      </c>
      <c r="M108" s="30" t="e">
        <f ca="1">IF(B108="","",_xll.BDP($A108&amp;" Corp","INTERVAL_LOW","START_DATE_OVERRIDE",TEXT($L$3,"AAAAMMDD"),"END_DATE_OVERRIDE",TEXT($L$4,"AAAAMMDD"),"MARKET_DATA_OVERRIDE",$L$5))</f>
        <v>#NAME?</v>
      </c>
      <c r="N108" s="31" t="s">
        <v>871</v>
      </c>
      <c r="O108" s="32" t="e">
        <f ca="1">IF($B108="","",_xll.BDP($A108&amp;" Corp",O$6))</f>
        <v>#NAME?</v>
      </c>
      <c r="P108" s="32" t="e">
        <f ca="1">IF($B108="","",_xll.BDP($A108&amp;" Corp",P$6))</f>
        <v>#NAME?</v>
      </c>
      <c r="Q108" s="30" t="e">
        <f ca="1">IF($B108="","",_xll.BDP($A108&amp;" Corp",Q$5))</f>
        <v>#NAME?</v>
      </c>
      <c r="R108" s="30" t="e">
        <f ca="1">IF($B108="","",_xll.BDP($A108&amp;" Corp",R$5))</f>
        <v>#NAME?</v>
      </c>
      <c r="S108" s="50" t="e">
        <f ca="1">IF($B108="","",_xll.BDP($A108&amp;" Corp",S$5))</f>
        <v>#NAME?</v>
      </c>
      <c r="T108" s="30" t="e">
        <f ca="1">IF($B108="","",_xll.BDP($A108&amp;" Corp",T$5))</f>
        <v>#NAME?</v>
      </c>
      <c r="U108" s="30" t="e">
        <f ca="1">IF($B108="","",_xll.BDP($A108&amp;" Corp",U$5))</f>
        <v>#NAME?</v>
      </c>
      <c r="V108" s="51" t="e">
        <f ca="1">IF($B108="","",IF($T108="VARIABLE",_xll.BDP($A108&amp;" Corp",V$4),_xll.BDP($A108&amp;" Corp",V$5)))</f>
        <v>#NAME?</v>
      </c>
      <c r="W108" s="30" t="e">
        <f ca="1">IF($B108="","",IF($T108="VARIABLE",_xll.BDP($A108&amp;" Corp",W$4),_xll.BDP($A108&amp;" Corp",W$5)))</f>
        <v>#NAME?</v>
      </c>
      <c r="X108" s="30" t="e">
        <f ca="1">IF($B108="","",_xll.BDP($A108&amp;" Corp",X$5))</f>
        <v>#NAME?</v>
      </c>
      <c r="Y108" s="33" t="e">
        <f ca="1">IF($B108="","",_xll.BDP($A108&amp;" Corp",Y$5))</f>
        <v>#NAME?</v>
      </c>
      <c r="Z108" s="52" t="e">
        <f ca="1">IF($B108="","",_xll.BDP($A108&amp;" Corp",Z$5))</f>
        <v>#NAME?</v>
      </c>
      <c r="AA108" s="53" t="e">
        <f ca="1">IF($B108="","",_xll.BDP($A108&amp;" Corp",AA$5))</f>
        <v>#NAME?</v>
      </c>
      <c r="AB108" s="54" t="e">
        <f ca="1">IF($B108="","",_xll.BDP($A108&amp;" Corp",AB$5))</f>
        <v>#NAME?</v>
      </c>
      <c r="AC108" s="54" t="e">
        <f ca="1">IF($B108="","",_xll.BDP($A108&amp;" Corp",AC$5))</f>
        <v>#NAME?</v>
      </c>
      <c r="AD108" s="55" t="e">
        <f ca="1">IF($B108="","",_xll.BDP($A108&amp;" Corp",AD$5))</f>
        <v>#NAME?</v>
      </c>
      <c r="AE108" s="56" t="e">
        <f ca="1">IF($B108="","",_xll.BDP($A108&amp;" Corp",AE$5))</f>
        <v>#NAME?</v>
      </c>
      <c r="AF108" s="29" t="e">
        <f ca="1">IF($B108="","",_xll.BDP($A108&amp;" Corp",AF$5))</f>
        <v>#NAME?</v>
      </c>
      <c r="AG108" s="33" t="e">
        <f ca="1">IF($B108="","",_xll.BDP($A108&amp;" Corp",AG$5))</f>
        <v>#NAME?</v>
      </c>
      <c r="AH108" s="30" t="e">
        <f ca="1">IF($B108="","",_xll.BDP($A108&amp;" Corp",AH$5))</f>
        <v>#NAME?</v>
      </c>
      <c r="AI108" s="30" t="e">
        <f ca="1">IF($B108="","",_xll.BDP($A108&amp;" Corp",AI$5))</f>
        <v>#NAME?</v>
      </c>
      <c r="AJ108" s="30" t="e">
        <f ca="1">IF($B108="","",_xll.BDP($A108&amp;" Corp",AJ$5))</f>
        <v>#NAME?</v>
      </c>
      <c r="AK108" s="11" t="e">
        <f ca="1">IF($B108="","",_xll.BDP($A108&amp;" Corp",AK$5))</f>
        <v>#NAME?</v>
      </c>
      <c r="AL108" s="11" t="e">
        <f ca="1">IF($B108="","",_xll.BDP($A108&amp;" Corp",AL$5))</f>
        <v>#NAME?</v>
      </c>
      <c r="AM108" s="11">
        <v>4</v>
      </c>
      <c r="AN108" s="57">
        <v>3</v>
      </c>
    </row>
    <row r="109" spans="1:40" x14ac:dyDescent="0.3">
      <c r="A109" s="67" t="s">
        <v>570</v>
      </c>
      <c r="B109" s="68" t="s">
        <v>570</v>
      </c>
      <c r="C109" s="75">
        <v>7239</v>
      </c>
      <c r="D109" s="75">
        <v>128</v>
      </c>
      <c r="E109" s="75">
        <v>400000</v>
      </c>
      <c r="F109" s="69">
        <v>0.31159341000000002</v>
      </c>
      <c r="G109" s="70">
        <v>398218</v>
      </c>
      <c r="H109" s="67">
        <v>400000</v>
      </c>
      <c r="I109" s="67">
        <v>0.31159341000000002</v>
      </c>
      <c r="J109" s="67">
        <v>398218</v>
      </c>
      <c r="K109" s="71">
        <v>99.554500000000004</v>
      </c>
      <c r="L109" s="29" t="e">
        <f ca="1">IF(B109="","",_xll.BDP(A109&amp;" Corp","INTERVAL_HIGH","START_DATE_OVERRIDE",TEXT($L$3,"AAAAMMDD"),"END_DATE_OVERRIDE",TEXT($L$4,"AAAAMMDD"),"MARKET_DATA_OVERRIDE",$L$5))</f>
        <v>#NAME?</v>
      </c>
      <c r="M109" s="30" t="e">
        <f ca="1">IF(B109="","",_xll.BDP($A109&amp;" Corp","INTERVAL_LOW","START_DATE_OVERRIDE",TEXT($L$3,"AAAAMMDD"),"END_DATE_OVERRIDE",TEXT($L$4,"AAAAMMDD"),"MARKET_DATA_OVERRIDE",$L$5))</f>
        <v>#NAME?</v>
      </c>
      <c r="N109" s="31" t="s">
        <v>872</v>
      </c>
      <c r="O109" s="32" t="e">
        <f ca="1">IF($B109="","",_xll.BDP($A109&amp;" Corp",O$6))</f>
        <v>#NAME?</v>
      </c>
      <c r="P109" s="32" t="e">
        <f ca="1">IF($B109="","",_xll.BDP($A109&amp;" Corp",P$6))</f>
        <v>#NAME?</v>
      </c>
      <c r="Q109" s="30" t="e">
        <f ca="1">IF($B109="","",_xll.BDP($A109&amp;" Corp",Q$5))</f>
        <v>#NAME?</v>
      </c>
      <c r="R109" s="30" t="e">
        <f ca="1">IF($B109="","",_xll.BDP($A109&amp;" Corp",R$5))</f>
        <v>#NAME?</v>
      </c>
      <c r="S109" s="50" t="e">
        <f ca="1">IF($B109="","",_xll.BDP($A109&amp;" Corp",S$5))</f>
        <v>#NAME?</v>
      </c>
      <c r="T109" s="30" t="e">
        <f ca="1">IF($B109="","",_xll.BDP($A109&amp;" Corp",T$5))</f>
        <v>#NAME?</v>
      </c>
      <c r="U109" s="30" t="e">
        <f ca="1">IF($B109="","",_xll.BDP($A109&amp;" Corp",U$5))</f>
        <v>#NAME?</v>
      </c>
      <c r="V109" s="51" t="e">
        <f ca="1">IF($B109="","",IF($T109="VARIABLE",_xll.BDP($A109&amp;" Corp",V$4),_xll.BDP($A109&amp;" Corp",V$5)))</f>
        <v>#NAME?</v>
      </c>
      <c r="W109" s="30" t="e">
        <f ca="1">IF($B109="","",IF($T109="VARIABLE",_xll.BDP($A109&amp;" Corp",W$4),_xll.BDP($A109&amp;" Corp",W$5)))</f>
        <v>#NAME?</v>
      </c>
      <c r="X109" s="30" t="e">
        <f ca="1">IF($B109="","",_xll.BDP($A109&amp;" Corp",X$5))</f>
        <v>#NAME?</v>
      </c>
      <c r="Y109" s="33" t="e">
        <f ca="1">IF($B109="","",_xll.BDP($A109&amp;" Corp",Y$5))</f>
        <v>#NAME?</v>
      </c>
      <c r="Z109" s="52" t="e">
        <f ca="1">IF($B109="","",_xll.BDP($A109&amp;" Corp",Z$5))</f>
        <v>#NAME?</v>
      </c>
      <c r="AA109" s="53" t="e">
        <f ca="1">IF($B109="","",_xll.BDP($A109&amp;" Corp",AA$5))</f>
        <v>#NAME?</v>
      </c>
      <c r="AB109" s="54" t="e">
        <f ca="1">IF($B109="","",_xll.BDP($A109&amp;" Corp",AB$5))</f>
        <v>#NAME?</v>
      </c>
      <c r="AC109" s="54" t="e">
        <f ca="1">IF($B109="","",_xll.BDP($A109&amp;" Corp",AC$5))</f>
        <v>#NAME?</v>
      </c>
      <c r="AD109" s="55" t="e">
        <f ca="1">IF($B109="","",_xll.BDP($A109&amp;" Corp",AD$5))</f>
        <v>#NAME?</v>
      </c>
      <c r="AE109" s="56" t="e">
        <f ca="1">IF($B109="","",_xll.BDP($A109&amp;" Corp",AE$5))</f>
        <v>#NAME?</v>
      </c>
      <c r="AF109" s="29" t="e">
        <f ca="1">IF($B109="","",_xll.BDP($A109&amp;" Corp",AF$5))</f>
        <v>#NAME?</v>
      </c>
      <c r="AG109" s="33" t="e">
        <f ca="1">IF($B109="","",_xll.BDP($A109&amp;" Corp",AG$5))</f>
        <v>#NAME?</v>
      </c>
      <c r="AH109" s="30" t="e">
        <f ca="1">IF($B109="","",_xll.BDP($A109&amp;" Corp",AH$5))</f>
        <v>#NAME?</v>
      </c>
      <c r="AI109" s="30" t="e">
        <f ca="1">IF($B109="","",_xll.BDP($A109&amp;" Corp",AI$5))</f>
        <v>#NAME?</v>
      </c>
      <c r="AJ109" s="30" t="e">
        <f ca="1">IF($B109="","",_xll.BDP($A109&amp;" Corp",AJ$5))</f>
        <v>#NAME?</v>
      </c>
      <c r="AK109" s="11" t="e">
        <f ca="1">IF($B109="","",_xll.BDP($A109&amp;" Corp",AK$5))</f>
        <v>#NAME?</v>
      </c>
      <c r="AL109" s="11" t="e">
        <f ca="1">IF($B109="","",_xll.BDP($A109&amp;" Corp",AL$5))</f>
        <v>#NAME?</v>
      </c>
      <c r="AM109" s="11">
        <v>3</v>
      </c>
      <c r="AN109" s="57">
        <v>2</v>
      </c>
    </row>
    <row r="110" spans="1:40" x14ac:dyDescent="0.3">
      <c r="A110" s="67" t="s">
        <v>437</v>
      </c>
      <c r="B110" s="68" t="s">
        <v>437</v>
      </c>
      <c r="C110" s="75">
        <v>7262</v>
      </c>
      <c r="D110" s="75">
        <v>128</v>
      </c>
      <c r="E110" s="75">
        <v>200000</v>
      </c>
      <c r="F110" s="69">
        <v>0.15232850000000001</v>
      </c>
      <c r="G110" s="70">
        <v>199916.4</v>
      </c>
      <c r="H110" s="67">
        <v>200000</v>
      </c>
      <c r="I110" s="67">
        <v>0.15232850000000001</v>
      </c>
      <c r="J110" s="67">
        <v>199916.4</v>
      </c>
      <c r="K110" s="71">
        <v>99.958200000000005</v>
      </c>
      <c r="L110" s="29" t="e">
        <f ca="1">IF(B110="","",_xll.BDP(A110&amp;" Corp","INTERVAL_HIGH","START_DATE_OVERRIDE",TEXT($L$3,"AAAAMMDD"),"END_DATE_OVERRIDE",TEXT($L$4,"AAAAMMDD"),"MARKET_DATA_OVERRIDE",$L$5))</f>
        <v>#NAME?</v>
      </c>
      <c r="M110" s="30" t="e">
        <f ca="1">IF(B110="","",_xll.BDP($A110&amp;" Corp","INTERVAL_LOW","START_DATE_OVERRIDE",TEXT($L$3,"AAAAMMDD"),"END_DATE_OVERRIDE",TEXT($L$4,"AAAAMMDD"),"MARKET_DATA_OVERRIDE",$L$5))</f>
        <v>#NAME?</v>
      </c>
      <c r="N110" s="31" t="s">
        <v>873</v>
      </c>
      <c r="O110" s="32" t="e">
        <f ca="1">IF($B110="","",_xll.BDP($A110&amp;" Corp",O$6))</f>
        <v>#NAME?</v>
      </c>
      <c r="P110" s="32" t="e">
        <f ca="1">IF($B110="","",_xll.BDP($A110&amp;" Corp",P$6))</f>
        <v>#NAME?</v>
      </c>
      <c r="Q110" s="30" t="e">
        <f ca="1">IF($B110="","",_xll.BDP($A110&amp;" Corp",Q$5))</f>
        <v>#NAME?</v>
      </c>
      <c r="R110" s="30" t="e">
        <f ca="1">IF($B110="","",_xll.BDP($A110&amp;" Corp",R$5))</f>
        <v>#NAME?</v>
      </c>
      <c r="S110" s="50" t="e">
        <f ca="1">IF($B110="","",_xll.BDP($A110&amp;" Corp",S$5))</f>
        <v>#NAME?</v>
      </c>
      <c r="T110" s="30" t="e">
        <f ca="1">IF($B110="","",_xll.BDP($A110&amp;" Corp",T$5))</f>
        <v>#NAME?</v>
      </c>
      <c r="U110" s="30" t="e">
        <f ca="1">IF($B110="","",_xll.BDP($A110&amp;" Corp",U$5))</f>
        <v>#NAME?</v>
      </c>
      <c r="V110" s="51" t="e">
        <f ca="1">IF($B110="","",IF($T110="VARIABLE",_xll.BDP($A110&amp;" Corp",V$4),_xll.BDP($A110&amp;" Corp",V$5)))</f>
        <v>#NAME?</v>
      </c>
      <c r="W110" s="30" t="e">
        <f ca="1">IF($B110="","",IF($T110="VARIABLE",_xll.BDP($A110&amp;" Corp",W$4),_xll.BDP($A110&amp;" Corp",W$5)))</f>
        <v>#NAME?</v>
      </c>
      <c r="X110" s="30" t="e">
        <f ca="1">IF($B110="","",_xll.BDP($A110&amp;" Corp",X$5))</f>
        <v>#NAME?</v>
      </c>
      <c r="Y110" s="33" t="e">
        <f ca="1">IF($B110="","",_xll.BDP($A110&amp;" Corp",Y$5))</f>
        <v>#NAME?</v>
      </c>
      <c r="Z110" s="52" t="e">
        <f ca="1">IF($B110="","",_xll.BDP($A110&amp;" Corp",Z$5))</f>
        <v>#NAME?</v>
      </c>
      <c r="AA110" s="53" t="e">
        <f ca="1">IF($B110="","",_xll.BDP($A110&amp;" Corp",AA$5))</f>
        <v>#NAME?</v>
      </c>
      <c r="AB110" s="54" t="e">
        <f ca="1">IF($B110="","",_xll.BDP($A110&amp;" Corp",AB$5))</f>
        <v>#NAME?</v>
      </c>
      <c r="AC110" s="54" t="e">
        <f ca="1">IF($B110="","",_xll.BDP($A110&amp;" Corp",AC$5))</f>
        <v>#NAME?</v>
      </c>
      <c r="AD110" s="55" t="e">
        <f ca="1">IF($B110="","",_xll.BDP($A110&amp;" Corp",AD$5))</f>
        <v>#NAME?</v>
      </c>
      <c r="AE110" s="56" t="e">
        <f ca="1">IF($B110="","",_xll.BDP($A110&amp;" Corp",AE$5))</f>
        <v>#NAME?</v>
      </c>
      <c r="AF110" s="29" t="e">
        <f ca="1">IF($B110="","",_xll.BDP($A110&amp;" Corp",AF$5))</f>
        <v>#NAME?</v>
      </c>
      <c r="AG110" s="33" t="e">
        <f ca="1">IF($B110="","",_xll.BDP($A110&amp;" Corp",AG$5))</f>
        <v>#NAME?</v>
      </c>
      <c r="AH110" s="30" t="e">
        <f ca="1">IF($B110="","",_xll.BDP($A110&amp;" Corp",AH$5))</f>
        <v>#NAME?</v>
      </c>
      <c r="AI110" s="30" t="e">
        <f ca="1">IF($B110="","",_xll.BDP($A110&amp;" Corp",AI$5))</f>
        <v>#NAME?</v>
      </c>
      <c r="AJ110" s="30" t="e">
        <f ca="1">IF($B110="","",_xll.BDP($A110&amp;" Corp",AJ$5))</f>
        <v>#NAME?</v>
      </c>
      <c r="AK110" s="11" t="e">
        <f ca="1">IF($B110="","",_xll.BDP($A110&amp;" Corp",AK$5))</f>
        <v>#NAME?</v>
      </c>
      <c r="AL110" s="11" t="e">
        <f ca="1">IF($B110="","",_xll.BDP($A110&amp;" Corp",AL$5))</f>
        <v>#NAME?</v>
      </c>
      <c r="AM110" s="11">
        <v>2</v>
      </c>
      <c r="AN110" s="57">
        <v>1</v>
      </c>
    </row>
    <row r="111" spans="1:40" x14ac:dyDescent="0.3">
      <c r="A111" s="67" t="s">
        <v>439</v>
      </c>
      <c r="B111" s="68" t="s">
        <v>439</v>
      </c>
      <c r="C111" s="75">
        <v>8294</v>
      </c>
      <c r="D111" s="75">
        <v>128</v>
      </c>
      <c r="E111" s="75">
        <v>300000</v>
      </c>
      <c r="F111" s="69">
        <v>0.17228180000000001</v>
      </c>
      <c r="G111" s="70">
        <v>285557.57</v>
      </c>
      <c r="H111" s="67">
        <v>300000</v>
      </c>
      <c r="I111" s="67">
        <v>0.17228180000000001</v>
      </c>
      <c r="J111" s="67">
        <v>285557.57</v>
      </c>
      <c r="K111" s="71">
        <v>95.185856666666666</v>
      </c>
      <c r="L111" s="29" t="e">
        <f ca="1">IF(B111="","",_xll.BDP(A111&amp;" Corp","INTERVAL_HIGH","START_DATE_OVERRIDE",TEXT($L$3,"AAAAMMDD"),"END_DATE_OVERRIDE",TEXT($L$4,"AAAAMMDD"),"MARKET_DATA_OVERRIDE",$L$5))</f>
        <v>#NAME?</v>
      </c>
      <c r="M111" s="30" t="e">
        <f ca="1">IF(B111="","",_xll.BDP($A111&amp;" Corp","INTERVAL_LOW","START_DATE_OVERRIDE",TEXT($L$3,"AAAAMMDD"),"END_DATE_OVERRIDE",TEXT($L$4,"AAAAMMDD"),"MARKET_DATA_OVERRIDE",$L$5))</f>
        <v>#NAME?</v>
      </c>
      <c r="N111" s="31" t="s">
        <v>874</v>
      </c>
      <c r="O111" s="32" t="e">
        <f ca="1">IF($B111="","",_xll.BDP($A111&amp;" Corp",O$6))</f>
        <v>#NAME?</v>
      </c>
      <c r="P111" s="32" t="e">
        <f ca="1">IF($B111="","",_xll.BDP($A111&amp;" Corp",P$6))</f>
        <v>#NAME?</v>
      </c>
      <c r="Q111" s="30" t="e">
        <f ca="1">IF($B111="","",_xll.BDP($A111&amp;" Corp",Q$5))</f>
        <v>#NAME?</v>
      </c>
      <c r="R111" s="30" t="e">
        <f ca="1">IF($B111="","",_xll.BDP($A111&amp;" Corp",R$5))</f>
        <v>#NAME?</v>
      </c>
      <c r="S111" s="50" t="e">
        <f ca="1">IF($B111="","",_xll.BDP($A111&amp;" Corp",S$5))</f>
        <v>#NAME?</v>
      </c>
      <c r="T111" s="30" t="e">
        <f ca="1">IF($B111="","",_xll.BDP($A111&amp;" Corp",T$5))</f>
        <v>#NAME?</v>
      </c>
      <c r="U111" s="30" t="e">
        <f ca="1">IF($B111="","",_xll.BDP($A111&amp;" Corp",U$5))</f>
        <v>#NAME?</v>
      </c>
      <c r="V111" s="51" t="e">
        <f ca="1">IF($B111="","",IF($T111="VARIABLE",_xll.BDP($A111&amp;" Corp",V$4),_xll.BDP($A111&amp;" Corp",V$5)))</f>
        <v>#NAME?</v>
      </c>
      <c r="W111" s="30" t="e">
        <f ca="1">IF($B111="","",IF($T111="VARIABLE",_xll.BDP($A111&amp;" Corp",W$4),_xll.BDP($A111&amp;" Corp",W$5)))</f>
        <v>#NAME?</v>
      </c>
      <c r="X111" s="30" t="e">
        <f ca="1">IF($B111="","",_xll.BDP($A111&amp;" Corp",X$5))</f>
        <v>#NAME?</v>
      </c>
      <c r="Y111" s="33" t="e">
        <f ca="1">IF($B111="","",_xll.BDP($A111&amp;" Corp",Y$5))</f>
        <v>#NAME?</v>
      </c>
      <c r="Z111" s="52" t="e">
        <f ca="1">IF($B111="","",_xll.BDP($A111&amp;" Corp",Z$5))</f>
        <v>#NAME?</v>
      </c>
      <c r="AA111" s="53" t="e">
        <f ca="1">IF($B111="","",_xll.BDP($A111&amp;" Corp",AA$5))</f>
        <v>#NAME?</v>
      </c>
      <c r="AB111" s="54" t="e">
        <f ca="1">IF($B111="","",_xll.BDP($A111&amp;" Corp",AB$5))</f>
        <v>#NAME?</v>
      </c>
      <c r="AC111" s="54" t="e">
        <f ca="1">IF($B111="","",_xll.BDP($A111&amp;" Corp",AC$5))</f>
        <v>#NAME?</v>
      </c>
      <c r="AD111" s="55" t="e">
        <f ca="1">IF($B111="","",_xll.BDP($A111&amp;" Corp",AD$5))</f>
        <v>#NAME?</v>
      </c>
      <c r="AE111" s="56" t="e">
        <f ca="1">IF($B111="","",_xll.BDP($A111&amp;" Corp",AE$5))</f>
        <v>#NAME?</v>
      </c>
      <c r="AF111" s="29" t="e">
        <f ca="1">IF($B111="","",_xll.BDP($A111&amp;" Corp",AF$5))</f>
        <v>#NAME?</v>
      </c>
      <c r="AG111" s="33" t="e">
        <f ca="1">IF($B111="","",_xll.BDP($A111&amp;" Corp",AG$5))</f>
        <v>#NAME?</v>
      </c>
      <c r="AH111" s="30" t="e">
        <f ca="1">IF($B111="","",_xll.BDP($A111&amp;" Corp",AH$5))</f>
        <v>#NAME?</v>
      </c>
      <c r="AI111" s="30" t="e">
        <f ca="1">IF($B111="","",_xll.BDP($A111&amp;" Corp",AI$5))</f>
        <v>#NAME?</v>
      </c>
      <c r="AJ111" s="30" t="e">
        <f ca="1">IF($B111="","",_xll.BDP($A111&amp;" Corp",AJ$5))</f>
        <v>#NAME?</v>
      </c>
      <c r="AK111" s="11" t="e">
        <f ca="1">IF($B111="","",_xll.BDP($A111&amp;" Corp",AK$5))</f>
        <v>#NAME?</v>
      </c>
      <c r="AL111" s="11" t="e">
        <f ca="1">IF($B111="","",_xll.BDP($A111&amp;" Corp",AL$5))</f>
        <v>#NAME?</v>
      </c>
      <c r="AM111" s="11">
        <v>12</v>
      </c>
      <c r="AN111" s="57">
        <v>11</v>
      </c>
    </row>
    <row r="112" spans="1:40" x14ac:dyDescent="0.3">
      <c r="A112" s="67" t="s">
        <v>561</v>
      </c>
      <c r="B112" s="68" t="s">
        <v>561</v>
      </c>
      <c r="C112" s="75">
        <v>9616</v>
      </c>
      <c r="D112" s="75">
        <v>128</v>
      </c>
      <c r="E112" s="75">
        <v>300000</v>
      </c>
      <c r="F112" s="69">
        <v>0.23267272</v>
      </c>
      <c r="G112" s="70">
        <v>291252</v>
      </c>
      <c r="H112" s="67">
        <v>300000</v>
      </c>
      <c r="I112" s="67">
        <v>0.23267272</v>
      </c>
      <c r="J112" s="67">
        <v>291252</v>
      </c>
      <c r="K112" s="71">
        <v>97.084000000000003</v>
      </c>
      <c r="L112" s="29" t="e">
        <f ca="1">IF(B112="","",_xll.BDP(A112&amp;" Corp","INTERVAL_HIGH","START_DATE_OVERRIDE",TEXT($L$3,"AAAAMMDD"),"END_DATE_OVERRIDE",TEXT($L$4,"AAAAMMDD"),"MARKET_DATA_OVERRIDE",$L$5))</f>
        <v>#NAME?</v>
      </c>
      <c r="M112" s="30" t="e">
        <f ca="1">IF(B112="","",_xll.BDP($A112&amp;" Corp","INTERVAL_LOW","START_DATE_OVERRIDE",TEXT($L$3,"AAAAMMDD"),"END_DATE_OVERRIDE",TEXT($L$4,"AAAAMMDD"),"MARKET_DATA_OVERRIDE",$L$5))</f>
        <v>#NAME?</v>
      </c>
      <c r="N112" s="31" t="s">
        <v>875</v>
      </c>
      <c r="O112" s="32" t="e">
        <f ca="1">IF($B112="","",_xll.BDP($A112&amp;" Corp",O$6))</f>
        <v>#NAME?</v>
      </c>
      <c r="P112" s="32" t="e">
        <f ca="1">IF($B112="","",_xll.BDP($A112&amp;" Corp",P$6))</f>
        <v>#NAME?</v>
      </c>
      <c r="Q112" s="30" t="e">
        <f ca="1">IF($B112="","",_xll.BDP($A112&amp;" Corp",Q$5))</f>
        <v>#NAME?</v>
      </c>
      <c r="R112" s="30" t="e">
        <f ca="1">IF($B112="","",_xll.BDP($A112&amp;" Corp",R$5))</f>
        <v>#NAME?</v>
      </c>
      <c r="S112" s="50" t="e">
        <f ca="1">IF($B112="","",_xll.BDP($A112&amp;" Corp",S$5))</f>
        <v>#NAME?</v>
      </c>
      <c r="T112" s="30" t="e">
        <f ca="1">IF($B112="","",_xll.BDP($A112&amp;" Corp",T$5))</f>
        <v>#NAME?</v>
      </c>
      <c r="U112" s="30" t="e">
        <f ca="1">IF($B112="","",_xll.BDP($A112&amp;" Corp",U$5))</f>
        <v>#NAME?</v>
      </c>
      <c r="V112" s="51" t="e">
        <f ca="1">IF($B112="","",IF($T112="VARIABLE",_xll.BDP($A112&amp;" Corp",V$4),_xll.BDP($A112&amp;" Corp",V$5)))</f>
        <v>#NAME?</v>
      </c>
      <c r="W112" s="30" t="e">
        <f ca="1">IF($B112="","",IF($T112="VARIABLE",_xll.BDP($A112&amp;" Corp",W$4),_xll.BDP($A112&amp;" Corp",W$5)))</f>
        <v>#NAME?</v>
      </c>
      <c r="X112" s="30" t="e">
        <f ca="1">IF($B112="","",_xll.BDP($A112&amp;" Corp",X$5))</f>
        <v>#NAME?</v>
      </c>
      <c r="Y112" s="33" t="e">
        <f ca="1">IF($B112="","",_xll.BDP($A112&amp;" Corp",Y$5))</f>
        <v>#NAME?</v>
      </c>
      <c r="Z112" s="52" t="e">
        <f ca="1">IF($B112="","",_xll.BDP($A112&amp;" Corp",Z$5))</f>
        <v>#NAME?</v>
      </c>
      <c r="AA112" s="53" t="e">
        <f ca="1">IF($B112="","",_xll.BDP($A112&amp;" Corp",AA$5))</f>
        <v>#NAME?</v>
      </c>
      <c r="AB112" s="54" t="e">
        <f ca="1">IF($B112="","",_xll.BDP($A112&amp;" Corp",AB$5))</f>
        <v>#NAME?</v>
      </c>
      <c r="AC112" s="54" t="e">
        <f ca="1">IF($B112="","",_xll.BDP($A112&amp;" Corp",AC$5))</f>
        <v>#NAME?</v>
      </c>
      <c r="AD112" s="55" t="e">
        <f ca="1">IF($B112="","",_xll.BDP($A112&amp;" Corp",AD$5))</f>
        <v>#NAME?</v>
      </c>
      <c r="AE112" s="56" t="e">
        <f ca="1">IF($B112="","",_xll.BDP($A112&amp;" Corp",AE$5))</f>
        <v>#NAME?</v>
      </c>
      <c r="AF112" s="29" t="e">
        <f ca="1">IF($B112="","",_xll.BDP($A112&amp;" Corp",AF$5))</f>
        <v>#NAME?</v>
      </c>
      <c r="AG112" s="33" t="e">
        <f ca="1">IF($B112="","",_xll.BDP($A112&amp;" Corp",AG$5))</f>
        <v>#NAME?</v>
      </c>
      <c r="AH112" s="30" t="e">
        <f ca="1">IF($B112="","",_xll.BDP($A112&amp;" Corp",AH$5))</f>
        <v>#NAME?</v>
      </c>
      <c r="AI112" s="30" t="e">
        <f ca="1">IF($B112="","",_xll.BDP($A112&amp;" Corp",AI$5))</f>
        <v>#NAME?</v>
      </c>
      <c r="AJ112" s="30" t="e">
        <f ca="1">IF($B112="","",_xll.BDP($A112&amp;" Corp",AJ$5))</f>
        <v>#NAME?</v>
      </c>
      <c r="AK112" s="11" t="e">
        <f ca="1">IF($B112="","",_xll.BDP($A112&amp;" Corp",AK$5))</f>
        <v>#NAME?</v>
      </c>
      <c r="AL112" s="11" t="e">
        <f ca="1">IF($B112="","",_xll.BDP($A112&amp;" Corp",AL$5))</f>
        <v>#NAME?</v>
      </c>
      <c r="AM112" s="11">
        <v>2</v>
      </c>
      <c r="AN112" s="57">
        <v>1</v>
      </c>
    </row>
    <row r="113" spans="1:40" x14ac:dyDescent="0.3">
      <c r="A113" s="67" t="s">
        <v>572</v>
      </c>
      <c r="B113" s="68" t="s">
        <v>572</v>
      </c>
      <c r="C113" s="75">
        <v>7349</v>
      </c>
      <c r="D113" s="75">
        <v>128</v>
      </c>
      <c r="E113" s="75">
        <v>300000</v>
      </c>
      <c r="F113" s="69">
        <v>0.24069067</v>
      </c>
      <c r="G113" s="70">
        <v>297567</v>
      </c>
      <c r="H113" s="67">
        <v>300000</v>
      </c>
      <c r="I113" s="67">
        <v>0.24069067</v>
      </c>
      <c r="J113" s="67">
        <v>297567</v>
      </c>
      <c r="K113" s="71">
        <v>99.188999999999993</v>
      </c>
      <c r="L113" s="29" t="e">
        <f ca="1">IF(B113="","",_xll.BDP(A113&amp;" Corp","INTERVAL_HIGH","START_DATE_OVERRIDE",TEXT($L$3,"AAAAMMDD"),"END_DATE_OVERRIDE",TEXT($L$4,"AAAAMMDD"),"MARKET_DATA_OVERRIDE",$L$5))</f>
        <v>#NAME?</v>
      </c>
      <c r="M113" s="30" t="e">
        <f ca="1">IF(B113="","",_xll.BDP($A113&amp;" Corp","INTERVAL_LOW","START_DATE_OVERRIDE",TEXT($L$3,"AAAAMMDD"),"END_DATE_OVERRIDE",TEXT($L$4,"AAAAMMDD"),"MARKET_DATA_OVERRIDE",$L$5))</f>
        <v>#NAME?</v>
      </c>
      <c r="N113" s="31" t="s">
        <v>876</v>
      </c>
      <c r="O113" s="32" t="e">
        <f ca="1">IF($B113="","",_xll.BDP($A113&amp;" Corp",O$6))</f>
        <v>#NAME?</v>
      </c>
      <c r="P113" s="32" t="e">
        <f ca="1">IF($B113="","",_xll.BDP($A113&amp;" Corp",P$6))</f>
        <v>#NAME?</v>
      </c>
      <c r="Q113" s="30" t="e">
        <f ca="1">IF($B113="","",_xll.BDP($A113&amp;" Corp",Q$5))</f>
        <v>#NAME?</v>
      </c>
      <c r="R113" s="30" t="e">
        <f ca="1">IF($B113="","",_xll.BDP($A113&amp;" Corp",R$5))</f>
        <v>#NAME?</v>
      </c>
      <c r="S113" s="50" t="e">
        <f ca="1">IF($B113="","",_xll.BDP($A113&amp;" Corp",S$5))</f>
        <v>#NAME?</v>
      </c>
      <c r="T113" s="30" t="e">
        <f ca="1">IF($B113="","",_xll.BDP($A113&amp;" Corp",T$5))</f>
        <v>#NAME?</v>
      </c>
      <c r="U113" s="30" t="e">
        <f ca="1">IF($B113="","",_xll.BDP($A113&amp;" Corp",U$5))</f>
        <v>#NAME?</v>
      </c>
      <c r="V113" s="51" t="e">
        <f ca="1">IF($B113="","",IF($T113="VARIABLE",_xll.BDP($A113&amp;" Corp",V$4),_xll.BDP($A113&amp;" Corp",V$5)))</f>
        <v>#NAME?</v>
      </c>
      <c r="W113" s="30" t="e">
        <f ca="1">IF($B113="","",IF($T113="VARIABLE",_xll.BDP($A113&amp;" Corp",W$4),_xll.BDP($A113&amp;" Corp",W$5)))</f>
        <v>#NAME?</v>
      </c>
      <c r="X113" s="30" t="e">
        <f ca="1">IF($B113="","",_xll.BDP($A113&amp;" Corp",X$5))</f>
        <v>#NAME?</v>
      </c>
      <c r="Y113" s="33" t="e">
        <f ca="1">IF($B113="","",_xll.BDP($A113&amp;" Corp",Y$5))</f>
        <v>#NAME?</v>
      </c>
      <c r="Z113" s="52" t="e">
        <f ca="1">IF($B113="","",_xll.BDP($A113&amp;" Corp",Z$5))</f>
        <v>#NAME?</v>
      </c>
      <c r="AA113" s="53" t="e">
        <f ca="1">IF($B113="","",_xll.BDP($A113&amp;" Corp",AA$5))</f>
        <v>#NAME?</v>
      </c>
      <c r="AB113" s="54" t="e">
        <f ca="1">IF($B113="","",_xll.BDP($A113&amp;" Corp",AB$5))</f>
        <v>#NAME?</v>
      </c>
      <c r="AC113" s="54" t="e">
        <f ca="1">IF($B113="","",_xll.BDP($A113&amp;" Corp",AC$5))</f>
        <v>#NAME?</v>
      </c>
      <c r="AD113" s="55" t="e">
        <f ca="1">IF($B113="","",_xll.BDP($A113&amp;" Corp",AD$5))</f>
        <v>#NAME?</v>
      </c>
      <c r="AE113" s="56" t="e">
        <f ca="1">IF($B113="","",_xll.BDP($A113&amp;" Corp",AE$5))</f>
        <v>#NAME?</v>
      </c>
      <c r="AF113" s="29" t="e">
        <f ca="1">IF($B113="","",_xll.BDP($A113&amp;" Corp",AF$5))</f>
        <v>#NAME?</v>
      </c>
      <c r="AG113" s="33" t="e">
        <f ca="1">IF($B113="","",_xll.BDP($A113&amp;" Corp",AG$5))</f>
        <v>#NAME?</v>
      </c>
      <c r="AH113" s="30" t="e">
        <f ca="1">IF($B113="","",_xll.BDP($A113&amp;" Corp",AH$5))</f>
        <v>#NAME?</v>
      </c>
      <c r="AI113" s="30" t="e">
        <f ca="1">IF($B113="","",_xll.BDP($A113&amp;" Corp",AI$5))</f>
        <v>#NAME?</v>
      </c>
      <c r="AJ113" s="30" t="e">
        <f ca="1">IF($B113="","",_xll.BDP($A113&amp;" Corp",AJ$5))</f>
        <v>#NAME?</v>
      </c>
      <c r="AK113" s="11" t="e">
        <f ca="1">IF($B113="","",_xll.BDP($A113&amp;" Corp",AK$5))</f>
        <v>#NAME?</v>
      </c>
      <c r="AL113" s="11" t="e">
        <f ca="1">IF($B113="","",_xll.BDP($A113&amp;" Corp",AL$5))</f>
        <v>#NAME?</v>
      </c>
      <c r="AM113" s="11">
        <v>1</v>
      </c>
      <c r="AN113" s="57">
        <v>0.3</v>
      </c>
    </row>
    <row r="114" spans="1:40" x14ac:dyDescent="0.3">
      <c r="A114" s="67" t="s">
        <v>261</v>
      </c>
      <c r="B114" s="68" t="s">
        <v>261</v>
      </c>
      <c r="C114" s="75">
        <v>7430</v>
      </c>
      <c r="D114" s="75">
        <v>128</v>
      </c>
      <c r="E114" s="75">
        <v>100000</v>
      </c>
      <c r="F114" s="69">
        <v>7.8220810000000002E-2</v>
      </c>
      <c r="G114" s="70">
        <v>94224</v>
      </c>
      <c r="H114" s="67">
        <v>100000</v>
      </c>
      <c r="I114" s="67">
        <v>7.8220810000000002E-2</v>
      </c>
      <c r="J114" s="67">
        <v>94224</v>
      </c>
      <c r="K114" s="71">
        <v>94.224000000000004</v>
      </c>
      <c r="L114" s="29" t="e">
        <f ca="1">IF(B114="","",_xll.BDP(A114&amp;" Corp","INTERVAL_HIGH","START_DATE_OVERRIDE",TEXT($L$3,"AAAAMMDD"),"END_DATE_OVERRIDE",TEXT($L$4,"AAAAMMDD"),"MARKET_DATA_OVERRIDE",$L$5))</f>
        <v>#NAME?</v>
      </c>
      <c r="M114" s="30" t="e">
        <f ca="1">IF(B114="","",_xll.BDP($A114&amp;" Corp","INTERVAL_LOW","START_DATE_OVERRIDE",TEXT($L$3,"AAAAMMDD"),"END_DATE_OVERRIDE",TEXT($L$4,"AAAAMMDD"),"MARKET_DATA_OVERRIDE",$L$5))</f>
        <v>#NAME?</v>
      </c>
      <c r="N114" s="31" t="s">
        <v>877</v>
      </c>
      <c r="O114" s="32" t="e">
        <f ca="1">IF($B114="","",_xll.BDP($A114&amp;" Corp",O$6))</f>
        <v>#NAME?</v>
      </c>
      <c r="P114" s="32" t="e">
        <f ca="1">IF($B114="","",_xll.BDP($A114&amp;" Corp",P$6))</f>
        <v>#NAME?</v>
      </c>
      <c r="Q114" s="30" t="e">
        <f ca="1">IF($B114="","",_xll.BDP($A114&amp;" Corp",Q$5))</f>
        <v>#NAME?</v>
      </c>
      <c r="R114" s="30" t="e">
        <f ca="1">IF($B114="","",_xll.BDP($A114&amp;" Corp",R$5))</f>
        <v>#NAME?</v>
      </c>
      <c r="S114" s="50" t="e">
        <f ca="1">IF($B114="","",_xll.BDP($A114&amp;" Corp",S$5))</f>
        <v>#NAME?</v>
      </c>
      <c r="T114" s="30" t="e">
        <f ca="1">IF($B114="","",_xll.BDP($A114&amp;" Corp",T$5))</f>
        <v>#NAME?</v>
      </c>
      <c r="U114" s="30" t="e">
        <f ca="1">IF($B114="","",_xll.BDP($A114&amp;" Corp",U$5))</f>
        <v>#NAME?</v>
      </c>
      <c r="V114" s="51" t="e">
        <f ca="1">IF($B114="","",IF($T114="VARIABLE",_xll.BDP($A114&amp;" Corp",V$4),_xll.BDP($A114&amp;" Corp",V$5)))</f>
        <v>#NAME?</v>
      </c>
      <c r="W114" s="30" t="e">
        <f ca="1">IF($B114="","",IF($T114="VARIABLE",_xll.BDP($A114&amp;" Corp",W$4),_xll.BDP($A114&amp;" Corp",W$5)))</f>
        <v>#NAME?</v>
      </c>
      <c r="X114" s="30" t="e">
        <f ca="1">IF($B114="","",_xll.BDP($A114&amp;" Corp",X$5))</f>
        <v>#NAME?</v>
      </c>
      <c r="Y114" s="33" t="e">
        <f ca="1">IF($B114="","",_xll.BDP($A114&amp;" Corp",Y$5))</f>
        <v>#NAME?</v>
      </c>
      <c r="Z114" s="52" t="e">
        <f ca="1">IF($B114="","",_xll.BDP($A114&amp;" Corp",Z$5))</f>
        <v>#NAME?</v>
      </c>
      <c r="AA114" s="53" t="e">
        <f ca="1">IF($B114="","",_xll.BDP($A114&amp;" Corp",AA$5))</f>
        <v>#NAME?</v>
      </c>
      <c r="AB114" s="54" t="e">
        <f ca="1">IF($B114="","",_xll.BDP($A114&amp;" Corp",AB$5))</f>
        <v>#NAME?</v>
      </c>
      <c r="AC114" s="54" t="e">
        <f ca="1">IF($B114="","",_xll.BDP($A114&amp;" Corp",AC$5))</f>
        <v>#NAME?</v>
      </c>
      <c r="AD114" s="55" t="e">
        <f ca="1">IF($B114="","",_xll.BDP($A114&amp;" Corp",AD$5))</f>
        <v>#NAME?</v>
      </c>
      <c r="AE114" s="56" t="e">
        <f ca="1">IF($B114="","",_xll.BDP($A114&amp;" Corp",AE$5))</f>
        <v>#NAME?</v>
      </c>
      <c r="AF114" s="29" t="e">
        <f ca="1">IF($B114="","",_xll.BDP($A114&amp;" Corp",AF$5))</f>
        <v>#NAME?</v>
      </c>
      <c r="AG114" s="33" t="e">
        <f ca="1">IF($B114="","",_xll.BDP($A114&amp;" Corp",AG$5))</f>
        <v>#NAME?</v>
      </c>
      <c r="AH114" s="30" t="e">
        <f ca="1">IF($B114="","",_xll.BDP($A114&amp;" Corp",AH$5))</f>
        <v>#NAME?</v>
      </c>
      <c r="AI114" s="30" t="e">
        <f ca="1">IF($B114="","",_xll.BDP($A114&amp;" Corp",AI$5))</f>
        <v>#NAME?</v>
      </c>
      <c r="AJ114" s="30" t="e">
        <f ca="1">IF($B114="","",_xll.BDP($A114&amp;" Corp",AJ$5))</f>
        <v>#NAME?</v>
      </c>
      <c r="AK114" s="11" t="e">
        <f ca="1">IF($B114="","",_xll.BDP($A114&amp;" Corp",AK$5))</f>
        <v>#NAME?</v>
      </c>
      <c r="AL114" s="11" t="e">
        <f ca="1">IF($B114="","",_xll.BDP($A114&amp;" Corp",AL$5))</f>
        <v>#NAME?</v>
      </c>
      <c r="AM114" s="11">
        <v>2</v>
      </c>
      <c r="AN114" s="57">
        <v>1</v>
      </c>
    </row>
    <row r="115" spans="1:40" x14ac:dyDescent="0.3">
      <c r="A115" s="67" t="s">
        <v>399</v>
      </c>
      <c r="B115" s="68" t="s">
        <v>399</v>
      </c>
      <c r="C115" s="75">
        <v>7395</v>
      </c>
      <c r="D115" s="75">
        <v>128</v>
      </c>
      <c r="E115" s="75">
        <v>500000</v>
      </c>
      <c r="F115" s="69">
        <v>0.38947340000000003</v>
      </c>
      <c r="G115" s="70">
        <v>510156.67</v>
      </c>
      <c r="H115" s="67">
        <v>500000</v>
      </c>
      <c r="I115" s="67">
        <v>0.38947340000000003</v>
      </c>
      <c r="J115" s="67">
        <v>510156.67</v>
      </c>
      <c r="K115" s="71">
        <v>102.031334</v>
      </c>
      <c r="L115" s="29" t="e">
        <f ca="1">IF(B115="","",_xll.BDP(A115&amp;" Corp","INTERVAL_HIGH","START_DATE_OVERRIDE",TEXT($L$3,"AAAAMMDD"),"END_DATE_OVERRIDE",TEXT($L$4,"AAAAMMDD"),"MARKET_DATA_OVERRIDE",$L$5))</f>
        <v>#NAME?</v>
      </c>
      <c r="M115" s="30" t="e">
        <f ca="1">IF(B115="","",_xll.BDP($A115&amp;" Corp","INTERVAL_LOW","START_DATE_OVERRIDE",TEXT($L$3,"AAAAMMDD"),"END_DATE_OVERRIDE",TEXT($L$4,"AAAAMMDD"),"MARKET_DATA_OVERRIDE",$L$5))</f>
        <v>#NAME?</v>
      </c>
      <c r="N115" s="31" t="s">
        <v>878</v>
      </c>
      <c r="O115" s="32" t="e">
        <f ca="1">IF($B115="","",_xll.BDP($A115&amp;" Corp",O$6))</f>
        <v>#NAME?</v>
      </c>
      <c r="P115" s="32" t="e">
        <f ca="1">IF($B115="","",_xll.BDP($A115&amp;" Corp",P$6))</f>
        <v>#NAME?</v>
      </c>
      <c r="Q115" s="30" t="e">
        <f ca="1">IF($B115="","",_xll.BDP($A115&amp;" Corp",Q$5))</f>
        <v>#NAME?</v>
      </c>
      <c r="R115" s="30" t="e">
        <f ca="1">IF($B115="","",_xll.BDP($A115&amp;" Corp",R$5))</f>
        <v>#NAME?</v>
      </c>
      <c r="S115" s="50" t="e">
        <f ca="1">IF($B115="","",_xll.BDP($A115&amp;" Corp",S$5))</f>
        <v>#NAME?</v>
      </c>
      <c r="T115" s="30" t="e">
        <f ca="1">IF($B115="","",_xll.BDP($A115&amp;" Corp",T$5))</f>
        <v>#NAME?</v>
      </c>
      <c r="U115" s="30" t="e">
        <f ca="1">IF($B115="","",_xll.BDP($A115&amp;" Corp",U$5))</f>
        <v>#NAME?</v>
      </c>
      <c r="V115" s="51" t="e">
        <f ca="1">IF($B115="","",IF($T115="VARIABLE",_xll.BDP($A115&amp;" Corp",V$4),_xll.BDP($A115&amp;" Corp",V$5)))</f>
        <v>#NAME?</v>
      </c>
      <c r="W115" s="30" t="e">
        <f ca="1">IF($B115="","",IF($T115="VARIABLE",_xll.BDP($A115&amp;" Corp",W$4),_xll.BDP($A115&amp;" Corp",W$5)))</f>
        <v>#NAME?</v>
      </c>
      <c r="X115" s="30" t="e">
        <f ca="1">IF($B115="","",_xll.BDP($A115&amp;" Corp",X$5))</f>
        <v>#NAME?</v>
      </c>
      <c r="Y115" s="33" t="e">
        <f ca="1">IF($B115="","",_xll.BDP($A115&amp;" Corp",Y$5))</f>
        <v>#NAME?</v>
      </c>
      <c r="Z115" s="52" t="e">
        <f ca="1">IF($B115="","",_xll.BDP($A115&amp;" Corp",Z$5))</f>
        <v>#NAME?</v>
      </c>
      <c r="AA115" s="53" t="e">
        <f ca="1">IF($B115="","",_xll.BDP($A115&amp;" Corp",AA$5))</f>
        <v>#NAME?</v>
      </c>
      <c r="AB115" s="54" t="e">
        <f ca="1">IF($B115="","",_xll.BDP($A115&amp;" Corp",AB$5))</f>
        <v>#NAME?</v>
      </c>
      <c r="AC115" s="54" t="e">
        <f ca="1">IF($B115="","",_xll.BDP($A115&amp;" Corp",AC$5))</f>
        <v>#NAME?</v>
      </c>
      <c r="AD115" s="55" t="e">
        <f ca="1">IF($B115="","",_xll.BDP($A115&amp;" Corp",AD$5))</f>
        <v>#NAME?</v>
      </c>
      <c r="AE115" s="56" t="e">
        <f ca="1">IF($B115="","",_xll.BDP($A115&amp;" Corp",AE$5))</f>
        <v>#NAME?</v>
      </c>
      <c r="AF115" s="29" t="e">
        <f ca="1">IF($B115="","",_xll.BDP($A115&amp;" Corp",AF$5))</f>
        <v>#NAME?</v>
      </c>
      <c r="AG115" s="33" t="e">
        <f ca="1">IF($B115="","",_xll.BDP($A115&amp;" Corp",AG$5))</f>
        <v>#NAME?</v>
      </c>
      <c r="AH115" s="30" t="e">
        <f ca="1">IF($B115="","",_xll.BDP($A115&amp;" Corp",AH$5))</f>
        <v>#NAME?</v>
      </c>
      <c r="AI115" s="30" t="e">
        <f ca="1">IF($B115="","",_xll.BDP($A115&amp;" Corp",AI$5))</f>
        <v>#NAME?</v>
      </c>
      <c r="AJ115" s="30" t="e">
        <f ca="1">IF($B115="","",_xll.BDP($A115&amp;" Corp",AJ$5))</f>
        <v>#NAME?</v>
      </c>
      <c r="AK115" s="11" t="e">
        <f ca="1">IF($B115="","",_xll.BDP($A115&amp;" Corp",AK$5))</f>
        <v>#NAME?</v>
      </c>
      <c r="AL115" s="11" t="e">
        <f ca="1">IF($B115="","",_xll.BDP($A115&amp;" Corp",AL$5))</f>
        <v>#NAME?</v>
      </c>
      <c r="AM115" s="11">
        <v>2</v>
      </c>
      <c r="AN115" s="57">
        <v>1</v>
      </c>
    </row>
    <row r="116" spans="1:40" x14ac:dyDescent="0.3">
      <c r="A116" s="67" t="s">
        <v>401</v>
      </c>
      <c r="B116" s="68" t="s">
        <v>401</v>
      </c>
      <c r="C116" s="75">
        <v>7399</v>
      </c>
      <c r="D116" s="75">
        <v>128</v>
      </c>
      <c r="E116" s="75">
        <v>900000</v>
      </c>
      <c r="F116" s="69">
        <v>0.70924025000000002</v>
      </c>
      <c r="G116" s="70">
        <v>890460</v>
      </c>
      <c r="H116" s="67">
        <v>900000</v>
      </c>
      <c r="I116" s="67">
        <v>0.70924025000000002</v>
      </c>
      <c r="J116" s="67">
        <v>890460</v>
      </c>
      <c r="K116" s="71">
        <v>98.94</v>
      </c>
      <c r="L116" s="29" t="e">
        <f ca="1">IF(B116="","",_xll.BDP(A116&amp;" Corp","INTERVAL_HIGH","START_DATE_OVERRIDE",TEXT($L$3,"AAAAMMDD"),"END_DATE_OVERRIDE",TEXT($L$4,"AAAAMMDD"),"MARKET_DATA_OVERRIDE",$L$5))</f>
        <v>#NAME?</v>
      </c>
      <c r="M116" s="30" t="e">
        <f ca="1">IF(B116="","",_xll.BDP($A116&amp;" Corp","INTERVAL_LOW","START_DATE_OVERRIDE",TEXT($L$3,"AAAAMMDD"),"END_DATE_OVERRIDE",TEXT($L$4,"AAAAMMDD"),"MARKET_DATA_OVERRIDE",$L$5))</f>
        <v>#NAME?</v>
      </c>
      <c r="N116" s="31" t="s">
        <v>879</v>
      </c>
      <c r="O116" s="32" t="e">
        <f ca="1">IF($B116="","",_xll.BDP($A116&amp;" Corp",O$6))</f>
        <v>#NAME?</v>
      </c>
      <c r="P116" s="32" t="e">
        <f ca="1">IF($B116="","",_xll.BDP($A116&amp;" Corp",P$6))</f>
        <v>#NAME?</v>
      </c>
      <c r="Q116" s="30" t="e">
        <f ca="1">IF($B116="","",_xll.BDP($A116&amp;" Corp",Q$5))</f>
        <v>#NAME?</v>
      </c>
      <c r="R116" s="30" t="e">
        <f ca="1">IF($B116="","",_xll.BDP($A116&amp;" Corp",R$5))</f>
        <v>#NAME?</v>
      </c>
      <c r="S116" s="50" t="e">
        <f ca="1">IF($B116="","",_xll.BDP($A116&amp;" Corp",S$5))</f>
        <v>#NAME?</v>
      </c>
      <c r="T116" s="30" t="e">
        <f ca="1">IF($B116="","",_xll.BDP($A116&amp;" Corp",T$5))</f>
        <v>#NAME?</v>
      </c>
      <c r="U116" s="30" t="e">
        <f ca="1">IF($B116="","",_xll.BDP($A116&amp;" Corp",U$5))</f>
        <v>#NAME?</v>
      </c>
      <c r="V116" s="51" t="e">
        <f ca="1">IF($B116="","",IF($T116="VARIABLE",_xll.BDP($A116&amp;" Corp",V$4),_xll.BDP($A116&amp;" Corp",V$5)))</f>
        <v>#NAME?</v>
      </c>
      <c r="W116" s="30" t="e">
        <f ca="1">IF($B116="","",IF($T116="VARIABLE",_xll.BDP($A116&amp;" Corp",W$4),_xll.BDP($A116&amp;" Corp",W$5)))</f>
        <v>#NAME?</v>
      </c>
      <c r="X116" s="30" t="e">
        <f ca="1">IF($B116="","",_xll.BDP($A116&amp;" Corp",X$5))</f>
        <v>#NAME?</v>
      </c>
      <c r="Y116" s="33" t="e">
        <f ca="1">IF($B116="","",_xll.BDP($A116&amp;" Corp",Y$5))</f>
        <v>#NAME?</v>
      </c>
      <c r="Z116" s="52" t="e">
        <f ca="1">IF($B116="","",_xll.BDP($A116&amp;" Corp",Z$5))</f>
        <v>#NAME?</v>
      </c>
      <c r="AA116" s="53" t="e">
        <f ca="1">IF($B116="","",_xll.BDP($A116&amp;" Corp",AA$5))</f>
        <v>#NAME?</v>
      </c>
      <c r="AB116" s="54" t="e">
        <f ca="1">IF($B116="","",_xll.BDP($A116&amp;" Corp",AB$5))</f>
        <v>#NAME?</v>
      </c>
      <c r="AC116" s="54" t="e">
        <f ca="1">IF($B116="","",_xll.BDP($A116&amp;" Corp",AC$5))</f>
        <v>#NAME?</v>
      </c>
      <c r="AD116" s="55" t="e">
        <f ca="1">IF($B116="","",_xll.BDP($A116&amp;" Corp",AD$5))</f>
        <v>#NAME?</v>
      </c>
      <c r="AE116" s="56" t="e">
        <f ca="1">IF($B116="","",_xll.BDP($A116&amp;" Corp",AE$5))</f>
        <v>#NAME?</v>
      </c>
      <c r="AF116" s="29" t="e">
        <f ca="1">IF($B116="","",_xll.BDP($A116&amp;" Corp",AF$5))</f>
        <v>#NAME?</v>
      </c>
      <c r="AG116" s="33" t="e">
        <f ca="1">IF($B116="","",_xll.BDP($A116&amp;" Corp",AG$5))</f>
        <v>#NAME?</v>
      </c>
      <c r="AH116" s="30" t="e">
        <f ca="1">IF($B116="","",_xll.BDP($A116&amp;" Corp",AH$5))</f>
        <v>#NAME?</v>
      </c>
      <c r="AI116" s="30" t="e">
        <f ca="1">IF($B116="","",_xll.BDP($A116&amp;" Corp",AI$5))</f>
        <v>#NAME?</v>
      </c>
      <c r="AJ116" s="30" t="e">
        <f ca="1">IF($B116="","",_xll.BDP($A116&amp;" Corp",AJ$5))</f>
        <v>#NAME?</v>
      </c>
      <c r="AK116" s="11" t="e">
        <f ca="1">IF($B116="","",_xll.BDP($A116&amp;" Corp",AK$5))</f>
        <v>#NAME?</v>
      </c>
      <c r="AL116" s="11" t="e">
        <f ca="1">IF($B116="","",_xll.BDP($A116&amp;" Corp",AL$5))</f>
        <v>#NAME?</v>
      </c>
      <c r="AM116" s="11">
        <v>1</v>
      </c>
      <c r="AN116" s="57">
        <v>1</v>
      </c>
    </row>
    <row r="117" spans="1:40" x14ac:dyDescent="0.3">
      <c r="A117" s="67" t="s">
        <v>541</v>
      </c>
      <c r="B117" s="68" t="s">
        <v>541</v>
      </c>
      <c r="C117" s="75">
        <v>9594</v>
      </c>
      <c r="D117" s="75">
        <v>128</v>
      </c>
      <c r="E117" s="75">
        <v>400000</v>
      </c>
      <c r="F117" s="69">
        <v>0.31296810000000003</v>
      </c>
      <c r="G117" s="70">
        <v>429602</v>
      </c>
      <c r="H117" s="67">
        <v>400000</v>
      </c>
      <c r="I117" s="67">
        <v>0.31296810000000003</v>
      </c>
      <c r="J117" s="67">
        <v>429602</v>
      </c>
      <c r="K117" s="71">
        <v>107.40049999999999</v>
      </c>
      <c r="L117" s="29" t="e">
        <f ca="1">IF(B117="","",_xll.BDP(A117&amp;" Corp","INTERVAL_HIGH","START_DATE_OVERRIDE",TEXT($L$3,"AAAAMMDD"),"END_DATE_OVERRIDE",TEXT($L$4,"AAAAMMDD"),"MARKET_DATA_OVERRIDE",$L$5))</f>
        <v>#NAME?</v>
      </c>
      <c r="M117" s="30" t="e">
        <f ca="1">IF(B117="","",_xll.BDP($A117&amp;" Corp","INTERVAL_LOW","START_DATE_OVERRIDE",TEXT($L$3,"AAAAMMDD"),"END_DATE_OVERRIDE",TEXT($L$4,"AAAAMMDD"),"MARKET_DATA_OVERRIDE",$L$5))</f>
        <v>#NAME?</v>
      </c>
      <c r="N117" s="31" t="s">
        <v>880</v>
      </c>
      <c r="O117" s="32" t="e">
        <f ca="1">IF($B117="","",_xll.BDP($A117&amp;" Corp",O$6))</f>
        <v>#NAME?</v>
      </c>
      <c r="P117" s="32" t="e">
        <f ca="1">IF($B117="","",_xll.BDP($A117&amp;" Corp",P$6))</f>
        <v>#NAME?</v>
      </c>
      <c r="Q117" s="30" t="e">
        <f ca="1">IF($B117="","",_xll.BDP($A117&amp;" Corp",Q$5))</f>
        <v>#NAME?</v>
      </c>
      <c r="R117" s="30" t="e">
        <f ca="1">IF($B117="","",_xll.BDP($A117&amp;" Corp",R$5))</f>
        <v>#NAME?</v>
      </c>
      <c r="S117" s="50" t="e">
        <f ca="1">IF($B117="","",_xll.BDP($A117&amp;" Corp",S$5))</f>
        <v>#NAME?</v>
      </c>
      <c r="T117" s="30" t="e">
        <f ca="1">IF($B117="","",_xll.BDP($A117&amp;" Corp",T$5))</f>
        <v>#NAME?</v>
      </c>
      <c r="U117" s="30" t="e">
        <f ca="1">IF($B117="","",_xll.BDP($A117&amp;" Corp",U$5))</f>
        <v>#NAME?</v>
      </c>
      <c r="V117" s="51" t="e">
        <f ca="1">IF($B117="","",IF($T117="VARIABLE",_xll.BDP($A117&amp;" Corp",V$4),_xll.BDP($A117&amp;" Corp",V$5)))</f>
        <v>#NAME?</v>
      </c>
      <c r="W117" s="30" t="e">
        <f ca="1">IF($B117="","",IF($T117="VARIABLE",_xll.BDP($A117&amp;" Corp",W$4),_xll.BDP($A117&amp;" Corp",W$5)))</f>
        <v>#NAME?</v>
      </c>
      <c r="X117" s="30" t="e">
        <f ca="1">IF($B117="","",_xll.BDP($A117&amp;" Corp",X$5))</f>
        <v>#NAME?</v>
      </c>
      <c r="Y117" s="33" t="e">
        <f ca="1">IF($B117="","",_xll.BDP($A117&amp;" Corp",Y$5))</f>
        <v>#NAME?</v>
      </c>
      <c r="Z117" s="52" t="e">
        <f ca="1">IF($B117="","",_xll.BDP($A117&amp;" Corp",Z$5))</f>
        <v>#NAME?</v>
      </c>
      <c r="AA117" s="53" t="e">
        <f ca="1">IF($B117="","",_xll.BDP($A117&amp;" Corp",AA$5))</f>
        <v>#NAME?</v>
      </c>
      <c r="AB117" s="54" t="e">
        <f ca="1">IF($B117="","",_xll.BDP($A117&amp;" Corp",AB$5))</f>
        <v>#NAME?</v>
      </c>
      <c r="AC117" s="54" t="e">
        <f ca="1">IF($B117="","",_xll.BDP($A117&amp;" Corp",AC$5))</f>
        <v>#NAME?</v>
      </c>
      <c r="AD117" s="55" t="e">
        <f ca="1">IF($B117="","",_xll.BDP($A117&amp;" Corp",AD$5))</f>
        <v>#NAME?</v>
      </c>
      <c r="AE117" s="56" t="e">
        <f ca="1">IF($B117="","",_xll.BDP($A117&amp;" Corp",AE$5))</f>
        <v>#NAME?</v>
      </c>
      <c r="AF117" s="29" t="e">
        <f ca="1">IF($B117="","",_xll.BDP($A117&amp;" Corp",AF$5))</f>
        <v>#NAME?</v>
      </c>
      <c r="AG117" s="33" t="e">
        <f ca="1">IF($B117="","",_xll.BDP($A117&amp;" Corp",AG$5))</f>
        <v>#NAME?</v>
      </c>
      <c r="AH117" s="30" t="e">
        <f ca="1">IF($B117="","",_xll.BDP($A117&amp;" Corp",AH$5))</f>
        <v>#NAME?</v>
      </c>
      <c r="AI117" s="30" t="e">
        <f ca="1">IF($B117="","",_xll.BDP($A117&amp;" Corp",AI$5))</f>
        <v>#NAME?</v>
      </c>
      <c r="AJ117" s="30" t="e">
        <f ca="1">IF($B117="","",_xll.BDP($A117&amp;" Corp",AJ$5))</f>
        <v>#NAME?</v>
      </c>
      <c r="AK117" s="11" t="e">
        <f ca="1">IF($B117="","",_xll.BDP($A117&amp;" Corp",AK$5))</f>
        <v>#NAME?</v>
      </c>
      <c r="AL117" s="11" t="e">
        <f ca="1">IF($B117="","",_xll.BDP($A117&amp;" Corp",AL$5))</f>
        <v>#NAME?</v>
      </c>
      <c r="AM117" s="11">
        <v>3</v>
      </c>
      <c r="AN117" s="57">
        <v>2</v>
      </c>
    </row>
    <row r="118" spans="1:40" x14ac:dyDescent="0.3">
      <c r="A118" s="67" t="s">
        <v>562</v>
      </c>
      <c r="B118" s="68" t="s">
        <v>562</v>
      </c>
      <c r="C118" s="75">
        <v>9577</v>
      </c>
      <c r="D118" s="75">
        <v>128</v>
      </c>
      <c r="E118" s="75">
        <v>100000</v>
      </c>
      <c r="F118" s="69">
        <v>7.8148159999999994E-2</v>
      </c>
      <c r="G118" s="70">
        <v>104815</v>
      </c>
      <c r="H118" s="67">
        <v>100000</v>
      </c>
      <c r="I118" s="67">
        <v>7.8148159999999994E-2</v>
      </c>
      <c r="J118" s="67">
        <v>104815</v>
      </c>
      <c r="K118" s="71">
        <v>104.815</v>
      </c>
      <c r="L118" s="29" t="e">
        <f ca="1">IF(B118="","",_xll.BDP(A118&amp;" Corp","INTERVAL_HIGH","START_DATE_OVERRIDE",TEXT($L$3,"AAAAMMDD"),"END_DATE_OVERRIDE",TEXT($L$4,"AAAAMMDD"),"MARKET_DATA_OVERRIDE",$L$5))</f>
        <v>#NAME?</v>
      </c>
      <c r="M118" s="30" t="e">
        <f ca="1">IF(B118="","",_xll.BDP($A118&amp;" Corp","INTERVAL_LOW","START_DATE_OVERRIDE",TEXT($L$3,"AAAAMMDD"),"END_DATE_OVERRIDE",TEXT($L$4,"AAAAMMDD"),"MARKET_DATA_OVERRIDE",$L$5))</f>
        <v>#NAME?</v>
      </c>
      <c r="N118" s="31" t="s">
        <v>881</v>
      </c>
      <c r="O118" s="32" t="e">
        <f ca="1">IF($B118="","",_xll.BDP($A118&amp;" Corp",O$6))</f>
        <v>#NAME?</v>
      </c>
      <c r="P118" s="32" t="e">
        <f ca="1">IF($B118="","",_xll.BDP($A118&amp;" Corp",P$6))</f>
        <v>#NAME?</v>
      </c>
      <c r="Q118" s="30" t="e">
        <f ca="1">IF($B118="","",_xll.BDP($A118&amp;" Corp",Q$5))</f>
        <v>#NAME?</v>
      </c>
      <c r="R118" s="30" t="e">
        <f ca="1">IF($B118="","",_xll.BDP($A118&amp;" Corp",R$5))</f>
        <v>#NAME?</v>
      </c>
      <c r="S118" s="50" t="e">
        <f ca="1">IF($B118="","",_xll.BDP($A118&amp;" Corp",S$5))</f>
        <v>#NAME?</v>
      </c>
      <c r="T118" s="30" t="e">
        <f ca="1">IF($B118="","",_xll.BDP($A118&amp;" Corp",T$5))</f>
        <v>#NAME?</v>
      </c>
      <c r="U118" s="30" t="e">
        <f ca="1">IF($B118="","",_xll.BDP($A118&amp;" Corp",U$5))</f>
        <v>#NAME?</v>
      </c>
      <c r="V118" s="51" t="e">
        <f ca="1">IF($B118="","",IF($T118="VARIABLE",_xll.BDP($A118&amp;" Corp",V$4),_xll.BDP($A118&amp;" Corp",V$5)))</f>
        <v>#NAME?</v>
      </c>
      <c r="W118" s="30" t="e">
        <f ca="1">IF($B118="","",IF($T118="VARIABLE",_xll.BDP($A118&amp;" Corp",W$4),_xll.BDP($A118&amp;" Corp",W$5)))</f>
        <v>#NAME?</v>
      </c>
      <c r="X118" s="30" t="e">
        <f ca="1">IF($B118="","",_xll.BDP($A118&amp;" Corp",X$5))</f>
        <v>#NAME?</v>
      </c>
      <c r="Y118" s="33" t="e">
        <f ca="1">IF($B118="","",_xll.BDP($A118&amp;" Corp",Y$5))</f>
        <v>#NAME?</v>
      </c>
      <c r="Z118" s="52" t="e">
        <f ca="1">IF($B118="","",_xll.BDP($A118&amp;" Corp",Z$5))</f>
        <v>#NAME?</v>
      </c>
      <c r="AA118" s="53" t="e">
        <f ca="1">IF($B118="","",_xll.BDP($A118&amp;" Corp",AA$5))</f>
        <v>#NAME?</v>
      </c>
      <c r="AB118" s="54" t="e">
        <f ca="1">IF($B118="","",_xll.BDP($A118&amp;" Corp",AB$5))</f>
        <v>#NAME?</v>
      </c>
      <c r="AC118" s="54" t="e">
        <f ca="1">IF($B118="","",_xll.BDP($A118&amp;" Corp",AC$5))</f>
        <v>#NAME?</v>
      </c>
      <c r="AD118" s="55" t="e">
        <f ca="1">IF($B118="","",_xll.BDP($A118&amp;" Corp",AD$5))</f>
        <v>#NAME?</v>
      </c>
      <c r="AE118" s="56" t="e">
        <f ca="1">IF($B118="","",_xll.BDP($A118&amp;" Corp",AE$5))</f>
        <v>#NAME?</v>
      </c>
      <c r="AF118" s="29" t="e">
        <f ca="1">IF($B118="","",_xll.BDP($A118&amp;" Corp",AF$5))</f>
        <v>#NAME?</v>
      </c>
      <c r="AG118" s="33" t="e">
        <f ca="1">IF($B118="","",_xll.BDP($A118&amp;" Corp",AG$5))</f>
        <v>#NAME?</v>
      </c>
      <c r="AH118" s="30" t="e">
        <f ca="1">IF($B118="","",_xll.BDP($A118&amp;" Corp",AH$5))</f>
        <v>#NAME?</v>
      </c>
      <c r="AI118" s="30" t="e">
        <f ca="1">IF($B118="","",_xll.BDP($A118&amp;" Corp",AI$5))</f>
        <v>#NAME?</v>
      </c>
      <c r="AJ118" s="30" t="e">
        <f ca="1">IF($B118="","",_xll.BDP($A118&amp;" Corp",AJ$5))</f>
        <v>#NAME?</v>
      </c>
      <c r="AK118" s="11" t="e">
        <f ca="1">IF($B118="","",_xll.BDP($A118&amp;" Corp",AK$5))</f>
        <v>#NAME?</v>
      </c>
      <c r="AL118" s="11" t="e">
        <f ca="1">IF($B118="","",_xll.BDP($A118&amp;" Corp",AL$5))</f>
        <v>#NAME?</v>
      </c>
      <c r="AM118" s="11">
        <v>2</v>
      </c>
      <c r="AN118" s="57">
        <v>2</v>
      </c>
    </row>
    <row r="119" spans="1:40" x14ac:dyDescent="0.3">
      <c r="A119" s="67" t="s">
        <v>338</v>
      </c>
      <c r="B119" s="68" t="s">
        <v>338</v>
      </c>
      <c r="C119" s="75">
        <v>8124</v>
      </c>
      <c r="D119" s="75">
        <v>128</v>
      </c>
      <c r="E119" s="75">
        <v>700000</v>
      </c>
      <c r="F119" s="69">
        <v>0.53570152999999998</v>
      </c>
      <c r="G119" s="70">
        <v>728989</v>
      </c>
      <c r="H119" s="67">
        <v>700000</v>
      </c>
      <c r="I119" s="67">
        <v>0.53570152999999998</v>
      </c>
      <c r="J119" s="67">
        <v>728989</v>
      </c>
      <c r="K119" s="71">
        <v>104.14128571428571</v>
      </c>
      <c r="L119" s="29" t="e">
        <f ca="1">IF(B119="","",_xll.BDP(A119&amp;" Corp","INTERVAL_HIGH","START_DATE_OVERRIDE",TEXT($L$3,"AAAAMMDD"),"END_DATE_OVERRIDE",TEXT($L$4,"AAAAMMDD"),"MARKET_DATA_OVERRIDE",$L$5))</f>
        <v>#NAME?</v>
      </c>
      <c r="M119" s="30" t="e">
        <f ca="1">IF(B119="","",_xll.BDP($A119&amp;" Corp","INTERVAL_LOW","START_DATE_OVERRIDE",TEXT($L$3,"AAAAMMDD"),"END_DATE_OVERRIDE",TEXT($L$4,"AAAAMMDD"),"MARKET_DATA_OVERRIDE",$L$5))</f>
        <v>#NAME?</v>
      </c>
      <c r="N119" s="31" t="s">
        <v>882</v>
      </c>
      <c r="O119" s="32" t="e">
        <f ca="1">IF($B119="","",_xll.BDP($A119&amp;" Corp",O$6))</f>
        <v>#NAME?</v>
      </c>
      <c r="P119" s="32" t="e">
        <f ca="1">IF($B119="","",_xll.BDP($A119&amp;" Corp",P$6))</f>
        <v>#NAME?</v>
      </c>
      <c r="Q119" s="30" t="e">
        <f ca="1">IF($B119="","",_xll.BDP($A119&amp;" Corp",Q$5))</f>
        <v>#NAME?</v>
      </c>
      <c r="R119" s="30" t="e">
        <f ca="1">IF($B119="","",_xll.BDP($A119&amp;" Corp",R$5))</f>
        <v>#NAME?</v>
      </c>
      <c r="S119" s="50" t="e">
        <f ca="1">IF($B119="","",_xll.BDP($A119&amp;" Corp",S$5))</f>
        <v>#NAME?</v>
      </c>
      <c r="T119" s="30" t="e">
        <f ca="1">IF($B119="","",_xll.BDP($A119&amp;" Corp",T$5))</f>
        <v>#NAME?</v>
      </c>
      <c r="U119" s="30" t="e">
        <f ca="1">IF($B119="","",_xll.BDP($A119&amp;" Corp",U$5))</f>
        <v>#NAME?</v>
      </c>
      <c r="V119" s="51" t="e">
        <f ca="1">IF($B119="","",IF($T119="VARIABLE",_xll.BDP($A119&amp;" Corp",V$4),_xll.BDP($A119&amp;" Corp",V$5)))</f>
        <v>#NAME?</v>
      </c>
      <c r="W119" s="30" t="e">
        <f ca="1">IF($B119="","",IF($T119="VARIABLE",_xll.BDP($A119&amp;" Corp",W$4),_xll.BDP($A119&amp;" Corp",W$5)))</f>
        <v>#NAME?</v>
      </c>
      <c r="X119" s="30" t="e">
        <f ca="1">IF($B119="","",_xll.BDP($A119&amp;" Corp",X$5))</f>
        <v>#NAME?</v>
      </c>
      <c r="Y119" s="33" t="e">
        <f ca="1">IF($B119="","",_xll.BDP($A119&amp;" Corp",Y$5))</f>
        <v>#NAME?</v>
      </c>
      <c r="Z119" s="52" t="e">
        <f ca="1">IF($B119="","",_xll.BDP($A119&amp;" Corp",Z$5))</f>
        <v>#NAME?</v>
      </c>
      <c r="AA119" s="53" t="e">
        <f ca="1">IF($B119="","",_xll.BDP($A119&amp;" Corp",AA$5))</f>
        <v>#NAME?</v>
      </c>
      <c r="AB119" s="54" t="e">
        <f ca="1">IF($B119="","",_xll.BDP($A119&amp;" Corp",AB$5))</f>
        <v>#NAME?</v>
      </c>
      <c r="AC119" s="54" t="e">
        <f ca="1">IF($B119="","",_xll.BDP($A119&amp;" Corp",AC$5))</f>
        <v>#NAME?</v>
      </c>
      <c r="AD119" s="55" t="e">
        <f ca="1">IF($B119="","",_xll.BDP($A119&amp;" Corp",AD$5))</f>
        <v>#NAME?</v>
      </c>
      <c r="AE119" s="56" t="e">
        <f ca="1">IF($B119="","",_xll.BDP($A119&amp;" Corp",AE$5))</f>
        <v>#NAME?</v>
      </c>
      <c r="AF119" s="29" t="e">
        <f ca="1">IF($B119="","",_xll.BDP($A119&amp;" Corp",AF$5))</f>
        <v>#NAME?</v>
      </c>
      <c r="AG119" s="33" t="e">
        <f ca="1">IF($B119="","",_xll.BDP($A119&amp;" Corp",AG$5))</f>
        <v>#NAME?</v>
      </c>
      <c r="AH119" s="30" t="e">
        <f ca="1">IF($B119="","",_xll.BDP($A119&amp;" Corp",AH$5))</f>
        <v>#NAME?</v>
      </c>
      <c r="AI119" s="30" t="e">
        <f ca="1">IF($B119="","",_xll.BDP($A119&amp;" Corp",AI$5))</f>
        <v>#NAME?</v>
      </c>
      <c r="AJ119" s="30" t="e">
        <f ca="1">IF($B119="","",_xll.BDP($A119&amp;" Corp",AJ$5))</f>
        <v>#NAME?</v>
      </c>
      <c r="AK119" s="11" t="e">
        <f ca="1">IF($B119="","",_xll.BDP($A119&amp;" Corp",AK$5))</f>
        <v>#NAME?</v>
      </c>
      <c r="AL119" s="11" t="e">
        <f ca="1">IF($B119="","",_xll.BDP($A119&amp;" Corp",AL$5))</f>
        <v>#NAME?</v>
      </c>
      <c r="AM119" s="11">
        <v>3</v>
      </c>
      <c r="AN119" s="57">
        <v>2</v>
      </c>
    </row>
    <row r="120" spans="1:40" x14ac:dyDescent="0.3">
      <c r="A120" s="67" t="s">
        <v>441</v>
      </c>
      <c r="B120" s="68" t="s">
        <v>441</v>
      </c>
      <c r="C120" s="75">
        <v>8275</v>
      </c>
      <c r="D120" s="75">
        <v>128</v>
      </c>
      <c r="E120" s="75">
        <v>300000</v>
      </c>
      <c r="F120" s="69">
        <v>0.22629679</v>
      </c>
      <c r="G120" s="70">
        <v>301917</v>
      </c>
      <c r="H120" s="67">
        <v>300000</v>
      </c>
      <c r="I120" s="67">
        <v>0.22629679</v>
      </c>
      <c r="J120" s="67">
        <v>301917</v>
      </c>
      <c r="K120" s="71">
        <v>100.639</v>
      </c>
      <c r="L120" s="29" t="e">
        <f ca="1">IF(B120="","",_xll.BDP(A120&amp;" Corp","INTERVAL_HIGH","START_DATE_OVERRIDE",TEXT($L$3,"AAAAMMDD"),"END_DATE_OVERRIDE",TEXT($L$4,"AAAAMMDD"),"MARKET_DATA_OVERRIDE",$L$5))</f>
        <v>#NAME?</v>
      </c>
      <c r="M120" s="30" t="e">
        <f ca="1">IF(B120="","",_xll.BDP($A120&amp;" Corp","INTERVAL_LOW","START_DATE_OVERRIDE",TEXT($L$3,"AAAAMMDD"),"END_DATE_OVERRIDE",TEXT($L$4,"AAAAMMDD"),"MARKET_DATA_OVERRIDE",$L$5))</f>
        <v>#NAME?</v>
      </c>
      <c r="N120" s="31" t="s">
        <v>883</v>
      </c>
      <c r="O120" s="32" t="e">
        <f ca="1">IF($B120="","",_xll.BDP($A120&amp;" Corp",O$6))</f>
        <v>#NAME?</v>
      </c>
      <c r="P120" s="32" t="e">
        <f ca="1">IF($B120="","",_xll.BDP($A120&amp;" Corp",P$6))</f>
        <v>#NAME?</v>
      </c>
      <c r="Q120" s="30" t="e">
        <f ca="1">IF($B120="","",_xll.BDP($A120&amp;" Corp",Q$5))</f>
        <v>#NAME?</v>
      </c>
      <c r="R120" s="30" t="e">
        <f ca="1">IF($B120="","",_xll.BDP($A120&amp;" Corp",R$5))</f>
        <v>#NAME?</v>
      </c>
      <c r="S120" s="50" t="e">
        <f ca="1">IF($B120="","",_xll.BDP($A120&amp;" Corp",S$5))</f>
        <v>#NAME?</v>
      </c>
      <c r="T120" s="30" t="e">
        <f ca="1">IF($B120="","",_xll.BDP($A120&amp;" Corp",T$5))</f>
        <v>#NAME?</v>
      </c>
      <c r="U120" s="30" t="e">
        <f ca="1">IF($B120="","",_xll.BDP($A120&amp;" Corp",U$5))</f>
        <v>#NAME?</v>
      </c>
      <c r="V120" s="51" t="e">
        <f ca="1">IF($B120="","",IF($T120="VARIABLE",_xll.BDP($A120&amp;" Corp",V$4),_xll.BDP($A120&amp;" Corp",V$5)))</f>
        <v>#NAME?</v>
      </c>
      <c r="W120" s="30" t="e">
        <f ca="1">IF($B120="","",IF($T120="VARIABLE",_xll.BDP($A120&amp;" Corp",W$4),_xll.BDP($A120&amp;" Corp",W$5)))</f>
        <v>#NAME?</v>
      </c>
      <c r="X120" s="30" t="e">
        <f ca="1">IF($B120="","",_xll.BDP($A120&amp;" Corp",X$5))</f>
        <v>#NAME?</v>
      </c>
      <c r="Y120" s="33" t="e">
        <f ca="1">IF($B120="","",_xll.BDP($A120&amp;" Corp",Y$5))</f>
        <v>#NAME?</v>
      </c>
      <c r="Z120" s="52" t="e">
        <f ca="1">IF($B120="","",_xll.BDP($A120&amp;" Corp",Z$5))</f>
        <v>#NAME?</v>
      </c>
      <c r="AA120" s="53" t="e">
        <f ca="1">IF($B120="","",_xll.BDP($A120&amp;" Corp",AA$5))</f>
        <v>#NAME?</v>
      </c>
      <c r="AB120" s="54" t="e">
        <f ca="1">IF($B120="","",_xll.BDP($A120&amp;" Corp",AB$5))</f>
        <v>#NAME?</v>
      </c>
      <c r="AC120" s="54" t="e">
        <f ca="1">IF($B120="","",_xll.BDP($A120&amp;" Corp",AC$5))</f>
        <v>#NAME?</v>
      </c>
      <c r="AD120" s="55" t="e">
        <f ca="1">IF($B120="","",_xll.BDP($A120&amp;" Corp",AD$5))</f>
        <v>#NAME?</v>
      </c>
      <c r="AE120" s="56" t="e">
        <f ca="1">IF($B120="","",_xll.BDP($A120&amp;" Corp",AE$5))</f>
        <v>#NAME?</v>
      </c>
      <c r="AF120" s="29" t="e">
        <f ca="1">IF($B120="","",_xll.BDP($A120&amp;" Corp",AF$5))</f>
        <v>#NAME?</v>
      </c>
      <c r="AG120" s="33" t="e">
        <f ca="1">IF($B120="","",_xll.BDP($A120&amp;" Corp",AG$5))</f>
        <v>#NAME?</v>
      </c>
      <c r="AH120" s="30" t="e">
        <f ca="1">IF($B120="","",_xll.BDP($A120&amp;" Corp",AH$5))</f>
        <v>#NAME?</v>
      </c>
      <c r="AI120" s="30" t="e">
        <f ca="1">IF($B120="","",_xll.BDP($A120&amp;" Corp",AI$5))</f>
        <v>#NAME?</v>
      </c>
      <c r="AJ120" s="30" t="e">
        <f ca="1">IF($B120="","",_xll.BDP($A120&amp;" Corp",AJ$5))</f>
        <v>#NAME?</v>
      </c>
      <c r="AK120" s="11" t="e">
        <f ca="1">IF($B120="","",_xll.BDP($A120&amp;" Corp",AK$5))</f>
        <v>#NAME?</v>
      </c>
      <c r="AL120" s="11" t="e">
        <f ca="1">IF($B120="","",_xll.BDP($A120&amp;" Corp",AL$5))</f>
        <v>#NAME?</v>
      </c>
      <c r="AM120" s="11">
        <v>4</v>
      </c>
      <c r="AN120" s="57">
        <v>4</v>
      </c>
    </row>
    <row r="121" spans="1:40" x14ac:dyDescent="0.3">
      <c r="A121" s="67" t="s">
        <v>443</v>
      </c>
      <c r="B121" s="68" t="s">
        <v>443</v>
      </c>
      <c r="C121" s="75">
        <v>9386</v>
      </c>
      <c r="D121" s="75">
        <v>128</v>
      </c>
      <c r="E121" s="75">
        <v>200000</v>
      </c>
      <c r="F121" s="69">
        <v>0.12551707000000001</v>
      </c>
      <c r="G121" s="70">
        <v>216968</v>
      </c>
      <c r="H121" s="67">
        <v>200000</v>
      </c>
      <c r="I121" s="67">
        <v>0.12551707000000001</v>
      </c>
      <c r="J121" s="67">
        <v>216968</v>
      </c>
      <c r="K121" s="71">
        <v>108.48399999999999</v>
      </c>
      <c r="L121" s="29" t="e">
        <f ca="1">IF(B121="","",_xll.BDP(A121&amp;" Corp","INTERVAL_HIGH","START_DATE_OVERRIDE",TEXT($L$3,"AAAAMMDD"),"END_DATE_OVERRIDE",TEXT($L$4,"AAAAMMDD"),"MARKET_DATA_OVERRIDE",$L$5))</f>
        <v>#NAME?</v>
      </c>
      <c r="M121" s="30" t="e">
        <f ca="1">IF(B121="","",_xll.BDP($A121&amp;" Corp","INTERVAL_LOW","START_DATE_OVERRIDE",TEXT($L$3,"AAAAMMDD"),"END_DATE_OVERRIDE",TEXT($L$4,"AAAAMMDD"),"MARKET_DATA_OVERRIDE",$L$5))</f>
        <v>#NAME?</v>
      </c>
      <c r="N121" s="31" t="s">
        <v>884</v>
      </c>
      <c r="O121" s="32" t="e">
        <f ca="1">IF($B121="","",_xll.BDP($A121&amp;" Corp",O$6))</f>
        <v>#NAME?</v>
      </c>
      <c r="P121" s="32" t="e">
        <f ca="1">IF($B121="","",_xll.BDP($A121&amp;" Corp",P$6))</f>
        <v>#NAME?</v>
      </c>
      <c r="Q121" s="30" t="e">
        <f ca="1">IF($B121="","",_xll.BDP($A121&amp;" Corp",Q$5))</f>
        <v>#NAME?</v>
      </c>
      <c r="R121" s="30" t="e">
        <f ca="1">IF($B121="","",_xll.BDP($A121&amp;" Corp",R$5))</f>
        <v>#NAME?</v>
      </c>
      <c r="S121" s="50" t="e">
        <f ca="1">IF($B121="","",_xll.BDP($A121&amp;" Corp",S$5))</f>
        <v>#NAME?</v>
      </c>
      <c r="T121" s="30" t="e">
        <f ca="1">IF($B121="","",_xll.BDP($A121&amp;" Corp",T$5))</f>
        <v>#NAME?</v>
      </c>
      <c r="U121" s="30" t="e">
        <f ca="1">IF($B121="","",_xll.BDP($A121&amp;" Corp",U$5))</f>
        <v>#NAME?</v>
      </c>
      <c r="V121" s="51" t="e">
        <f ca="1">IF($B121="","",IF($T121="VARIABLE",_xll.BDP($A121&amp;" Corp",V$4),_xll.BDP($A121&amp;" Corp",V$5)))</f>
        <v>#NAME?</v>
      </c>
      <c r="W121" s="30" t="e">
        <f ca="1">IF($B121="","",IF($T121="VARIABLE",_xll.BDP($A121&amp;" Corp",W$4),_xll.BDP($A121&amp;" Corp",W$5)))</f>
        <v>#NAME?</v>
      </c>
      <c r="X121" s="30" t="e">
        <f ca="1">IF($B121="","",_xll.BDP($A121&amp;" Corp",X$5))</f>
        <v>#NAME?</v>
      </c>
      <c r="Y121" s="33" t="e">
        <f ca="1">IF($B121="","",_xll.BDP($A121&amp;" Corp",Y$5))</f>
        <v>#NAME?</v>
      </c>
      <c r="Z121" s="52" t="e">
        <f ca="1">IF($B121="","",_xll.BDP($A121&amp;" Corp",Z$5))</f>
        <v>#NAME?</v>
      </c>
      <c r="AA121" s="53" t="e">
        <f ca="1">IF($B121="","",_xll.BDP($A121&amp;" Corp",AA$5))</f>
        <v>#NAME?</v>
      </c>
      <c r="AB121" s="54" t="e">
        <f ca="1">IF($B121="","",_xll.BDP($A121&amp;" Corp",AB$5))</f>
        <v>#NAME?</v>
      </c>
      <c r="AC121" s="54" t="e">
        <f ca="1">IF($B121="","",_xll.BDP($A121&amp;" Corp",AC$5))</f>
        <v>#NAME?</v>
      </c>
      <c r="AD121" s="55" t="e">
        <f ca="1">IF($B121="","",_xll.BDP($A121&amp;" Corp",AD$5))</f>
        <v>#NAME?</v>
      </c>
      <c r="AE121" s="56" t="e">
        <f ca="1">IF($B121="","",_xll.BDP($A121&amp;" Corp",AE$5))</f>
        <v>#NAME?</v>
      </c>
      <c r="AF121" s="29" t="e">
        <f ca="1">IF($B121="","",_xll.BDP($A121&amp;" Corp",AF$5))</f>
        <v>#NAME?</v>
      </c>
      <c r="AG121" s="33" t="e">
        <f ca="1">IF($B121="","",_xll.BDP($A121&amp;" Corp",AG$5))</f>
        <v>#NAME?</v>
      </c>
      <c r="AH121" s="30" t="e">
        <f ca="1">IF($B121="","",_xll.BDP($A121&amp;" Corp",AH$5))</f>
        <v>#NAME?</v>
      </c>
      <c r="AI121" s="30" t="e">
        <f ca="1">IF($B121="","",_xll.BDP($A121&amp;" Corp",AI$5))</f>
        <v>#NAME?</v>
      </c>
      <c r="AJ121" s="30" t="e">
        <f ca="1">IF($B121="","",_xll.BDP($A121&amp;" Corp",AJ$5))</f>
        <v>#NAME?</v>
      </c>
      <c r="AK121" s="11" t="e">
        <f ca="1">IF($B121="","",_xll.BDP($A121&amp;" Corp",AK$5))</f>
        <v>#NAME?</v>
      </c>
      <c r="AL121" s="11" t="e">
        <f ca="1">IF($B121="","",_xll.BDP($A121&amp;" Corp",AL$5))</f>
        <v>#NAME?</v>
      </c>
      <c r="AM121" s="11">
        <v>3</v>
      </c>
      <c r="AN121" s="57">
        <v>3</v>
      </c>
    </row>
    <row r="122" spans="1:40" x14ac:dyDescent="0.3">
      <c r="A122" s="67" t="s">
        <v>472</v>
      </c>
      <c r="B122" s="68" t="s">
        <v>472</v>
      </c>
      <c r="C122" s="75">
        <v>8349</v>
      </c>
      <c r="D122" s="75">
        <v>128</v>
      </c>
      <c r="E122" s="75">
        <v>1000000</v>
      </c>
      <c r="F122" s="69">
        <v>0.31925376999999999</v>
      </c>
      <c r="G122" s="70">
        <v>944701</v>
      </c>
      <c r="H122" s="67">
        <v>1000000</v>
      </c>
      <c r="I122" s="67">
        <v>0.31925376999999999</v>
      </c>
      <c r="J122" s="67">
        <v>944701</v>
      </c>
      <c r="K122" s="71">
        <v>94.470100000000002</v>
      </c>
      <c r="L122" s="29" t="e">
        <f ca="1">IF(B122="","",_xll.BDP(A122&amp;" Corp","INTERVAL_HIGH","START_DATE_OVERRIDE",TEXT($L$3,"AAAAMMDD"),"END_DATE_OVERRIDE",TEXT($L$4,"AAAAMMDD"),"MARKET_DATA_OVERRIDE",$L$5))</f>
        <v>#NAME?</v>
      </c>
      <c r="M122" s="30" t="e">
        <f ca="1">IF(B122="","",_xll.BDP($A122&amp;" Corp","INTERVAL_LOW","START_DATE_OVERRIDE",TEXT($L$3,"AAAAMMDD"),"END_DATE_OVERRIDE",TEXT($L$4,"AAAAMMDD"),"MARKET_DATA_OVERRIDE",$L$5))</f>
        <v>#NAME?</v>
      </c>
      <c r="N122" s="31" t="s">
        <v>885</v>
      </c>
      <c r="O122" s="32" t="e">
        <f ca="1">IF($B122="","",_xll.BDP($A122&amp;" Corp",O$6))</f>
        <v>#NAME?</v>
      </c>
      <c r="P122" s="32" t="e">
        <f ca="1">IF($B122="","",_xll.BDP($A122&amp;" Corp",P$6))</f>
        <v>#NAME?</v>
      </c>
      <c r="Q122" s="30" t="e">
        <f ca="1">IF($B122="","",_xll.BDP($A122&amp;" Corp",Q$5))</f>
        <v>#NAME?</v>
      </c>
      <c r="R122" s="30" t="e">
        <f ca="1">IF($B122="","",_xll.BDP($A122&amp;" Corp",R$5))</f>
        <v>#NAME?</v>
      </c>
      <c r="S122" s="50" t="e">
        <f ca="1">IF($B122="","",_xll.BDP($A122&amp;" Corp",S$5))</f>
        <v>#NAME?</v>
      </c>
      <c r="T122" s="30" t="e">
        <f ca="1">IF($B122="","",_xll.BDP($A122&amp;" Corp",T$5))</f>
        <v>#NAME?</v>
      </c>
      <c r="U122" s="30" t="e">
        <f ca="1">IF($B122="","",_xll.BDP($A122&amp;" Corp",U$5))</f>
        <v>#NAME?</v>
      </c>
      <c r="V122" s="51" t="e">
        <f ca="1">IF($B122="","",IF($T122="VARIABLE",_xll.BDP($A122&amp;" Corp",V$4),_xll.BDP($A122&amp;" Corp",V$5)))</f>
        <v>#NAME?</v>
      </c>
      <c r="W122" s="30" t="e">
        <f ca="1">IF($B122="","",IF($T122="VARIABLE",_xll.BDP($A122&amp;" Corp",W$4),_xll.BDP($A122&amp;" Corp",W$5)))</f>
        <v>#NAME?</v>
      </c>
      <c r="X122" s="30" t="e">
        <f ca="1">IF($B122="","",_xll.BDP($A122&amp;" Corp",X$5))</f>
        <v>#NAME?</v>
      </c>
      <c r="Y122" s="33" t="e">
        <f ca="1">IF($B122="","",_xll.BDP($A122&amp;" Corp",Y$5))</f>
        <v>#NAME?</v>
      </c>
      <c r="Z122" s="52" t="e">
        <f ca="1">IF($B122="","",_xll.BDP($A122&amp;" Corp",Z$5))</f>
        <v>#NAME?</v>
      </c>
      <c r="AA122" s="53" t="e">
        <f ca="1">IF($B122="","",_xll.BDP($A122&amp;" Corp",AA$5))</f>
        <v>#NAME?</v>
      </c>
      <c r="AB122" s="54" t="e">
        <f ca="1">IF($B122="","",_xll.BDP($A122&amp;" Corp",AB$5))</f>
        <v>#NAME?</v>
      </c>
      <c r="AC122" s="54" t="e">
        <f ca="1">IF($B122="","",_xll.BDP($A122&amp;" Corp",AC$5))</f>
        <v>#NAME?</v>
      </c>
      <c r="AD122" s="55" t="e">
        <f ca="1">IF($B122="","",_xll.BDP($A122&amp;" Corp",AD$5))</f>
        <v>#NAME?</v>
      </c>
      <c r="AE122" s="56" t="e">
        <f ca="1">IF($B122="","",_xll.BDP($A122&amp;" Corp",AE$5))</f>
        <v>#NAME?</v>
      </c>
      <c r="AF122" s="29" t="e">
        <f ca="1">IF($B122="","",_xll.BDP($A122&amp;" Corp",AF$5))</f>
        <v>#NAME?</v>
      </c>
      <c r="AG122" s="33" t="e">
        <f ca="1">IF($B122="","",_xll.BDP($A122&amp;" Corp",AG$5))</f>
        <v>#NAME?</v>
      </c>
      <c r="AH122" s="30" t="e">
        <f ca="1">IF($B122="","",_xll.BDP($A122&amp;" Corp",AH$5))</f>
        <v>#NAME?</v>
      </c>
      <c r="AI122" s="30" t="e">
        <f ca="1">IF($B122="","",_xll.BDP($A122&amp;" Corp",AI$5))</f>
        <v>#NAME?</v>
      </c>
      <c r="AJ122" s="30" t="e">
        <f ca="1">IF($B122="","",_xll.BDP($A122&amp;" Corp",AJ$5))</f>
        <v>#NAME?</v>
      </c>
      <c r="AK122" s="11" t="e">
        <f ca="1">IF($B122="","",_xll.BDP($A122&amp;" Corp",AK$5))</f>
        <v>#NAME?</v>
      </c>
      <c r="AL122" s="11" t="e">
        <f ca="1">IF($B122="","",_xll.BDP($A122&amp;" Corp",AL$5))</f>
        <v>#NAME?</v>
      </c>
      <c r="AM122" s="11">
        <v>3</v>
      </c>
      <c r="AN122" s="57">
        <v>3</v>
      </c>
    </row>
    <row r="123" spans="1:40" x14ac:dyDescent="0.3">
      <c r="A123" s="67" t="s">
        <v>306</v>
      </c>
      <c r="B123" s="68" t="s">
        <v>306</v>
      </c>
      <c r="C123" s="75">
        <v>9042</v>
      </c>
      <c r="D123" s="75">
        <v>128</v>
      </c>
      <c r="E123" s="75">
        <v>300000</v>
      </c>
      <c r="F123" s="69">
        <v>0.23260955</v>
      </c>
      <c r="G123" s="70">
        <v>315324</v>
      </c>
      <c r="H123" s="67">
        <v>300000</v>
      </c>
      <c r="I123" s="67">
        <v>0.23260955</v>
      </c>
      <c r="J123" s="67">
        <v>315324</v>
      </c>
      <c r="K123" s="71">
        <v>105.108</v>
      </c>
      <c r="L123" s="29" t="e">
        <f ca="1">IF(B123="","",_xll.BDP(A123&amp;" Corp","INTERVAL_HIGH","START_DATE_OVERRIDE",TEXT($L$3,"AAAAMMDD"),"END_DATE_OVERRIDE",TEXT($L$4,"AAAAMMDD"),"MARKET_DATA_OVERRIDE",$L$5))</f>
        <v>#NAME?</v>
      </c>
      <c r="M123" s="30" t="e">
        <f ca="1">IF(B123="","",_xll.BDP($A123&amp;" Corp","INTERVAL_LOW","START_DATE_OVERRIDE",TEXT($L$3,"AAAAMMDD"),"END_DATE_OVERRIDE",TEXT($L$4,"AAAAMMDD"),"MARKET_DATA_OVERRIDE",$L$5))</f>
        <v>#NAME?</v>
      </c>
      <c r="N123" s="31" t="s">
        <v>886</v>
      </c>
      <c r="O123" s="32" t="e">
        <f ca="1">IF($B123="","",_xll.BDP($A123&amp;" Corp",O$6))</f>
        <v>#NAME?</v>
      </c>
      <c r="P123" s="32" t="e">
        <f ca="1">IF($B123="","",_xll.BDP($A123&amp;" Corp",P$6))</f>
        <v>#NAME?</v>
      </c>
      <c r="Q123" s="30" t="e">
        <f ca="1">IF($B123="","",_xll.BDP($A123&amp;" Corp",Q$5))</f>
        <v>#NAME?</v>
      </c>
      <c r="R123" s="30" t="e">
        <f ca="1">IF($B123="","",_xll.BDP($A123&amp;" Corp",R$5))</f>
        <v>#NAME?</v>
      </c>
      <c r="S123" s="50" t="e">
        <f ca="1">IF($B123="","",_xll.BDP($A123&amp;" Corp",S$5))</f>
        <v>#NAME?</v>
      </c>
      <c r="T123" s="30" t="e">
        <f ca="1">IF($B123="","",_xll.BDP($A123&amp;" Corp",T$5))</f>
        <v>#NAME?</v>
      </c>
      <c r="U123" s="30" t="e">
        <f ca="1">IF($B123="","",_xll.BDP($A123&amp;" Corp",U$5))</f>
        <v>#NAME?</v>
      </c>
      <c r="V123" s="51" t="e">
        <f ca="1">IF($B123="","",IF($T123="VARIABLE",_xll.BDP($A123&amp;" Corp",V$4),_xll.BDP($A123&amp;" Corp",V$5)))</f>
        <v>#NAME?</v>
      </c>
      <c r="W123" s="30" t="e">
        <f ca="1">IF($B123="","",IF($T123="VARIABLE",_xll.BDP($A123&amp;" Corp",W$4),_xll.BDP($A123&amp;" Corp",W$5)))</f>
        <v>#NAME?</v>
      </c>
      <c r="X123" s="30" t="e">
        <f ca="1">IF($B123="","",_xll.BDP($A123&amp;" Corp",X$5))</f>
        <v>#NAME?</v>
      </c>
      <c r="Y123" s="33" t="e">
        <f ca="1">IF($B123="","",_xll.BDP($A123&amp;" Corp",Y$5))</f>
        <v>#NAME?</v>
      </c>
      <c r="Z123" s="52" t="e">
        <f ca="1">IF($B123="","",_xll.BDP($A123&amp;" Corp",Z$5))</f>
        <v>#NAME?</v>
      </c>
      <c r="AA123" s="53" t="e">
        <f ca="1">IF($B123="","",_xll.BDP($A123&amp;" Corp",AA$5))</f>
        <v>#NAME?</v>
      </c>
      <c r="AB123" s="54" t="e">
        <f ca="1">IF($B123="","",_xll.BDP($A123&amp;" Corp",AB$5))</f>
        <v>#NAME?</v>
      </c>
      <c r="AC123" s="54" t="e">
        <f ca="1">IF($B123="","",_xll.BDP($A123&amp;" Corp",AC$5))</f>
        <v>#NAME?</v>
      </c>
      <c r="AD123" s="55" t="e">
        <f ca="1">IF($B123="","",_xll.BDP($A123&amp;" Corp",AD$5))</f>
        <v>#NAME?</v>
      </c>
      <c r="AE123" s="56" t="e">
        <f ca="1">IF($B123="","",_xll.BDP($A123&amp;" Corp",AE$5))</f>
        <v>#NAME?</v>
      </c>
      <c r="AF123" s="29" t="e">
        <f ca="1">IF($B123="","",_xll.BDP($A123&amp;" Corp",AF$5))</f>
        <v>#NAME?</v>
      </c>
      <c r="AG123" s="33" t="e">
        <f ca="1">IF($B123="","",_xll.BDP($A123&amp;" Corp",AG$5))</f>
        <v>#NAME?</v>
      </c>
      <c r="AH123" s="30" t="e">
        <f ca="1">IF($B123="","",_xll.BDP($A123&amp;" Corp",AH$5))</f>
        <v>#NAME?</v>
      </c>
      <c r="AI123" s="30" t="e">
        <f ca="1">IF($B123="","",_xll.BDP($A123&amp;" Corp",AI$5))</f>
        <v>#NAME?</v>
      </c>
      <c r="AJ123" s="30" t="e">
        <f ca="1">IF($B123="","",_xll.BDP($A123&amp;" Corp",AJ$5))</f>
        <v>#NAME?</v>
      </c>
      <c r="AK123" s="11" t="e">
        <f ca="1">IF($B123="","",_xll.BDP($A123&amp;" Corp",AK$5))</f>
        <v>#NAME?</v>
      </c>
      <c r="AL123" s="11" t="e">
        <f ca="1">IF($B123="","",_xll.BDP($A123&amp;" Corp",AL$5))</f>
        <v>#NAME?</v>
      </c>
      <c r="AM123" s="11">
        <v>2</v>
      </c>
      <c r="AN123" s="57">
        <v>2</v>
      </c>
    </row>
    <row r="124" spans="1:40" x14ac:dyDescent="0.3">
      <c r="A124" s="67" t="s">
        <v>454</v>
      </c>
      <c r="B124" s="68" t="s">
        <v>454</v>
      </c>
      <c r="C124" s="75">
        <v>8365</v>
      </c>
      <c r="D124" s="75">
        <v>128</v>
      </c>
      <c r="E124" s="75">
        <v>300000</v>
      </c>
      <c r="F124" s="69">
        <v>0.2259563</v>
      </c>
      <c r="G124" s="70">
        <v>303306</v>
      </c>
      <c r="H124" s="67">
        <v>300000</v>
      </c>
      <c r="I124" s="67">
        <v>0.2259563</v>
      </c>
      <c r="J124" s="67">
        <v>303306</v>
      </c>
      <c r="K124" s="71">
        <v>101.102</v>
      </c>
      <c r="L124" s="29" t="e">
        <f ca="1">IF(B124="","",_xll.BDP(A124&amp;" Corp","INTERVAL_HIGH","START_DATE_OVERRIDE",TEXT($L$3,"AAAAMMDD"),"END_DATE_OVERRIDE",TEXT($L$4,"AAAAMMDD"),"MARKET_DATA_OVERRIDE",$L$5))</f>
        <v>#NAME?</v>
      </c>
      <c r="M124" s="30" t="e">
        <f ca="1">IF(B124="","",_xll.BDP($A124&amp;" Corp","INTERVAL_LOW","START_DATE_OVERRIDE",TEXT($L$3,"AAAAMMDD"),"END_DATE_OVERRIDE",TEXT($L$4,"AAAAMMDD"),"MARKET_DATA_OVERRIDE",$L$5))</f>
        <v>#NAME?</v>
      </c>
      <c r="N124" s="31" t="s">
        <v>887</v>
      </c>
      <c r="O124" s="32" t="e">
        <f ca="1">IF($B124="","",_xll.BDP($A124&amp;" Corp",O$6))</f>
        <v>#NAME?</v>
      </c>
      <c r="P124" s="32" t="e">
        <f ca="1">IF($B124="","",_xll.BDP($A124&amp;" Corp",P$6))</f>
        <v>#NAME?</v>
      </c>
      <c r="Q124" s="30" t="e">
        <f ca="1">IF($B124="","",_xll.BDP($A124&amp;" Corp",Q$5))</f>
        <v>#NAME?</v>
      </c>
      <c r="R124" s="30" t="e">
        <f ca="1">IF($B124="","",_xll.BDP($A124&amp;" Corp",R$5))</f>
        <v>#NAME?</v>
      </c>
      <c r="S124" s="50" t="e">
        <f ca="1">IF($B124="","",_xll.BDP($A124&amp;" Corp",S$5))</f>
        <v>#NAME?</v>
      </c>
      <c r="T124" s="30" t="e">
        <f ca="1">IF($B124="","",_xll.BDP($A124&amp;" Corp",T$5))</f>
        <v>#NAME?</v>
      </c>
      <c r="U124" s="30" t="e">
        <f ca="1">IF($B124="","",_xll.BDP($A124&amp;" Corp",U$5))</f>
        <v>#NAME?</v>
      </c>
      <c r="V124" s="51" t="e">
        <f ca="1">IF($B124="","",IF($T124="VARIABLE",_xll.BDP($A124&amp;" Corp",V$4),_xll.BDP($A124&amp;" Corp",V$5)))</f>
        <v>#NAME?</v>
      </c>
      <c r="W124" s="30" t="e">
        <f ca="1">IF($B124="","",IF($T124="VARIABLE",_xll.BDP($A124&amp;" Corp",W$4),_xll.BDP($A124&amp;" Corp",W$5)))</f>
        <v>#NAME?</v>
      </c>
      <c r="X124" s="30" t="e">
        <f ca="1">IF($B124="","",_xll.BDP($A124&amp;" Corp",X$5))</f>
        <v>#NAME?</v>
      </c>
      <c r="Y124" s="33" t="e">
        <f ca="1">IF($B124="","",_xll.BDP($A124&amp;" Corp",Y$5))</f>
        <v>#NAME?</v>
      </c>
      <c r="Z124" s="52" t="e">
        <f ca="1">IF($B124="","",_xll.BDP($A124&amp;" Corp",Z$5))</f>
        <v>#NAME?</v>
      </c>
      <c r="AA124" s="53" t="e">
        <f ca="1">IF($B124="","",_xll.BDP($A124&amp;" Corp",AA$5))</f>
        <v>#NAME?</v>
      </c>
      <c r="AB124" s="54" t="e">
        <f ca="1">IF($B124="","",_xll.BDP($A124&amp;" Corp",AB$5))</f>
        <v>#NAME?</v>
      </c>
      <c r="AC124" s="54" t="e">
        <f ca="1">IF($B124="","",_xll.BDP($A124&amp;" Corp",AC$5))</f>
        <v>#NAME?</v>
      </c>
      <c r="AD124" s="55" t="e">
        <f ca="1">IF($B124="","",_xll.BDP($A124&amp;" Corp",AD$5))</f>
        <v>#NAME?</v>
      </c>
      <c r="AE124" s="56" t="e">
        <f ca="1">IF($B124="","",_xll.BDP($A124&amp;" Corp",AE$5))</f>
        <v>#NAME?</v>
      </c>
      <c r="AF124" s="29" t="e">
        <f ca="1">IF($B124="","",_xll.BDP($A124&amp;" Corp",AF$5))</f>
        <v>#NAME?</v>
      </c>
      <c r="AG124" s="33" t="e">
        <f ca="1">IF($B124="","",_xll.BDP($A124&amp;" Corp",AG$5))</f>
        <v>#NAME?</v>
      </c>
      <c r="AH124" s="30" t="e">
        <f ca="1">IF($B124="","",_xll.BDP($A124&amp;" Corp",AH$5))</f>
        <v>#NAME?</v>
      </c>
      <c r="AI124" s="30" t="e">
        <f ca="1">IF($B124="","",_xll.BDP($A124&amp;" Corp",AI$5))</f>
        <v>#NAME?</v>
      </c>
      <c r="AJ124" s="30" t="e">
        <f ca="1">IF($B124="","",_xll.BDP($A124&amp;" Corp",AJ$5))</f>
        <v>#NAME?</v>
      </c>
      <c r="AK124" s="11" t="e">
        <f ca="1">IF($B124="","",_xll.BDP($A124&amp;" Corp",AK$5))</f>
        <v>#NAME?</v>
      </c>
      <c r="AL124" s="11" t="e">
        <f ca="1">IF($B124="","",_xll.BDP($A124&amp;" Corp",AL$5))</f>
        <v>#NAME?</v>
      </c>
      <c r="AM124" s="11">
        <v>7</v>
      </c>
      <c r="AN124" s="57">
        <v>7</v>
      </c>
    </row>
    <row r="125" spans="1:40" x14ac:dyDescent="0.3">
      <c r="A125" s="67" t="s">
        <v>474</v>
      </c>
      <c r="B125" s="68" t="s">
        <v>474</v>
      </c>
      <c r="C125" s="75">
        <v>9076</v>
      </c>
      <c r="D125" s="75">
        <v>128</v>
      </c>
      <c r="E125" s="75">
        <v>400000</v>
      </c>
      <c r="F125" s="69">
        <v>0.30114341999999999</v>
      </c>
      <c r="G125" s="70">
        <v>425848</v>
      </c>
      <c r="H125" s="67">
        <v>400000</v>
      </c>
      <c r="I125" s="67">
        <v>0.30114341999999999</v>
      </c>
      <c r="J125" s="67">
        <v>425848</v>
      </c>
      <c r="K125" s="71">
        <v>106.462</v>
      </c>
      <c r="L125" s="29" t="e">
        <f ca="1">IF(B125="","",_xll.BDP(A125&amp;" Corp","INTERVAL_HIGH","START_DATE_OVERRIDE",TEXT($L$3,"AAAAMMDD"),"END_DATE_OVERRIDE",TEXT($L$4,"AAAAMMDD"),"MARKET_DATA_OVERRIDE",$L$5))</f>
        <v>#NAME?</v>
      </c>
      <c r="M125" s="30" t="e">
        <f ca="1">IF(B125="","",_xll.BDP($A125&amp;" Corp","INTERVAL_LOW","START_DATE_OVERRIDE",TEXT($L$3,"AAAAMMDD"),"END_DATE_OVERRIDE",TEXT($L$4,"AAAAMMDD"),"MARKET_DATA_OVERRIDE",$L$5))</f>
        <v>#NAME?</v>
      </c>
      <c r="N125" s="31" t="s">
        <v>888</v>
      </c>
      <c r="O125" s="32" t="e">
        <f ca="1">IF($B125="","",_xll.BDP($A125&amp;" Corp",O$6))</f>
        <v>#NAME?</v>
      </c>
      <c r="P125" s="32" t="e">
        <f ca="1">IF($B125="","",_xll.BDP($A125&amp;" Corp",P$6))</f>
        <v>#NAME?</v>
      </c>
      <c r="Q125" s="30" t="e">
        <f ca="1">IF($B125="","",_xll.BDP($A125&amp;" Corp",Q$5))</f>
        <v>#NAME?</v>
      </c>
      <c r="R125" s="30" t="e">
        <f ca="1">IF($B125="","",_xll.BDP($A125&amp;" Corp",R$5))</f>
        <v>#NAME?</v>
      </c>
      <c r="S125" s="50" t="e">
        <f ca="1">IF($B125="","",_xll.BDP($A125&amp;" Corp",S$5))</f>
        <v>#NAME?</v>
      </c>
      <c r="T125" s="30" t="e">
        <f ca="1">IF($B125="","",_xll.BDP($A125&amp;" Corp",T$5))</f>
        <v>#NAME?</v>
      </c>
      <c r="U125" s="30" t="e">
        <f ca="1">IF($B125="","",_xll.BDP($A125&amp;" Corp",U$5))</f>
        <v>#NAME?</v>
      </c>
      <c r="V125" s="51" t="e">
        <f ca="1">IF($B125="","",IF($T125="VARIABLE",_xll.BDP($A125&amp;" Corp",V$4),_xll.BDP($A125&amp;" Corp",V$5)))</f>
        <v>#NAME?</v>
      </c>
      <c r="W125" s="30" t="e">
        <f ca="1">IF($B125="","",IF($T125="VARIABLE",_xll.BDP($A125&amp;" Corp",W$4),_xll.BDP($A125&amp;" Corp",W$5)))</f>
        <v>#NAME?</v>
      </c>
      <c r="X125" s="30" t="e">
        <f ca="1">IF($B125="","",_xll.BDP($A125&amp;" Corp",X$5))</f>
        <v>#NAME?</v>
      </c>
      <c r="Y125" s="33" t="e">
        <f ca="1">IF($B125="","",_xll.BDP($A125&amp;" Corp",Y$5))</f>
        <v>#NAME?</v>
      </c>
      <c r="Z125" s="52" t="e">
        <f ca="1">IF($B125="","",_xll.BDP($A125&amp;" Corp",Z$5))</f>
        <v>#NAME?</v>
      </c>
      <c r="AA125" s="53" t="e">
        <f ca="1">IF($B125="","",_xll.BDP($A125&amp;" Corp",AA$5))</f>
        <v>#NAME?</v>
      </c>
      <c r="AB125" s="54" t="e">
        <f ca="1">IF($B125="","",_xll.BDP($A125&amp;" Corp",AB$5))</f>
        <v>#NAME?</v>
      </c>
      <c r="AC125" s="54" t="e">
        <f ca="1">IF($B125="","",_xll.BDP($A125&amp;" Corp",AC$5))</f>
        <v>#NAME?</v>
      </c>
      <c r="AD125" s="55" t="e">
        <f ca="1">IF($B125="","",_xll.BDP($A125&amp;" Corp",AD$5))</f>
        <v>#NAME?</v>
      </c>
      <c r="AE125" s="56" t="e">
        <f ca="1">IF($B125="","",_xll.BDP($A125&amp;" Corp",AE$5))</f>
        <v>#NAME?</v>
      </c>
      <c r="AF125" s="29" t="e">
        <f ca="1">IF($B125="","",_xll.BDP($A125&amp;" Corp",AF$5))</f>
        <v>#NAME?</v>
      </c>
      <c r="AG125" s="33" t="e">
        <f ca="1">IF($B125="","",_xll.BDP($A125&amp;" Corp",AG$5))</f>
        <v>#NAME?</v>
      </c>
      <c r="AH125" s="30" t="e">
        <f ca="1">IF($B125="","",_xll.BDP($A125&amp;" Corp",AH$5))</f>
        <v>#NAME?</v>
      </c>
      <c r="AI125" s="30" t="e">
        <f ca="1">IF($B125="","",_xll.BDP($A125&amp;" Corp",AI$5))</f>
        <v>#NAME?</v>
      </c>
      <c r="AJ125" s="30" t="e">
        <f ca="1">IF($B125="","",_xll.BDP($A125&amp;" Corp",AJ$5))</f>
        <v>#NAME?</v>
      </c>
      <c r="AK125" s="11" t="e">
        <f ca="1">IF($B125="","",_xll.BDP($A125&amp;" Corp",AK$5))</f>
        <v>#NAME?</v>
      </c>
      <c r="AL125" s="11" t="e">
        <f ca="1">IF($B125="","",_xll.BDP($A125&amp;" Corp",AL$5))</f>
        <v>#NAME?</v>
      </c>
      <c r="AM125" s="11">
        <v>3</v>
      </c>
      <c r="AN125" s="57">
        <v>2</v>
      </c>
    </row>
    <row r="126" spans="1:40" x14ac:dyDescent="0.3">
      <c r="A126" s="67" t="s">
        <v>254</v>
      </c>
      <c r="B126" s="68" t="s">
        <v>254</v>
      </c>
      <c r="C126" s="75">
        <v>8413</v>
      </c>
      <c r="D126" s="75">
        <v>128</v>
      </c>
      <c r="E126" s="75">
        <v>400000</v>
      </c>
      <c r="F126" s="69">
        <v>0.26762591000000002</v>
      </c>
      <c r="G126" s="70">
        <v>397151.2</v>
      </c>
      <c r="H126" s="67">
        <v>400000</v>
      </c>
      <c r="I126" s="67">
        <v>0.26762591000000002</v>
      </c>
      <c r="J126" s="67">
        <v>397151.2</v>
      </c>
      <c r="K126" s="71">
        <v>99.287800000000004</v>
      </c>
      <c r="L126" s="29" t="e">
        <f ca="1">IF(B126="","",_xll.BDP(A126&amp;" Corp","INTERVAL_HIGH","START_DATE_OVERRIDE",TEXT($L$3,"AAAAMMDD"),"END_DATE_OVERRIDE",TEXT($L$4,"AAAAMMDD"),"MARKET_DATA_OVERRIDE",$L$5))</f>
        <v>#NAME?</v>
      </c>
      <c r="M126" s="30" t="e">
        <f ca="1">IF(B126="","",_xll.BDP($A126&amp;" Corp","INTERVAL_LOW","START_DATE_OVERRIDE",TEXT($L$3,"AAAAMMDD"),"END_DATE_OVERRIDE",TEXT($L$4,"AAAAMMDD"),"MARKET_DATA_OVERRIDE",$L$5))</f>
        <v>#NAME?</v>
      </c>
      <c r="N126" s="31" t="s">
        <v>889</v>
      </c>
      <c r="O126" s="32" t="e">
        <f ca="1">IF($B126="","",_xll.BDP($A126&amp;" Corp",O$6))</f>
        <v>#NAME?</v>
      </c>
      <c r="P126" s="32" t="e">
        <f ca="1">IF($B126="","",_xll.BDP($A126&amp;" Corp",P$6))</f>
        <v>#NAME?</v>
      </c>
      <c r="Q126" s="30" t="e">
        <f ca="1">IF($B126="","",_xll.BDP($A126&amp;" Corp",Q$5))</f>
        <v>#NAME?</v>
      </c>
      <c r="R126" s="30" t="e">
        <f ca="1">IF($B126="","",_xll.BDP($A126&amp;" Corp",R$5))</f>
        <v>#NAME?</v>
      </c>
      <c r="S126" s="50" t="e">
        <f ca="1">IF($B126="","",_xll.BDP($A126&amp;" Corp",S$5))</f>
        <v>#NAME?</v>
      </c>
      <c r="T126" s="30" t="e">
        <f ca="1">IF($B126="","",_xll.BDP($A126&amp;" Corp",T$5))</f>
        <v>#NAME?</v>
      </c>
      <c r="U126" s="30" t="e">
        <f ca="1">IF($B126="","",_xll.BDP($A126&amp;" Corp",U$5))</f>
        <v>#NAME?</v>
      </c>
      <c r="V126" s="51" t="e">
        <f ca="1">IF($B126="","",IF($T126="VARIABLE",_xll.BDP($A126&amp;" Corp",V$4),_xll.BDP($A126&amp;" Corp",V$5)))</f>
        <v>#NAME?</v>
      </c>
      <c r="W126" s="30" t="e">
        <f ca="1">IF($B126="","",IF($T126="VARIABLE",_xll.BDP($A126&amp;" Corp",W$4),_xll.BDP($A126&amp;" Corp",W$5)))</f>
        <v>#NAME?</v>
      </c>
      <c r="X126" s="30" t="e">
        <f ca="1">IF($B126="","",_xll.BDP($A126&amp;" Corp",X$5))</f>
        <v>#NAME?</v>
      </c>
      <c r="Y126" s="33" t="e">
        <f ca="1">IF($B126="","",_xll.BDP($A126&amp;" Corp",Y$5))</f>
        <v>#NAME?</v>
      </c>
      <c r="Z126" s="52" t="e">
        <f ca="1">IF($B126="","",_xll.BDP($A126&amp;" Corp",Z$5))</f>
        <v>#NAME?</v>
      </c>
      <c r="AA126" s="53" t="e">
        <f ca="1">IF($B126="","",_xll.BDP($A126&amp;" Corp",AA$5))</f>
        <v>#NAME?</v>
      </c>
      <c r="AB126" s="54" t="e">
        <f ca="1">IF($B126="","",_xll.BDP($A126&amp;" Corp",AB$5))</f>
        <v>#NAME?</v>
      </c>
      <c r="AC126" s="54" t="e">
        <f ca="1">IF($B126="","",_xll.BDP($A126&amp;" Corp",AC$5))</f>
        <v>#NAME?</v>
      </c>
      <c r="AD126" s="55" t="e">
        <f ca="1">IF($B126="","",_xll.BDP($A126&amp;" Corp",AD$5))</f>
        <v>#NAME?</v>
      </c>
      <c r="AE126" s="56" t="e">
        <f ca="1">IF($B126="","",_xll.BDP($A126&amp;" Corp",AE$5))</f>
        <v>#NAME?</v>
      </c>
      <c r="AF126" s="29" t="e">
        <f ca="1">IF($B126="","",_xll.BDP($A126&amp;" Corp",AF$5))</f>
        <v>#NAME?</v>
      </c>
      <c r="AG126" s="33" t="e">
        <f ca="1">IF($B126="","",_xll.BDP($A126&amp;" Corp",AG$5))</f>
        <v>#NAME?</v>
      </c>
      <c r="AH126" s="30" t="e">
        <f ca="1">IF($B126="","",_xll.BDP($A126&amp;" Corp",AH$5))</f>
        <v>#NAME?</v>
      </c>
      <c r="AI126" s="30" t="e">
        <f ca="1">IF($B126="","",_xll.BDP($A126&amp;" Corp",AI$5))</f>
        <v>#NAME?</v>
      </c>
      <c r="AJ126" s="30" t="e">
        <f ca="1">IF($B126="","",_xll.BDP($A126&amp;" Corp",AJ$5))</f>
        <v>#NAME?</v>
      </c>
      <c r="AK126" s="11" t="e">
        <f ca="1">IF($B126="","",_xll.BDP($A126&amp;" Corp",AK$5))</f>
        <v>#NAME?</v>
      </c>
      <c r="AL126" s="11" t="e">
        <f ca="1">IF($B126="","",_xll.BDP($A126&amp;" Corp",AL$5))</f>
        <v>#NAME?</v>
      </c>
      <c r="AM126" s="11">
        <v>8</v>
      </c>
      <c r="AN126" s="57">
        <v>7</v>
      </c>
    </row>
    <row r="127" spans="1:40" x14ac:dyDescent="0.3">
      <c r="A127" s="67" t="s">
        <v>315</v>
      </c>
      <c r="B127" s="68" t="s">
        <v>315</v>
      </c>
      <c r="C127" s="75">
        <v>8816</v>
      </c>
      <c r="D127" s="75">
        <v>128</v>
      </c>
      <c r="E127" s="75">
        <v>400000</v>
      </c>
      <c r="F127" s="69">
        <v>0.31648090000000001</v>
      </c>
      <c r="G127" s="70">
        <v>419730</v>
      </c>
      <c r="H127" s="67">
        <v>400000</v>
      </c>
      <c r="I127" s="67">
        <v>0.31648090000000001</v>
      </c>
      <c r="J127" s="67">
        <v>419730</v>
      </c>
      <c r="K127" s="71">
        <v>104.9325</v>
      </c>
      <c r="L127" s="29" t="e">
        <f ca="1">IF(B127="","",_xll.BDP(A127&amp;" Corp","INTERVAL_HIGH","START_DATE_OVERRIDE",TEXT($L$3,"AAAAMMDD"),"END_DATE_OVERRIDE",TEXT($L$4,"AAAAMMDD"),"MARKET_DATA_OVERRIDE",$L$5))</f>
        <v>#NAME?</v>
      </c>
      <c r="M127" s="30" t="e">
        <f ca="1">IF(B127="","",_xll.BDP($A127&amp;" Corp","INTERVAL_LOW","START_DATE_OVERRIDE",TEXT($L$3,"AAAAMMDD"),"END_DATE_OVERRIDE",TEXT($L$4,"AAAAMMDD"),"MARKET_DATA_OVERRIDE",$L$5))</f>
        <v>#NAME?</v>
      </c>
      <c r="N127" s="31" t="s">
        <v>890</v>
      </c>
      <c r="O127" s="32" t="e">
        <f ca="1">IF($B127="","",_xll.BDP($A127&amp;" Corp",O$6))</f>
        <v>#NAME?</v>
      </c>
      <c r="P127" s="32" t="e">
        <f ca="1">IF($B127="","",_xll.BDP($A127&amp;" Corp",P$6))</f>
        <v>#NAME?</v>
      </c>
      <c r="Q127" s="30" t="e">
        <f ca="1">IF($B127="","",_xll.BDP($A127&amp;" Corp",Q$5))</f>
        <v>#NAME?</v>
      </c>
      <c r="R127" s="30" t="e">
        <f ca="1">IF($B127="","",_xll.BDP($A127&amp;" Corp",R$5))</f>
        <v>#NAME?</v>
      </c>
      <c r="S127" s="50" t="e">
        <f ca="1">IF($B127="","",_xll.BDP($A127&amp;" Corp",S$5))</f>
        <v>#NAME?</v>
      </c>
      <c r="T127" s="30" t="e">
        <f ca="1">IF($B127="","",_xll.BDP($A127&amp;" Corp",T$5))</f>
        <v>#NAME?</v>
      </c>
      <c r="U127" s="30" t="e">
        <f ca="1">IF($B127="","",_xll.BDP($A127&amp;" Corp",U$5))</f>
        <v>#NAME?</v>
      </c>
      <c r="V127" s="51" t="e">
        <f ca="1">IF($B127="","",IF($T127="VARIABLE",_xll.BDP($A127&amp;" Corp",V$4),_xll.BDP($A127&amp;" Corp",V$5)))</f>
        <v>#NAME?</v>
      </c>
      <c r="W127" s="30" t="e">
        <f ca="1">IF($B127="","",IF($T127="VARIABLE",_xll.BDP($A127&amp;" Corp",W$4),_xll.BDP($A127&amp;" Corp",W$5)))</f>
        <v>#NAME?</v>
      </c>
      <c r="X127" s="30" t="e">
        <f ca="1">IF($B127="","",_xll.BDP($A127&amp;" Corp",X$5))</f>
        <v>#NAME?</v>
      </c>
      <c r="Y127" s="33" t="e">
        <f ca="1">IF($B127="","",_xll.BDP($A127&amp;" Corp",Y$5))</f>
        <v>#NAME?</v>
      </c>
      <c r="Z127" s="52" t="e">
        <f ca="1">IF($B127="","",_xll.BDP($A127&amp;" Corp",Z$5))</f>
        <v>#NAME?</v>
      </c>
      <c r="AA127" s="53" t="e">
        <f ca="1">IF($B127="","",_xll.BDP($A127&amp;" Corp",AA$5))</f>
        <v>#NAME?</v>
      </c>
      <c r="AB127" s="54" t="e">
        <f ca="1">IF($B127="","",_xll.BDP($A127&amp;" Corp",AB$5))</f>
        <v>#NAME?</v>
      </c>
      <c r="AC127" s="54" t="e">
        <f ca="1">IF($B127="","",_xll.BDP($A127&amp;" Corp",AC$5))</f>
        <v>#NAME?</v>
      </c>
      <c r="AD127" s="55" t="e">
        <f ca="1">IF($B127="","",_xll.BDP($A127&amp;" Corp",AD$5))</f>
        <v>#NAME?</v>
      </c>
      <c r="AE127" s="56" t="e">
        <f ca="1">IF($B127="","",_xll.BDP($A127&amp;" Corp",AE$5))</f>
        <v>#NAME?</v>
      </c>
      <c r="AF127" s="29" t="e">
        <f ca="1">IF($B127="","",_xll.BDP($A127&amp;" Corp",AF$5))</f>
        <v>#NAME?</v>
      </c>
      <c r="AG127" s="33" t="e">
        <f ca="1">IF($B127="","",_xll.BDP($A127&amp;" Corp",AG$5))</f>
        <v>#NAME?</v>
      </c>
      <c r="AH127" s="30" t="e">
        <f ca="1">IF($B127="","",_xll.BDP($A127&amp;" Corp",AH$5))</f>
        <v>#NAME?</v>
      </c>
      <c r="AI127" s="30" t="e">
        <f ca="1">IF($B127="","",_xll.BDP($A127&amp;" Corp",AI$5))</f>
        <v>#NAME?</v>
      </c>
      <c r="AJ127" s="30" t="e">
        <f ca="1">IF($B127="","",_xll.BDP($A127&amp;" Corp",AJ$5))</f>
        <v>#NAME?</v>
      </c>
      <c r="AK127" s="11" t="e">
        <f ca="1">IF($B127="","",_xll.BDP($A127&amp;" Corp",AK$5))</f>
        <v>#NAME?</v>
      </c>
      <c r="AL127" s="11" t="e">
        <f ca="1">IF($B127="","",_xll.BDP($A127&amp;" Corp",AL$5))</f>
        <v>#NAME?</v>
      </c>
      <c r="AM127" s="11">
        <v>3</v>
      </c>
      <c r="AN127" s="57">
        <v>2</v>
      </c>
    </row>
    <row r="128" spans="1:40" x14ac:dyDescent="0.3">
      <c r="A128" s="67" t="s">
        <v>334</v>
      </c>
      <c r="B128" s="68" t="s">
        <v>334</v>
      </c>
      <c r="C128" s="75">
        <v>9259</v>
      </c>
      <c r="D128" s="75">
        <v>128</v>
      </c>
      <c r="E128" s="75">
        <v>100000</v>
      </c>
      <c r="F128" s="69">
        <v>7.2023539999999997E-2</v>
      </c>
      <c r="G128" s="70">
        <v>105058</v>
      </c>
      <c r="H128" s="67">
        <v>100000</v>
      </c>
      <c r="I128" s="67">
        <v>7.2023539999999997E-2</v>
      </c>
      <c r="J128" s="67">
        <v>105058</v>
      </c>
      <c r="K128" s="71">
        <v>105.05800000000001</v>
      </c>
      <c r="L128" s="29" t="e">
        <f ca="1">IF(B128="","",_xll.BDP(A128&amp;" Corp","INTERVAL_HIGH","START_DATE_OVERRIDE",TEXT($L$3,"AAAAMMDD"),"END_DATE_OVERRIDE",TEXT($L$4,"AAAAMMDD"),"MARKET_DATA_OVERRIDE",$L$5))</f>
        <v>#NAME?</v>
      </c>
      <c r="M128" s="30" t="e">
        <f ca="1">IF(B128="","",_xll.BDP($A128&amp;" Corp","INTERVAL_LOW","START_DATE_OVERRIDE",TEXT($L$3,"AAAAMMDD"),"END_DATE_OVERRIDE",TEXT($L$4,"AAAAMMDD"),"MARKET_DATA_OVERRIDE",$L$5))</f>
        <v>#NAME?</v>
      </c>
      <c r="N128" s="31" t="s">
        <v>891</v>
      </c>
      <c r="O128" s="32" t="e">
        <f ca="1">IF($B128="","",_xll.BDP($A128&amp;" Corp",O$6))</f>
        <v>#NAME?</v>
      </c>
      <c r="P128" s="32" t="e">
        <f ca="1">IF($B128="","",_xll.BDP($A128&amp;" Corp",P$6))</f>
        <v>#NAME?</v>
      </c>
      <c r="Q128" s="30" t="e">
        <f ca="1">IF($B128="","",_xll.BDP($A128&amp;" Corp",Q$5))</f>
        <v>#NAME?</v>
      </c>
      <c r="R128" s="30" t="e">
        <f ca="1">IF($B128="","",_xll.BDP($A128&amp;" Corp",R$5))</f>
        <v>#NAME?</v>
      </c>
      <c r="S128" s="50" t="e">
        <f ca="1">IF($B128="","",_xll.BDP($A128&amp;" Corp",S$5))</f>
        <v>#NAME?</v>
      </c>
      <c r="T128" s="30" t="e">
        <f ca="1">IF($B128="","",_xll.BDP($A128&amp;" Corp",T$5))</f>
        <v>#NAME?</v>
      </c>
      <c r="U128" s="30" t="e">
        <f ca="1">IF($B128="","",_xll.BDP($A128&amp;" Corp",U$5))</f>
        <v>#NAME?</v>
      </c>
      <c r="V128" s="51" t="e">
        <f ca="1">IF($B128="","",IF($T128="VARIABLE",_xll.BDP($A128&amp;" Corp",V$4),_xll.BDP($A128&amp;" Corp",V$5)))</f>
        <v>#NAME?</v>
      </c>
      <c r="W128" s="30" t="e">
        <f ca="1">IF($B128="","",IF($T128="VARIABLE",_xll.BDP($A128&amp;" Corp",W$4),_xll.BDP($A128&amp;" Corp",W$5)))</f>
        <v>#NAME?</v>
      </c>
      <c r="X128" s="30" t="e">
        <f ca="1">IF($B128="","",_xll.BDP($A128&amp;" Corp",X$5))</f>
        <v>#NAME?</v>
      </c>
      <c r="Y128" s="33" t="e">
        <f ca="1">IF($B128="","",_xll.BDP($A128&amp;" Corp",Y$5))</f>
        <v>#NAME?</v>
      </c>
      <c r="Z128" s="52" t="e">
        <f ca="1">IF($B128="","",_xll.BDP($A128&amp;" Corp",Z$5))</f>
        <v>#NAME?</v>
      </c>
      <c r="AA128" s="53" t="e">
        <f ca="1">IF($B128="","",_xll.BDP($A128&amp;" Corp",AA$5))</f>
        <v>#NAME?</v>
      </c>
      <c r="AB128" s="54" t="e">
        <f ca="1">IF($B128="","",_xll.BDP($A128&amp;" Corp",AB$5))</f>
        <v>#NAME?</v>
      </c>
      <c r="AC128" s="54" t="e">
        <f ca="1">IF($B128="","",_xll.BDP($A128&amp;" Corp",AC$5))</f>
        <v>#NAME?</v>
      </c>
      <c r="AD128" s="55" t="e">
        <f ca="1">IF($B128="","",_xll.BDP($A128&amp;" Corp",AD$5))</f>
        <v>#NAME?</v>
      </c>
      <c r="AE128" s="56" t="e">
        <f ca="1">IF($B128="","",_xll.BDP($A128&amp;" Corp",AE$5))</f>
        <v>#NAME?</v>
      </c>
      <c r="AF128" s="29" t="e">
        <f ca="1">IF($B128="","",_xll.BDP($A128&amp;" Corp",AF$5))</f>
        <v>#NAME?</v>
      </c>
      <c r="AG128" s="33" t="e">
        <f ca="1">IF($B128="","",_xll.BDP($A128&amp;" Corp",AG$5))</f>
        <v>#NAME?</v>
      </c>
      <c r="AH128" s="30" t="e">
        <f ca="1">IF($B128="","",_xll.BDP($A128&amp;" Corp",AH$5))</f>
        <v>#NAME?</v>
      </c>
      <c r="AI128" s="30" t="e">
        <f ca="1">IF($B128="","",_xll.BDP($A128&amp;" Corp",AI$5))</f>
        <v>#NAME?</v>
      </c>
      <c r="AJ128" s="30" t="e">
        <f ca="1">IF($B128="","",_xll.BDP($A128&amp;" Corp",AJ$5))</f>
        <v>#NAME?</v>
      </c>
      <c r="AK128" s="11" t="e">
        <f ca="1">IF($B128="","",_xll.BDP($A128&amp;" Corp",AK$5))</f>
        <v>#NAME?</v>
      </c>
      <c r="AL128" s="11" t="e">
        <f ca="1">IF($B128="","",_xll.BDP($A128&amp;" Corp",AL$5))</f>
        <v>#NAME?</v>
      </c>
      <c r="AM128" s="11">
        <v>6</v>
      </c>
      <c r="AN128" s="57">
        <v>5</v>
      </c>
    </row>
    <row r="129" spans="1:40" x14ac:dyDescent="0.3">
      <c r="A129" s="67" t="s">
        <v>476</v>
      </c>
      <c r="B129" s="68" t="s">
        <v>476</v>
      </c>
      <c r="C129" s="75">
        <v>8766</v>
      </c>
      <c r="D129" s="75">
        <v>128</v>
      </c>
      <c r="E129" s="75">
        <v>200000</v>
      </c>
      <c r="F129" s="69">
        <v>5.5228069999999997E-2</v>
      </c>
      <c r="G129" s="70">
        <v>183921</v>
      </c>
      <c r="H129" s="67">
        <v>200000</v>
      </c>
      <c r="I129" s="67">
        <v>5.5228069999999997E-2</v>
      </c>
      <c r="J129" s="67">
        <v>183921</v>
      </c>
      <c r="K129" s="71">
        <v>91.960499999999996</v>
      </c>
      <c r="L129" s="29" t="e">
        <f ca="1">IF(B129="","",_xll.BDP(A129&amp;" Corp","INTERVAL_HIGH","START_DATE_OVERRIDE",TEXT($L$3,"AAAAMMDD"),"END_DATE_OVERRIDE",TEXT($L$4,"AAAAMMDD"),"MARKET_DATA_OVERRIDE",$L$5))</f>
        <v>#NAME?</v>
      </c>
      <c r="M129" s="30" t="e">
        <f ca="1">IF(B129="","",_xll.BDP($A129&amp;" Corp","INTERVAL_LOW","START_DATE_OVERRIDE",TEXT($L$3,"AAAAMMDD"),"END_DATE_OVERRIDE",TEXT($L$4,"AAAAMMDD"),"MARKET_DATA_OVERRIDE",$L$5))</f>
        <v>#NAME?</v>
      </c>
      <c r="N129" s="31" t="s">
        <v>892</v>
      </c>
      <c r="O129" s="32" t="e">
        <f ca="1">IF($B129="","",_xll.BDP($A129&amp;" Corp",O$6))</f>
        <v>#NAME?</v>
      </c>
      <c r="P129" s="32" t="e">
        <f ca="1">IF($B129="","",_xll.BDP($A129&amp;" Corp",P$6))</f>
        <v>#NAME?</v>
      </c>
      <c r="Q129" s="30" t="e">
        <f ca="1">IF($B129="","",_xll.BDP($A129&amp;" Corp",Q$5))</f>
        <v>#NAME?</v>
      </c>
      <c r="R129" s="30" t="e">
        <f ca="1">IF($B129="","",_xll.BDP($A129&amp;" Corp",R$5))</f>
        <v>#NAME?</v>
      </c>
      <c r="S129" s="50" t="e">
        <f ca="1">IF($B129="","",_xll.BDP($A129&amp;" Corp",S$5))</f>
        <v>#NAME?</v>
      </c>
      <c r="T129" s="30" t="e">
        <f ca="1">IF($B129="","",_xll.BDP($A129&amp;" Corp",T$5))</f>
        <v>#NAME?</v>
      </c>
      <c r="U129" s="30" t="e">
        <f ca="1">IF($B129="","",_xll.BDP($A129&amp;" Corp",U$5))</f>
        <v>#NAME?</v>
      </c>
      <c r="V129" s="51" t="e">
        <f ca="1">IF($B129="","",IF($T129="VARIABLE",_xll.BDP($A129&amp;" Corp",V$4),_xll.BDP($A129&amp;" Corp",V$5)))</f>
        <v>#NAME?</v>
      </c>
      <c r="W129" s="30" t="e">
        <f ca="1">IF($B129="","",IF($T129="VARIABLE",_xll.BDP($A129&amp;" Corp",W$4),_xll.BDP($A129&amp;" Corp",W$5)))</f>
        <v>#NAME?</v>
      </c>
      <c r="X129" s="30" t="e">
        <f ca="1">IF($B129="","",_xll.BDP($A129&amp;" Corp",X$5))</f>
        <v>#NAME?</v>
      </c>
      <c r="Y129" s="33" t="e">
        <f ca="1">IF($B129="","",_xll.BDP($A129&amp;" Corp",Y$5))</f>
        <v>#NAME?</v>
      </c>
      <c r="Z129" s="52" t="e">
        <f ca="1">IF($B129="","",_xll.BDP($A129&amp;" Corp",Z$5))</f>
        <v>#NAME?</v>
      </c>
      <c r="AA129" s="53" t="e">
        <f ca="1">IF($B129="","",_xll.BDP($A129&amp;" Corp",AA$5))</f>
        <v>#NAME?</v>
      </c>
      <c r="AB129" s="54" t="e">
        <f ca="1">IF($B129="","",_xll.BDP($A129&amp;" Corp",AB$5))</f>
        <v>#NAME?</v>
      </c>
      <c r="AC129" s="54" t="e">
        <f ca="1">IF($B129="","",_xll.BDP($A129&amp;" Corp",AC$5))</f>
        <v>#NAME?</v>
      </c>
      <c r="AD129" s="55" t="e">
        <f ca="1">IF($B129="","",_xll.BDP($A129&amp;" Corp",AD$5))</f>
        <v>#NAME?</v>
      </c>
      <c r="AE129" s="56" t="e">
        <f ca="1">IF($B129="","",_xll.BDP($A129&amp;" Corp",AE$5))</f>
        <v>#NAME?</v>
      </c>
      <c r="AF129" s="29" t="e">
        <f ca="1">IF($B129="","",_xll.BDP($A129&amp;" Corp",AF$5))</f>
        <v>#NAME?</v>
      </c>
      <c r="AG129" s="33" t="e">
        <f ca="1">IF($B129="","",_xll.BDP($A129&amp;" Corp",AG$5))</f>
        <v>#NAME?</v>
      </c>
      <c r="AH129" s="30" t="e">
        <f ca="1">IF($B129="","",_xll.BDP($A129&amp;" Corp",AH$5))</f>
        <v>#NAME?</v>
      </c>
      <c r="AI129" s="30" t="e">
        <f ca="1">IF($B129="","",_xll.BDP($A129&amp;" Corp",AI$5))</f>
        <v>#NAME?</v>
      </c>
      <c r="AJ129" s="30" t="e">
        <f ca="1">IF($B129="","",_xll.BDP($A129&amp;" Corp",AJ$5))</f>
        <v>#NAME?</v>
      </c>
      <c r="AK129" s="11" t="e">
        <f ca="1">IF($B129="","",_xll.BDP($A129&amp;" Corp",AK$5))</f>
        <v>#NAME?</v>
      </c>
      <c r="AL129" s="11" t="e">
        <f ca="1">IF($B129="","",_xll.BDP($A129&amp;" Corp",AL$5))</f>
        <v>#NAME?</v>
      </c>
      <c r="AM129" s="11">
        <v>3</v>
      </c>
      <c r="AN129" s="57">
        <v>3</v>
      </c>
    </row>
    <row r="130" spans="1:40" x14ac:dyDescent="0.3">
      <c r="A130" s="67" t="s">
        <v>277</v>
      </c>
      <c r="B130" s="68" t="s">
        <v>277</v>
      </c>
      <c r="C130" s="75">
        <v>8901</v>
      </c>
      <c r="D130" s="75">
        <v>128</v>
      </c>
      <c r="E130" s="75">
        <v>100000</v>
      </c>
      <c r="F130" s="69">
        <v>7.240808E-2</v>
      </c>
      <c r="G130" s="70">
        <v>99507</v>
      </c>
      <c r="H130" s="67">
        <v>100000</v>
      </c>
      <c r="I130" s="67">
        <v>7.240808E-2</v>
      </c>
      <c r="J130" s="67">
        <v>99507</v>
      </c>
      <c r="K130" s="71">
        <v>99.507000000000005</v>
      </c>
      <c r="L130" s="29" t="e">
        <f ca="1">IF(B130="","",_xll.BDP(A130&amp;" Corp","INTERVAL_HIGH","START_DATE_OVERRIDE",TEXT($L$3,"AAAAMMDD"),"END_DATE_OVERRIDE",TEXT($L$4,"AAAAMMDD"),"MARKET_DATA_OVERRIDE",$L$5))</f>
        <v>#NAME?</v>
      </c>
      <c r="M130" s="30" t="e">
        <f ca="1">IF(B130="","",_xll.BDP($A130&amp;" Corp","INTERVAL_LOW","START_DATE_OVERRIDE",TEXT($L$3,"AAAAMMDD"),"END_DATE_OVERRIDE",TEXT($L$4,"AAAAMMDD"),"MARKET_DATA_OVERRIDE",$L$5))</f>
        <v>#NAME?</v>
      </c>
      <c r="N130" s="31" t="s">
        <v>893</v>
      </c>
      <c r="O130" s="32" t="e">
        <f ca="1">IF($B130="","",_xll.BDP($A130&amp;" Corp",O$6))</f>
        <v>#NAME?</v>
      </c>
      <c r="P130" s="32" t="e">
        <f ca="1">IF($B130="","",_xll.BDP($A130&amp;" Corp",P$6))</f>
        <v>#NAME?</v>
      </c>
      <c r="Q130" s="30" t="e">
        <f ca="1">IF($B130="","",_xll.BDP($A130&amp;" Corp",Q$5))</f>
        <v>#NAME?</v>
      </c>
      <c r="R130" s="30" t="e">
        <f ca="1">IF($B130="","",_xll.BDP($A130&amp;" Corp",R$5))</f>
        <v>#NAME?</v>
      </c>
      <c r="S130" s="50" t="e">
        <f ca="1">IF($B130="","",_xll.BDP($A130&amp;" Corp",S$5))</f>
        <v>#NAME?</v>
      </c>
      <c r="T130" s="30" t="e">
        <f ca="1">IF($B130="","",_xll.BDP($A130&amp;" Corp",T$5))</f>
        <v>#NAME?</v>
      </c>
      <c r="U130" s="30" t="e">
        <f ca="1">IF($B130="","",_xll.BDP($A130&amp;" Corp",U$5))</f>
        <v>#NAME?</v>
      </c>
      <c r="V130" s="51" t="e">
        <f ca="1">IF($B130="","",IF($T130="VARIABLE",_xll.BDP($A130&amp;" Corp",V$4),_xll.BDP($A130&amp;" Corp",V$5)))</f>
        <v>#NAME?</v>
      </c>
      <c r="W130" s="30" t="e">
        <f ca="1">IF($B130="","",IF($T130="VARIABLE",_xll.BDP($A130&amp;" Corp",W$4),_xll.BDP($A130&amp;" Corp",W$5)))</f>
        <v>#NAME?</v>
      </c>
      <c r="X130" s="30" t="e">
        <f ca="1">IF($B130="","",_xll.BDP($A130&amp;" Corp",X$5))</f>
        <v>#NAME?</v>
      </c>
      <c r="Y130" s="33" t="e">
        <f ca="1">IF($B130="","",_xll.BDP($A130&amp;" Corp",Y$5))</f>
        <v>#NAME?</v>
      </c>
      <c r="Z130" s="52" t="e">
        <f ca="1">IF($B130="","",_xll.BDP($A130&amp;" Corp",Z$5))</f>
        <v>#NAME?</v>
      </c>
      <c r="AA130" s="53" t="e">
        <f ca="1">IF($B130="","",_xll.BDP($A130&amp;" Corp",AA$5))</f>
        <v>#NAME?</v>
      </c>
      <c r="AB130" s="54" t="e">
        <f ca="1">IF($B130="","",_xll.BDP($A130&amp;" Corp",AB$5))</f>
        <v>#NAME?</v>
      </c>
      <c r="AC130" s="54" t="e">
        <f ca="1">IF($B130="","",_xll.BDP($A130&amp;" Corp",AC$5))</f>
        <v>#NAME?</v>
      </c>
      <c r="AD130" s="55" t="e">
        <f ca="1">IF($B130="","",_xll.BDP($A130&amp;" Corp",AD$5))</f>
        <v>#NAME?</v>
      </c>
      <c r="AE130" s="56" t="e">
        <f ca="1">IF($B130="","",_xll.BDP($A130&amp;" Corp",AE$5))</f>
        <v>#NAME?</v>
      </c>
      <c r="AF130" s="29" t="e">
        <f ca="1">IF($B130="","",_xll.BDP($A130&amp;" Corp",AF$5))</f>
        <v>#NAME?</v>
      </c>
      <c r="AG130" s="33" t="e">
        <f ca="1">IF($B130="","",_xll.BDP($A130&amp;" Corp",AG$5))</f>
        <v>#NAME?</v>
      </c>
      <c r="AH130" s="30" t="e">
        <f ca="1">IF($B130="","",_xll.BDP($A130&amp;" Corp",AH$5))</f>
        <v>#NAME?</v>
      </c>
      <c r="AI130" s="30" t="e">
        <f ca="1">IF($B130="","",_xll.BDP($A130&amp;" Corp",AI$5))</f>
        <v>#NAME?</v>
      </c>
      <c r="AJ130" s="30" t="e">
        <f ca="1">IF($B130="","",_xll.BDP($A130&amp;" Corp",AJ$5))</f>
        <v>#NAME?</v>
      </c>
      <c r="AK130" s="11" t="e">
        <f ca="1">IF($B130="","",_xll.BDP($A130&amp;" Corp",AK$5))</f>
        <v>#NAME?</v>
      </c>
      <c r="AL130" s="11" t="e">
        <f ca="1">IF($B130="","",_xll.BDP($A130&amp;" Corp",AL$5))</f>
        <v>#NAME?</v>
      </c>
      <c r="AM130" s="11">
        <v>4</v>
      </c>
      <c r="AN130" s="57">
        <v>3</v>
      </c>
    </row>
    <row r="131" spans="1:40" x14ac:dyDescent="0.3">
      <c r="A131" s="67" t="s">
        <v>286</v>
      </c>
      <c r="B131" s="68" t="s">
        <v>286</v>
      </c>
      <c r="C131" s="75">
        <v>9414</v>
      </c>
      <c r="D131" s="75">
        <v>128</v>
      </c>
      <c r="E131" s="75">
        <v>300000</v>
      </c>
      <c r="F131" s="69">
        <v>0.21530384</v>
      </c>
      <c r="G131" s="70">
        <v>300511</v>
      </c>
      <c r="H131" s="67">
        <v>300000</v>
      </c>
      <c r="I131" s="67">
        <v>0.21530384</v>
      </c>
      <c r="J131" s="67">
        <v>300511</v>
      </c>
      <c r="K131" s="71">
        <v>100.17033333333333</v>
      </c>
      <c r="L131" s="29" t="e">
        <f ca="1">IF(B131="","",_xll.BDP(A131&amp;" Corp","INTERVAL_HIGH","START_DATE_OVERRIDE",TEXT($L$3,"AAAAMMDD"),"END_DATE_OVERRIDE",TEXT($L$4,"AAAAMMDD"),"MARKET_DATA_OVERRIDE",$L$5))</f>
        <v>#NAME?</v>
      </c>
      <c r="M131" s="30" t="e">
        <f ca="1">IF(B131="","",_xll.BDP($A131&amp;" Corp","INTERVAL_LOW","START_DATE_OVERRIDE",TEXT($L$3,"AAAAMMDD"),"END_DATE_OVERRIDE",TEXT($L$4,"AAAAMMDD"),"MARKET_DATA_OVERRIDE",$L$5))</f>
        <v>#NAME?</v>
      </c>
      <c r="N131" s="31" t="s">
        <v>894</v>
      </c>
      <c r="O131" s="32" t="e">
        <f ca="1">IF($B131="","",_xll.BDP($A131&amp;" Corp",O$6))</f>
        <v>#NAME?</v>
      </c>
      <c r="P131" s="32" t="e">
        <f ca="1">IF($B131="","",_xll.BDP($A131&amp;" Corp",P$6))</f>
        <v>#NAME?</v>
      </c>
      <c r="Q131" s="30" t="e">
        <f ca="1">IF($B131="","",_xll.BDP($A131&amp;" Corp",Q$5))</f>
        <v>#NAME?</v>
      </c>
      <c r="R131" s="30" t="e">
        <f ca="1">IF($B131="","",_xll.BDP($A131&amp;" Corp",R$5))</f>
        <v>#NAME?</v>
      </c>
      <c r="S131" s="50" t="e">
        <f ca="1">IF($B131="","",_xll.BDP($A131&amp;" Corp",S$5))</f>
        <v>#NAME?</v>
      </c>
      <c r="T131" s="30" t="e">
        <f ca="1">IF($B131="","",_xll.BDP($A131&amp;" Corp",T$5))</f>
        <v>#NAME?</v>
      </c>
      <c r="U131" s="30" t="e">
        <f ca="1">IF($B131="","",_xll.BDP($A131&amp;" Corp",U$5))</f>
        <v>#NAME?</v>
      </c>
      <c r="V131" s="51" t="e">
        <f ca="1">IF($B131="","",IF($T131="VARIABLE",_xll.BDP($A131&amp;" Corp",V$4),_xll.BDP($A131&amp;" Corp",V$5)))</f>
        <v>#NAME?</v>
      </c>
      <c r="W131" s="30" t="e">
        <f ca="1">IF($B131="","",IF($T131="VARIABLE",_xll.BDP($A131&amp;" Corp",W$4),_xll.BDP($A131&amp;" Corp",W$5)))</f>
        <v>#NAME?</v>
      </c>
      <c r="X131" s="30" t="e">
        <f ca="1">IF($B131="","",_xll.BDP($A131&amp;" Corp",X$5))</f>
        <v>#NAME?</v>
      </c>
      <c r="Y131" s="33" t="e">
        <f ca="1">IF($B131="","",_xll.BDP($A131&amp;" Corp",Y$5))</f>
        <v>#NAME?</v>
      </c>
      <c r="Z131" s="52" t="e">
        <f ca="1">IF($B131="","",_xll.BDP($A131&amp;" Corp",Z$5))</f>
        <v>#NAME?</v>
      </c>
      <c r="AA131" s="53" t="e">
        <f ca="1">IF($B131="","",_xll.BDP($A131&amp;" Corp",AA$5))</f>
        <v>#NAME?</v>
      </c>
      <c r="AB131" s="54" t="e">
        <f ca="1">IF($B131="","",_xll.BDP($A131&amp;" Corp",AB$5))</f>
        <v>#NAME?</v>
      </c>
      <c r="AC131" s="54" t="e">
        <f ca="1">IF($B131="","",_xll.BDP($A131&amp;" Corp",AC$5))</f>
        <v>#NAME?</v>
      </c>
      <c r="AD131" s="55" t="e">
        <f ca="1">IF($B131="","",_xll.BDP($A131&amp;" Corp",AD$5))</f>
        <v>#NAME?</v>
      </c>
      <c r="AE131" s="56" t="e">
        <f ca="1">IF($B131="","",_xll.BDP($A131&amp;" Corp",AE$5))</f>
        <v>#NAME?</v>
      </c>
      <c r="AF131" s="29" t="e">
        <f ca="1">IF($B131="","",_xll.BDP($A131&amp;" Corp",AF$5))</f>
        <v>#NAME?</v>
      </c>
      <c r="AG131" s="33" t="e">
        <f ca="1">IF($B131="","",_xll.BDP($A131&amp;" Corp",AG$5))</f>
        <v>#NAME?</v>
      </c>
      <c r="AH131" s="30" t="e">
        <f ca="1">IF($B131="","",_xll.BDP($A131&amp;" Corp",AH$5))</f>
        <v>#NAME?</v>
      </c>
      <c r="AI131" s="30" t="e">
        <f ca="1">IF($B131="","",_xll.BDP($A131&amp;" Corp",AI$5))</f>
        <v>#NAME?</v>
      </c>
      <c r="AJ131" s="30" t="e">
        <f ca="1">IF($B131="","",_xll.BDP($A131&amp;" Corp",AJ$5))</f>
        <v>#NAME?</v>
      </c>
      <c r="AK131" s="11" t="e">
        <f ca="1">IF($B131="","",_xll.BDP($A131&amp;" Corp",AK$5))</f>
        <v>#NAME?</v>
      </c>
      <c r="AL131" s="11" t="e">
        <f ca="1">IF($B131="","",_xll.BDP($A131&amp;" Corp",AL$5))</f>
        <v>#NAME?</v>
      </c>
      <c r="AM131" s="11">
        <v>5</v>
      </c>
      <c r="AN131" s="57">
        <v>4</v>
      </c>
    </row>
    <row r="132" spans="1:40" x14ac:dyDescent="0.3">
      <c r="A132" s="67" t="s">
        <v>403</v>
      </c>
      <c r="B132" s="68" t="s">
        <v>403</v>
      </c>
      <c r="C132" s="75">
        <v>8972</v>
      </c>
      <c r="D132" s="75">
        <v>128</v>
      </c>
      <c r="E132" s="75">
        <v>200000</v>
      </c>
      <c r="F132" s="69">
        <v>0.15003321</v>
      </c>
      <c r="G132" s="70">
        <v>199132</v>
      </c>
      <c r="H132" s="67">
        <v>200000</v>
      </c>
      <c r="I132" s="67">
        <v>0.15003321</v>
      </c>
      <c r="J132" s="67">
        <v>199132</v>
      </c>
      <c r="K132" s="71">
        <v>99.566000000000003</v>
      </c>
      <c r="L132" s="29" t="e">
        <f ca="1">IF(B132="","",_xll.BDP(A132&amp;" Corp","INTERVAL_HIGH","START_DATE_OVERRIDE",TEXT($L$3,"AAAAMMDD"),"END_DATE_OVERRIDE",TEXT($L$4,"AAAAMMDD"),"MARKET_DATA_OVERRIDE",$L$5))</f>
        <v>#NAME?</v>
      </c>
      <c r="M132" s="30" t="e">
        <f ca="1">IF(B132="","",_xll.BDP($A132&amp;" Corp","INTERVAL_LOW","START_DATE_OVERRIDE",TEXT($L$3,"AAAAMMDD"),"END_DATE_OVERRIDE",TEXT($L$4,"AAAAMMDD"),"MARKET_DATA_OVERRIDE",$L$5))</f>
        <v>#NAME?</v>
      </c>
      <c r="N132" s="31" t="s">
        <v>895</v>
      </c>
      <c r="O132" s="32" t="e">
        <f ca="1">IF($B132="","",_xll.BDP($A132&amp;" Corp",O$6))</f>
        <v>#NAME?</v>
      </c>
      <c r="P132" s="32" t="e">
        <f ca="1">IF($B132="","",_xll.BDP($A132&amp;" Corp",P$6))</f>
        <v>#NAME?</v>
      </c>
      <c r="Q132" s="30" t="e">
        <f ca="1">IF($B132="","",_xll.BDP($A132&amp;" Corp",Q$5))</f>
        <v>#NAME?</v>
      </c>
      <c r="R132" s="30" t="e">
        <f ca="1">IF($B132="","",_xll.BDP($A132&amp;" Corp",R$5))</f>
        <v>#NAME?</v>
      </c>
      <c r="S132" s="50" t="e">
        <f ca="1">IF($B132="","",_xll.BDP($A132&amp;" Corp",S$5))</f>
        <v>#NAME?</v>
      </c>
      <c r="T132" s="30" t="e">
        <f ca="1">IF($B132="","",_xll.BDP($A132&amp;" Corp",T$5))</f>
        <v>#NAME?</v>
      </c>
      <c r="U132" s="30" t="e">
        <f ca="1">IF($B132="","",_xll.BDP($A132&amp;" Corp",U$5))</f>
        <v>#NAME?</v>
      </c>
      <c r="V132" s="51" t="e">
        <f ca="1">IF($B132="","",IF($T132="VARIABLE",_xll.BDP($A132&amp;" Corp",V$4),_xll.BDP($A132&amp;" Corp",V$5)))</f>
        <v>#NAME?</v>
      </c>
      <c r="W132" s="30" t="e">
        <f ca="1">IF($B132="","",IF($T132="VARIABLE",_xll.BDP($A132&amp;" Corp",W$4),_xll.BDP($A132&amp;" Corp",W$5)))</f>
        <v>#NAME?</v>
      </c>
      <c r="X132" s="30" t="e">
        <f ca="1">IF($B132="","",_xll.BDP($A132&amp;" Corp",X$5))</f>
        <v>#NAME?</v>
      </c>
      <c r="Y132" s="33" t="e">
        <f ca="1">IF($B132="","",_xll.BDP($A132&amp;" Corp",Y$5))</f>
        <v>#NAME?</v>
      </c>
      <c r="Z132" s="52" t="e">
        <f ca="1">IF($B132="","",_xll.BDP($A132&amp;" Corp",Z$5))</f>
        <v>#NAME?</v>
      </c>
      <c r="AA132" s="53" t="e">
        <f ca="1">IF($B132="","",_xll.BDP($A132&amp;" Corp",AA$5))</f>
        <v>#NAME?</v>
      </c>
      <c r="AB132" s="54" t="e">
        <f ca="1">IF($B132="","",_xll.BDP($A132&amp;" Corp",AB$5))</f>
        <v>#NAME?</v>
      </c>
      <c r="AC132" s="54" t="e">
        <f ca="1">IF($B132="","",_xll.BDP($A132&amp;" Corp",AC$5))</f>
        <v>#NAME?</v>
      </c>
      <c r="AD132" s="55" t="e">
        <f ca="1">IF($B132="","",_xll.BDP($A132&amp;" Corp",AD$5))</f>
        <v>#NAME?</v>
      </c>
      <c r="AE132" s="56" t="e">
        <f ca="1">IF($B132="","",_xll.BDP($A132&amp;" Corp",AE$5))</f>
        <v>#NAME?</v>
      </c>
      <c r="AF132" s="29" t="e">
        <f ca="1">IF($B132="","",_xll.BDP($A132&amp;" Corp",AF$5))</f>
        <v>#NAME?</v>
      </c>
      <c r="AG132" s="33" t="e">
        <f ca="1">IF($B132="","",_xll.BDP($A132&amp;" Corp",AG$5))</f>
        <v>#NAME?</v>
      </c>
      <c r="AH132" s="30" t="e">
        <f ca="1">IF($B132="","",_xll.BDP($A132&amp;" Corp",AH$5))</f>
        <v>#NAME?</v>
      </c>
      <c r="AI132" s="30" t="e">
        <f ca="1">IF($B132="","",_xll.BDP($A132&amp;" Corp",AI$5))</f>
        <v>#NAME?</v>
      </c>
      <c r="AJ132" s="30" t="e">
        <f ca="1">IF($B132="","",_xll.BDP($A132&amp;" Corp",AJ$5))</f>
        <v>#NAME?</v>
      </c>
      <c r="AK132" s="11" t="e">
        <f ca="1">IF($B132="","",_xll.BDP($A132&amp;" Corp",AK$5))</f>
        <v>#NAME?</v>
      </c>
      <c r="AL132" s="11" t="e">
        <f ca="1">IF($B132="","",_xll.BDP($A132&amp;" Corp",AL$5))</f>
        <v>#NAME?</v>
      </c>
      <c r="AM132" s="11">
        <v>2</v>
      </c>
      <c r="AN132" s="57">
        <v>2</v>
      </c>
    </row>
    <row r="133" spans="1:40" x14ac:dyDescent="0.3">
      <c r="A133" s="67" t="s">
        <v>543</v>
      </c>
      <c r="B133" s="68" t="s">
        <v>543</v>
      </c>
      <c r="C133" s="75">
        <v>9001</v>
      </c>
      <c r="D133" s="75">
        <v>128</v>
      </c>
      <c r="E133" s="75">
        <v>100000</v>
      </c>
      <c r="F133" s="69">
        <v>6.6679669999999996E-2</v>
      </c>
      <c r="G133" s="70">
        <v>97446</v>
      </c>
      <c r="H133" s="67">
        <v>100000</v>
      </c>
      <c r="I133" s="67">
        <v>6.6679669999999996E-2</v>
      </c>
      <c r="J133" s="67">
        <v>97446</v>
      </c>
      <c r="K133" s="71">
        <v>97.445999999999998</v>
      </c>
      <c r="L133" s="29" t="e">
        <f ca="1">IF(B133="","",_xll.BDP(A133&amp;" Corp","INTERVAL_HIGH","START_DATE_OVERRIDE",TEXT($L$3,"AAAAMMDD"),"END_DATE_OVERRIDE",TEXT($L$4,"AAAAMMDD"),"MARKET_DATA_OVERRIDE",$L$5))</f>
        <v>#NAME?</v>
      </c>
      <c r="M133" s="30" t="e">
        <f ca="1">IF(B133="","",_xll.BDP($A133&amp;" Corp","INTERVAL_LOW","START_DATE_OVERRIDE",TEXT($L$3,"AAAAMMDD"),"END_DATE_OVERRIDE",TEXT($L$4,"AAAAMMDD"),"MARKET_DATA_OVERRIDE",$L$5))</f>
        <v>#NAME?</v>
      </c>
      <c r="N133" s="31" t="s">
        <v>896</v>
      </c>
      <c r="O133" s="32" t="e">
        <f ca="1">IF($B133="","",_xll.BDP($A133&amp;" Corp",O$6))</f>
        <v>#NAME?</v>
      </c>
      <c r="P133" s="32" t="e">
        <f ca="1">IF($B133="","",_xll.BDP($A133&amp;" Corp",P$6))</f>
        <v>#NAME?</v>
      </c>
      <c r="Q133" s="30" t="e">
        <f ca="1">IF($B133="","",_xll.BDP($A133&amp;" Corp",Q$5))</f>
        <v>#NAME?</v>
      </c>
      <c r="R133" s="30" t="e">
        <f ca="1">IF($B133="","",_xll.BDP($A133&amp;" Corp",R$5))</f>
        <v>#NAME?</v>
      </c>
      <c r="S133" s="50" t="e">
        <f ca="1">IF($B133="","",_xll.BDP($A133&amp;" Corp",S$5))</f>
        <v>#NAME?</v>
      </c>
      <c r="T133" s="30" t="e">
        <f ca="1">IF($B133="","",_xll.BDP($A133&amp;" Corp",T$5))</f>
        <v>#NAME?</v>
      </c>
      <c r="U133" s="30" t="e">
        <f ca="1">IF($B133="","",_xll.BDP($A133&amp;" Corp",U$5))</f>
        <v>#NAME?</v>
      </c>
      <c r="V133" s="51" t="e">
        <f ca="1">IF($B133="","",IF($T133="VARIABLE",_xll.BDP($A133&amp;" Corp",V$4),_xll.BDP($A133&amp;" Corp",V$5)))</f>
        <v>#NAME?</v>
      </c>
      <c r="W133" s="30" t="e">
        <f ca="1">IF($B133="","",IF($T133="VARIABLE",_xll.BDP($A133&amp;" Corp",W$4),_xll.BDP($A133&amp;" Corp",W$5)))</f>
        <v>#NAME?</v>
      </c>
      <c r="X133" s="30" t="e">
        <f ca="1">IF($B133="","",_xll.BDP($A133&amp;" Corp",X$5))</f>
        <v>#NAME?</v>
      </c>
      <c r="Y133" s="33" t="e">
        <f ca="1">IF($B133="","",_xll.BDP($A133&amp;" Corp",Y$5))</f>
        <v>#NAME?</v>
      </c>
      <c r="Z133" s="52" t="e">
        <f ca="1">IF($B133="","",_xll.BDP($A133&amp;" Corp",Z$5))</f>
        <v>#NAME?</v>
      </c>
      <c r="AA133" s="53" t="e">
        <f ca="1">IF($B133="","",_xll.BDP($A133&amp;" Corp",AA$5))</f>
        <v>#NAME?</v>
      </c>
      <c r="AB133" s="54" t="e">
        <f ca="1">IF($B133="","",_xll.BDP($A133&amp;" Corp",AB$5))</f>
        <v>#NAME?</v>
      </c>
      <c r="AC133" s="54" t="e">
        <f ca="1">IF($B133="","",_xll.BDP($A133&amp;" Corp",AC$5))</f>
        <v>#NAME?</v>
      </c>
      <c r="AD133" s="55" t="e">
        <f ca="1">IF($B133="","",_xll.BDP($A133&amp;" Corp",AD$5))</f>
        <v>#NAME?</v>
      </c>
      <c r="AE133" s="56" t="e">
        <f ca="1">IF($B133="","",_xll.BDP($A133&amp;" Corp",AE$5))</f>
        <v>#NAME?</v>
      </c>
      <c r="AF133" s="29" t="e">
        <f ca="1">IF($B133="","",_xll.BDP($A133&amp;" Corp",AF$5))</f>
        <v>#NAME?</v>
      </c>
      <c r="AG133" s="33" t="e">
        <f ca="1">IF($B133="","",_xll.BDP($A133&amp;" Corp",AG$5))</f>
        <v>#NAME?</v>
      </c>
      <c r="AH133" s="30" t="e">
        <f ca="1">IF($B133="","",_xll.BDP($A133&amp;" Corp",AH$5))</f>
        <v>#NAME?</v>
      </c>
      <c r="AI133" s="30" t="e">
        <f ca="1">IF($B133="","",_xll.BDP($A133&amp;" Corp",AI$5))</f>
        <v>#NAME?</v>
      </c>
      <c r="AJ133" s="30" t="e">
        <f ca="1">IF($B133="","",_xll.BDP($A133&amp;" Corp",AJ$5))</f>
        <v>#NAME?</v>
      </c>
      <c r="AK133" s="11" t="e">
        <f ca="1">IF($B133="","",_xll.BDP($A133&amp;" Corp",AK$5))</f>
        <v>#NAME?</v>
      </c>
      <c r="AL133" s="11" t="e">
        <f ca="1">IF($B133="","",_xll.BDP($A133&amp;" Corp",AL$5))</f>
        <v>#NAME?</v>
      </c>
      <c r="AM133" s="11">
        <v>5</v>
      </c>
      <c r="AN133" s="57">
        <v>4</v>
      </c>
    </row>
    <row r="134" spans="1:40" x14ac:dyDescent="0.3">
      <c r="A134" s="67" t="s">
        <v>477</v>
      </c>
      <c r="B134" s="68" t="s">
        <v>477</v>
      </c>
      <c r="C134" s="75">
        <v>9070</v>
      </c>
      <c r="D134" s="75">
        <v>128</v>
      </c>
      <c r="E134" s="75">
        <v>100000</v>
      </c>
      <c r="F134" s="69">
        <v>7.6230740000000005E-2</v>
      </c>
      <c r="G134" s="70">
        <v>104191</v>
      </c>
      <c r="H134" s="67">
        <v>100000</v>
      </c>
      <c r="I134" s="67">
        <v>7.6230740000000005E-2</v>
      </c>
      <c r="J134" s="67">
        <v>104191</v>
      </c>
      <c r="K134" s="71">
        <v>104.191</v>
      </c>
      <c r="L134" s="29" t="e">
        <f ca="1">IF(B134="","",_xll.BDP(A134&amp;" Corp","INTERVAL_HIGH","START_DATE_OVERRIDE",TEXT($L$3,"AAAAMMDD"),"END_DATE_OVERRIDE",TEXT($L$4,"AAAAMMDD"),"MARKET_DATA_OVERRIDE",$L$5))</f>
        <v>#NAME?</v>
      </c>
      <c r="M134" s="30" t="e">
        <f ca="1">IF(B134="","",_xll.BDP($A134&amp;" Corp","INTERVAL_LOW","START_DATE_OVERRIDE",TEXT($L$3,"AAAAMMDD"),"END_DATE_OVERRIDE",TEXT($L$4,"AAAAMMDD"),"MARKET_DATA_OVERRIDE",$L$5))</f>
        <v>#NAME?</v>
      </c>
      <c r="N134" s="31" t="s">
        <v>897</v>
      </c>
      <c r="O134" s="32" t="e">
        <f ca="1">IF($B134="","",_xll.BDP($A134&amp;" Corp",O$6))</f>
        <v>#NAME?</v>
      </c>
      <c r="P134" s="32" t="e">
        <f ca="1">IF($B134="","",_xll.BDP($A134&amp;" Corp",P$6))</f>
        <v>#NAME?</v>
      </c>
      <c r="Q134" s="30" t="e">
        <f ca="1">IF($B134="","",_xll.BDP($A134&amp;" Corp",Q$5))</f>
        <v>#NAME?</v>
      </c>
      <c r="R134" s="30" t="e">
        <f ca="1">IF($B134="","",_xll.BDP($A134&amp;" Corp",R$5))</f>
        <v>#NAME?</v>
      </c>
      <c r="S134" s="50" t="e">
        <f ca="1">IF($B134="","",_xll.BDP($A134&amp;" Corp",S$5))</f>
        <v>#NAME?</v>
      </c>
      <c r="T134" s="30" t="e">
        <f ca="1">IF($B134="","",_xll.BDP($A134&amp;" Corp",T$5))</f>
        <v>#NAME?</v>
      </c>
      <c r="U134" s="30" t="e">
        <f ca="1">IF($B134="","",_xll.BDP($A134&amp;" Corp",U$5))</f>
        <v>#NAME?</v>
      </c>
      <c r="V134" s="51" t="e">
        <f ca="1">IF($B134="","",IF($T134="VARIABLE",_xll.BDP($A134&amp;" Corp",V$4),_xll.BDP($A134&amp;" Corp",V$5)))</f>
        <v>#NAME?</v>
      </c>
      <c r="W134" s="30" t="e">
        <f ca="1">IF($B134="","",IF($T134="VARIABLE",_xll.BDP($A134&amp;" Corp",W$4),_xll.BDP($A134&amp;" Corp",W$5)))</f>
        <v>#NAME?</v>
      </c>
      <c r="X134" s="30" t="e">
        <f ca="1">IF($B134="","",_xll.BDP($A134&amp;" Corp",X$5))</f>
        <v>#NAME?</v>
      </c>
      <c r="Y134" s="33" t="e">
        <f ca="1">IF($B134="","",_xll.BDP($A134&amp;" Corp",Y$5))</f>
        <v>#NAME?</v>
      </c>
      <c r="Z134" s="52" t="e">
        <f ca="1">IF($B134="","",_xll.BDP($A134&amp;" Corp",Z$5))</f>
        <v>#NAME?</v>
      </c>
      <c r="AA134" s="53" t="e">
        <f ca="1">IF($B134="","",_xll.BDP($A134&amp;" Corp",AA$5))</f>
        <v>#NAME?</v>
      </c>
      <c r="AB134" s="54" t="e">
        <f ca="1">IF($B134="","",_xll.BDP($A134&amp;" Corp",AB$5))</f>
        <v>#NAME?</v>
      </c>
      <c r="AC134" s="54" t="e">
        <f ca="1">IF($B134="","",_xll.BDP($A134&amp;" Corp",AC$5))</f>
        <v>#NAME?</v>
      </c>
      <c r="AD134" s="55" t="e">
        <f ca="1">IF($B134="","",_xll.BDP($A134&amp;" Corp",AD$5))</f>
        <v>#NAME?</v>
      </c>
      <c r="AE134" s="56" t="e">
        <f ca="1">IF($B134="","",_xll.BDP($A134&amp;" Corp",AE$5))</f>
        <v>#NAME?</v>
      </c>
      <c r="AF134" s="29" t="e">
        <f ca="1">IF($B134="","",_xll.BDP($A134&amp;" Corp",AF$5))</f>
        <v>#NAME?</v>
      </c>
      <c r="AG134" s="33" t="e">
        <f ca="1">IF($B134="","",_xll.BDP($A134&amp;" Corp",AG$5))</f>
        <v>#NAME?</v>
      </c>
      <c r="AH134" s="30" t="e">
        <f ca="1">IF($B134="","",_xll.BDP($A134&amp;" Corp",AH$5))</f>
        <v>#NAME?</v>
      </c>
      <c r="AI134" s="30" t="e">
        <f ca="1">IF($B134="","",_xll.BDP($A134&amp;" Corp",AI$5))</f>
        <v>#NAME?</v>
      </c>
      <c r="AJ134" s="30" t="e">
        <f ca="1">IF($B134="","",_xll.BDP($A134&amp;" Corp",AJ$5))</f>
        <v>#NAME?</v>
      </c>
      <c r="AK134" s="11" t="e">
        <f ca="1">IF($B134="","",_xll.BDP($A134&amp;" Corp",AK$5))</f>
        <v>#NAME?</v>
      </c>
      <c r="AL134" s="11" t="e">
        <f ca="1">IF($B134="","",_xll.BDP($A134&amp;" Corp",AL$5))</f>
        <v>#NAME?</v>
      </c>
      <c r="AM134" s="11">
        <v>3</v>
      </c>
      <c r="AN134" s="57">
        <v>3</v>
      </c>
    </row>
    <row r="135" spans="1:40" x14ac:dyDescent="0.3">
      <c r="A135" s="67" t="s">
        <v>288</v>
      </c>
      <c r="B135" s="68" t="s">
        <v>288</v>
      </c>
      <c r="C135" s="75">
        <v>9072</v>
      </c>
      <c r="D135" s="75">
        <v>128</v>
      </c>
      <c r="E135" s="75">
        <v>300000</v>
      </c>
      <c r="F135" s="69">
        <v>0.23763369000000001</v>
      </c>
      <c r="G135" s="70">
        <v>301255.5</v>
      </c>
      <c r="H135" s="67">
        <v>300000</v>
      </c>
      <c r="I135" s="67">
        <v>0.23763369000000001</v>
      </c>
      <c r="J135" s="67">
        <v>301255.5</v>
      </c>
      <c r="K135" s="71">
        <v>100.41849999999999</v>
      </c>
      <c r="L135" s="29" t="e">
        <f ca="1">IF(B135="","",_xll.BDP(A135&amp;" Corp","INTERVAL_HIGH","START_DATE_OVERRIDE",TEXT($L$3,"AAAAMMDD"),"END_DATE_OVERRIDE",TEXT($L$4,"AAAAMMDD"),"MARKET_DATA_OVERRIDE",$L$5))</f>
        <v>#NAME?</v>
      </c>
      <c r="M135" s="30" t="e">
        <f ca="1">IF(B135="","",_xll.BDP($A135&amp;" Corp","INTERVAL_LOW","START_DATE_OVERRIDE",TEXT($L$3,"AAAAMMDD"),"END_DATE_OVERRIDE",TEXT($L$4,"AAAAMMDD"),"MARKET_DATA_OVERRIDE",$L$5))</f>
        <v>#NAME?</v>
      </c>
      <c r="N135" s="31" t="s">
        <v>898</v>
      </c>
      <c r="O135" s="32" t="e">
        <f ca="1">IF($B135="","",_xll.BDP($A135&amp;" Corp",O$6))</f>
        <v>#NAME?</v>
      </c>
      <c r="P135" s="32" t="e">
        <f ca="1">IF($B135="","",_xll.BDP($A135&amp;" Corp",P$6))</f>
        <v>#NAME?</v>
      </c>
      <c r="Q135" s="30" t="e">
        <f ca="1">IF($B135="","",_xll.BDP($A135&amp;" Corp",Q$5))</f>
        <v>#NAME?</v>
      </c>
      <c r="R135" s="30" t="e">
        <f ca="1">IF($B135="","",_xll.BDP($A135&amp;" Corp",R$5))</f>
        <v>#NAME?</v>
      </c>
      <c r="S135" s="50" t="e">
        <f ca="1">IF($B135="","",_xll.BDP($A135&amp;" Corp",S$5))</f>
        <v>#NAME?</v>
      </c>
      <c r="T135" s="30" t="e">
        <f ca="1">IF($B135="","",_xll.BDP($A135&amp;" Corp",T$5))</f>
        <v>#NAME?</v>
      </c>
      <c r="U135" s="30" t="e">
        <f ca="1">IF($B135="","",_xll.BDP($A135&amp;" Corp",U$5))</f>
        <v>#NAME?</v>
      </c>
      <c r="V135" s="51" t="e">
        <f ca="1">IF($B135="","",IF($T135="VARIABLE",_xll.BDP($A135&amp;" Corp",V$4),_xll.BDP($A135&amp;" Corp",V$5)))</f>
        <v>#NAME?</v>
      </c>
      <c r="W135" s="30" t="e">
        <f ca="1">IF($B135="","",IF($T135="VARIABLE",_xll.BDP($A135&amp;" Corp",W$4),_xll.BDP($A135&amp;" Corp",W$5)))</f>
        <v>#NAME?</v>
      </c>
      <c r="X135" s="30" t="e">
        <f ca="1">IF($B135="","",_xll.BDP($A135&amp;" Corp",X$5))</f>
        <v>#NAME?</v>
      </c>
      <c r="Y135" s="33" t="e">
        <f ca="1">IF($B135="","",_xll.BDP($A135&amp;" Corp",Y$5))</f>
        <v>#NAME?</v>
      </c>
      <c r="Z135" s="52" t="e">
        <f ca="1">IF($B135="","",_xll.BDP($A135&amp;" Corp",Z$5))</f>
        <v>#NAME?</v>
      </c>
      <c r="AA135" s="53" t="e">
        <f ca="1">IF($B135="","",_xll.BDP($A135&amp;" Corp",AA$5))</f>
        <v>#NAME?</v>
      </c>
      <c r="AB135" s="54" t="e">
        <f ca="1">IF($B135="","",_xll.BDP($A135&amp;" Corp",AB$5))</f>
        <v>#NAME?</v>
      </c>
      <c r="AC135" s="54" t="e">
        <f ca="1">IF($B135="","",_xll.BDP($A135&amp;" Corp",AC$5))</f>
        <v>#NAME?</v>
      </c>
      <c r="AD135" s="55" t="e">
        <f ca="1">IF($B135="","",_xll.BDP($A135&amp;" Corp",AD$5))</f>
        <v>#NAME?</v>
      </c>
      <c r="AE135" s="56" t="e">
        <f ca="1">IF($B135="","",_xll.BDP($A135&amp;" Corp",AE$5))</f>
        <v>#NAME?</v>
      </c>
      <c r="AF135" s="29" t="e">
        <f ca="1">IF($B135="","",_xll.BDP($A135&amp;" Corp",AF$5))</f>
        <v>#NAME?</v>
      </c>
      <c r="AG135" s="33" t="e">
        <f ca="1">IF($B135="","",_xll.BDP($A135&amp;" Corp",AG$5))</f>
        <v>#NAME?</v>
      </c>
      <c r="AH135" s="30" t="e">
        <f ca="1">IF($B135="","",_xll.BDP($A135&amp;" Corp",AH$5))</f>
        <v>#NAME?</v>
      </c>
      <c r="AI135" s="30" t="e">
        <f ca="1">IF($B135="","",_xll.BDP($A135&amp;" Corp",AI$5))</f>
        <v>#NAME?</v>
      </c>
      <c r="AJ135" s="30" t="e">
        <f ca="1">IF($B135="","",_xll.BDP($A135&amp;" Corp",AJ$5))</f>
        <v>#NAME?</v>
      </c>
      <c r="AK135" s="11" t="e">
        <f ca="1">IF($B135="","",_xll.BDP($A135&amp;" Corp",AK$5))</f>
        <v>#NAME?</v>
      </c>
      <c r="AL135" s="11" t="e">
        <f ca="1">IF($B135="","",_xll.BDP($A135&amp;" Corp",AL$5))</f>
        <v>#NAME?</v>
      </c>
      <c r="AM135" s="11">
        <v>2</v>
      </c>
      <c r="AN135" s="57">
        <v>1</v>
      </c>
    </row>
    <row r="136" spans="1:40" x14ac:dyDescent="0.3">
      <c r="A136" s="67" t="s">
        <v>290</v>
      </c>
      <c r="B136" s="68" t="s">
        <v>290</v>
      </c>
      <c r="C136" s="75">
        <v>9301</v>
      </c>
      <c r="D136" s="75">
        <v>128</v>
      </c>
      <c r="E136" s="75">
        <v>100000</v>
      </c>
      <c r="F136" s="69">
        <v>7.2032390000000002E-2</v>
      </c>
      <c r="G136" s="70">
        <v>100274</v>
      </c>
      <c r="H136" s="67">
        <v>100000</v>
      </c>
      <c r="I136" s="67">
        <v>7.2032390000000002E-2</v>
      </c>
      <c r="J136" s="67">
        <v>100274</v>
      </c>
      <c r="K136" s="71">
        <v>100.274</v>
      </c>
      <c r="L136" s="29" t="e">
        <f ca="1">IF(B136="","",_xll.BDP(A136&amp;" Corp","INTERVAL_HIGH","START_DATE_OVERRIDE",TEXT($L$3,"AAAAMMDD"),"END_DATE_OVERRIDE",TEXT($L$4,"AAAAMMDD"),"MARKET_DATA_OVERRIDE",$L$5))</f>
        <v>#NAME?</v>
      </c>
      <c r="M136" s="30" t="e">
        <f ca="1">IF(B136="","",_xll.BDP($A136&amp;" Corp","INTERVAL_LOW","START_DATE_OVERRIDE",TEXT($L$3,"AAAAMMDD"),"END_DATE_OVERRIDE",TEXT($L$4,"AAAAMMDD"),"MARKET_DATA_OVERRIDE",$L$5))</f>
        <v>#NAME?</v>
      </c>
      <c r="N136" s="31" t="s">
        <v>899</v>
      </c>
      <c r="O136" s="32" t="e">
        <f ca="1">IF($B136="","",_xll.BDP($A136&amp;" Corp",O$6))</f>
        <v>#NAME?</v>
      </c>
      <c r="P136" s="32" t="e">
        <f ca="1">IF($B136="","",_xll.BDP($A136&amp;" Corp",P$6))</f>
        <v>#NAME?</v>
      </c>
      <c r="Q136" s="30" t="e">
        <f ca="1">IF($B136="","",_xll.BDP($A136&amp;" Corp",Q$5))</f>
        <v>#NAME?</v>
      </c>
      <c r="R136" s="30" t="e">
        <f ca="1">IF($B136="","",_xll.BDP($A136&amp;" Corp",R$5))</f>
        <v>#NAME?</v>
      </c>
      <c r="S136" s="50" t="e">
        <f ca="1">IF($B136="","",_xll.BDP($A136&amp;" Corp",S$5))</f>
        <v>#NAME?</v>
      </c>
      <c r="T136" s="30" t="e">
        <f ca="1">IF($B136="","",_xll.BDP($A136&amp;" Corp",T$5))</f>
        <v>#NAME?</v>
      </c>
      <c r="U136" s="30" t="e">
        <f ca="1">IF($B136="","",_xll.BDP($A136&amp;" Corp",U$5))</f>
        <v>#NAME?</v>
      </c>
      <c r="V136" s="51" t="e">
        <f ca="1">IF($B136="","",IF($T136="VARIABLE",_xll.BDP($A136&amp;" Corp",V$4),_xll.BDP($A136&amp;" Corp",V$5)))</f>
        <v>#NAME?</v>
      </c>
      <c r="W136" s="30" t="e">
        <f ca="1">IF($B136="","",IF($T136="VARIABLE",_xll.BDP($A136&amp;" Corp",W$4),_xll.BDP($A136&amp;" Corp",W$5)))</f>
        <v>#NAME?</v>
      </c>
      <c r="X136" s="30" t="e">
        <f ca="1">IF($B136="","",_xll.BDP($A136&amp;" Corp",X$5))</f>
        <v>#NAME?</v>
      </c>
      <c r="Y136" s="33" t="e">
        <f ca="1">IF($B136="","",_xll.BDP($A136&amp;" Corp",Y$5))</f>
        <v>#NAME?</v>
      </c>
      <c r="Z136" s="52" t="e">
        <f ca="1">IF($B136="","",_xll.BDP($A136&amp;" Corp",Z$5))</f>
        <v>#NAME?</v>
      </c>
      <c r="AA136" s="53" t="e">
        <f ca="1">IF($B136="","",_xll.BDP($A136&amp;" Corp",AA$5))</f>
        <v>#NAME?</v>
      </c>
      <c r="AB136" s="54" t="e">
        <f ca="1">IF($B136="","",_xll.BDP($A136&amp;" Corp",AB$5))</f>
        <v>#NAME?</v>
      </c>
      <c r="AC136" s="54" t="e">
        <f ca="1">IF($B136="","",_xll.BDP($A136&amp;" Corp",AC$5))</f>
        <v>#NAME?</v>
      </c>
      <c r="AD136" s="55" t="e">
        <f ca="1">IF($B136="","",_xll.BDP($A136&amp;" Corp",AD$5))</f>
        <v>#NAME?</v>
      </c>
      <c r="AE136" s="56" t="e">
        <f ca="1">IF($B136="","",_xll.BDP($A136&amp;" Corp",AE$5))</f>
        <v>#NAME?</v>
      </c>
      <c r="AF136" s="29" t="e">
        <f ca="1">IF($B136="","",_xll.BDP($A136&amp;" Corp",AF$5))</f>
        <v>#NAME?</v>
      </c>
      <c r="AG136" s="33" t="e">
        <f ca="1">IF($B136="","",_xll.BDP($A136&amp;" Corp",AG$5))</f>
        <v>#NAME?</v>
      </c>
      <c r="AH136" s="30" t="e">
        <f ca="1">IF($B136="","",_xll.BDP($A136&amp;" Corp",AH$5))</f>
        <v>#NAME?</v>
      </c>
      <c r="AI136" s="30" t="e">
        <f ca="1">IF($B136="","",_xll.BDP($A136&amp;" Corp",AI$5))</f>
        <v>#NAME?</v>
      </c>
      <c r="AJ136" s="30" t="e">
        <f ca="1">IF($B136="","",_xll.BDP($A136&amp;" Corp",AJ$5))</f>
        <v>#NAME?</v>
      </c>
      <c r="AK136" s="11" t="e">
        <f ca="1">IF($B136="","",_xll.BDP($A136&amp;" Corp",AK$5))</f>
        <v>#NAME?</v>
      </c>
      <c r="AL136" s="11" t="e">
        <f ca="1">IF($B136="","",_xll.BDP($A136&amp;" Corp",AL$5))</f>
        <v>#NAME?</v>
      </c>
      <c r="AM136" s="11">
        <v>6</v>
      </c>
      <c r="AN136" s="57">
        <v>5</v>
      </c>
    </row>
    <row r="137" spans="1:40" x14ac:dyDescent="0.3">
      <c r="A137" s="67" t="s">
        <v>563</v>
      </c>
      <c r="B137" s="68" t="s">
        <v>563</v>
      </c>
      <c r="C137" s="75">
        <v>9136</v>
      </c>
      <c r="D137" s="75">
        <v>128</v>
      </c>
      <c r="E137" s="75">
        <v>900000</v>
      </c>
      <c r="F137" s="69">
        <v>0.58663681000000001</v>
      </c>
      <c r="G137" s="70">
        <v>918138</v>
      </c>
      <c r="H137" s="67">
        <v>900000</v>
      </c>
      <c r="I137" s="67">
        <v>0.58663681000000001</v>
      </c>
      <c r="J137" s="67">
        <v>918138</v>
      </c>
      <c r="K137" s="71">
        <v>102.01533333333333</v>
      </c>
      <c r="L137" s="29" t="e">
        <f ca="1">IF(B137="","",_xll.BDP(A137&amp;" Corp","INTERVAL_HIGH","START_DATE_OVERRIDE",TEXT($L$3,"AAAAMMDD"),"END_DATE_OVERRIDE",TEXT($L$4,"AAAAMMDD"),"MARKET_DATA_OVERRIDE",$L$5))</f>
        <v>#NAME?</v>
      </c>
      <c r="M137" s="30" t="e">
        <f ca="1">IF(B137="","",_xll.BDP($A137&amp;" Corp","INTERVAL_LOW","START_DATE_OVERRIDE",TEXT($L$3,"AAAAMMDD"),"END_DATE_OVERRIDE",TEXT($L$4,"AAAAMMDD"),"MARKET_DATA_OVERRIDE",$L$5))</f>
        <v>#NAME?</v>
      </c>
      <c r="N137" s="31" t="s">
        <v>900</v>
      </c>
      <c r="O137" s="32" t="e">
        <f ca="1">IF($B137="","",_xll.BDP($A137&amp;" Corp",O$6))</f>
        <v>#NAME?</v>
      </c>
      <c r="P137" s="32" t="e">
        <f ca="1">IF($B137="","",_xll.BDP($A137&amp;" Corp",P$6))</f>
        <v>#NAME?</v>
      </c>
      <c r="Q137" s="30" t="e">
        <f ca="1">IF($B137="","",_xll.BDP($A137&amp;" Corp",Q$5))</f>
        <v>#NAME?</v>
      </c>
      <c r="R137" s="30" t="e">
        <f ca="1">IF($B137="","",_xll.BDP($A137&amp;" Corp",R$5))</f>
        <v>#NAME?</v>
      </c>
      <c r="S137" s="50" t="e">
        <f ca="1">IF($B137="","",_xll.BDP($A137&amp;" Corp",S$5))</f>
        <v>#NAME?</v>
      </c>
      <c r="T137" s="30" t="e">
        <f ca="1">IF($B137="","",_xll.BDP($A137&amp;" Corp",T$5))</f>
        <v>#NAME?</v>
      </c>
      <c r="U137" s="30" t="e">
        <f ca="1">IF($B137="","",_xll.BDP($A137&amp;" Corp",U$5))</f>
        <v>#NAME?</v>
      </c>
      <c r="V137" s="51" t="e">
        <f ca="1">IF($B137="","",IF($T137="VARIABLE",_xll.BDP($A137&amp;" Corp",V$4),_xll.BDP($A137&amp;" Corp",V$5)))</f>
        <v>#NAME?</v>
      </c>
      <c r="W137" s="30" t="e">
        <f ca="1">IF($B137="","",IF($T137="VARIABLE",_xll.BDP($A137&amp;" Corp",W$4),_xll.BDP($A137&amp;" Corp",W$5)))</f>
        <v>#NAME?</v>
      </c>
      <c r="X137" s="30" t="e">
        <f ca="1">IF($B137="","",_xll.BDP($A137&amp;" Corp",X$5))</f>
        <v>#NAME?</v>
      </c>
      <c r="Y137" s="33" t="e">
        <f ca="1">IF($B137="","",_xll.BDP($A137&amp;" Corp",Y$5))</f>
        <v>#NAME?</v>
      </c>
      <c r="Z137" s="52" t="e">
        <f ca="1">IF($B137="","",_xll.BDP($A137&amp;" Corp",Z$5))</f>
        <v>#NAME?</v>
      </c>
      <c r="AA137" s="53" t="e">
        <f ca="1">IF($B137="","",_xll.BDP($A137&amp;" Corp",AA$5))</f>
        <v>#NAME?</v>
      </c>
      <c r="AB137" s="54" t="e">
        <f ca="1">IF($B137="","",_xll.BDP($A137&amp;" Corp",AB$5))</f>
        <v>#NAME?</v>
      </c>
      <c r="AC137" s="54" t="e">
        <f ca="1">IF($B137="","",_xll.BDP($A137&amp;" Corp",AC$5))</f>
        <v>#NAME?</v>
      </c>
      <c r="AD137" s="55" t="e">
        <f ca="1">IF($B137="","",_xll.BDP($A137&amp;" Corp",AD$5))</f>
        <v>#NAME?</v>
      </c>
      <c r="AE137" s="56" t="e">
        <f ca="1">IF($B137="","",_xll.BDP($A137&amp;" Corp",AE$5))</f>
        <v>#NAME?</v>
      </c>
      <c r="AF137" s="29" t="e">
        <f ca="1">IF($B137="","",_xll.BDP($A137&amp;" Corp",AF$5))</f>
        <v>#NAME?</v>
      </c>
      <c r="AG137" s="33" t="e">
        <f ca="1">IF($B137="","",_xll.BDP($A137&amp;" Corp",AG$5))</f>
        <v>#NAME?</v>
      </c>
      <c r="AH137" s="30" t="e">
        <f ca="1">IF($B137="","",_xll.BDP($A137&amp;" Corp",AH$5))</f>
        <v>#NAME?</v>
      </c>
      <c r="AI137" s="30" t="e">
        <f ca="1">IF($B137="","",_xll.BDP($A137&amp;" Corp",AI$5))</f>
        <v>#NAME?</v>
      </c>
      <c r="AJ137" s="30" t="e">
        <f ca="1">IF($B137="","",_xll.BDP($A137&amp;" Corp",AJ$5))</f>
        <v>#NAME?</v>
      </c>
      <c r="AK137" s="11" t="e">
        <f ca="1">IF($B137="","",_xll.BDP($A137&amp;" Corp",AK$5))</f>
        <v>#NAME?</v>
      </c>
      <c r="AL137" s="11" t="e">
        <f ca="1">IF($B137="","",_xll.BDP($A137&amp;" Corp",AL$5))</f>
        <v>#NAME?</v>
      </c>
      <c r="AM137" s="11">
        <v>3</v>
      </c>
      <c r="AN137" s="57">
        <v>3</v>
      </c>
    </row>
    <row r="138" spans="1:40" x14ac:dyDescent="0.3">
      <c r="A138" s="67" t="s">
        <v>341</v>
      </c>
      <c r="B138" s="68" t="s">
        <v>341</v>
      </c>
      <c r="C138" s="75">
        <v>9184</v>
      </c>
      <c r="D138" s="75">
        <v>128</v>
      </c>
      <c r="E138" s="75">
        <v>200000</v>
      </c>
      <c r="F138" s="69">
        <v>0.1399378</v>
      </c>
      <c r="G138" s="70">
        <v>199122</v>
      </c>
      <c r="H138" s="67">
        <v>200000</v>
      </c>
      <c r="I138" s="67">
        <v>0.1399378</v>
      </c>
      <c r="J138" s="67">
        <v>199122</v>
      </c>
      <c r="K138" s="71">
        <v>99.561000000000007</v>
      </c>
      <c r="L138" s="29" t="e">
        <f ca="1">IF(B138="","",_xll.BDP(A138&amp;" Corp","INTERVAL_HIGH","START_DATE_OVERRIDE",TEXT($L$3,"AAAAMMDD"),"END_DATE_OVERRIDE",TEXT($L$4,"AAAAMMDD"),"MARKET_DATA_OVERRIDE",$L$5))</f>
        <v>#NAME?</v>
      </c>
      <c r="M138" s="30" t="e">
        <f ca="1">IF(B138="","",_xll.BDP($A138&amp;" Corp","INTERVAL_LOW","START_DATE_OVERRIDE",TEXT($L$3,"AAAAMMDD"),"END_DATE_OVERRIDE",TEXT($L$4,"AAAAMMDD"),"MARKET_DATA_OVERRIDE",$L$5))</f>
        <v>#NAME?</v>
      </c>
      <c r="N138" s="31" t="s">
        <v>901</v>
      </c>
      <c r="O138" s="32" t="e">
        <f ca="1">IF($B138="","",_xll.BDP($A138&amp;" Corp",O$6))</f>
        <v>#NAME?</v>
      </c>
      <c r="P138" s="32" t="e">
        <f ca="1">IF($B138="","",_xll.BDP($A138&amp;" Corp",P$6))</f>
        <v>#NAME?</v>
      </c>
      <c r="Q138" s="30" t="e">
        <f ca="1">IF($B138="","",_xll.BDP($A138&amp;" Corp",Q$5))</f>
        <v>#NAME?</v>
      </c>
      <c r="R138" s="30" t="e">
        <f ca="1">IF($B138="","",_xll.BDP($A138&amp;" Corp",R$5))</f>
        <v>#NAME?</v>
      </c>
      <c r="S138" s="50" t="e">
        <f ca="1">IF($B138="","",_xll.BDP($A138&amp;" Corp",S$5))</f>
        <v>#NAME?</v>
      </c>
      <c r="T138" s="30" t="e">
        <f ca="1">IF($B138="","",_xll.BDP($A138&amp;" Corp",T$5))</f>
        <v>#NAME?</v>
      </c>
      <c r="U138" s="30" t="e">
        <f ca="1">IF($B138="","",_xll.BDP($A138&amp;" Corp",U$5))</f>
        <v>#NAME?</v>
      </c>
      <c r="V138" s="51" t="e">
        <f ca="1">IF($B138="","",IF($T138="VARIABLE",_xll.BDP($A138&amp;" Corp",V$4),_xll.BDP($A138&amp;" Corp",V$5)))</f>
        <v>#NAME?</v>
      </c>
      <c r="W138" s="30" t="e">
        <f ca="1">IF($B138="","",IF($T138="VARIABLE",_xll.BDP($A138&amp;" Corp",W$4),_xll.BDP($A138&amp;" Corp",W$5)))</f>
        <v>#NAME?</v>
      </c>
      <c r="X138" s="30" t="e">
        <f ca="1">IF($B138="","",_xll.BDP($A138&amp;" Corp",X$5))</f>
        <v>#NAME?</v>
      </c>
      <c r="Y138" s="33" t="e">
        <f ca="1">IF($B138="","",_xll.BDP($A138&amp;" Corp",Y$5))</f>
        <v>#NAME?</v>
      </c>
      <c r="Z138" s="52" t="e">
        <f ca="1">IF($B138="","",_xll.BDP($A138&amp;" Corp",Z$5))</f>
        <v>#NAME?</v>
      </c>
      <c r="AA138" s="53" t="e">
        <f ca="1">IF($B138="","",_xll.BDP($A138&amp;" Corp",AA$5))</f>
        <v>#NAME?</v>
      </c>
      <c r="AB138" s="54" t="e">
        <f ca="1">IF($B138="","",_xll.BDP($A138&amp;" Corp",AB$5))</f>
        <v>#NAME?</v>
      </c>
      <c r="AC138" s="54" t="e">
        <f ca="1">IF($B138="","",_xll.BDP($A138&amp;" Corp",AC$5))</f>
        <v>#NAME?</v>
      </c>
      <c r="AD138" s="55" t="e">
        <f ca="1">IF($B138="","",_xll.BDP($A138&amp;" Corp",AD$5))</f>
        <v>#NAME?</v>
      </c>
      <c r="AE138" s="56" t="e">
        <f ca="1">IF($B138="","",_xll.BDP($A138&amp;" Corp",AE$5))</f>
        <v>#NAME?</v>
      </c>
      <c r="AF138" s="29" t="e">
        <f ca="1">IF($B138="","",_xll.BDP($A138&amp;" Corp",AF$5))</f>
        <v>#NAME?</v>
      </c>
      <c r="AG138" s="33" t="e">
        <f ca="1">IF($B138="","",_xll.BDP($A138&amp;" Corp",AG$5))</f>
        <v>#NAME?</v>
      </c>
      <c r="AH138" s="30" t="e">
        <f ca="1">IF($B138="","",_xll.BDP($A138&amp;" Corp",AH$5))</f>
        <v>#NAME?</v>
      </c>
      <c r="AI138" s="30" t="e">
        <f ca="1">IF($B138="","",_xll.BDP($A138&amp;" Corp",AI$5))</f>
        <v>#NAME?</v>
      </c>
      <c r="AJ138" s="30" t="e">
        <f ca="1">IF($B138="","",_xll.BDP($A138&amp;" Corp",AJ$5))</f>
        <v>#NAME?</v>
      </c>
      <c r="AK138" s="11" t="e">
        <f ca="1">IF($B138="","",_xll.BDP($A138&amp;" Corp",AK$5))</f>
        <v>#NAME?</v>
      </c>
      <c r="AL138" s="11" t="e">
        <f ca="1">IF($B138="","",_xll.BDP($A138&amp;" Corp",AL$5))</f>
        <v>#NAME?</v>
      </c>
      <c r="AM138" s="11">
        <v>4</v>
      </c>
      <c r="AN138" s="57">
        <v>3</v>
      </c>
    </row>
    <row r="139" spans="1:40" x14ac:dyDescent="0.3">
      <c r="A139" s="67" t="s">
        <v>554</v>
      </c>
      <c r="B139" s="68" t="s">
        <v>554</v>
      </c>
      <c r="C139" s="75">
        <v>9461</v>
      </c>
      <c r="D139" s="75">
        <v>128</v>
      </c>
      <c r="E139" s="75">
        <v>100000</v>
      </c>
      <c r="F139" s="69">
        <v>7.7458949999999999E-2</v>
      </c>
      <c r="G139" s="70">
        <v>100388</v>
      </c>
      <c r="H139" s="67">
        <v>100000</v>
      </c>
      <c r="I139" s="67">
        <v>7.7458949999999999E-2</v>
      </c>
      <c r="J139" s="67">
        <v>100388</v>
      </c>
      <c r="K139" s="71">
        <v>100.38800000000001</v>
      </c>
      <c r="L139" s="29" t="e">
        <f ca="1">IF(B139="","",_xll.BDP(A139&amp;" Corp","INTERVAL_HIGH","START_DATE_OVERRIDE",TEXT($L$3,"AAAAMMDD"),"END_DATE_OVERRIDE",TEXT($L$4,"AAAAMMDD"),"MARKET_DATA_OVERRIDE",$L$5))</f>
        <v>#NAME?</v>
      </c>
      <c r="M139" s="30" t="e">
        <f ca="1">IF(B139="","",_xll.BDP($A139&amp;" Corp","INTERVAL_LOW","START_DATE_OVERRIDE",TEXT($L$3,"AAAAMMDD"),"END_DATE_OVERRIDE",TEXT($L$4,"AAAAMMDD"),"MARKET_DATA_OVERRIDE",$L$5))</f>
        <v>#NAME?</v>
      </c>
      <c r="N139" s="31" t="s">
        <v>902</v>
      </c>
      <c r="O139" s="32" t="e">
        <f ca="1">IF($B139="","",_xll.BDP($A139&amp;" Corp",O$6))</f>
        <v>#NAME?</v>
      </c>
      <c r="P139" s="32" t="e">
        <f ca="1">IF($B139="","",_xll.BDP($A139&amp;" Corp",P$6))</f>
        <v>#NAME?</v>
      </c>
      <c r="Q139" s="30" t="e">
        <f ca="1">IF($B139="","",_xll.BDP($A139&amp;" Corp",Q$5))</f>
        <v>#NAME?</v>
      </c>
      <c r="R139" s="30" t="e">
        <f ca="1">IF($B139="","",_xll.BDP($A139&amp;" Corp",R$5))</f>
        <v>#NAME?</v>
      </c>
      <c r="S139" s="50" t="e">
        <f ca="1">IF($B139="","",_xll.BDP($A139&amp;" Corp",S$5))</f>
        <v>#NAME?</v>
      </c>
      <c r="T139" s="30" t="e">
        <f ca="1">IF($B139="","",_xll.BDP($A139&amp;" Corp",T$5))</f>
        <v>#NAME?</v>
      </c>
      <c r="U139" s="30" t="e">
        <f ca="1">IF($B139="","",_xll.BDP($A139&amp;" Corp",U$5))</f>
        <v>#NAME?</v>
      </c>
      <c r="V139" s="51" t="e">
        <f ca="1">IF($B139="","",IF($T139="VARIABLE",_xll.BDP($A139&amp;" Corp",V$4),_xll.BDP($A139&amp;" Corp",V$5)))</f>
        <v>#NAME?</v>
      </c>
      <c r="W139" s="30" t="e">
        <f ca="1">IF($B139="","",IF($T139="VARIABLE",_xll.BDP($A139&amp;" Corp",W$4),_xll.BDP($A139&amp;" Corp",W$5)))</f>
        <v>#NAME?</v>
      </c>
      <c r="X139" s="30" t="e">
        <f ca="1">IF($B139="","",_xll.BDP($A139&amp;" Corp",X$5))</f>
        <v>#NAME?</v>
      </c>
      <c r="Y139" s="33" t="e">
        <f ca="1">IF($B139="","",_xll.BDP($A139&amp;" Corp",Y$5))</f>
        <v>#NAME?</v>
      </c>
      <c r="Z139" s="52" t="e">
        <f ca="1">IF($B139="","",_xll.BDP($A139&amp;" Corp",Z$5))</f>
        <v>#NAME?</v>
      </c>
      <c r="AA139" s="53" t="e">
        <f ca="1">IF($B139="","",_xll.BDP($A139&amp;" Corp",AA$5))</f>
        <v>#NAME?</v>
      </c>
      <c r="AB139" s="54" t="e">
        <f ca="1">IF($B139="","",_xll.BDP($A139&amp;" Corp",AB$5))</f>
        <v>#NAME?</v>
      </c>
      <c r="AC139" s="54" t="e">
        <f ca="1">IF($B139="","",_xll.BDP($A139&amp;" Corp",AC$5))</f>
        <v>#NAME?</v>
      </c>
      <c r="AD139" s="55" t="e">
        <f ca="1">IF($B139="","",_xll.BDP($A139&amp;" Corp",AD$5))</f>
        <v>#NAME?</v>
      </c>
      <c r="AE139" s="56" t="e">
        <f ca="1">IF($B139="","",_xll.BDP($A139&amp;" Corp",AE$5))</f>
        <v>#NAME?</v>
      </c>
      <c r="AF139" s="29" t="e">
        <f ca="1">IF($B139="","",_xll.BDP($A139&amp;" Corp",AF$5))</f>
        <v>#NAME?</v>
      </c>
      <c r="AG139" s="33" t="e">
        <f ca="1">IF($B139="","",_xll.BDP($A139&amp;" Corp",AG$5))</f>
        <v>#NAME?</v>
      </c>
      <c r="AH139" s="30" t="e">
        <f ca="1">IF($B139="","",_xll.BDP($A139&amp;" Corp",AH$5))</f>
        <v>#NAME?</v>
      </c>
      <c r="AI139" s="30" t="e">
        <f ca="1">IF($B139="","",_xll.BDP($A139&amp;" Corp",AI$5))</f>
        <v>#NAME?</v>
      </c>
      <c r="AJ139" s="30" t="e">
        <f ca="1">IF($B139="","",_xll.BDP($A139&amp;" Corp",AJ$5))</f>
        <v>#NAME?</v>
      </c>
      <c r="AK139" s="11" t="e">
        <f ca="1">IF($B139="","",_xll.BDP($A139&amp;" Corp",AK$5))</f>
        <v>#NAME?</v>
      </c>
      <c r="AL139" s="11" t="e">
        <f ca="1">IF($B139="","",_xll.BDP($A139&amp;" Corp",AL$5))</f>
        <v>#NAME?</v>
      </c>
      <c r="AM139" s="11">
        <v>2</v>
      </c>
      <c r="AN139" s="57">
        <v>1</v>
      </c>
    </row>
    <row r="140" spans="1:40" x14ac:dyDescent="0.3">
      <c r="A140" s="67" t="s">
        <v>445</v>
      </c>
      <c r="B140" s="68" t="s">
        <v>445</v>
      </c>
      <c r="C140" s="75">
        <v>9246</v>
      </c>
      <c r="D140" s="75">
        <v>128</v>
      </c>
      <c r="E140" s="75">
        <v>300000</v>
      </c>
      <c r="F140" s="69">
        <v>0.19051768999999999</v>
      </c>
      <c r="G140" s="70">
        <v>297822</v>
      </c>
      <c r="H140" s="67">
        <v>300000</v>
      </c>
      <c r="I140" s="67">
        <v>0.19051768999999999</v>
      </c>
      <c r="J140" s="67">
        <v>297822</v>
      </c>
      <c r="K140" s="71">
        <v>99.274000000000001</v>
      </c>
      <c r="L140" s="29" t="e">
        <f ca="1">IF(B140="","",_xll.BDP(A140&amp;" Corp","INTERVAL_HIGH","START_DATE_OVERRIDE",TEXT($L$3,"AAAAMMDD"),"END_DATE_OVERRIDE",TEXT($L$4,"AAAAMMDD"),"MARKET_DATA_OVERRIDE",$L$5))</f>
        <v>#NAME?</v>
      </c>
      <c r="M140" s="30" t="e">
        <f ca="1">IF(B140="","",_xll.BDP($A140&amp;" Corp","INTERVAL_LOW","START_DATE_OVERRIDE",TEXT($L$3,"AAAAMMDD"),"END_DATE_OVERRIDE",TEXT($L$4,"AAAAMMDD"),"MARKET_DATA_OVERRIDE",$L$5))</f>
        <v>#NAME?</v>
      </c>
      <c r="N140" s="31" t="s">
        <v>903</v>
      </c>
      <c r="O140" s="32" t="e">
        <f ca="1">IF($B140="","",_xll.BDP($A140&amp;" Corp",O$6))</f>
        <v>#NAME?</v>
      </c>
      <c r="P140" s="32" t="e">
        <f ca="1">IF($B140="","",_xll.BDP($A140&amp;" Corp",P$6))</f>
        <v>#NAME?</v>
      </c>
      <c r="Q140" s="30" t="e">
        <f ca="1">IF($B140="","",_xll.BDP($A140&amp;" Corp",Q$5))</f>
        <v>#NAME?</v>
      </c>
      <c r="R140" s="30" t="e">
        <f ca="1">IF($B140="","",_xll.BDP($A140&amp;" Corp",R$5))</f>
        <v>#NAME?</v>
      </c>
      <c r="S140" s="50" t="e">
        <f ca="1">IF($B140="","",_xll.BDP($A140&amp;" Corp",S$5))</f>
        <v>#NAME?</v>
      </c>
      <c r="T140" s="30" t="e">
        <f ca="1">IF($B140="","",_xll.BDP($A140&amp;" Corp",T$5))</f>
        <v>#NAME?</v>
      </c>
      <c r="U140" s="30" t="e">
        <f ca="1">IF($B140="","",_xll.BDP($A140&amp;" Corp",U$5))</f>
        <v>#NAME?</v>
      </c>
      <c r="V140" s="51" t="e">
        <f ca="1">IF($B140="","",IF($T140="VARIABLE",_xll.BDP($A140&amp;" Corp",V$4),_xll.BDP($A140&amp;" Corp",V$5)))</f>
        <v>#NAME?</v>
      </c>
      <c r="W140" s="30" t="e">
        <f ca="1">IF($B140="","",IF($T140="VARIABLE",_xll.BDP($A140&amp;" Corp",W$4),_xll.BDP($A140&amp;" Corp",W$5)))</f>
        <v>#NAME?</v>
      </c>
      <c r="X140" s="30" t="e">
        <f ca="1">IF($B140="","",_xll.BDP($A140&amp;" Corp",X$5))</f>
        <v>#NAME?</v>
      </c>
      <c r="Y140" s="33" t="e">
        <f ca="1">IF($B140="","",_xll.BDP($A140&amp;" Corp",Y$5))</f>
        <v>#NAME?</v>
      </c>
      <c r="Z140" s="52" t="e">
        <f ca="1">IF($B140="","",_xll.BDP($A140&amp;" Corp",Z$5))</f>
        <v>#NAME?</v>
      </c>
      <c r="AA140" s="53" t="e">
        <f ca="1">IF($B140="","",_xll.BDP($A140&amp;" Corp",AA$5))</f>
        <v>#NAME?</v>
      </c>
      <c r="AB140" s="54" t="e">
        <f ca="1">IF($B140="","",_xll.BDP($A140&amp;" Corp",AB$5))</f>
        <v>#NAME?</v>
      </c>
      <c r="AC140" s="54" t="e">
        <f ca="1">IF($B140="","",_xll.BDP($A140&amp;" Corp",AC$5))</f>
        <v>#NAME?</v>
      </c>
      <c r="AD140" s="55" t="e">
        <f ca="1">IF($B140="","",_xll.BDP($A140&amp;" Corp",AD$5))</f>
        <v>#NAME?</v>
      </c>
      <c r="AE140" s="56" t="e">
        <f ca="1">IF($B140="","",_xll.BDP($A140&amp;" Corp",AE$5))</f>
        <v>#NAME?</v>
      </c>
      <c r="AF140" s="29" t="e">
        <f ca="1">IF($B140="","",_xll.BDP($A140&amp;" Corp",AF$5))</f>
        <v>#NAME?</v>
      </c>
      <c r="AG140" s="33" t="e">
        <f ca="1">IF($B140="","",_xll.BDP($A140&amp;" Corp",AG$5))</f>
        <v>#NAME?</v>
      </c>
      <c r="AH140" s="30" t="e">
        <f ca="1">IF($B140="","",_xll.BDP($A140&amp;" Corp",AH$5))</f>
        <v>#NAME?</v>
      </c>
      <c r="AI140" s="30" t="e">
        <f ca="1">IF($B140="","",_xll.BDP($A140&amp;" Corp",AI$5))</f>
        <v>#NAME?</v>
      </c>
      <c r="AJ140" s="30" t="e">
        <f ca="1">IF($B140="","",_xll.BDP($A140&amp;" Corp",AJ$5))</f>
        <v>#NAME?</v>
      </c>
      <c r="AK140" s="11" t="e">
        <f ca="1">IF($B140="","",_xll.BDP($A140&amp;" Corp",AK$5))</f>
        <v>#NAME?</v>
      </c>
      <c r="AL140" s="11" t="e">
        <f ca="1">IF($B140="","",_xll.BDP($A140&amp;" Corp",AL$5))</f>
        <v>#NAME?</v>
      </c>
      <c r="AM140" s="11">
        <v>7</v>
      </c>
      <c r="AN140" s="57">
        <v>7</v>
      </c>
    </row>
    <row r="141" spans="1:40" x14ac:dyDescent="0.3">
      <c r="A141" s="67" t="s">
        <v>479</v>
      </c>
      <c r="B141" s="68" t="s">
        <v>479</v>
      </c>
      <c r="C141" s="75">
        <v>9311</v>
      </c>
      <c r="D141" s="75">
        <v>128</v>
      </c>
      <c r="E141" s="75">
        <v>200000</v>
      </c>
      <c r="F141" s="69">
        <v>0.12217409</v>
      </c>
      <c r="G141" s="70">
        <v>198052</v>
      </c>
      <c r="H141" s="67">
        <v>200000</v>
      </c>
      <c r="I141" s="67">
        <v>0.12217409</v>
      </c>
      <c r="J141" s="67">
        <v>198052</v>
      </c>
      <c r="K141" s="71">
        <v>99.025999999999996</v>
      </c>
      <c r="L141" s="29" t="e">
        <f ca="1">IF(B141="","",_xll.BDP(A141&amp;" Corp","INTERVAL_HIGH","START_DATE_OVERRIDE",TEXT($L$3,"AAAAMMDD"),"END_DATE_OVERRIDE",TEXT($L$4,"AAAAMMDD"),"MARKET_DATA_OVERRIDE",$L$5))</f>
        <v>#NAME?</v>
      </c>
      <c r="M141" s="30" t="e">
        <f ca="1">IF(B141="","",_xll.BDP($A141&amp;" Corp","INTERVAL_LOW","START_DATE_OVERRIDE",TEXT($L$3,"AAAAMMDD"),"END_DATE_OVERRIDE",TEXT($L$4,"AAAAMMDD"),"MARKET_DATA_OVERRIDE",$L$5))</f>
        <v>#NAME?</v>
      </c>
      <c r="N141" s="31" t="s">
        <v>904</v>
      </c>
      <c r="O141" s="32" t="e">
        <f ca="1">IF($B141="","",_xll.BDP($A141&amp;" Corp",O$6))</f>
        <v>#NAME?</v>
      </c>
      <c r="P141" s="32" t="e">
        <f ca="1">IF($B141="","",_xll.BDP($A141&amp;" Corp",P$6))</f>
        <v>#NAME?</v>
      </c>
      <c r="Q141" s="30" t="e">
        <f ca="1">IF($B141="","",_xll.BDP($A141&amp;" Corp",Q$5))</f>
        <v>#NAME?</v>
      </c>
      <c r="R141" s="30" t="e">
        <f ca="1">IF($B141="","",_xll.BDP($A141&amp;" Corp",R$5))</f>
        <v>#NAME?</v>
      </c>
      <c r="S141" s="50" t="e">
        <f ca="1">IF($B141="","",_xll.BDP($A141&amp;" Corp",S$5))</f>
        <v>#NAME?</v>
      </c>
      <c r="T141" s="30" t="e">
        <f ca="1">IF($B141="","",_xll.BDP($A141&amp;" Corp",T$5))</f>
        <v>#NAME?</v>
      </c>
      <c r="U141" s="30" t="e">
        <f ca="1">IF($B141="","",_xll.BDP($A141&amp;" Corp",U$5))</f>
        <v>#NAME?</v>
      </c>
      <c r="V141" s="51" t="e">
        <f ca="1">IF($B141="","",IF($T141="VARIABLE",_xll.BDP($A141&amp;" Corp",V$4),_xll.BDP($A141&amp;" Corp",V$5)))</f>
        <v>#NAME?</v>
      </c>
      <c r="W141" s="30" t="e">
        <f ca="1">IF($B141="","",IF($T141="VARIABLE",_xll.BDP($A141&amp;" Corp",W$4),_xll.BDP($A141&amp;" Corp",W$5)))</f>
        <v>#NAME?</v>
      </c>
      <c r="X141" s="30" t="e">
        <f ca="1">IF($B141="","",_xll.BDP($A141&amp;" Corp",X$5))</f>
        <v>#NAME?</v>
      </c>
      <c r="Y141" s="33" t="e">
        <f ca="1">IF($B141="","",_xll.BDP($A141&amp;" Corp",Y$5))</f>
        <v>#NAME?</v>
      </c>
      <c r="Z141" s="52" t="e">
        <f ca="1">IF($B141="","",_xll.BDP($A141&amp;" Corp",Z$5))</f>
        <v>#NAME?</v>
      </c>
      <c r="AA141" s="53" t="e">
        <f ca="1">IF($B141="","",_xll.BDP($A141&amp;" Corp",AA$5))</f>
        <v>#NAME?</v>
      </c>
      <c r="AB141" s="54" t="e">
        <f ca="1">IF($B141="","",_xll.BDP($A141&amp;" Corp",AB$5))</f>
        <v>#NAME?</v>
      </c>
      <c r="AC141" s="54" t="e">
        <f ca="1">IF($B141="","",_xll.BDP($A141&amp;" Corp",AC$5))</f>
        <v>#NAME?</v>
      </c>
      <c r="AD141" s="55" t="e">
        <f ca="1">IF($B141="","",_xll.BDP($A141&amp;" Corp",AD$5))</f>
        <v>#NAME?</v>
      </c>
      <c r="AE141" s="56" t="e">
        <f ca="1">IF($B141="","",_xll.BDP($A141&amp;" Corp",AE$5))</f>
        <v>#NAME?</v>
      </c>
      <c r="AF141" s="29" t="e">
        <f ca="1">IF($B141="","",_xll.BDP($A141&amp;" Corp",AF$5))</f>
        <v>#NAME?</v>
      </c>
      <c r="AG141" s="33" t="e">
        <f ca="1">IF($B141="","",_xll.BDP($A141&amp;" Corp",AG$5))</f>
        <v>#NAME?</v>
      </c>
      <c r="AH141" s="30" t="e">
        <f ca="1">IF($B141="","",_xll.BDP($A141&amp;" Corp",AH$5))</f>
        <v>#NAME?</v>
      </c>
      <c r="AI141" s="30" t="e">
        <f ca="1">IF($B141="","",_xll.BDP($A141&amp;" Corp",AI$5))</f>
        <v>#NAME?</v>
      </c>
      <c r="AJ141" s="30" t="e">
        <f ca="1">IF($B141="","",_xll.BDP($A141&amp;" Corp",AJ$5))</f>
        <v>#NAME?</v>
      </c>
      <c r="AK141" s="11" t="e">
        <f ca="1">IF($B141="","",_xll.BDP($A141&amp;" Corp",AK$5))</f>
        <v>#NAME?</v>
      </c>
      <c r="AL141" s="11" t="e">
        <f ca="1">IF($B141="","",_xll.BDP($A141&amp;" Corp",AL$5))</f>
        <v>#NAME?</v>
      </c>
      <c r="AM141" s="11">
        <v>6</v>
      </c>
      <c r="AN141" s="57">
        <v>6</v>
      </c>
    </row>
    <row r="142" spans="1:40" x14ac:dyDescent="0.3">
      <c r="A142" s="67" t="s">
        <v>549</v>
      </c>
      <c r="B142" s="68" t="s">
        <v>549</v>
      </c>
      <c r="C142" s="75">
        <v>9352</v>
      </c>
      <c r="D142" s="75">
        <v>128</v>
      </c>
      <c r="E142" s="75">
        <v>167700.82</v>
      </c>
      <c r="F142" s="69">
        <v>0.12862614</v>
      </c>
      <c r="G142" s="70">
        <v>199932</v>
      </c>
      <c r="H142" s="67">
        <v>167700.82</v>
      </c>
      <c r="I142" s="67">
        <v>0.12862614</v>
      </c>
      <c r="J142" s="67">
        <v>199932</v>
      </c>
      <c r="K142" s="71">
        <v>119.21945283272913</v>
      </c>
      <c r="L142" s="29" t="e">
        <f ca="1">IF(B142="","",_xll.BDP(A142&amp;" Corp","INTERVAL_HIGH","START_DATE_OVERRIDE",TEXT($L$3,"AAAAMMDD"),"END_DATE_OVERRIDE",TEXT($L$4,"AAAAMMDD"),"MARKET_DATA_OVERRIDE",$L$5))</f>
        <v>#NAME?</v>
      </c>
      <c r="M142" s="30" t="e">
        <f ca="1">IF(B142="","",_xll.BDP($A142&amp;" Corp","INTERVAL_LOW","START_DATE_OVERRIDE",TEXT($L$3,"AAAAMMDD"),"END_DATE_OVERRIDE",TEXT($L$4,"AAAAMMDD"),"MARKET_DATA_OVERRIDE",$L$5))</f>
        <v>#NAME?</v>
      </c>
      <c r="N142" s="31" t="s">
        <v>905</v>
      </c>
      <c r="O142" s="32" t="e">
        <f ca="1">IF($B142="","",_xll.BDP($A142&amp;" Corp",O$6))</f>
        <v>#NAME?</v>
      </c>
      <c r="P142" s="32" t="e">
        <f ca="1">IF($B142="","",_xll.BDP($A142&amp;" Corp",P$6))</f>
        <v>#NAME?</v>
      </c>
      <c r="Q142" s="30" t="e">
        <f ca="1">IF($B142="","",_xll.BDP($A142&amp;" Corp",Q$5))</f>
        <v>#NAME?</v>
      </c>
      <c r="R142" s="30" t="e">
        <f ca="1">IF($B142="","",_xll.BDP($A142&amp;" Corp",R$5))</f>
        <v>#NAME?</v>
      </c>
      <c r="S142" s="50" t="e">
        <f ca="1">IF($B142="","",_xll.BDP($A142&amp;" Corp",S$5))</f>
        <v>#NAME?</v>
      </c>
      <c r="T142" s="30" t="e">
        <f ca="1">IF($B142="","",_xll.BDP($A142&amp;" Corp",T$5))</f>
        <v>#NAME?</v>
      </c>
      <c r="U142" s="30" t="e">
        <f ca="1">IF($B142="","",_xll.BDP($A142&amp;" Corp",U$5))</f>
        <v>#NAME?</v>
      </c>
      <c r="V142" s="51" t="e">
        <f ca="1">IF($B142="","",IF($T142="VARIABLE",_xll.BDP($A142&amp;" Corp",V$4),_xll.BDP($A142&amp;" Corp",V$5)))</f>
        <v>#NAME?</v>
      </c>
      <c r="W142" s="30" t="e">
        <f ca="1">IF($B142="","",IF($T142="VARIABLE",_xll.BDP($A142&amp;" Corp",W$4),_xll.BDP($A142&amp;" Corp",W$5)))</f>
        <v>#NAME?</v>
      </c>
      <c r="X142" s="30" t="e">
        <f ca="1">IF($B142="","",_xll.BDP($A142&amp;" Corp",X$5))</f>
        <v>#NAME?</v>
      </c>
      <c r="Y142" s="33" t="e">
        <f ca="1">IF($B142="","",_xll.BDP($A142&amp;" Corp",Y$5))</f>
        <v>#NAME?</v>
      </c>
      <c r="Z142" s="52" t="e">
        <f ca="1">IF($B142="","",_xll.BDP($A142&amp;" Corp",Z$5))</f>
        <v>#NAME?</v>
      </c>
      <c r="AA142" s="53" t="e">
        <f ca="1">IF($B142="","",_xll.BDP($A142&amp;" Corp",AA$5))</f>
        <v>#NAME?</v>
      </c>
      <c r="AB142" s="54" t="e">
        <f ca="1">IF($B142="","",_xll.BDP($A142&amp;" Corp",AB$5))</f>
        <v>#NAME?</v>
      </c>
      <c r="AC142" s="54" t="e">
        <f ca="1">IF($B142="","",_xll.BDP($A142&amp;" Corp",AC$5))</f>
        <v>#NAME?</v>
      </c>
      <c r="AD142" s="55" t="e">
        <f ca="1">IF($B142="","",_xll.BDP($A142&amp;" Corp",AD$5))</f>
        <v>#NAME?</v>
      </c>
      <c r="AE142" s="56" t="e">
        <f ca="1">IF($B142="","",_xll.BDP($A142&amp;" Corp",AE$5))</f>
        <v>#NAME?</v>
      </c>
      <c r="AF142" s="29" t="e">
        <f ca="1">IF($B142="","",_xll.BDP($A142&amp;" Corp",AF$5))</f>
        <v>#NAME?</v>
      </c>
      <c r="AG142" s="33" t="e">
        <f ca="1">IF($B142="","",_xll.BDP($A142&amp;" Corp",AG$5))</f>
        <v>#NAME?</v>
      </c>
      <c r="AH142" s="30" t="e">
        <f ca="1">IF($B142="","",_xll.BDP($A142&amp;" Corp",AH$5))</f>
        <v>#NAME?</v>
      </c>
      <c r="AI142" s="30" t="e">
        <f ca="1">IF($B142="","",_xll.BDP($A142&amp;" Corp",AI$5))</f>
        <v>#NAME?</v>
      </c>
      <c r="AJ142" s="30" t="e">
        <f ca="1">IF($B142="","",_xll.BDP($A142&amp;" Corp",AJ$5))</f>
        <v>#NAME?</v>
      </c>
      <c r="AK142" s="11" t="e">
        <f ca="1">IF($B142="","",_xll.BDP($A142&amp;" Corp",AK$5))</f>
        <v>#NAME?</v>
      </c>
      <c r="AL142" s="11" t="e">
        <f ca="1">IF($B142="","",_xll.BDP($A142&amp;" Corp",AL$5))</f>
        <v>#NAME?</v>
      </c>
      <c r="AM142" s="11">
        <v>5</v>
      </c>
      <c r="AN142" s="57">
        <v>5</v>
      </c>
    </row>
    <row r="143" spans="1:40" x14ac:dyDescent="0.3">
      <c r="A143" s="67" t="s">
        <v>311</v>
      </c>
      <c r="B143" s="68" t="s">
        <v>311</v>
      </c>
      <c r="C143" s="75">
        <v>9326</v>
      </c>
      <c r="D143" s="75">
        <v>128</v>
      </c>
      <c r="E143" s="75">
        <v>400000</v>
      </c>
      <c r="F143" s="69">
        <v>0.31153340000000002</v>
      </c>
      <c r="G143" s="70">
        <v>401946</v>
      </c>
      <c r="H143" s="67">
        <v>400000</v>
      </c>
      <c r="I143" s="67">
        <v>0.31153340000000002</v>
      </c>
      <c r="J143" s="67">
        <v>401946</v>
      </c>
      <c r="K143" s="71">
        <v>100.48650000000001</v>
      </c>
      <c r="L143" s="29" t="e">
        <f ca="1">IF(B143="","",_xll.BDP(A143&amp;" Corp","INTERVAL_HIGH","START_DATE_OVERRIDE",TEXT($L$3,"AAAAMMDD"),"END_DATE_OVERRIDE",TEXT($L$4,"AAAAMMDD"),"MARKET_DATA_OVERRIDE",$L$5))</f>
        <v>#NAME?</v>
      </c>
      <c r="M143" s="30" t="e">
        <f ca="1">IF(B143="","",_xll.BDP($A143&amp;" Corp","INTERVAL_LOW","START_DATE_OVERRIDE",TEXT($L$3,"AAAAMMDD"),"END_DATE_OVERRIDE",TEXT($L$4,"AAAAMMDD"),"MARKET_DATA_OVERRIDE",$L$5))</f>
        <v>#NAME?</v>
      </c>
      <c r="N143" s="31" t="s">
        <v>906</v>
      </c>
      <c r="O143" s="32" t="e">
        <f ca="1">IF($B143="","",_xll.BDP($A143&amp;" Corp",O$6))</f>
        <v>#NAME?</v>
      </c>
      <c r="P143" s="32" t="e">
        <f ca="1">IF($B143="","",_xll.BDP($A143&amp;" Corp",P$6))</f>
        <v>#NAME?</v>
      </c>
      <c r="Q143" s="30" t="e">
        <f ca="1">IF($B143="","",_xll.BDP($A143&amp;" Corp",Q$5))</f>
        <v>#NAME?</v>
      </c>
      <c r="R143" s="30" t="e">
        <f ca="1">IF($B143="","",_xll.BDP($A143&amp;" Corp",R$5))</f>
        <v>#NAME?</v>
      </c>
      <c r="S143" s="50" t="e">
        <f ca="1">IF($B143="","",_xll.BDP($A143&amp;" Corp",S$5))</f>
        <v>#NAME?</v>
      </c>
      <c r="T143" s="30" t="e">
        <f ca="1">IF($B143="","",_xll.BDP($A143&amp;" Corp",T$5))</f>
        <v>#NAME?</v>
      </c>
      <c r="U143" s="30" t="e">
        <f ca="1">IF($B143="","",_xll.BDP($A143&amp;" Corp",U$5))</f>
        <v>#NAME?</v>
      </c>
      <c r="V143" s="51" t="e">
        <f ca="1">IF($B143="","",IF($T143="VARIABLE",_xll.BDP($A143&amp;" Corp",V$4),_xll.BDP($A143&amp;" Corp",V$5)))</f>
        <v>#NAME?</v>
      </c>
      <c r="W143" s="30" t="e">
        <f ca="1">IF($B143="","",IF($T143="VARIABLE",_xll.BDP($A143&amp;" Corp",W$4),_xll.BDP($A143&amp;" Corp",W$5)))</f>
        <v>#NAME?</v>
      </c>
      <c r="X143" s="30" t="e">
        <f ca="1">IF($B143="","",_xll.BDP($A143&amp;" Corp",X$5))</f>
        <v>#NAME?</v>
      </c>
      <c r="Y143" s="33" t="e">
        <f ca="1">IF($B143="","",_xll.BDP($A143&amp;" Corp",Y$5))</f>
        <v>#NAME?</v>
      </c>
      <c r="Z143" s="52" t="e">
        <f ca="1">IF($B143="","",_xll.BDP($A143&amp;" Corp",Z$5))</f>
        <v>#NAME?</v>
      </c>
      <c r="AA143" s="53" t="e">
        <f ca="1">IF($B143="","",_xll.BDP($A143&amp;" Corp",AA$5))</f>
        <v>#NAME?</v>
      </c>
      <c r="AB143" s="54" t="e">
        <f ca="1">IF($B143="","",_xll.BDP($A143&amp;" Corp",AB$5))</f>
        <v>#NAME?</v>
      </c>
      <c r="AC143" s="54" t="e">
        <f ca="1">IF($B143="","",_xll.BDP($A143&amp;" Corp",AC$5))</f>
        <v>#NAME?</v>
      </c>
      <c r="AD143" s="55" t="e">
        <f ca="1">IF($B143="","",_xll.BDP($A143&amp;" Corp",AD$5))</f>
        <v>#NAME?</v>
      </c>
      <c r="AE143" s="56" t="e">
        <f ca="1">IF($B143="","",_xll.BDP($A143&amp;" Corp",AE$5))</f>
        <v>#NAME?</v>
      </c>
      <c r="AF143" s="29" t="e">
        <f ca="1">IF($B143="","",_xll.BDP($A143&amp;" Corp",AF$5))</f>
        <v>#NAME?</v>
      </c>
      <c r="AG143" s="33" t="e">
        <f ca="1">IF($B143="","",_xll.BDP($A143&amp;" Corp",AG$5))</f>
        <v>#NAME?</v>
      </c>
      <c r="AH143" s="30" t="e">
        <f ca="1">IF($B143="","",_xll.BDP($A143&amp;" Corp",AH$5))</f>
        <v>#NAME?</v>
      </c>
      <c r="AI143" s="30" t="e">
        <f ca="1">IF($B143="","",_xll.BDP($A143&amp;" Corp",AI$5))</f>
        <v>#NAME?</v>
      </c>
      <c r="AJ143" s="30" t="e">
        <f ca="1">IF($B143="","",_xll.BDP($A143&amp;" Corp",AJ$5))</f>
        <v>#NAME?</v>
      </c>
      <c r="AK143" s="11" t="e">
        <f ca="1">IF($B143="","",_xll.BDP($A143&amp;" Corp",AK$5))</f>
        <v>#NAME?</v>
      </c>
      <c r="AL143" s="11" t="e">
        <f ca="1">IF($B143="","",_xll.BDP($A143&amp;" Corp",AL$5))</f>
        <v>#NAME?</v>
      </c>
      <c r="AM143" s="11">
        <v>3</v>
      </c>
      <c r="AN143" s="57">
        <v>3</v>
      </c>
    </row>
    <row r="144" spans="1:40" x14ac:dyDescent="0.3">
      <c r="A144" s="67" t="s">
        <v>481</v>
      </c>
      <c r="B144" s="68" t="s">
        <v>481</v>
      </c>
      <c r="C144" s="75">
        <v>9331</v>
      </c>
      <c r="D144" s="75">
        <v>128</v>
      </c>
      <c r="E144" s="75">
        <v>400000</v>
      </c>
      <c r="F144" s="69">
        <v>0.14807155</v>
      </c>
      <c r="G144" s="70">
        <v>400244</v>
      </c>
      <c r="H144" s="67">
        <v>400000</v>
      </c>
      <c r="I144" s="67">
        <v>0.14807155</v>
      </c>
      <c r="J144" s="67">
        <v>400244</v>
      </c>
      <c r="K144" s="71">
        <v>100.06100000000001</v>
      </c>
      <c r="L144" s="29" t="e">
        <f ca="1">IF(B144="","",_xll.BDP(A144&amp;" Corp","INTERVAL_HIGH","START_DATE_OVERRIDE",TEXT($L$3,"AAAAMMDD"),"END_DATE_OVERRIDE",TEXT($L$4,"AAAAMMDD"),"MARKET_DATA_OVERRIDE",$L$5))</f>
        <v>#NAME?</v>
      </c>
      <c r="M144" s="30" t="e">
        <f ca="1">IF(B144="","",_xll.BDP($A144&amp;" Corp","INTERVAL_LOW","START_DATE_OVERRIDE",TEXT($L$3,"AAAAMMDD"),"END_DATE_OVERRIDE",TEXT($L$4,"AAAAMMDD"),"MARKET_DATA_OVERRIDE",$L$5))</f>
        <v>#NAME?</v>
      </c>
      <c r="N144" s="31" t="s">
        <v>907</v>
      </c>
      <c r="O144" s="32" t="e">
        <f ca="1">IF($B144="","",_xll.BDP($A144&amp;" Corp",O$6))</f>
        <v>#NAME?</v>
      </c>
      <c r="P144" s="32" t="e">
        <f ca="1">IF($B144="","",_xll.BDP($A144&amp;" Corp",P$6))</f>
        <v>#NAME?</v>
      </c>
      <c r="Q144" s="30" t="e">
        <f ca="1">IF($B144="","",_xll.BDP($A144&amp;" Corp",Q$5))</f>
        <v>#NAME?</v>
      </c>
      <c r="R144" s="30" t="e">
        <f ca="1">IF($B144="","",_xll.BDP($A144&amp;" Corp",R$5))</f>
        <v>#NAME?</v>
      </c>
      <c r="S144" s="50" t="e">
        <f ca="1">IF($B144="","",_xll.BDP($A144&amp;" Corp",S$5))</f>
        <v>#NAME?</v>
      </c>
      <c r="T144" s="30" t="e">
        <f ca="1">IF($B144="","",_xll.BDP($A144&amp;" Corp",T$5))</f>
        <v>#NAME?</v>
      </c>
      <c r="U144" s="30" t="e">
        <f ca="1">IF($B144="","",_xll.BDP($A144&amp;" Corp",U$5))</f>
        <v>#NAME?</v>
      </c>
      <c r="V144" s="51" t="e">
        <f ca="1">IF($B144="","",IF($T144="VARIABLE",_xll.BDP($A144&amp;" Corp",V$4),_xll.BDP($A144&amp;" Corp",V$5)))</f>
        <v>#NAME?</v>
      </c>
      <c r="W144" s="30" t="e">
        <f ca="1">IF($B144="","",IF($T144="VARIABLE",_xll.BDP($A144&amp;" Corp",W$4),_xll.BDP($A144&amp;" Corp",W$5)))</f>
        <v>#NAME?</v>
      </c>
      <c r="X144" s="30" t="e">
        <f ca="1">IF($B144="","",_xll.BDP($A144&amp;" Corp",X$5))</f>
        <v>#NAME?</v>
      </c>
      <c r="Y144" s="33" t="e">
        <f ca="1">IF($B144="","",_xll.BDP($A144&amp;" Corp",Y$5))</f>
        <v>#NAME?</v>
      </c>
      <c r="Z144" s="52" t="e">
        <f ca="1">IF($B144="","",_xll.BDP($A144&amp;" Corp",Z$5))</f>
        <v>#NAME?</v>
      </c>
      <c r="AA144" s="53" t="e">
        <f ca="1">IF($B144="","",_xll.BDP($A144&amp;" Corp",AA$5))</f>
        <v>#NAME?</v>
      </c>
      <c r="AB144" s="54" t="e">
        <f ca="1">IF($B144="","",_xll.BDP($A144&amp;" Corp",AB$5))</f>
        <v>#NAME?</v>
      </c>
      <c r="AC144" s="54" t="e">
        <f ca="1">IF($B144="","",_xll.BDP($A144&amp;" Corp",AC$5))</f>
        <v>#NAME?</v>
      </c>
      <c r="AD144" s="55" t="e">
        <f ca="1">IF($B144="","",_xll.BDP($A144&amp;" Corp",AD$5))</f>
        <v>#NAME?</v>
      </c>
      <c r="AE144" s="56" t="e">
        <f ca="1">IF($B144="","",_xll.BDP($A144&amp;" Corp",AE$5))</f>
        <v>#NAME?</v>
      </c>
      <c r="AF144" s="29" t="e">
        <f ca="1">IF($B144="","",_xll.BDP($A144&amp;" Corp",AF$5))</f>
        <v>#NAME?</v>
      </c>
      <c r="AG144" s="33" t="e">
        <f ca="1">IF($B144="","",_xll.BDP($A144&amp;" Corp",AG$5))</f>
        <v>#NAME?</v>
      </c>
      <c r="AH144" s="30" t="e">
        <f ca="1">IF($B144="","",_xll.BDP($A144&amp;" Corp",AH$5))</f>
        <v>#NAME?</v>
      </c>
      <c r="AI144" s="30" t="e">
        <f ca="1">IF($B144="","",_xll.BDP($A144&amp;" Corp",AI$5))</f>
        <v>#NAME?</v>
      </c>
      <c r="AJ144" s="30" t="e">
        <f ca="1">IF($B144="","",_xll.BDP($A144&amp;" Corp",AJ$5))</f>
        <v>#NAME?</v>
      </c>
      <c r="AK144" s="11" t="e">
        <f ca="1">IF($B144="","",_xll.BDP($A144&amp;" Corp",AK$5))</f>
        <v>#NAME?</v>
      </c>
      <c r="AL144" s="11" t="e">
        <f ca="1">IF($B144="","",_xll.BDP($A144&amp;" Corp",AL$5))</f>
        <v>#NAME?</v>
      </c>
      <c r="AM144" s="11">
        <v>5</v>
      </c>
      <c r="AN144" s="57">
        <v>4</v>
      </c>
    </row>
    <row r="145" spans="1:40" x14ac:dyDescent="0.3">
      <c r="A145" s="67" t="s">
        <v>308</v>
      </c>
      <c r="B145" s="68" t="s">
        <v>308</v>
      </c>
      <c r="C145" s="75">
        <v>9395</v>
      </c>
      <c r="D145" s="75">
        <v>128</v>
      </c>
      <c r="E145" s="75">
        <v>600000</v>
      </c>
      <c r="F145" s="69">
        <v>0.39333309</v>
      </c>
      <c r="G145" s="70">
        <v>599850</v>
      </c>
      <c r="H145" s="67">
        <v>600000</v>
      </c>
      <c r="I145" s="67">
        <v>0.39333309</v>
      </c>
      <c r="J145" s="67">
        <v>599850</v>
      </c>
      <c r="K145" s="71">
        <v>99.974999999999994</v>
      </c>
      <c r="L145" s="29" t="e">
        <f ca="1">IF(B145="","",_xll.BDP(A145&amp;" Corp","INTERVAL_HIGH","START_DATE_OVERRIDE",TEXT($L$3,"AAAAMMDD"),"END_DATE_OVERRIDE",TEXT($L$4,"AAAAMMDD"),"MARKET_DATA_OVERRIDE",$L$5))</f>
        <v>#NAME?</v>
      </c>
      <c r="M145" s="30" t="e">
        <f ca="1">IF(B145="","",_xll.BDP($A145&amp;" Corp","INTERVAL_LOW","START_DATE_OVERRIDE",TEXT($L$3,"AAAAMMDD"),"END_DATE_OVERRIDE",TEXT($L$4,"AAAAMMDD"),"MARKET_DATA_OVERRIDE",$L$5))</f>
        <v>#NAME?</v>
      </c>
      <c r="N145" s="31" t="s">
        <v>908</v>
      </c>
      <c r="O145" s="32" t="e">
        <f ca="1">IF($B145="","",_xll.BDP($A145&amp;" Corp",O$6))</f>
        <v>#NAME?</v>
      </c>
      <c r="P145" s="32" t="e">
        <f ca="1">IF($B145="","",_xll.BDP($A145&amp;" Corp",P$6))</f>
        <v>#NAME?</v>
      </c>
      <c r="Q145" s="30" t="e">
        <f ca="1">IF($B145="","",_xll.BDP($A145&amp;" Corp",Q$5))</f>
        <v>#NAME?</v>
      </c>
      <c r="R145" s="30" t="e">
        <f ca="1">IF($B145="","",_xll.BDP($A145&amp;" Corp",R$5))</f>
        <v>#NAME?</v>
      </c>
      <c r="S145" s="50" t="e">
        <f ca="1">IF($B145="","",_xll.BDP($A145&amp;" Corp",S$5))</f>
        <v>#NAME?</v>
      </c>
      <c r="T145" s="30" t="e">
        <f ca="1">IF($B145="","",_xll.BDP($A145&amp;" Corp",T$5))</f>
        <v>#NAME?</v>
      </c>
      <c r="U145" s="30" t="e">
        <f ca="1">IF($B145="","",_xll.BDP($A145&amp;" Corp",U$5))</f>
        <v>#NAME?</v>
      </c>
      <c r="V145" s="51" t="e">
        <f ca="1">IF($B145="","",IF($T145="VARIABLE",_xll.BDP($A145&amp;" Corp",V$4),_xll.BDP($A145&amp;" Corp",V$5)))</f>
        <v>#NAME?</v>
      </c>
      <c r="W145" s="30" t="e">
        <f ca="1">IF($B145="","",IF($T145="VARIABLE",_xll.BDP($A145&amp;" Corp",W$4),_xll.BDP($A145&amp;" Corp",W$5)))</f>
        <v>#NAME?</v>
      </c>
      <c r="X145" s="30" t="e">
        <f ca="1">IF($B145="","",_xll.BDP($A145&amp;" Corp",X$5))</f>
        <v>#NAME?</v>
      </c>
      <c r="Y145" s="33" t="e">
        <f ca="1">IF($B145="","",_xll.BDP($A145&amp;" Corp",Y$5))</f>
        <v>#NAME?</v>
      </c>
      <c r="Z145" s="52" t="e">
        <f ca="1">IF($B145="","",_xll.BDP($A145&amp;" Corp",Z$5))</f>
        <v>#NAME?</v>
      </c>
      <c r="AA145" s="53" t="e">
        <f ca="1">IF($B145="","",_xll.BDP($A145&amp;" Corp",AA$5))</f>
        <v>#NAME?</v>
      </c>
      <c r="AB145" s="54" t="e">
        <f ca="1">IF($B145="","",_xll.BDP($A145&amp;" Corp",AB$5))</f>
        <v>#NAME?</v>
      </c>
      <c r="AC145" s="54" t="e">
        <f ca="1">IF($B145="","",_xll.BDP($A145&amp;" Corp",AC$5))</f>
        <v>#NAME?</v>
      </c>
      <c r="AD145" s="55" t="e">
        <f ca="1">IF($B145="","",_xll.BDP($A145&amp;" Corp",AD$5))</f>
        <v>#NAME?</v>
      </c>
      <c r="AE145" s="56" t="e">
        <f ca="1">IF($B145="","",_xll.BDP($A145&amp;" Corp",AE$5))</f>
        <v>#NAME?</v>
      </c>
      <c r="AF145" s="29" t="e">
        <f ca="1">IF($B145="","",_xll.BDP($A145&amp;" Corp",AF$5))</f>
        <v>#NAME?</v>
      </c>
      <c r="AG145" s="33" t="e">
        <f ca="1">IF($B145="","",_xll.BDP($A145&amp;" Corp",AG$5))</f>
        <v>#NAME?</v>
      </c>
      <c r="AH145" s="30" t="e">
        <f ca="1">IF($B145="","",_xll.BDP($A145&amp;" Corp",AH$5))</f>
        <v>#NAME?</v>
      </c>
      <c r="AI145" s="30" t="e">
        <f ca="1">IF($B145="","",_xll.BDP($A145&amp;" Corp",AI$5))</f>
        <v>#NAME?</v>
      </c>
      <c r="AJ145" s="30" t="e">
        <f ca="1">IF($B145="","",_xll.BDP($A145&amp;" Corp",AJ$5))</f>
        <v>#NAME?</v>
      </c>
      <c r="AK145" s="11" t="e">
        <f ca="1">IF($B145="","",_xll.BDP($A145&amp;" Corp",AK$5))</f>
        <v>#NAME?</v>
      </c>
      <c r="AL145" s="11" t="e">
        <f ca="1">IF($B145="","",_xll.BDP($A145&amp;" Corp",AL$5))</f>
        <v>#NAME?</v>
      </c>
      <c r="AM145" s="11">
        <v>5</v>
      </c>
      <c r="AN145" s="57">
        <v>5</v>
      </c>
    </row>
    <row r="146" spans="1:40" x14ac:dyDescent="0.3">
      <c r="A146" s="67" t="s">
        <v>292</v>
      </c>
      <c r="B146" s="68" t="s">
        <v>292</v>
      </c>
      <c r="C146" s="75">
        <v>9392</v>
      </c>
      <c r="D146" s="75">
        <v>128</v>
      </c>
      <c r="E146" s="75">
        <v>100000</v>
      </c>
      <c r="F146" s="69">
        <v>7.9433279999999995E-2</v>
      </c>
      <c r="G146" s="70">
        <v>99550</v>
      </c>
      <c r="H146" s="67">
        <v>100000</v>
      </c>
      <c r="I146" s="67">
        <v>7.9433279999999995E-2</v>
      </c>
      <c r="J146" s="67">
        <v>99550</v>
      </c>
      <c r="K146" s="71">
        <v>99.55</v>
      </c>
      <c r="L146" s="29" t="e">
        <f ca="1">IF(B146="","",_xll.BDP(A146&amp;" Corp","INTERVAL_HIGH","START_DATE_OVERRIDE",TEXT($L$3,"AAAAMMDD"),"END_DATE_OVERRIDE",TEXT($L$4,"AAAAMMDD"),"MARKET_DATA_OVERRIDE",$L$5))</f>
        <v>#NAME?</v>
      </c>
      <c r="M146" s="30" t="e">
        <f ca="1">IF(B146="","",_xll.BDP($A146&amp;" Corp","INTERVAL_LOW","START_DATE_OVERRIDE",TEXT($L$3,"AAAAMMDD"),"END_DATE_OVERRIDE",TEXT($L$4,"AAAAMMDD"),"MARKET_DATA_OVERRIDE",$L$5))</f>
        <v>#NAME?</v>
      </c>
      <c r="N146" s="31" t="s">
        <v>909</v>
      </c>
      <c r="O146" s="32" t="e">
        <f ca="1">IF($B146="","",_xll.BDP($A146&amp;" Corp",O$6))</f>
        <v>#NAME?</v>
      </c>
      <c r="P146" s="32" t="e">
        <f ca="1">IF($B146="","",_xll.BDP($A146&amp;" Corp",P$6))</f>
        <v>#NAME?</v>
      </c>
      <c r="Q146" s="30" t="e">
        <f ca="1">IF($B146="","",_xll.BDP($A146&amp;" Corp",Q$5))</f>
        <v>#NAME?</v>
      </c>
      <c r="R146" s="30" t="e">
        <f ca="1">IF($B146="","",_xll.BDP($A146&amp;" Corp",R$5))</f>
        <v>#NAME?</v>
      </c>
      <c r="S146" s="50" t="e">
        <f ca="1">IF($B146="","",_xll.BDP($A146&amp;" Corp",S$5))</f>
        <v>#NAME?</v>
      </c>
      <c r="T146" s="30" t="e">
        <f ca="1">IF($B146="","",_xll.BDP($A146&amp;" Corp",T$5))</f>
        <v>#NAME?</v>
      </c>
      <c r="U146" s="30" t="e">
        <f ca="1">IF($B146="","",_xll.BDP($A146&amp;" Corp",U$5))</f>
        <v>#NAME?</v>
      </c>
      <c r="V146" s="51" t="e">
        <f ca="1">IF($B146="","",IF($T146="VARIABLE",_xll.BDP($A146&amp;" Corp",V$4),_xll.BDP($A146&amp;" Corp",V$5)))</f>
        <v>#NAME?</v>
      </c>
      <c r="W146" s="30" t="e">
        <f ca="1">IF($B146="","",IF($T146="VARIABLE",_xll.BDP($A146&amp;" Corp",W$4),_xll.BDP($A146&amp;" Corp",W$5)))</f>
        <v>#NAME?</v>
      </c>
      <c r="X146" s="30" t="e">
        <f ca="1">IF($B146="","",_xll.BDP($A146&amp;" Corp",X$5))</f>
        <v>#NAME?</v>
      </c>
      <c r="Y146" s="33" t="e">
        <f ca="1">IF($B146="","",_xll.BDP($A146&amp;" Corp",Y$5))</f>
        <v>#NAME?</v>
      </c>
      <c r="Z146" s="52" t="e">
        <f ca="1">IF($B146="","",_xll.BDP($A146&amp;" Corp",Z$5))</f>
        <v>#NAME?</v>
      </c>
      <c r="AA146" s="53" t="e">
        <f ca="1">IF($B146="","",_xll.BDP($A146&amp;" Corp",AA$5))</f>
        <v>#NAME?</v>
      </c>
      <c r="AB146" s="54" t="e">
        <f ca="1">IF($B146="","",_xll.BDP($A146&amp;" Corp",AB$5))</f>
        <v>#NAME?</v>
      </c>
      <c r="AC146" s="54" t="e">
        <f ca="1">IF($B146="","",_xll.BDP($A146&amp;" Corp",AC$5))</f>
        <v>#NAME?</v>
      </c>
      <c r="AD146" s="55" t="e">
        <f ca="1">IF($B146="","",_xll.BDP($A146&amp;" Corp",AD$5))</f>
        <v>#NAME?</v>
      </c>
      <c r="AE146" s="56" t="e">
        <f ca="1">IF($B146="","",_xll.BDP($A146&amp;" Corp",AE$5))</f>
        <v>#NAME?</v>
      </c>
      <c r="AF146" s="29" t="e">
        <f ca="1">IF($B146="","",_xll.BDP($A146&amp;" Corp",AF$5))</f>
        <v>#NAME?</v>
      </c>
      <c r="AG146" s="33" t="e">
        <f ca="1">IF($B146="","",_xll.BDP($A146&amp;" Corp",AG$5))</f>
        <v>#NAME?</v>
      </c>
      <c r="AH146" s="30" t="e">
        <f ca="1">IF($B146="","",_xll.BDP($A146&amp;" Corp",AH$5))</f>
        <v>#NAME?</v>
      </c>
      <c r="AI146" s="30" t="e">
        <f ca="1">IF($B146="","",_xll.BDP($A146&amp;" Corp",AI$5))</f>
        <v>#NAME?</v>
      </c>
      <c r="AJ146" s="30" t="e">
        <f ca="1">IF($B146="","",_xll.BDP($A146&amp;" Corp",AJ$5))</f>
        <v>#NAME?</v>
      </c>
      <c r="AK146" s="11" t="e">
        <f ca="1">IF($B146="","",_xll.BDP($A146&amp;" Corp",AK$5))</f>
        <v>#NAME?</v>
      </c>
      <c r="AL146" s="11" t="e">
        <f ca="1">IF($B146="","",_xll.BDP($A146&amp;" Corp",AL$5))</f>
        <v>#NAME?</v>
      </c>
      <c r="AM146" s="11">
        <v>1</v>
      </c>
      <c r="AN146" s="57">
        <v>1</v>
      </c>
    </row>
    <row r="147" spans="1:40" x14ac:dyDescent="0.3">
      <c r="A147" s="67" t="s">
        <v>566</v>
      </c>
      <c r="B147" s="68" t="s">
        <v>566</v>
      </c>
      <c r="C147" s="75">
        <v>9406</v>
      </c>
      <c r="D147" s="75">
        <v>128</v>
      </c>
      <c r="E147" s="75">
        <v>400000</v>
      </c>
      <c r="F147" s="69">
        <v>0.28568440000000001</v>
      </c>
      <c r="G147" s="70">
        <v>406944.57</v>
      </c>
      <c r="H147" s="67">
        <v>400000</v>
      </c>
      <c r="I147" s="67">
        <v>0.28568440000000001</v>
      </c>
      <c r="J147" s="67">
        <v>406944.57</v>
      </c>
      <c r="K147" s="71">
        <v>101.7361425</v>
      </c>
      <c r="L147" s="29" t="e">
        <f ca="1">IF(B147="","",_xll.BDP(A147&amp;" Corp","INTERVAL_HIGH","START_DATE_OVERRIDE",TEXT($L$3,"AAAAMMDD"),"END_DATE_OVERRIDE",TEXT($L$4,"AAAAMMDD"),"MARKET_DATA_OVERRIDE",$L$5))</f>
        <v>#NAME?</v>
      </c>
      <c r="M147" s="30" t="e">
        <f ca="1">IF(B147="","",_xll.BDP($A147&amp;" Corp","INTERVAL_LOW","START_DATE_OVERRIDE",TEXT($L$3,"AAAAMMDD"),"END_DATE_OVERRIDE",TEXT($L$4,"AAAAMMDD"),"MARKET_DATA_OVERRIDE",$L$5))</f>
        <v>#NAME?</v>
      </c>
      <c r="N147" s="31" t="s">
        <v>910</v>
      </c>
      <c r="O147" s="32" t="e">
        <f ca="1">IF($B147="","",_xll.BDP($A147&amp;" Corp",O$6))</f>
        <v>#NAME?</v>
      </c>
      <c r="P147" s="32" t="e">
        <f ca="1">IF($B147="","",_xll.BDP($A147&amp;" Corp",P$6))</f>
        <v>#NAME?</v>
      </c>
      <c r="Q147" s="30" t="e">
        <f ca="1">IF($B147="","",_xll.BDP($A147&amp;" Corp",Q$5))</f>
        <v>#NAME?</v>
      </c>
      <c r="R147" s="30" t="e">
        <f ca="1">IF($B147="","",_xll.BDP($A147&amp;" Corp",R$5))</f>
        <v>#NAME?</v>
      </c>
      <c r="S147" s="50" t="e">
        <f ca="1">IF($B147="","",_xll.BDP($A147&amp;" Corp",S$5))</f>
        <v>#NAME?</v>
      </c>
      <c r="T147" s="30" t="e">
        <f ca="1">IF($B147="","",_xll.BDP($A147&amp;" Corp",T$5))</f>
        <v>#NAME?</v>
      </c>
      <c r="U147" s="30" t="e">
        <f ca="1">IF($B147="","",_xll.BDP($A147&amp;" Corp",U$5))</f>
        <v>#NAME?</v>
      </c>
      <c r="V147" s="51" t="e">
        <f ca="1">IF($B147="","",IF($T147="VARIABLE",_xll.BDP($A147&amp;" Corp",V$4),_xll.BDP($A147&amp;" Corp",V$5)))</f>
        <v>#NAME?</v>
      </c>
      <c r="W147" s="30" t="e">
        <f ca="1">IF($B147="","",IF($T147="VARIABLE",_xll.BDP($A147&amp;" Corp",W$4),_xll.BDP($A147&amp;" Corp",W$5)))</f>
        <v>#NAME?</v>
      </c>
      <c r="X147" s="30" t="e">
        <f ca="1">IF($B147="","",_xll.BDP($A147&amp;" Corp",X$5))</f>
        <v>#NAME?</v>
      </c>
      <c r="Y147" s="33" t="e">
        <f ca="1">IF($B147="","",_xll.BDP($A147&amp;" Corp",Y$5))</f>
        <v>#NAME?</v>
      </c>
      <c r="Z147" s="52" t="e">
        <f ca="1">IF($B147="","",_xll.BDP($A147&amp;" Corp",Z$5))</f>
        <v>#NAME?</v>
      </c>
      <c r="AA147" s="53" t="e">
        <f ca="1">IF($B147="","",_xll.BDP($A147&amp;" Corp",AA$5))</f>
        <v>#NAME?</v>
      </c>
      <c r="AB147" s="54" t="e">
        <f ca="1">IF($B147="","",_xll.BDP($A147&amp;" Corp",AB$5))</f>
        <v>#NAME?</v>
      </c>
      <c r="AC147" s="54" t="e">
        <f ca="1">IF($B147="","",_xll.BDP($A147&amp;" Corp",AC$5))</f>
        <v>#NAME?</v>
      </c>
      <c r="AD147" s="55" t="e">
        <f ca="1">IF($B147="","",_xll.BDP($A147&amp;" Corp",AD$5))</f>
        <v>#NAME?</v>
      </c>
      <c r="AE147" s="56" t="e">
        <f ca="1">IF($B147="","",_xll.BDP($A147&amp;" Corp",AE$5))</f>
        <v>#NAME?</v>
      </c>
      <c r="AF147" s="29" t="e">
        <f ca="1">IF($B147="","",_xll.BDP($A147&amp;" Corp",AF$5))</f>
        <v>#NAME?</v>
      </c>
      <c r="AG147" s="33" t="e">
        <f ca="1">IF($B147="","",_xll.BDP($A147&amp;" Corp",AG$5))</f>
        <v>#NAME?</v>
      </c>
      <c r="AH147" s="30" t="e">
        <f ca="1">IF($B147="","",_xll.BDP($A147&amp;" Corp",AH$5))</f>
        <v>#NAME?</v>
      </c>
      <c r="AI147" s="30" t="e">
        <f ca="1">IF($B147="","",_xll.BDP($A147&amp;" Corp",AI$5))</f>
        <v>#NAME?</v>
      </c>
      <c r="AJ147" s="30" t="e">
        <f ca="1">IF($B147="","",_xll.BDP($A147&amp;" Corp",AJ$5))</f>
        <v>#NAME?</v>
      </c>
      <c r="AK147" s="11" t="e">
        <f ca="1">IF($B147="","",_xll.BDP($A147&amp;" Corp",AK$5))</f>
        <v>#NAME?</v>
      </c>
      <c r="AL147" s="11" t="e">
        <f ca="1">IF($B147="","",_xll.BDP($A147&amp;" Corp",AL$5))</f>
        <v>#NAME?</v>
      </c>
      <c r="AM147" s="11">
        <v>3</v>
      </c>
      <c r="AN147" s="57">
        <v>3</v>
      </c>
    </row>
    <row r="148" spans="1:40" x14ac:dyDescent="0.3">
      <c r="A148" s="67" t="s">
        <v>405</v>
      </c>
      <c r="B148" s="68" t="s">
        <v>405</v>
      </c>
      <c r="C148" s="75">
        <v>9396</v>
      </c>
      <c r="D148" s="75">
        <v>128</v>
      </c>
      <c r="E148" s="75">
        <v>700000</v>
      </c>
      <c r="F148" s="69">
        <v>0.52327433000000001</v>
      </c>
      <c r="G148" s="70">
        <v>694884</v>
      </c>
      <c r="H148" s="67">
        <v>700000</v>
      </c>
      <c r="I148" s="67">
        <v>0.52327433000000001</v>
      </c>
      <c r="J148" s="67">
        <v>694884</v>
      </c>
      <c r="K148" s="71">
        <v>99.269142857142853</v>
      </c>
      <c r="L148" s="29" t="e">
        <f ca="1">IF(B148="","",_xll.BDP(A148&amp;" Corp","INTERVAL_HIGH","START_DATE_OVERRIDE",TEXT($L$3,"AAAAMMDD"),"END_DATE_OVERRIDE",TEXT($L$4,"AAAAMMDD"),"MARKET_DATA_OVERRIDE",$L$5))</f>
        <v>#NAME?</v>
      </c>
      <c r="M148" s="30" t="e">
        <f ca="1">IF(B148="","",_xll.BDP($A148&amp;" Corp","INTERVAL_LOW","START_DATE_OVERRIDE",TEXT($L$3,"AAAAMMDD"),"END_DATE_OVERRIDE",TEXT($L$4,"AAAAMMDD"),"MARKET_DATA_OVERRIDE",$L$5))</f>
        <v>#NAME?</v>
      </c>
      <c r="N148" s="31" t="s">
        <v>911</v>
      </c>
      <c r="O148" s="32" t="e">
        <f ca="1">IF($B148="","",_xll.BDP($A148&amp;" Corp",O$6))</f>
        <v>#NAME?</v>
      </c>
      <c r="P148" s="32" t="e">
        <f ca="1">IF($B148="","",_xll.BDP($A148&amp;" Corp",P$6))</f>
        <v>#NAME?</v>
      </c>
      <c r="Q148" s="30" t="e">
        <f ca="1">IF($B148="","",_xll.BDP($A148&amp;" Corp",Q$5))</f>
        <v>#NAME?</v>
      </c>
      <c r="R148" s="30" t="e">
        <f ca="1">IF($B148="","",_xll.BDP($A148&amp;" Corp",R$5))</f>
        <v>#NAME?</v>
      </c>
      <c r="S148" s="50" t="e">
        <f ca="1">IF($B148="","",_xll.BDP($A148&amp;" Corp",S$5))</f>
        <v>#NAME?</v>
      </c>
      <c r="T148" s="30" t="e">
        <f ca="1">IF($B148="","",_xll.BDP($A148&amp;" Corp",T$5))</f>
        <v>#NAME?</v>
      </c>
      <c r="U148" s="30" t="e">
        <f ca="1">IF($B148="","",_xll.BDP($A148&amp;" Corp",U$5))</f>
        <v>#NAME?</v>
      </c>
      <c r="V148" s="51" t="e">
        <f ca="1">IF($B148="","",IF($T148="VARIABLE",_xll.BDP($A148&amp;" Corp",V$4),_xll.BDP($A148&amp;" Corp",V$5)))</f>
        <v>#NAME?</v>
      </c>
      <c r="W148" s="30" t="e">
        <f ca="1">IF($B148="","",IF($T148="VARIABLE",_xll.BDP($A148&amp;" Corp",W$4),_xll.BDP($A148&amp;" Corp",W$5)))</f>
        <v>#NAME?</v>
      </c>
      <c r="X148" s="30" t="e">
        <f ca="1">IF($B148="","",_xll.BDP($A148&amp;" Corp",X$5))</f>
        <v>#NAME?</v>
      </c>
      <c r="Y148" s="33" t="e">
        <f ca="1">IF($B148="","",_xll.BDP($A148&amp;" Corp",Y$5))</f>
        <v>#NAME?</v>
      </c>
      <c r="Z148" s="52" t="e">
        <f ca="1">IF($B148="","",_xll.BDP($A148&amp;" Corp",Z$5))</f>
        <v>#NAME?</v>
      </c>
      <c r="AA148" s="53" t="e">
        <f ca="1">IF($B148="","",_xll.BDP($A148&amp;" Corp",AA$5))</f>
        <v>#NAME?</v>
      </c>
      <c r="AB148" s="54" t="e">
        <f ca="1">IF($B148="","",_xll.BDP($A148&amp;" Corp",AB$5))</f>
        <v>#NAME?</v>
      </c>
      <c r="AC148" s="54" t="e">
        <f ca="1">IF($B148="","",_xll.BDP($A148&amp;" Corp",AC$5))</f>
        <v>#NAME?</v>
      </c>
      <c r="AD148" s="55" t="e">
        <f ca="1">IF($B148="","",_xll.BDP($A148&amp;" Corp",AD$5))</f>
        <v>#NAME?</v>
      </c>
      <c r="AE148" s="56" t="e">
        <f ca="1">IF($B148="","",_xll.BDP($A148&amp;" Corp",AE$5))</f>
        <v>#NAME?</v>
      </c>
      <c r="AF148" s="29" t="e">
        <f ca="1">IF($B148="","",_xll.BDP($A148&amp;" Corp",AF$5))</f>
        <v>#NAME?</v>
      </c>
      <c r="AG148" s="33" t="e">
        <f ca="1">IF($B148="","",_xll.BDP($A148&amp;" Corp",AG$5))</f>
        <v>#NAME?</v>
      </c>
      <c r="AH148" s="30" t="e">
        <f ca="1">IF($B148="","",_xll.BDP($A148&amp;" Corp",AH$5))</f>
        <v>#NAME?</v>
      </c>
      <c r="AI148" s="30" t="e">
        <f ca="1">IF($B148="","",_xll.BDP($A148&amp;" Corp",AI$5))</f>
        <v>#NAME?</v>
      </c>
      <c r="AJ148" s="30" t="e">
        <f ca="1">IF($B148="","",_xll.BDP($A148&amp;" Corp",AJ$5))</f>
        <v>#NAME?</v>
      </c>
      <c r="AK148" s="11" t="e">
        <f ca="1">IF($B148="","",_xll.BDP($A148&amp;" Corp",AK$5))</f>
        <v>#NAME?</v>
      </c>
      <c r="AL148" s="11" t="e">
        <f ca="1">IF($B148="","",_xll.BDP($A148&amp;" Corp",AL$5))</f>
        <v>#NAME?</v>
      </c>
      <c r="AM148" s="11">
        <v>2</v>
      </c>
      <c r="AN148" s="57">
        <v>2</v>
      </c>
    </row>
    <row r="149" spans="1:40" x14ac:dyDescent="0.3">
      <c r="A149" s="67" t="s">
        <v>588</v>
      </c>
      <c r="B149" s="68" t="s">
        <v>588</v>
      </c>
      <c r="C149" s="75">
        <v>9407</v>
      </c>
      <c r="D149" s="75">
        <v>128</v>
      </c>
      <c r="E149" s="75">
        <v>700000</v>
      </c>
      <c r="F149" s="69">
        <v>0.47607219000000001</v>
      </c>
      <c r="G149" s="70">
        <v>695899</v>
      </c>
      <c r="H149" s="67">
        <v>700000</v>
      </c>
      <c r="I149" s="67">
        <v>0.47607219000000001</v>
      </c>
      <c r="J149" s="67">
        <v>695899</v>
      </c>
      <c r="K149" s="71">
        <v>99.414142857142863</v>
      </c>
      <c r="L149" s="29" t="e">
        <f ca="1">IF(B149="","",_xll.BDP(A149&amp;" Corp","INTERVAL_HIGH","START_DATE_OVERRIDE",TEXT($L$3,"AAAAMMDD"),"END_DATE_OVERRIDE",TEXT($L$4,"AAAAMMDD"),"MARKET_DATA_OVERRIDE",$L$5))</f>
        <v>#NAME?</v>
      </c>
      <c r="M149" s="30" t="e">
        <f ca="1">IF(B149="","",_xll.BDP($A149&amp;" Corp","INTERVAL_LOW","START_DATE_OVERRIDE",TEXT($L$3,"AAAAMMDD"),"END_DATE_OVERRIDE",TEXT($L$4,"AAAAMMDD"),"MARKET_DATA_OVERRIDE",$L$5))</f>
        <v>#NAME?</v>
      </c>
      <c r="N149" s="31" t="s">
        <v>912</v>
      </c>
      <c r="O149" s="32" t="e">
        <f ca="1">IF($B149="","",_xll.BDP($A149&amp;" Corp",O$6))</f>
        <v>#NAME?</v>
      </c>
      <c r="P149" s="32" t="e">
        <f ca="1">IF($B149="","",_xll.BDP($A149&amp;" Corp",P$6))</f>
        <v>#NAME?</v>
      </c>
      <c r="Q149" s="30" t="e">
        <f ca="1">IF($B149="","",_xll.BDP($A149&amp;" Corp",Q$5))</f>
        <v>#NAME?</v>
      </c>
      <c r="R149" s="30" t="e">
        <f ca="1">IF($B149="","",_xll.BDP($A149&amp;" Corp",R$5))</f>
        <v>#NAME?</v>
      </c>
      <c r="S149" s="50" t="e">
        <f ca="1">IF($B149="","",_xll.BDP($A149&amp;" Corp",S$5))</f>
        <v>#NAME?</v>
      </c>
      <c r="T149" s="30" t="e">
        <f ca="1">IF($B149="","",_xll.BDP($A149&amp;" Corp",T$5))</f>
        <v>#NAME?</v>
      </c>
      <c r="U149" s="30" t="e">
        <f ca="1">IF($B149="","",_xll.BDP($A149&amp;" Corp",U$5))</f>
        <v>#NAME?</v>
      </c>
      <c r="V149" s="51" t="e">
        <f ca="1">IF($B149="","",IF($T149="VARIABLE",_xll.BDP($A149&amp;" Corp",V$4),_xll.BDP($A149&amp;" Corp",V$5)))</f>
        <v>#NAME?</v>
      </c>
      <c r="W149" s="30" t="e">
        <f ca="1">IF($B149="","",IF($T149="VARIABLE",_xll.BDP($A149&amp;" Corp",W$4),_xll.BDP($A149&amp;" Corp",W$5)))</f>
        <v>#NAME?</v>
      </c>
      <c r="X149" s="30" t="e">
        <f ca="1">IF($B149="","",_xll.BDP($A149&amp;" Corp",X$5))</f>
        <v>#NAME?</v>
      </c>
      <c r="Y149" s="33" t="e">
        <f ca="1">IF($B149="","",_xll.BDP($A149&amp;" Corp",Y$5))</f>
        <v>#NAME?</v>
      </c>
      <c r="Z149" s="52" t="e">
        <f ca="1">IF($B149="","",_xll.BDP($A149&amp;" Corp",Z$5))</f>
        <v>#NAME?</v>
      </c>
      <c r="AA149" s="53" t="e">
        <f ca="1">IF($B149="","",_xll.BDP($A149&amp;" Corp",AA$5))</f>
        <v>#NAME?</v>
      </c>
      <c r="AB149" s="54" t="e">
        <f ca="1">IF($B149="","",_xll.BDP($A149&amp;" Corp",AB$5))</f>
        <v>#NAME?</v>
      </c>
      <c r="AC149" s="54" t="e">
        <f ca="1">IF($B149="","",_xll.BDP($A149&amp;" Corp",AC$5))</f>
        <v>#NAME?</v>
      </c>
      <c r="AD149" s="55" t="e">
        <f ca="1">IF($B149="","",_xll.BDP($A149&amp;" Corp",AD$5))</f>
        <v>#NAME?</v>
      </c>
      <c r="AE149" s="56" t="e">
        <f ca="1">IF($B149="","",_xll.BDP($A149&amp;" Corp",AE$5))</f>
        <v>#NAME?</v>
      </c>
      <c r="AF149" s="29" t="e">
        <f ca="1">IF($B149="","",_xll.BDP($A149&amp;" Corp",AF$5))</f>
        <v>#NAME?</v>
      </c>
      <c r="AG149" s="33" t="e">
        <f ca="1">IF($B149="","",_xll.BDP($A149&amp;" Corp",AG$5))</f>
        <v>#NAME?</v>
      </c>
      <c r="AH149" s="30" t="e">
        <f ca="1">IF($B149="","",_xll.BDP($A149&amp;" Corp",AH$5))</f>
        <v>#NAME?</v>
      </c>
      <c r="AI149" s="30" t="e">
        <f ca="1">IF($B149="","",_xll.BDP($A149&amp;" Corp",AI$5))</f>
        <v>#NAME?</v>
      </c>
      <c r="AJ149" s="30" t="e">
        <f ca="1">IF($B149="","",_xll.BDP($A149&amp;" Corp",AJ$5))</f>
        <v>#NAME?</v>
      </c>
      <c r="AK149" s="11" t="e">
        <f ca="1">IF($B149="","",_xll.BDP($A149&amp;" Corp",AK$5))</f>
        <v>#NAME?</v>
      </c>
      <c r="AL149" s="11" t="e">
        <f ca="1">IF($B149="","",_xll.BDP($A149&amp;" Corp",AL$5))</f>
        <v>#NAME?</v>
      </c>
      <c r="AM149" s="11">
        <v>5</v>
      </c>
      <c r="AN149" s="57">
        <v>5</v>
      </c>
    </row>
    <row r="150" spans="1:40" x14ac:dyDescent="0.3">
      <c r="A150" s="67" t="s">
        <v>456</v>
      </c>
      <c r="B150" s="68" t="s">
        <v>456</v>
      </c>
      <c r="C150" s="75">
        <v>9468</v>
      </c>
      <c r="D150" s="75">
        <v>128</v>
      </c>
      <c r="E150" s="75">
        <v>200000</v>
      </c>
      <c r="F150" s="69">
        <v>0.11488128</v>
      </c>
      <c r="G150" s="70">
        <v>198534</v>
      </c>
      <c r="H150" s="67">
        <v>200000</v>
      </c>
      <c r="I150" s="67">
        <v>0.11488128</v>
      </c>
      <c r="J150" s="67">
        <v>198534</v>
      </c>
      <c r="K150" s="71">
        <v>99.266999999999996</v>
      </c>
      <c r="L150" s="29" t="e">
        <f ca="1">IF(B150="","",_xll.BDP(A150&amp;" Corp","INTERVAL_HIGH","START_DATE_OVERRIDE",TEXT($L$3,"AAAAMMDD"),"END_DATE_OVERRIDE",TEXT($L$4,"AAAAMMDD"),"MARKET_DATA_OVERRIDE",$L$5))</f>
        <v>#NAME?</v>
      </c>
      <c r="M150" s="30" t="e">
        <f ca="1">IF(B150="","",_xll.BDP($A150&amp;" Corp","INTERVAL_LOW","START_DATE_OVERRIDE",TEXT($L$3,"AAAAMMDD"),"END_DATE_OVERRIDE",TEXT($L$4,"AAAAMMDD"),"MARKET_DATA_OVERRIDE",$L$5))</f>
        <v>#NAME?</v>
      </c>
      <c r="N150" s="31" t="s">
        <v>913</v>
      </c>
      <c r="O150" s="32" t="e">
        <f ca="1">IF($B150="","",_xll.BDP($A150&amp;" Corp",O$6))</f>
        <v>#NAME?</v>
      </c>
      <c r="P150" s="32" t="e">
        <f ca="1">IF($B150="","",_xll.BDP($A150&amp;" Corp",P$6))</f>
        <v>#NAME?</v>
      </c>
      <c r="Q150" s="30" t="e">
        <f ca="1">IF($B150="","",_xll.BDP($A150&amp;" Corp",Q$5))</f>
        <v>#NAME?</v>
      </c>
      <c r="R150" s="30" t="e">
        <f ca="1">IF($B150="","",_xll.BDP($A150&amp;" Corp",R$5))</f>
        <v>#NAME?</v>
      </c>
      <c r="S150" s="50" t="e">
        <f ca="1">IF($B150="","",_xll.BDP($A150&amp;" Corp",S$5))</f>
        <v>#NAME?</v>
      </c>
      <c r="T150" s="30" t="e">
        <f ca="1">IF($B150="","",_xll.BDP($A150&amp;" Corp",T$5))</f>
        <v>#NAME?</v>
      </c>
      <c r="U150" s="30" t="e">
        <f ca="1">IF($B150="","",_xll.BDP($A150&amp;" Corp",U$5))</f>
        <v>#NAME?</v>
      </c>
      <c r="V150" s="51" t="e">
        <f ca="1">IF($B150="","",IF($T150="VARIABLE",_xll.BDP($A150&amp;" Corp",V$4),_xll.BDP($A150&amp;" Corp",V$5)))</f>
        <v>#NAME?</v>
      </c>
      <c r="W150" s="30" t="e">
        <f ca="1">IF($B150="","",IF($T150="VARIABLE",_xll.BDP($A150&amp;" Corp",W$4),_xll.BDP($A150&amp;" Corp",W$5)))</f>
        <v>#NAME?</v>
      </c>
      <c r="X150" s="30" t="e">
        <f ca="1">IF($B150="","",_xll.BDP($A150&amp;" Corp",X$5))</f>
        <v>#NAME?</v>
      </c>
      <c r="Y150" s="33" t="e">
        <f ca="1">IF($B150="","",_xll.BDP($A150&amp;" Corp",Y$5))</f>
        <v>#NAME?</v>
      </c>
      <c r="Z150" s="52" t="e">
        <f ca="1">IF($B150="","",_xll.BDP($A150&amp;" Corp",Z$5))</f>
        <v>#NAME?</v>
      </c>
      <c r="AA150" s="53" t="e">
        <f ca="1">IF($B150="","",_xll.BDP($A150&amp;" Corp",AA$5))</f>
        <v>#NAME?</v>
      </c>
      <c r="AB150" s="54" t="e">
        <f ca="1">IF($B150="","",_xll.BDP($A150&amp;" Corp",AB$5))</f>
        <v>#NAME?</v>
      </c>
      <c r="AC150" s="54" t="e">
        <f ca="1">IF($B150="","",_xll.BDP($A150&amp;" Corp",AC$5))</f>
        <v>#NAME?</v>
      </c>
      <c r="AD150" s="55" t="e">
        <f ca="1">IF($B150="","",_xll.BDP($A150&amp;" Corp",AD$5))</f>
        <v>#NAME?</v>
      </c>
      <c r="AE150" s="56" t="e">
        <f ca="1">IF($B150="","",_xll.BDP($A150&amp;" Corp",AE$5))</f>
        <v>#NAME?</v>
      </c>
      <c r="AF150" s="29" t="e">
        <f ca="1">IF($B150="","",_xll.BDP($A150&amp;" Corp",AF$5))</f>
        <v>#NAME?</v>
      </c>
      <c r="AG150" s="33" t="e">
        <f ca="1">IF($B150="","",_xll.BDP($A150&amp;" Corp",AG$5))</f>
        <v>#NAME?</v>
      </c>
      <c r="AH150" s="30" t="e">
        <f ca="1">IF($B150="","",_xll.BDP($A150&amp;" Corp",AH$5))</f>
        <v>#NAME?</v>
      </c>
      <c r="AI150" s="30" t="e">
        <f ca="1">IF($B150="","",_xll.BDP($A150&amp;" Corp",AI$5))</f>
        <v>#NAME?</v>
      </c>
      <c r="AJ150" s="30" t="e">
        <f ca="1">IF($B150="","",_xll.BDP($A150&amp;" Corp",AJ$5))</f>
        <v>#NAME?</v>
      </c>
      <c r="AK150" s="11" t="e">
        <f ca="1">IF($B150="","",_xll.BDP($A150&amp;" Corp",AK$5))</f>
        <v>#NAME?</v>
      </c>
      <c r="AL150" s="11" t="e">
        <f ca="1">IF($B150="","",_xll.BDP($A150&amp;" Corp",AL$5))</f>
        <v>#NAME?</v>
      </c>
      <c r="AM150" s="11">
        <v>8</v>
      </c>
      <c r="AN150" s="57">
        <v>7</v>
      </c>
    </row>
    <row r="151" spans="1:40" x14ac:dyDescent="0.3">
      <c r="A151" s="67" t="s">
        <v>256</v>
      </c>
      <c r="B151" s="68" t="s">
        <v>256</v>
      </c>
      <c r="C151" s="75">
        <v>9472</v>
      </c>
      <c r="D151" s="75">
        <v>128</v>
      </c>
      <c r="E151" s="75">
        <v>400000</v>
      </c>
      <c r="F151" s="69">
        <v>0.28040895999999998</v>
      </c>
      <c r="G151" s="70">
        <v>393494</v>
      </c>
      <c r="H151" s="67">
        <v>400000</v>
      </c>
      <c r="I151" s="67">
        <v>0.28040895999999998</v>
      </c>
      <c r="J151" s="67">
        <v>393494</v>
      </c>
      <c r="K151" s="71">
        <v>98.373500000000007</v>
      </c>
      <c r="L151" s="29" t="e">
        <f ca="1">IF(B151="","",_xll.BDP(A151&amp;" Corp","INTERVAL_HIGH","START_DATE_OVERRIDE",TEXT($L$3,"AAAAMMDD"),"END_DATE_OVERRIDE",TEXT($L$4,"AAAAMMDD"),"MARKET_DATA_OVERRIDE",$L$5))</f>
        <v>#NAME?</v>
      </c>
      <c r="M151" s="30" t="e">
        <f ca="1">IF(B151="","",_xll.BDP($A151&amp;" Corp","INTERVAL_LOW","START_DATE_OVERRIDE",TEXT($L$3,"AAAAMMDD"),"END_DATE_OVERRIDE",TEXT($L$4,"AAAAMMDD"),"MARKET_DATA_OVERRIDE",$L$5))</f>
        <v>#NAME?</v>
      </c>
      <c r="N151" s="31" t="s">
        <v>914</v>
      </c>
      <c r="O151" s="32" t="e">
        <f ca="1">IF($B151="","",_xll.BDP($A151&amp;" Corp",O$6))</f>
        <v>#NAME?</v>
      </c>
      <c r="P151" s="32" t="e">
        <f ca="1">IF($B151="","",_xll.BDP($A151&amp;" Corp",P$6))</f>
        <v>#NAME?</v>
      </c>
      <c r="Q151" s="30" t="e">
        <f ca="1">IF($B151="","",_xll.BDP($A151&amp;" Corp",Q$5))</f>
        <v>#NAME?</v>
      </c>
      <c r="R151" s="30" t="e">
        <f ca="1">IF($B151="","",_xll.BDP($A151&amp;" Corp",R$5))</f>
        <v>#NAME?</v>
      </c>
      <c r="S151" s="50" t="e">
        <f ca="1">IF($B151="","",_xll.BDP($A151&amp;" Corp",S$5))</f>
        <v>#NAME?</v>
      </c>
      <c r="T151" s="30" t="e">
        <f ca="1">IF($B151="","",_xll.BDP($A151&amp;" Corp",T$5))</f>
        <v>#NAME?</v>
      </c>
      <c r="U151" s="30" t="e">
        <f ca="1">IF($B151="","",_xll.BDP($A151&amp;" Corp",U$5))</f>
        <v>#NAME?</v>
      </c>
      <c r="V151" s="51" t="e">
        <f ca="1">IF($B151="","",IF($T151="VARIABLE",_xll.BDP($A151&amp;" Corp",V$4),_xll.BDP($A151&amp;" Corp",V$5)))</f>
        <v>#NAME?</v>
      </c>
      <c r="W151" s="30" t="e">
        <f ca="1">IF($B151="","",IF($T151="VARIABLE",_xll.BDP($A151&amp;" Corp",W$4),_xll.BDP($A151&amp;" Corp",W$5)))</f>
        <v>#NAME?</v>
      </c>
      <c r="X151" s="30" t="e">
        <f ca="1">IF($B151="","",_xll.BDP($A151&amp;" Corp",X$5))</f>
        <v>#NAME?</v>
      </c>
      <c r="Y151" s="33" t="e">
        <f ca="1">IF($B151="","",_xll.BDP($A151&amp;" Corp",Y$5))</f>
        <v>#NAME?</v>
      </c>
      <c r="Z151" s="52" t="e">
        <f ca="1">IF($B151="","",_xll.BDP($A151&amp;" Corp",Z$5))</f>
        <v>#NAME?</v>
      </c>
      <c r="AA151" s="53" t="e">
        <f ca="1">IF($B151="","",_xll.BDP($A151&amp;" Corp",AA$5))</f>
        <v>#NAME?</v>
      </c>
      <c r="AB151" s="54" t="e">
        <f ca="1">IF($B151="","",_xll.BDP($A151&amp;" Corp",AB$5))</f>
        <v>#NAME?</v>
      </c>
      <c r="AC151" s="54" t="e">
        <f ca="1">IF($B151="","",_xll.BDP($A151&amp;" Corp",AC$5))</f>
        <v>#NAME?</v>
      </c>
      <c r="AD151" s="55" t="e">
        <f ca="1">IF($B151="","",_xll.BDP($A151&amp;" Corp",AD$5))</f>
        <v>#NAME?</v>
      </c>
      <c r="AE151" s="56" t="e">
        <f ca="1">IF($B151="","",_xll.BDP($A151&amp;" Corp",AE$5))</f>
        <v>#NAME?</v>
      </c>
      <c r="AF151" s="29" t="e">
        <f ca="1">IF($B151="","",_xll.BDP($A151&amp;" Corp",AF$5))</f>
        <v>#NAME?</v>
      </c>
      <c r="AG151" s="33" t="e">
        <f ca="1">IF($B151="","",_xll.BDP($A151&amp;" Corp",AG$5))</f>
        <v>#NAME?</v>
      </c>
      <c r="AH151" s="30" t="e">
        <f ca="1">IF($B151="","",_xll.BDP($A151&amp;" Corp",AH$5))</f>
        <v>#NAME?</v>
      </c>
      <c r="AI151" s="30" t="e">
        <f ca="1">IF($B151="","",_xll.BDP($A151&amp;" Corp",AI$5))</f>
        <v>#NAME?</v>
      </c>
      <c r="AJ151" s="30" t="e">
        <f ca="1">IF($B151="","",_xll.BDP($A151&amp;" Corp",AJ$5))</f>
        <v>#NAME?</v>
      </c>
      <c r="AK151" s="11" t="e">
        <f ca="1">IF($B151="","",_xll.BDP($A151&amp;" Corp",AK$5))</f>
        <v>#NAME?</v>
      </c>
      <c r="AL151" s="11" t="e">
        <f ca="1">IF($B151="","",_xll.BDP($A151&amp;" Corp",AL$5))</f>
        <v>#NAME?</v>
      </c>
      <c r="AM151" s="11">
        <v>4</v>
      </c>
      <c r="AN151" s="57">
        <v>4</v>
      </c>
    </row>
    <row r="152" spans="1:40" x14ac:dyDescent="0.3">
      <c r="A152" s="67" t="s">
        <v>407</v>
      </c>
      <c r="B152" s="68" t="s">
        <v>407</v>
      </c>
      <c r="C152" s="75">
        <v>9471</v>
      </c>
      <c r="D152" s="75">
        <v>128</v>
      </c>
      <c r="E152" s="75">
        <v>250000</v>
      </c>
      <c r="F152" s="69">
        <v>0.17330641999999999</v>
      </c>
      <c r="G152" s="70">
        <v>250477.5</v>
      </c>
      <c r="H152" s="67">
        <v>250000</v>
      </c>
      <c r="I152" s="67">
        <v>0.17330641999999999</v>
      </c>
      <c r="J152" s="67">
        <v>250477.5</v>
      </c>
      <c r="K152" s="71">
        <v>100.191</v>
      </c>
      <c r="L152" s="29" t="e">
        <f ca="1">IF(B152="","",_xll.BDP(A152&amp;" Corp","INTERVAL_HIGH","START_DATE_OVERRIDE",TEXT($L$3,"AAAAMMDD"),"END_DATE_OVERRIDE",TEXT($L$4,"AAAAMMDD"),"MARKET_DATA_OVERRIDE",$L$5))</f>
        <v>#NAME?</v>
      </c>
      <c r="M152" s="30" t="e">
        <f ca="1">IF(B152="","",_xll.BDP($A152&amp;" Corp","INTERVAL_LOW","START_DATE_OVERRIDE",TEXT($L$3,"AAAAMMDD"),"END_DATE_OVERRIDE",TEXT($L$4,"AAAAMMDD"),"MARKET_DATA_OVERRIDE",$L$5))</f>
        <v>#NAME?</v>
      </c>
      <c r="N152" s="31" t="s">
        <v>915</v>
      </c>
      <c r="O152" s="32" t="e">
        <f ca="1">IF($B152="","",_xll.BDP($A152&amp;" Corp",O$6))</f>
        <v>#NAME?</v>
      </c>
      <c r="P152" s="32" t="e">
        <f ca="1">IF($B152="","",_xll.BDP($A152&amp;" Corp",P$6))</f>
        <v>#NAME?</v>
      </c>
      <c r="Q152" s="30" t="e">
        <f ca="1">IF($B152="","",_xll.BDP($A152&amp;" Corp",Q$5))</f>
        <v>#NAME?</v>
      </c>
      <c r="R152" s="30" t="e">
        <f ca="1">IF($B152="","",_xll.BDP($A152&amp;" Corp",R$5))</f>
        <v>#NAME?</v>
      </c>
      <c r="S152" s="50" t="e">
        <f ca="1">IF($B152="","",_xll.BDP($A152&amp;" Corp",S$5))</f>
        <v>#NAME?</v>
      </c>
      <c r="T152" s="30" t="e">
        <f ca="1">IF($B152="","",_xll.BDP($A152&amp;" Corp",T$5))</f>
        <v>#NAME?</v>
      </c>
      <c r="U152" s="30" t="e">
        <f ca="1">IF($B152="","",_xll.BDP($A152&amp;" Corp",U$5))</f>
        <v>#NAME?</v>
      </c>
      <c r="V152" s="51" t="e">
        <f ca="1">IF($B152="","",IF($T152="VARIABLE",_xll.BDP($A152&amp;" Corp",V$4),_xll.BDP($A152&amp;" Corp",V$5)))</f>
        <v>#NAME?</v>
      </c>
      <c r="W152" s="30" t="e">
        <f ca="1">IF($B152="","",IF($T152="VARIABLE",_xll.BDP($A152&amp;" Corp",W$4),_xll.BDP($A152&amp;" Corp",W$5)))</f>
        <v>#NAME?</v>
      </c>
      <c r="X152" s="30" t="e">
        <f ca="1">IF($B152="","",_xll.BDP($A152&amp;" Corp",X$5))</f>
        <v>#NAME?</v>
      </c>
      <c r="Y152" s="33" t="e">
        <f ca="1">IF($B152="","",_xll.BDP($A152&amp;" Corp",Y$5))</f>
        <v>#NAME?</v>
      </c>
      <c r="Z152" s="52" t="e">
        <f ca="1">IF($B152="","",_xll.BDP($A152&amp;" Corp",Z$5))</f>
        <v>#NAME?</v>
      </c>
      <c r="AA152" s="53" t="e">
        <f ca="1">IF($B152="","",_xll.BDP($A152&amp;" Corp",AA$5))</f>
        <v>#NAME?</v>
      </c>
      <c r="AB152" s="54" t="e">
        <f ca="1">IF($B152="","",_xll.BDP($A152&amp;" Corp",AB$5))</f>
        <v>#NAME?</v>
      </c>
      <c r="AC152" s="54" t="e">
        <f ca="1">IF($B152="","",_xll.BDP($A152&amp;" Corp",AC$5))</f>
        <v>#NAME?</v>
      </c>
      <c r="AD152" s="55" t="e">
        <f ca="1">IF($B152="","",_xll.BDP($A152&amp;" Corp",AD$5))</f>
        <v>#NAME?</v>
      </c>
      <c r="AE152" s="56" t="e">
        <f ca="1">IF($B152="","",_xll.BDP($A152&amp;" Corp",AE$5))</f>
        <v>#NAME?</v>
      </c>
      <c r="AF152" s="29" t="e">
        <f ca="1">IF($B152="","",_xll.BDP($A152&amp;" Corp",AF$5))</f>
        <v>#NAME?</v>
      </c>
      <c r="AG152" s="33" t="e">
        <f ca="1">IF($B152="","",_xll.BDP($A152&amp;" Corp",AG$5))</f>
        <v>#NAME?</v>
      </c>
      <c r="AH152" s="30" t="e">
        <f ca="1">IF($B152="","",_xll.BDP($A152&amp;" Corp",AH$5))</f>
        <v>#NAME?</v>
      </c>
      <c r="AI152" s="30" t="e">
        <f ca="1">IF($B152="","",_xll.BDP($A152&amp;" Corp",AI$5))</f>
        <v>#NAME?</v>
      </c>
      <c r="AJ152" s="30" t="e">
        <f ca="1">IF($B152="","",_xll.BDP($A152&amp;" Corp",AJ$5))</f>
        <v>#NAME?</v>
      </c>
      <c r="AK152" s="11" t="e">
        <f ca="1">IF($B152="","",_xll.BDP($A152&amp;" Corp",AK$5))</f>
        <v>#NAME?</v>
      </c>
      <c r="AL152" s="11" t="e">
        <f ca="1">IF($B152="","",_xll.BDP($A152&amp;" Corp",AL$5))</f>
        <v>#NAME?</v>
      </c>
      <c r="AM152" s="11">
        <v>5</v>
      </c>
      <c r="AN152" s="57">
        <v>4</v>
      </c>
    </row>
    <row r="153" spans="1:40" x14ac:dyDescent="0.3">
      <c r="A153" s="67" t="s">
        <v>483</v>
      </c>
      <c r="B153" s="68" t="s">
        <v>483</v>
      </c>
      <c r="C153" s="75">
        <v>9603</v>
      </c>
      <c r="D153" s="75">
        <v>128</v>
      </c>
      <c r="E153" s="75">
        <v>100000</v>
      </c>
      <c r="F153" s="69">
        <v>6.8593699999999994E-2</v>
      </c>
      <c r="G153" s="70">
        <v>100175</v>
      </c>
      <c r="H153" s="67">
        <v>100000</v>
      </c>
      <c r="I153" s="67">
        <v>6.8593699999999994E-2</v>
      </c>
      <c r="J153" s="67">
        <v>100175</v>
      </c>
      <c r="K153" s="71">
        <v>100.175</v>
      </c>
      <c r="L153" s="29" t="e">
        <f ca="1">IF(B153="","",_xll.BDP(A153&amp;" Corp","INTERVAL_HIGH","START_DATE_OVERRIDE",TEXT($L$3,"AAAAMMDD"),"END_DATE_OVERRIDE",TEXT($L$4,"AAAAMMDD"),"MARKET_DATA_OVERRIDE",$L$5))</f>
        <v>#NAME?</v>
      </c>
      <c r="M153" s="30" t="e">
        <f ca="1">IF(B153="","",_xll.BDP($A153&amp;" Corp","INTERVAL_LOW","START_DATE_OVERRIDE",TEXT($L$3,"AAAAMMDD"),"END_DATE_OVERRIDE",TEXT($L$4,"AAAAMMDD"),"MARKET_DATA_OVERRIDE",$L$5))</f>
        <v>#NAME?</v>
      </c>
      <c r="N153" s="31" t="s">
        <v>916</v>
      </c>
      <c r="O153" s="32" t="e">
        <f ca="1">IF($B153="","",_xll.BDP($A153&amp;" Corp",O$6))</f>
        <v>#NAME?</v>
      </c>
      <c r="P153" s="32" t="e">
        <f ca="1">IF($B153="","",_xll.BDP($A153&amp;" Corp",P$6))</f>
        <v>#NAME?</v>
      </c>
      <c r="Q153" s="30" t="e">
        <f ca="1">IF($B153="","",_xll.BDP($A153&amp;" Corp",Q$5))</f>
        <v>#NAME?</v>
      </c>
      <c r="R153" s="30" t="e">
        <f ca="1">IF($B153="","",_xll.BDP($A153&amp;" Corp",R$5))</f>
        <v>#NAME?</v>
      </c>
      <c r="S153" s="50" t="e">
        <f ca="1">IF($B153="","",_xll.BDP($A153&amp;" Corp",S$5))</f>
        <v>#NAME?</v>
      </c>
      <c r="T153" s="30" t="e">
        <f ca="1">IF($B153="","",_xll.BDP($A153&amp;" Corp",T$5))</f>
        <v>#NAME?</v>
      </c>
      <c r="U153" s="30" t="e">
        <f ca="1">IF($B153="","",_xll.BDP($A153&amp;" Corp",U$5))</f>
        <v>#NAME?</v>
      </c>
      <c r="V153" s="51" t="e">
        <f ca="1">IF($B153="","",IF($T153="VARIABLE",_xll.BDP($A153&amp;" Corp",V$4),_xll.BDP($A153&amp;" Corp",V$5)))</f>
        <v>#NAME?</v>
      </c>
      <c r="W153" s="30" t="e">
        <f ca="1">IF($B153="","",IF($T153="VARIABLE",_xll.BDP($A153&amp;" Corp",W$4),_xll.BDP($A153&amp;" Corp",W$5)))</f>
        <v>#NAME?</v>
      </c>
      <c r="X153" s="30" t="e">
        <f ca="1">IF($B153="","",_xll.BDP($A153&amp;" Corp",X$5))</f>
        <v>#NAME?</v>
      </c>
      <c r="Y153" s="33" t="e">
        <f ca="1">IF($B153="","",_xll.BDP($A153&amp;" Corp",Y$5))</f>
        <v>#NAME?</v>
      </c>
      <c r="Z153" s="52" t="e">
        <f ca="1">IF($B153="","",_xll.BDP($A153&amp;" Corp",Z$5))</f>
        <v>#NAME?</v>
      </c>
      <c r="AA153" s="53" t="e">
        <f ca="1">IF($B153="","",_xll.BDP($A153&amp;" Corp",AA$5))</f>
        <v>#NAME?</v>
      </c>
      <c r="AB153" s="54" t="e">
        <f ca="1">IF($B153="","",_xll.BDP($A153&amp;" Corp",AB$5))</f>
        <v>#NAME?</v>
      </c>
      <c r="AC153" s="54" t="e">
        <f ca="1">IF($B153="","",_xll.BDP($A153&amp;" Corp",AC$5))</f>
        <v>#NAME?</v>
      </c>
      <c r="AD153" s="55" t="e">
        <f ca="1">IF($B153="","",_xll.BDP($A153&amp;" Corp",AD$5))</f>
        <v>#NAME?</v>
      </c>
      <c r="AE153" s="56" t="e">
        <f ca="1">IF($B153="","",_xll.BDP($A153&amp;" Corp",AE$5))</f>
        <v>#NAME?</v>
      </c>
      <c r="AF153" s="29" t="e">
        <f ca="1">IF($B153="","",_xll.BDP($A153&amp;" Corp",AF$5))</f>
        <v>#NAME?</v>
      </c>
      <c r="AG153" s="33" t="e">
        <f ca="1">IF($B153="","",_xll.BDP($A153&amp;" Corp",AG$5))</f>
        <v>#NAME?</v>
      </c>
      <c r="AH153" s="30" t="e">
        <f ca="1">IF($B153="","",_xll.BDP($A153&amp;" Corp",AH$5))</f>
        <v>#NAME?</v>
      </c>
      <c r="AI153" s="30" t="e">
        <f ca="1">IF($B153="","",_xll.BDP($A153&amp;" Corp",AI$5))</f>
        <v>#NAME?</v>
      </c>
      <c r="AJ153" s="30" t="e">
        <f ca="1">IF($B153="","",_xll.BDP($A153&amp;" Corp",AJ$5))</f>
        <v>#NAME?</v>
      </c>
      <c r="AK153" s="11" t="e">
        <f ca="1">IF($B153="","",_xll.BDP($A153&amp;" Corp",AK$5))</f>
        <v>#NAME?</v>
      </c>
      <c r="AL153" s="11" t="e">
        <f ca="1">IF($B153="","",_xll.BDP($A153&amp;" Corp",AL$5))</f>
        <v>#NAME?</v>
      </c>
      <c r="AM153" s="11">
        <v>6</v>
      </c>
      <c r="AN153" s="57">
        <v>5</v>
      </c>
    </row>
    <row r="154" spans="1:40" x14ac:dyDescent="0.3">
      <c r="A154" s="67" t="s">
        <v>294</v>
      </c>
      <c r="B154" s="68" t="s">
        <v>294</v>
      </c>
      <c r="C154" s="75">
        <v>9606</v>
      </c>
      <c r="D154" s="75">
        <v>128</v>
      </c>
      <c r="E154" s="75">
        <v>200000</v>
      </c>
      <c r="F154" s="69">
        <v>0.1635867</v>
      </c>
      <c r="G154" s="70">
        <v>200366</v>
      </c>
      <c r="H154" s="67">
        <v>200000</v>
      </c>
      <c r="I154" s="67">
        <v>0.1635867</v>
      </c>
      <c r="J154" s="67">
        <v>200366</v>
      </c>
      <c r="K154" s="71">
        <v>100.18300000000001</v>
      </c>
      <c r="L154" s="29" t="e">
        <f ca="1">IF(B154="","",_xll.BDP(A154&amp;" Corp","INTERVAL_HIGH","START_DATE_OVERRIDE",TEXT($L$3,"AAAAMMDD"),"END_DATE_OVERRIDE",TEXT($L$4,"AAAAMMDD"),"MARKET_DATA_OVERRIDE",$L$5))</f>
        <v>#NAME?</v>
      </c>
      <c r="M154" s="30" t="e">
        <f ca="1">IF(B154="","",_xll.BDP($A154&amp;" Corp","INTERVAL_LOW","START_DATE_OVERRIDE",TEXT($L$3,"AAAAMMDD"),"END_DATE_OVERRIDE",TEXT($L$4,"AAAAMMDD"),"MARKET_DATA_OVERRIDE",$L$5))</f>
        <v>#NAME?</v>
      </c>
      <c r="N154" s="31" t="s">
        <v>917</v>
      </c>
      <c r="O154" s="32" t="e">
        <f ca="1">IF($B154="","",_xll.BDP($A154&amp;" Corp",O$6))</f>
        <v>#NAME?</v>
      </c>
      <c r="P154" s="32" t="e">
        <f ca="1">IF($B154="","",_xll.BDP($A154&amp;" Corp",P$6))</f>
        <v>#NAME?</v>
      </c>
      <c r="Q154" s="30" t="e">
        <f ca="1">IF($B154="","",_xll.BDP($A154&amp;" Corp",Q$5))</f>
        <v>#NAME?</v>
      </c>
      <c r="R154" s="30" t="e">
        <f ca="1">IF($B154="","",_xll.BDP($A154&amp;" Corp",R$5))</f>
        <v>#NAME?</v>
      </c>
      <c r="S154" s="50" t="e">
        <f ca="1">IF($B154="","",_xll.BDP($A154&amp;" Corp",S$5))</f>
        <v>#NAME?</v>
      </c>
      <c r="T154" s="30" t="e">
        <f ca="1">IF($B154="","",_xll.BDP($A154&amp;" Corp",T$5))</f>
        <v>#NAME?</v>
      </c>
      <c r="U154" s="30" t="e">
        <f ca="1">IF($B154="","",_xll.BDP($A154&amp;" Corp",U$5))</f>
        <v>#NAME?</v>
      </c>
      <c r="V154" s="51" t="e">
        <f ca="1">IF($B154="","",IF($T154="VARIABLE",_xll.BDP($A154&amp;" Corp",V$4),_xll.BDP($A154&amp;" Corp",V$5)))</f>
        <v>#NAME?</v>
      </c>
      <c r="W154" s="30" t="e">
        <f ca="1">IF($B154="","",IF($T154="VARIABLE",_xll.BDP($A154&amp;" Corp",W$4),_xll.BDP($A154&amp;" Corp",W$5)))</f>
        <v>#NAME?</v>
      </c>
      <c r="X154" s="30" t="e">
        <f ca="1">IF($B154="","",_xll.BDP($A154&amp;" Corp",X$5))</f>
        <v>#NAME?</v>
      </c>
      <c r="Y154" s="33" t="e">
        <f ca="1">IF($B154="","",_xll.BDP($A154&amp;" Corp",Y$5))</f>
        <v>#NAME?</v>
      </c>
      <c r="Z154" s="52" t="e">
        <f ca="1">IF($B154="","",_xll.BDP($A154&amp;" Corp",Z$5))</f>
        <v>#NAME?</v>
      </c>
      <c r="AA154" s="53" t="e">
        <f ca="1">IF($B154="","",_xll.BDP($A154&amp;" Corp",AA$5))</f>
        <v>#NAME?</v>
      </c>
      <c r="AB154" s="54" t="e">
        <f ca="1">IF($B154="","",_xll.BDP($A154&amp;" Corp",AB$5))</f>
        <v>#NAME?</v>
      </c>
      <c r="AC154" s="54" t="e">
        <f ca="1">IF($B154="","",_xll.BDP($A154&amp;" Corp",AC$5))</f>
        <v>#NAME?</v>
      </c>
      <c r="AD154" s="55" t="e">
        <f ca="1">IF($B154="","",_xll.BDP($A154&amp;" Corp",AD$5))</f>
        <v>#NAME?</v>
      </c>
      <c r="AE154" s="56" t="e">
        <f ca="1">IF($B154="","",_xll.BDP($A154&amp;" Corp",AE$5))</f>
        <v>#NAME?</v>
      </c>
      <c r="AF154" s="29" t="e">
        <f ca="1">IF($B154="","",_xll.BDP($A154&amp;" Corp",AF$5))</f>
        <v>#NAME?</v>
      </c>
      <c r="AG154" s="33" t="e">
        <f ca="1">IF($B154="","",_xll.BDP($A154&amp;" Corp",AG$5))</f>
        <v>#NAME?</v>
      </c>
      <c r="AH154" s="30" t="e">
        <f ca="1">IF($B154="","",_xll.BDP($A154&amp;" Corp",AH$5))</f>
        <v>#NAME?</v>
      </c>
      <c r="AI154" s="30" t="e">
        <f ca="1">IF($B154="","",_xll.BDP($A154&amp;" Corp",AI$5))</f>
        <v>#NAME?</v>
      </c>
      <c r="AJ154" s="30" t="e">
        <f ca="1">IF($B154="","",_xll.BDP($A154&amp;" Corp",AJ$5))</f>
        <v>#NAME?</v>
      </c>
      <c r="AK154" s="11" t="e">
        <f ca="1">IF($B154="","",_xll.BDP($A154&amp;" Corp",AK$5))</f>
        <v>#NAME?</v>
      </c>
      <c r="AL154" s="11" t="e">
        <f ca="1">IF($B154="","",_xll.BDP($A154&amp;" Corp",AL$5))</f>
        <v>#NAME?</v>
      </c>
      <c r="AM154" s="11">
        <v>1</v>
      </c>
      <c r="AN154" s="57">
        <v>0.1</v>
      </c>
    </row>
    <row r="155" spans="1:40" x14ac:dyDescent="0.3">
      <c r="A155" s="67" t="s">
        <v>485</v>
      </c>
      <c r="B155" s="68" t="s">
        <v>485</v>
      </c>
      <c r="C155" s="75">
        <v>9706</v>
      </c>
      <c r="D155" s="75">
        <v>128</v>
      </c>
      <c r="E155" s="75">
        <v>100000</v>
      </c>
      <c r="F155" s="69">
        <v>5.1566639999999997E-2</v>
      </c>
      <c r="G155" s="70">
        <v>98271</v>
      </c>
      <c r="H155" s="67">
        <v>100000</v>
      </c>
      <c r="I155" s="67">
        <v>5.1566639999999997E-2</v>
      </c>
      <c r="J155" s="67">
        <v>98271</v>
      </c>
      <c r="K155" s="71">
        <v>98.271000000000001</v>
      </c>
      <c r="L155" s="29" t="e">
        <f ca="1">IF(B155="","",_xll.BDP(A155&amp;" Corp","INTERVAL_HIGH","START_DATE_OVERRIDE",TEXT($L$3,"AAAAMMDD"),"END_DATE_OVERRIDE",TEXT($L$4,"AAAAMMDD"),"MARKET_DATA_OVERRIDE",$L$5))</f>
        <v>#NAME?</v>
      </c>
      <c r="M155" s="30" t="e">
        <f ca="1">IF(B155="","",_xll.BDP($A155&amp;" Corp","INTERVAL_LOW","START_DATE_OVERRIDE",TEXT($L$3,"AAAAMMDD"),"END_DATE_OVERRIDE",TEXT($L$4,"AAAAMMDD"),"MARKET_DATA_OVERRIDE",$L$5))</f>
        <v>#NAME?</v>
      </c>
      <c r="N155" s="31" t="s">
        <v>918</v>
      </c>
      <c r="O155" s="32" t="e">
        <f ca="1">IF($B155="","",_xll.BDP($A155&amp;" Corp",O$6))</f>
        <v>#NAME?</v>
      </c>
      <c r="P155" s="32" t="e">
        <f ca="1">IF($B155="","",_xll.BDP($A155&amp;" Corp",P$6))</f>
        <v>#NAME?</v>
      </c>
      <c r="Q155" s="30" t="e">
        <f ca="1">IF($B155="","",_xll.BDP($A155&amp;" Corp",Q$5))</f>
        <v>#NAME?</v>
      </c>
      <c r="R155" s="30" t="e">
        <f ca="1">IF($B155="","",_xll.BDP($A155&amp;" Corp",R$5))</f>
        <v>#NAME?</v>
      </c>
      <c r="S155" s="50" t="e">
        <f ca="1">IF($B155="","",_xll.BDP($A155&amp;" Corp",S$5))</f>
        <v>#NAME?</v>
      </c>
      <c r="T155" s="30" t="e">
        <f ca="1">IF($B155="","",_xll.BDP($A155&amp;" Corp",T$5))</f>
        <v>#NAME?</v>
      </c>
      <c r="U155" s="30" t="e">
        <f ca="1">IF($B155="","",_xll.BDP($A155&amp;" Corp",U$5))</f>
        <v>#NAME?</v>
      </c>
      <c r="V155" s="51" t="e">
        <f ca="1">IF($B155="","",IF($T155="VARIABLE",_xll.BDP($A155&amp;" Corp",V$4),_xll.BDP($A155&amp;" Corp",V$5)))</f>
        <v>#NAME?</v>
      </c>
      <c r="W155" s="30" t="e">
        <f ca="1">IF($B155="","",IF($T155="VARIABLE",_xll.BDP($A155&amp;" Corp",W$4),_xll.BDP($A155&amp;" Corp",W$5)))</f>
        <v>#NAME?</v>
      </c>
      <c r="X155" s="30" t="e">
        <f ca="1">IF($B155="","",_xll.BDP($A155&amp;" Corp",X$5))</f>
        <v>#NAME?</v>
      </c>
      <c r="Y155" s="33" t="e">
        <f ca="1">IF($B155="","",_xll.BDP($A155&amp;" Corp",Y$5))</f>
        <v>#NAME?</v>
      </c>
      <c r="Z155" s="52" t="e">
        <f ca="1">IF($B155="","",_xll.BDP($A155&amp;" Corp",Z$5))</f>
        <v>#NAME?</v>
      </c>
      <c r="AA155" s="53" t="e">
        <f ca="1">IF($B155="","",_xll.BDP($A155&amp;" Corp",AA$5))</f>
        <v>#NAME?</v>
      </c>
      <c r="AB155" s="54" t="e">
        <f ca="1">IF($B155="","",_xll.BDP($A155&amp;" Corp",AB$5))</f>
        <v>#NAME?</v>
      </c>
      <c r="AC155" s="54" t="e">
        <f ca="1">IF($B155="","",_xll.BDP($A155&amp;" Corp",AC$5))</f>
        <v>#NAME?</v>
      </c>
      <c r="AD155" s="55" t="e">
        <f ca="1">IF($B155="","",_xll.BDP($A155&amp;" Corp",AD$5))</f>
        <v>#NAME?</v>
      </c>
      <c r="AE155" s="56" t="e">
        <f ca="1">IF($B155="","",_xll.BDP($A155&amp;" Corp",AE$5))</f>
        <v>#NAME?</v>
      </c>
      <c r="AF155" s="29" t="e">
        <f ca="1">IF($B155="","",_xll.BDP($A155&amp;" Corp",AF$5))</f>
        <v>#NAME?</v>
      </c>
      <c r="AG155" s="33" t="e">
        <f ca="1">IF($B155="","",_xll.BDP($A155&amp;" Corp",AG$5))</f>
        <v>#NAME?</v>
      </c>
      <c r="AH155" s="30" t="e">
        <f ca="1">IF($B155="","",_xll.BDP($A155&amp;" Corp",AH$5))</f>
        <v>#NAME?</v>
      </c>
      <c r="AI155" s="30" t="e">
        <f ca="1">IF($B155="","",_xll.BDP($A155&amp;" Corp",AI$5))</f>
        <v>#NAME?</v>
      </c>
      <c r="AJ155" s="30" t="e">
        <f ca="1">IF($B155="","",_xll.BDP($A155&amp;" Corp",AJ$5))</f>
        <v>#NAME?</v>
      </c>
      <c r="AK155" s="11" t="e">
        <f ca="1">IF($B155="","",_xll.BDP($A155&amp;" Corp",AK$5))</f>
        <v>#NAME?</v>
      </c>
      <c r="AL155" s="11" t="e">
        <f ca="1">IF($B155="","",_xll.BDP($A155&amp;" Corp",AL$5))</f>
        <v>#NAME?</v>
      </c>
      <c r="AM155" s="11">
        <v>7</v>
      </c>
      <c r="AN155" s="57">
        <v>6</v>
      </c>
    </row>
    <row r="156" spans="1:40" x14ac:dyDescent="0.3">
      <c r="A156" s="67" t="s">
        <v>487</v>
      </c>
      <c r="B156" s="68" t="s">
        <v>487</v>
      </c>
      <c r="C156" s="75">
        <v>9713</v>
      </c>
      <c r="D156" s="75">
        <v>128</v>
      </c>
      <c r="E156" s="75">
        <v>200000</v>
      </c>
      <c r="F156" s="69">
        <v>0.12648015000000001</v>
      </c>
      <c r="G156" s="70">
        <v>196856</v>
      </c>
      <c r="H156" s="67">
        <v>200000</v>
      </c>
      <c r="I156" s="67">
        <v>0.12648015000000001</v>
      </c>
      <c r="J156" s="67">
        <v>196856</v>
      </c>
      <c r="K156" s="71">
        <v>98.427999999999997</v>
      </c>
      <c r="L156" s="29" t="e">
        <f ca="1">IF(B156="","",_xll.BDP(A156&amp;" Corp","INTERVAL_HIGH","START_DATE_OVERRIDE",TEXT($L$3,"AAAAMMDD"),"END_DATE_OVERRIDE",TEXT($L$4,"AAAAMMDD"),"MARKET_DATA_OVERRIDE",$L$5))</f>
        <v>#NAME?</v>
      </c>
      <c r="M156" s="30" t="e">
        <f ca="1">IF(B156="","",_xll.BDP($A156&amp;" Corp","INTERVAL_LOW","START_DATE_OVERRIDE",TEXT($L$3,"AAAAMMDD"),"END_DATE_OVERRIDE",TEXT($L$4,"AAAAMMDD"),"MARKET_DATA_OVERRIDE",$L$5))</f>
        <v>#NAME?</v>
      </c>
      <c r="N156" s="31" t="s">
        <v>919</v>
      </c>
      <c r="O156" s="32" t="e">
        <f ca="1">IF($B156="","",_xll.BDP($A156&amp;" Corp",O$6))</f>
        <v>#NAME?</v>
      </c>
      <c r="P156" s="32" t="e">
        <f ca="1">IF($B156="","",_xll.BDP($A156&amp;" Corp",P$6))</f>
        <v>#NAME?</v>
      </c>
      <c r="Q156" s="30" t="e">
        <f ca="1">IF($B156="","",_xll.BDP($A156&amp;" Corp",Q$5))</f>
        <v>#NAME?</v>
      </c>
      <c r="R156" s="30" t="e">
        <f ca="1">IF($B156="","",_xll.BDP($A156&amp;" Corp",R$5))</f>
        <v>#NAME?</v>
      </c>
      <c r="S156" s="50" t="e">
        <f ca="1">IF($B156="","",_xll.BDP($A156&amp;" Corp",S$5))</f>
        <v>#NAME?</v>
      </c>
      <c r="T156" s="30" t="e">
        <f ca="1">IF($B156="","",_xll.BDP($A156&amp;" Corp",T$5))</f>
        <v>#NAME?</v>
      </c>
      <c r="U156" s="30" t="e">
        <f ca="1">IF($B156="","",_xll.BDP($A156&amp;" Corp",U$5))</f>
        <v>#NAME?</v>
      </c>
      <c r="V156" s="51" t="e">
        <f ca="1">IF($B156="","",IF($T156="VARIABLE",_xll.BDP($A156&amp;" Corp",V$4),_xll.BDP($A156&amp;" Corp",V$5)))</f>
        <v>#NAME?</v>
      </c>
      <c r="W156" s="30" t="e">
        <f ca="1">IF($B156="","",IF($T156="VARIABLE",_xll.BDP($A156&amp;" Corp",W$4),_xll.BDP($A156&amp;" Corp",W$5)))</f>
        <v>#NAME?</v>
      </c>
      <c r="X156" s="30" t="e">
        <f ca="1">IF($B156="","",_xll.BDP($A156&amp;" Corp",X$5))</f>
        <v>#NAME?</v>
      </c>
      <c r="Y156" s="33" t="e">
        <f ca="1">IF($B156="","",_xll.BDP($A156&amp;" Corp",Y$5))</f>
        <v>#NAME?</v>
      </c>
      <c r="Z156" s="52" t="e">
        <f ca="1">IF($B156="","",_xll.BDP($A156&amp;" Corp",Z$5))</f>
        <v>#NAME?</v>
      </c>
      <c r="AA156" s="53" t="e">
        <f ca="1">IF($B156="","",_xll.BDP($A156&amp;" Corp",AA$5))</f>
        <v>#NAME?</v>
      </c>
      <c r="AB156" s="54" t="e">
        <f ca="1">IF($B156="","",_xll.BDP($A156&amp;" Corp",AB$5))</f>
        <v>#NAME?</v>
      </c>
      <c r="AC156" s="54" t="e">
        <f ca="1">IF($B156="","",_xll.BDP($A156&amp;" Corp",AC$5))</f>
        <v>#NAME?</v>
      </c>
      <c r="AD156" s="55" t="e">
        <f ca="1">IF($B156="","",_xll.BDP($A156&amp;" Corp",AD$5))</f>
        <v>#NAME?</v>
      </c>
      <c r="AE156" s="56" t="e">
        <f ca="1">IF($B156="","",_xll.BDP($A156&amp;" Corp",AE$5))</f>
        <v>#NAME?</v>
      </c>
      <c r="AF156" s="29" t="e">
        <f ca="1">IF($B156="","",_xll.BDP($A156&amp;" Corp",AF$5))</f>
        <v>#NAME?</v>
      </c>
      <c r="AG156" s="33" t="e">
        <f ca="1">IF($B156="","",_xll.BDP($A156&amp;" Corp",AG$5))</f>
        <v>#NAME?</v>
      </c>
      <c r="AH156" s="30" t="e">
        <f ca="1">IF($B156="","",_xll.BDP($A156&amp;" Corp",AH$5))</f>
        <v>#NAME?</v>
      </c>
      <c r="AI156" s="30" t="e">
        <f ca="1">IF($B156="","",_xll.BDP($A156&amp;" Corp",AI$5))</f>
        <v>#NAME?</v>
      </c>
      <c r="AJ156" s="30" t="e">
        <f ca="1">IF($B156="","",_xll.BDP($A156&amp;" Corp",AJ$5))</f>
        <v>#NAME?</v>
      </c>
      <c r="AK156" s="11" t="e">
        <f ca="1">IF($B156="","",_xll.BDP($A156&amp;" Corp",AK$5))</f>
        <v>#NAME?</v>
      </c>
      <c r="AL156" s="11" t="e">
        <f ca="1">IF($B156="","",_xll.BDP($A156&amp;" Corp",AL$5))</f>
        <v>#NAME?</v>
      </c>
      <c r="AM156" s="11">
        <v>7</v>
      </c>
      <c r="AN156" s="57">
        <v>6</v>
      </c>
    </row>
    <row r="157" spans="1:40" x14ac:dyDescent="0.3">
      <c r="A157" s="67" t="s">
        <v>489</v>
      </c>
      <c r="B157" s="68" t="s">
        <v>489</v>
      </c>
      <c r="C157" s="75">
        <v>9722</v>
      </c>
      <c r="D157" s="75">
        <v>128</v>
      </c>
      <c r="E157" s="75">
        <v>200000</v>
      </c>
      <c r="F157" s="69">
        <v>0.11872729</v>
      </c>
      <c r="G157" s="70">
        <v>198880</v>
      </c>
      <c r="H157" s="67">
        <v>200000</v>
      </c>
      <c r="I157" s="67">
        <v>0.11872729</v>
      </c>
      <c r="J157" s="67">
        <v>198880</v>
      </c>
      <c r="K157" s="71">
        <v>99.44</v>
      </c>
      <c r="L157" s="29" t="e">
        <f ca="1">IF(B157="","",_xll.BDP(A157&amp;" Corp","INTERVAL_HIGH","START_DATE_OVERRIDE",TEXT($L$3,"AAAAMMDD"),"END_DATE_OVERRIDE",TEXT($L$4,"AAAAMMDD"),"MARKET_DATA_OVERRIDE",$L$5))</f>
        <v>#NAME?</v>
      </c>
      <c r="M157" s="30" t="e">
        <f ca="1">IF(B157="","",_xll.BDP($A157&amp;" Corp","INTERVAL_LOW","START_DATE_OVERRIDE",TEXT($L$3,"AAAAMMDD"),"END_DATE_OVERRIDE",TEXT($L$4,"AAAAMMDD"),"MARKET_DATA_OVERRIDE",$L$5))</f>
        <v>#NAME?</v>
      </c>
      <c r="N157" s="31" t="s">
        <v>920</v>
      </c>
      <c r="O157" s="32" t="e">
        <f ca="1">IF($B157="","",_xll.BDP($A157&amp;" Corp",O$6))</f>
        <v>#NAME?</v>
      </c>
      <c r="P157" s="32" t="e">
        <f ca="1">IF($B157="","",_xll.BDP($A157&amp;" Corp",P$6))</f>
        <v>#NAME?</v>
      </c>
      <c r="Q157" s="30" t="e">
        <f ca="1">IF($B157="","",_xll.BDP($A157&amp;" Corp",Q$5))</f>
        <v>#NAME?</v>
      </c>
      <c r="R157" s="30" t="e">
        <f ca="1">IF($B157="","",_xll.BDP($A157&amp;" Corp",R$5))</f>
        <v>#NAME?</v>
      </c>
      <c r="S157" s="50" t="e">
        <f ca="1">IF($B157="","",_xll.BDP($A157&amp;" Corp",S$5))</f>
        <v>#NAME?</v>
      </c>
      <c r="T157" s="30" t="e">
        <f ca="1">IF($B157="","",_xll.BDP($A157&amp;" Corp",T$5))</f>
        <v>#NAME?</v>
      </c>
      <c r="U157" s="30" t="e">
        <f ca="1">IF($B157="","",_xll.BDP($A157&amp;" Corp",U$5))</f>
        <v>#NAME?</v>
      </c>
      <c r="V157" s="51" t="e">
        <f ca="1">IF($B157="","",IF($T157="VARIABLE",_xll.BDP($A157&amp;" Corp",V$4),_xll.BDP($A157&amp;" Corp",V$5)))</f>
        <v>#NAME?</v>
      </c>
      <c r="W157" s="30" t="e">
        <f ca="1">IF($B157="","",IF($T157="VARIABLE",_xll.BDP($A157&amp;" Corp",W$4),_xll.BDP($A157&amp;" Corp",W$5)))</f>
        <v>#NAME?</v>
      </c>
      <c r="X157" s="30" t="e">
        <f ca="1">IF($B157="","",_xll.BDP($A157&amp;" Corp",X$5))</f>
        <v>#NAME?</v>
      </c>
      <c r="Y157" s="33" t="e">
        <f ca="1">IF($B157="","",_xll.BDP($A157&amp;" Corp",Y$5))</f>
        <v>#NAME?</v>
      </c>
      <c r="Z157" s="52" t="e">
        <f ca="1">IF($B157="","",_xll.BDP($A157&amp;" Corp",Z$5))</f>
        <v>#NAME?</v>
      </c>
      <c r="AA157" s="53" t="e">
        <f ca="1">IF($B157="","",_xll.BDP($A157&amp;" Corp",AA$5))</f>
        <v>#NAME?</v>
      </c>
      <c r="AB157" s="54" t="e">
        <f ca="1">IF($B157="","",_xll.BDP($A157&amp;" Corp",AB$5))</f>
        <v>#NAME?</v>
      </c>
      <c r="AC157" s="54" t="e">
        <f ca="1">IF($B157="","",_xll.BDP($A157&amp;" Corp",AC$5))</f>
        <v>#NAME?</v>
      </c>
      <c r="AD157" s="55" t="e">
        <f ca="1">IF($B157="","",_xll.BDP($A157&amp;" Corp",AD$5))</f>
        <v>#NAME?</v>
      </c>
      <c r="AE157" s="56" t="e">
        <f ca="1">IF($B157="","",_xll.BDP($A157&amp;" Corp",AE$5))</f>
        <v>#NAME?</v>
      </c>
      <c r="AF157" s="29" t="e">
        <f ca="1">IF($B157="","",_xll.BDP($A157&amp;" Corp",AF$5))</f>
        <v>#NAME?</v>
      </c>
      <c r="AG157" s="33" t="e">
        <f ca="1">IF($B157="","",_xll.BDP($A157&amp;" Corp",AG$5))</f>
        <v>#NAME?</v>
      </c>
      <c r="AH157" s="30" t="e">
        <f ca="1">IF($B157="","",_xll.BDP($A157&amp;" Corp",AH$5))</f>
        <v>#NAME?</v>
      </c>
      <c r="AI157" s="30" t="e">
        <f ca="1">IF($B157="","",_xll.BDP($A157&amp;" Corp",AI$5))</f>
        <v>#NAME?</v>
      </c>
      <c r="AJ157" s="30" t="e">
        <f ca="1">IF($B157="","",_xll.BDP($A157&amp;" Corp",AJ$5))</f>
        <v>#NAME?</v>
      </c>
      <c r="AK157" s="11" t="e">
        <f ca="1">IF($B157="","",_xll.BDP($A157&amp;" Corp",AK$5))</f>
        <v>#NAME?</v>
      </c>
      <c r="AL157" s="11" t="e">
        <f ca="1">IF($B157="","",_xll.BDP($A157&amp;" Corp",AL$5))</f>
        <v>#NAME?</v>
      </c>
      <c r="AM157" s="11">
        <v>5</v>
      </c>
      <c r="AN157" s="57">
        <v>5</v>
      </c>
    </row>
    <row r="158" spans="1:40" x14ac:dyDescent="0.3">
      <c r="A158" s="67" t="s">
        <v>590</v>
      </c>
      <c r="B158" s="68" t="s">
        <v>590</v>
      </c>
      <c r="C158" s="75">
        <v>9744</v>
      </c>
      <c r="D158" s="75">
        <v>128</v>
      </c>
      <c r="E158" s="75">
        <v>1000000</v>
      </c>
      <c r="F158" s="69">
        <v>0.77052326999999998</v>
      </c>
      <c r="G158" s="70">
        <v>941150</v>
      </c>
      <c r="H158" s="67">
        <v>1000000</v>
      </c>
      <c r="I158" s="67">
        <v>0.77052326999999998</v>
      </c>
      <c r="J158" s="67">
        <v>941150</v>
      </c>
      <c r="K158" s="71">
        <v>94.114999999999995</v>
      </c>
      <c r="L158" s="29" t="e">
        <f ca="1">IF(B158="","",_xll.BDP(A158&amp;" Corp","INTERVAL_HIGH","START_DATE_OVERRIDE",TEXT($L$3,"AAAAMMDD"),"END_DATE_OVERRIDE",TEXT($L$4,"AAAAMMDD"),"MARKET_DATA_OVERRIDE",$L$5))</f>
        <v>#NAME?</v>
      </c>
      <c r="M158" s="30" t="e">
        <f ca="1">IF(B158="","",_xll.BDP($A158&amp;" Corp","INTERVAL_LOW","START_DATE_OVERRIDE",TEXT($L$3,"AAAAMMDD"),"END_DATE_OVERRIDE",TEXT($L$4,"AAAAMMDD"),"MARKET_DATA_OVERRIDE",$L$5))</f>
        <v>#NAME?</v>
      </c>
      <c r="N158" s="31" t="s">
        <v>921</v>
      </c>
      <c r="O158" s="32" t="e">
        <f ca="1">IF($B158="","",_xll.BDP($A158&amp;" Corp",O$6))</f>
        <v>#NAME?</v>
      </c>
      <c r="P158" s="32" t="e">
        <f ca="1">IF($B158="","",_xll.BDP($A158&amp;" Corp",P$6))</f>
        <v>#NAME?</v>
      </c>
      <c r="Q158" s="30" t="e">
        <f ca="1">IF($B158="","",_xll.BDP($A158&amp;" Corp",Q$5))</f>
        <v>#NAME?</v>
      </c>
      <c r="R158" s="30" t="e">
        <f ca="1">IF($B158="","",_xll.BDP($A158&amp;" Corp",R$5))</f>
        <v>#NAME?</v>
      </c>
      <c r="S158" s="50" t="e">
        <f ca="1">IF($B158="","",_xll.BDP($A158&amp;" Corp",S$5))</f>
        <v>#NAME?</v>
      </c>
      <c r="T158" s="30" t="e">
        <f ca="1">IF($B158="","",_xll.BDP($A158&amp;" Corp",T$5))</f>
        <v>#NAME?</v>
      </c>
      <c r="U158" s="30" t="e">
        <f ca="1">IF($B158="","",_xll.BDP($A158&amp;" Corp",U$5))</f>
        <v>#NAME?</v>
      </c>
      <c r="V158" s="51" t="e">
        <f ca="1">IF($B158="","",IF($T158="VARIABLE",_xll.BDP($A158&amp;" Corp",V$4),_xll.BDP($A158&amp;" Corp",V$5)))</f>
        <v>#NAME?</v>
      </c>
      <c r="W158" s="30" t="e">
        <f ca="1">IF($B158="","",IF($T158="VARIABLE",_xll.BDP($A158&amp;" Corp",W$4),_xll.BDP($A158&amp;" Corp",W$5)))</f>
        <v>#NAME?</v>
      </c>
      <c r="X158" s="30" t="e">
        <f ca="1">IF($B158="","",_xll.BDP($A158&amp;" Corp",X$5))</f>
        <v>#NAME?</v>
      </c>
      <c r="Y158" s="33" t="e">
        <f ca="1">IF($B158="","",_xll.BDP($A158&amp;" Corp",Y$5))</f>
        <v>#NAME?</v>
      </c>
      <c r="Z158" s="52" t="e">
        <f ca="1">IF($B158="","",_xll.BDP($A158&amp;" Corp",Z$5))</f>
        <v>#NAME?</v>
      </c>
      <c r="AA158" s="53" t="e">
        <f ca="1">IF($B158="","",_xll.BDP($A158&amp;" Corp",AA$5))</f>
        <v>#NAME?</v>
      </c>
      <c r="AB158" s="54" t="e">
        <f ca="1">IF($B158="","",_xll.BDP($A158&amp;" Corp",AB$5))</f>
        <v>#NAME?</v>
      </c>
      <c r="AC158" s="54" t="e">
        <f ca="1">IF($B158="","",_xll.BDP($A158&amp;" Corp",AC$5))</f>
        <v>#NAME?</v>
      </c>
      <c r="AD158" s="55" t="e">
        <f ca="1">IF($B158="","",_xll.BDP($A158&amp;" Corp",AD$5))</f>
        <v>#NAME?</v>
      </c>
      <c r="AE158" s="56" t="e">
        <f ca="1">IF($B158="","",_xll.BDP($A158&amp;" Corp",AE$5))</f>
        <v>#NAME?</v>
      </c>
      <c r="AF158" s="29" t="e">
        <f ca="1">IF($B158="","",_xll.BDP($A158&amp;" Corp",AF$5))</f>
        <v>#NAME?</v>
      </c>
      <c r="AG158" s="33" t="e">
        <f ca="1">IF($B158="","",_xll.BDP($A158&amp;" Corp",AG$5))</f>
        <v>#NAME?</v>
      </c>
      <c r="AH158" s="30" t="e">
        <f ca="1">IF($B158="","",_xll.BDP($A158&amp;" Corp",AH$5))</f>
        <v>#NAME?</v>
      </c>
      <c r="AI158" s="30" t="e">
        <f ca="1">IF($B158="","",_xll.BDP($A158&amp;" Corp",AI$5))</f>
        <v>#NAME?</v>
      </c>
      <c r="AJ158" s="30" t="e">
        <f ca="1">IF($B158="","",_xll.BDP($A158&amp;" Corp",AJ$5))</f>
        <v>#NAME?</v>
      </c>
      <c r="AK158" s="11" t="e">
        <f ca="1">IF($B158="","",_xll.BDP($A158&amp;" Corp",AK$5))</f>
        <v>#NAME?</v>
      </c>
      <c r="AL158" s="11" t="e">
        <f ca="1">IF($B158="","",_xll.BDP($A158&amp;" Corp",AL$5))</f>
        <v>#NAME?</v>
      </c>
      <c r="AM158" s="11">
        <v>2</v>
      </c>
      <c r="AN158" s="57">
        <v>1</v>
      </c>
    </row>
    <row r="159" spans="1:40" x14ac:dyDescent="0.3">
      <c r="A159" s="67" t="s">
        <v>409</v>
      </c>
      <c r="B159" s="68" t="s">
        <v>409</v>
      </c>
      <c r="C159" s="75">
        <v>9871</v>
      </c>
      <c r="D159" s="75">
        <v>128</v>
      </c>
      <c r="E159" s="75">
        <v>100000</v>
      </c>
      <c r="F159" s="69">
        <v>7.8914830000000005E-2</v>
      </c>
      <c r="G159" s="70">
        <v>100147</v>
      </c>
      <c r="H159" s="67">
        <v>100000</v>
      </c>
      <c r="I159" s="67">
        <v>7.8914830000000005E-2</v>
      </c>
      <c r="J159" s="67">
        <v>100147</v>
      </c>
      <c r="K159" s="71">
        <v>100.14700000000001</v>
      </c>
      <c r="L159" s="29" t="e">
        <f ca="1">IF(B159="","",_xll.BDP(A159&amp;" Corp","INTERVAL_HIGH","START_DATE_OVERRIDE",TEXT($L$3,"AAAAMMDD"),"END_DATE_OVERRIDE",TEXT($L$4,"AAAAMMDD"),"MARKET_DATA_OVERRIDE",$L$5))</f>
        <v>#NAME?</v>
      </c>
      <c r="M159" s="30" t="e">
        <f ca="1">IF(B159="","",_xll.BDP($A159&amp;" Corp","INTERVAL_LOW","START_DATE_OVERRIDE",TEXT($L$3,"AAAAMMDD"),"END_DATE_OVERRIDE",TEXT($L$4,"AAAAMMDD"),"MARKET_DATA_OVERRIDE",$L$5))</f>
        <v>#NAME?</v>
      </c>
      <c r="N159" s="31" t="s">
        <v>922</v>
      </c>
      <c r="O159" s="32" t="e">
        <f ca="1">IF($B159="","",_xll.BDP($A159&amp;" Corp",O$6))</f>
        <v>#NAME?</v>
      </c>
      <c r="P159" s="32" t="e">
        <f ca="1">IF($B159="","",_xll.BDP($A159&amp;" Corp",P$6))</f>
        <v>#NAME?</v>
      </c>
      <c r="Q159" s="30" t="e">
        <f ca="1">IF($B159="","",_xll.BDP($A159&amp;" Corp",Q$5))</f>
        <v>#NAME?</v>
      </c>
      <c r="R159" s="30" t="e">
        <f ca="1">IF($B159="","",_xll.BDP($A159&amp;" Corp",R$5))</f>
        <v>#NAME?</v>
      </c>
      <c r="S159" s="50" t="e">
        <f ca="1">IF($B159="","",_xll.BDP($A159&amp;" Corp",S$5))</f>
        <v>#NAME?</v>
      </c>
      <c r="T159" s="30" t="e">
        <f ca="1">IF($B159="","",_xll.BDP($A159&amp;" Corp",T$5))</f>
        <v>#NAME?</v>
      </c>
      <c r="U159" s="30" t="e">
        <f ca="1">IF($B159="","",_xll.BDP($A159&amp;" Corp",U$5))</f>
        <v>#NAME?</v>
      </c>
      <c r="V159" s="51" t="e">
        <f ca="1">IF($B159="","",IF($T159="VARIABLE",_xll.BDP($A159&amp;" Corp",V$4),_xll.BDP($A159&amp;" Corp",V$5)))</f>
        <v>#NAME?</v>
      </c>
      <c r="W159" s="30" t="e">
        <f ca="1">IF($B159="","",IF($T159="VARIABLE",_xll.BDP($A159&amp;" Corp",W$4),_xll.BDP($A159&amp;" Corp",W$5)))</f>
        <v>#NAME?</v>
      </c>
      <c r="X159" s="30" t="e">
        <f ca="1">IF($B159="","",_xll.BDP($A159&amp;" Corp",X$5))</f>
        <v>#NAME?</v>
      </c>
      <c r="Y159" s="33" t="e">
        <f ca="1">IF($B159="","",_xll.BDP($A159&amp;" Corp",Y$5))</f>
        <v>#NAME?</v>
      </c>
      <c r="Z159" s="52" t="e">
        <f ca="1">IF($B159="","",_xll.BDP($A159&amp;" Corp",Z$5))</f>
        <v>#NAME?</v>
      </c>
      <c r="AA159" s="53" t="e">
        <f ca="1">IF($B159="","",_xll.BDP($A159&amp;" Corp",AA$5))</f>
        <v>#NAME?</v>
      </c>
      <c r="AB159" s="54" t="e">
        <f ca="1">IF($B159="","",_xll.BDP($A159&amp;" Corp",AB$5))</f>
        <v>#NAME?</v>
      </c>
      <c r="AC159" s="54" t="e">
        <f ca="1">IF($B159="","",_xll.BDP($A159&amp;" Corp",AC$5))</f>
        <v>#NAME?</v>
      </c>
      <c r="AD159" s="55" t="e">
        <f ca="1">IF($B159="","",_xll.BDP($A159&amp;" Corp",AD$5))</f>
        <v>#NAME?</v>
      </c>
      <c r="AE159" s="56" t="e">
        <f ca="1">IF($B159="","",_xll.BDP($A159&amp;" Corp",AE$5))</f>
        <v>#NAME?</v>
      </c>
      <c r="AF159" s="29" t="e">
        <f ca="1">IF($B159="","",_xll.BDP($A159&amp;" Corp",AF$5))</f>
        <v>#NAME?</v>
      </c>
      <c r="AG159" s="33" t="e">
        <f ca="1">IF($B159="","",_xll.BDP($A159&amp;" Corp",AG$5))</f>
        <v>#NAME?</v>
      </c>
      <c r="AH159" s="30" t="e">
        <f ca="1">IF($B159="","",_xll.BDP($A159&amp;" Corp",AH$5))</f>
        <v>#NAME?</v>
      </c>
      <c r="AI159" s="30" t="e">
        <f ca="1">IF($B159="","",_xll.BDP($A159&amp;" Corp",AI$5))</f>
        <v>#NAME?</v>
      </c>
      <c r="AJ159" s="30" t="e">
        <f ca="1">IF($B159="","",_xll.BDP($A159&amp;" Corp",AJ$5))</f>
        <v>#NAME?</v>
      </c>
      <c r="AK159" s="11" t="e">
        <f ca="1">IF($B159="","",_xll.BDP($A159&amp;" Corp",AK$5))</f>
        <v>#NAME?</v>
      </c>
      <c r="AL159" s="11" t="e">
        <f ca="1">IF($B159="","",_xll.BDP($A159&amp;" Corp",AL$5))</f>
        <v>#NAME?</v>
      </c>
      <c r="AM159" s="11">
        <v>2</v>
      </c>
      <c r="AN159" s="57">
        <v>1</v>
      </c>
    </row>
    <row r="160" spans="1:40" x14ac:dyDescent="0.3">
      <c r="A160" s="67" t="s">
        <v>411</v>
      </c>
      <c r="B160" s="68" t="s">
        <v>411</v>
      </c>
      <c r="C160" s="75">
        <v>9894</v>
      </c>
      <c r="D160" s="75">
        <v>128</v>
      </c>
      <c r="E160" s="75">
        <v>200000</v>
      </c>
      <c r="F160" s="69">
        <v>0.15533092000000001</v>
      </c>
      <c r="G160" s="70">
        <v>199382</v>
      </c>
      <c r="H160" s="67">
        <v>200000</v>
      </c>
      <c r="I160" s="67">
        <v>0.15533092000000001</v>
      </c>
      <c r="J160" s="67">
        <v>199382</v>
      </c>
      <c r="K160" s="71">
        <v>99.691000000000003</v>
      </c>
      <c r="L160" s="29" t="e">
        <f ca="1">IF(B160="","",_xll.BDP(A160&amp;" Corp","INTERVAL_HIGH","START_DATE_OVERRIDE",TEXT($L$3,"AAAAMMDD"),"END_DATE_OVERRIDE",TEXT($L$4,"AAAAMMDD"),"MARKET_DATA_OVERRIDE",$L$5))</f>
        <v>#NAME?</v>
      </c>
      <c r="M160" s="30" t="e">
        <f ca="1">IF(B160="","",_xll.BDP($A160&amp;" Corp","INTERVAL_LOW","START_DATE_OVERRIDE",TEXT($L$3,"AAAAMMDD"),"END_DATE_OVERRIDE",TEXT($L$4,"AAAAMMDD"),"MARKET_DATA_OVERRIDE",$L$5))</f>
        <v>#NAME?</v>
      </c>
      <c r="N160" s="31" t="s">
        <v>923</v>
      </c>
      <c r="O160" s="32" t="e">
        <f ca="1">IF($B160="","",_xll.BDP($A160&amp;" Corp",O$6))</f>
        <v>#NAME?</v>
      </c>
      <c r="P160" s="32" t="e">
        <f ca="1">IF($B160="","",_xll.BDP($A160&amp;" Corp",P$6))</f>
        <v>#NAME?</v>
      </c>
      <c r="Q160" s="30" t="e">
        <f ca="1">IF($B160="","",_xll.BDP($A160&amp;" Corp",Q$5))</f>
        <v>#NAME?</v>
      </c>
      <c r="R160" s="30" t="e">
        <f ca="1">IF($B160="","",_xll.BDP($A160&amp;" Corp",R$5))</f>
        <v>#NAME?</v>
      </c>
      <c r="S160" s="50" t="e">
        <f ca="1">IF($B160="","",_xll.BDP($A160&amp;" Corp",S$5))</f>
        <v>#NAME?</v>
      </c>
      <c r="T160" s="30" t="e">
        <f ca="1">IF($B160="","",_xll.BDP($A160&amp;" Corp",T$5))</f>
        <v>#NAME?</v>
      </c>
      <c r="U160" s="30" t="e">
        <f ca="1">IF($B160="","",_xll.BDP($A160&amp;" Corp",U$5))</f>
        <v>#NAME?</v>
      </c>
      <c r="V160" s="51" t="e">
        <f ca="1">IF($B160="","",IF($T160="VARIABLE",_xll.BDP($A160&amp;" Corp",V$4),_xll.BDP($A160&amp;" Corp",V$5)))</f>
        <v>#NAME?</v>
      </c>
      <c r="W160" s="30" t="e">
        <f ca="1">IF($B160="","",IF($T160="VARIABLE",_xll.BDP($A160&amp;" Corp",W$4),_xll.BDP($A160&amp;" Corp",W$5)))</f>
        <v>#NAME?</v>
      </c>
      <c r="X160" s="30" t="e">
        <f ca="1">IF($B160="","",_xll.BDP($A160&amp;" Corp",X$5))</f>
        <v>#NAME?</v>
      </c>
      <c r="Y160" s="33" t="e">
        <f ca="1">IF($B160="","",_xll.BDP($A160&amp;" Corp",Y$5))</f>
        <v>#NAME?</v>
      </c>
      <c r="Z160" s="52" t="e">
        <f ca="1">IF($B160="","",_xll.BDP($A160&amp;" Corp",Z$5))</f>
        <v>#NAME?</v>
      </c>
      <c r="AA160" s="53" t="e">
        <f ca="1">IF($B160="","",_xll.BDP($A160&amp;" Corp",AA$5))</f>
        <v>#NAME?</v>
      </c>
      <c r="AB160" s="54" t="e">
        <f ca="1">IF($B160="","",_xll.BDP($A160&amp;" Corp",AB$5))</f>
        <v>#NAME?</v>
      </c>
      <c r="AC160" s="54" t="e">
        <f ca="1">IF($B160="","",_xll.BDP($A160&amp;" Corp",AC$5))</f>
        <v>#NAME?</v>
      </c>
      <c r="AD160" s="55" t="e">
        <f ca="1">IF($B160="","",_xll.BDP($A160&amp;" Corp",AD$5))</f>
        <v>#NAME?</v>
      </c>
      <c r="AE160" s="56" t="e">
        <f ca="1">IF($B160="","",_xll.BDP($A160&amp;" Corp",AE$5))</f>
        <v>#NAME?</v>
      </c>
      <c r="AF160" s="29" t="e">
        <f ca="1">IF($B160="","",_xll.BDP($A160&amp;" Corp",AF$5))</f>
        <v>#NAME?</v>
      </c>
      <c r="AG160" s="33" t="e">
        <f ca="1">IF($B160="","",_xll.BDP($A160&amp;" Corp",AG$5))</f>
        <v>#NAME?</v>
      </c>
      <c r="AH160" s="30" t="e">
        <f ca="1">IF($B160="","",_xll.BDP($A160&amp;" Corp",AH$5))</f>
        <v>#NAME?</v>
      </c>
      <c r="AI160" s="30" t="e">
        <f ca="1">IF($B160="","",_xll.BDP($A160&amp;" Corp",AI$5))</f>
        <v>#NAME?</v>
      </c>
      <c r="AJ160" s="30" t="e">
        <f ca="1">IF($B160="","",_xll.BDP($A160&amp;" Corp",AJ$5))</f>
        <v>#NAME?</v>
      </c>
      <c r="AK160" s="11" t="e">
        <f ca="1">IF($B160="","",_xll.BDP($A160&amp;" Corp",AK$5))</f>
        <v>#NAME?</v>
      </c>
      <c r="AL160" s="11" t="e">
        <f ca="1">IF($B160="","",_xll.BDP($A160&amp;" Corp",AL$5))</f>
        <v>#NAME?</v>
      </c>
      <c r="AM160" s="11">
        <v>2</v>
      </c>
      <c r="AN160" s="57">
        <v>2</v>
      </c>
    </row>
    <row r="161" spans="1:40" x14ac:dyDescent="0.3">
      <c r="A161" s="67" t="s">
        <v>413</v>
      </c>
      <c r="B161" s="68" t="s">
        <v>413</v>
      </c>
      <c r="C161" s="75">
        <v>10137</v>
      </c>
      <c r="D161" s="75">
        <v>128</v>
      </c>
      <c r="E161" s="75">
        <v>300000</v>
      </c>
      <c r="F161" s="69">
        <v>0.24314746000000001</v>
      </c>
      <c r="G161" s="70">
        <v>301389</v>
      </c>
      <c r="H161" s="67">
        <v>300000</v>
      </c>
      <c r="I161" s="67">
        <v>0.24314746000000001</v>
      </c>
      <c r="J161" s="67">
        <v>301389</v>
      </c>
      <c r="K161" s="71">
        <v>100.46299999999999</v>
      </c>
      <c r="L161" s="29" t="e">
        <f ca="1">IF(B161="","",_xll.BDP(A161&amp;" Corp","INTERVAL_HIGH","START_DATE_OVERRIDE",TEXT($L$3,"AAAAMMDD"),"END_DATE_OVERRIDE",TEXT($L$4,"AAAAMMDD"),"MARKET_DATA_OVERRIDE",$L$5))</f>
        <v>#NAME?</v>
      </c>
      <c r="M161" s="30" t="e">
        <f ca="1">IF(B161="","",_xll.BDP($A161&amp;" Corp","INTERVAL_LOW","START_DATE_OVERRIDE",TEXT($L$3,"AAAAMMDD"),"END_DATE_OVERRIDE",TEXT($L$4,"AAAAMMDD"),"MARKET_DATA_OVERRIDE",$L$5))</f>
        <v>#NAME?</v>
      </c>
      <c r="N161" s="31" t="s">
        <v>924</v>
      </c>
      <c r="O161" s="32" t="e">
        <f ca="1">IF($B161="","",_xll.BDP($A161&amp;" Corp",O$6))</f>
        <v>#NAME?</v>
      </c>
      <c r="P161" s="32" t="e">
        <f ca="1">IF($B161="","",_xll.BDP($A161&amp;" Corp",P$6))</f>
        <v>#NAME?</v>
      </c>
      <c r="Q161" s="30" t="e">
        <f ca="1">IF($B161="","",_xll.BDP($A161&amp;" Corp",Q$5))</f>
        <v>#NAME?</v>
      </c>
      <c r="R161" s="30" t="e">
        <f ca="1">IF($B161="","",_xll.BDP($A161&amp;" Corp",R$5))</f>
        <v>#NAME?</v>
      </c>
      <c r="S161" s="50" t="e">
        <f ca="1">IF($B161="","",_xll.BDP($A161&amp;" Corp",S$5))</f>
        <v>#NAME?</v>
      </c>
      <c r="T161" s="30" t="e">
        <f ca="1">IF($B161="","",_xll.BDP($A161&amp;" Corp",T$5))</f>
        <v>#NAME?</v>
      </c>
      <c r="U161" s="30" t="e">
        <f ca="1">IF($B161="","",_xll.BDP($A161&amp;" Corp",U$5))</f>
        <v>#NAME?</v>
      </c>
      <c r="V161" s="51" t="e">
        <f ca="1">IF($B161="","",IF($T161="VARIABLE",_xll.BDP($A161&amp;" Corp",V$4),_xll.BDP($A161&amp;" Corp",V$5)))</f>
        <v>#NAME?</v>
      </c>
      <c r="W161" s="30" t="e">
        <f ca="1">IF($B161="","",IF($T161="VARIABLE",_xll.BDP($A161&amp;" Corp",W$4),_xll.BDP($A161&amp;" Corp",W$5)))</f>
        <v>#NAME?</v>
      </c>
      <c r="X161" s="30" t="e">
        <f ca="1">IF($B161="","",_xll.BDP($A161&amp;" Corp",X$5))</f>
        <v>#NAME?</v>
      </c>
      <c r="Y161" s="33" t="e">
        <f ca="1">IF($B161="","",_xll.BDP($A161&amp;" Corp",Y$5))</f>
        <v>#NAME?</v>
      </c>
      <c r="Z161" s="52" t="e">
        <f ca="1">IF($B161="","",_xll.BDP($A161&amp;" Corp",Z$5))</f>
        <v>#NAME?</v>
      </c>
      <c r="AA161" s="53" t="e">
        <f ca="1">IF($B161="","",_xll.BDP($A161&amp;" Corp",AA$5))</f>
        <v>#NAME?</v>
      </c>
      <c r="AB161" s="54" t="e">
        <f ca="1">IF($B161="","",_xll.BDP($A161&amp;" Corp",AB$5))</f>
        <v>#NAME?</v>
      </c>
      <c r="AC161" s="54" t="e">
        <f ca="1">IF($B161="","",_xll.BDP($A161&amp;" Corp",AC$5))</f>
        <v>#NAME?</v>
      </c>
      <c r="AD161" s="55" t="e">
        <f ca="1">IF($B161="","",_xll.BDP($A161&amp;" Corp",AD$5))</f>
        <v>#NAME?</v>
      </c>
      <c r="AE161" s="56" t="e">
        <f ca="1">IF($B161="","",_xll.BDP($A161&amp;" Corp",AE$5))</f>
        <v>#NAME?</v>
      </c>
      <c r="AF161" s="29" t="e">
        <f ca="1">IF($B161="","",_xll.BDP($A161&amp;" Corp",AF$5))</f>
        <v>#NAME?</v>
      </c>
      <c r="AG161" s="33" t="e">
        <f ca="1">IF($B161="","",_xll.BDP($A161&amp;" Corp",AG$5))</f>
        <v>#NAME?</v>
      </c>
      <c r="AH161" s="30" t="e">
        <f ca="1">IF($B161="","",_xll.BDP($A161&amp;" Corp",AH$5))</f>
        <v>#NAME?</v>
      </c>
      <c r="AI161" s="30" t="e">
        <f ca="1">IF($B161="","",_xll.BDP($A161&amp;" Corp",AI$5))</f>
        <v>#NAME?</v>
      </c>
      <c r="AJ161" s="30" t="e">
        <f ca="1">IF($B161="","",_xll.BDP($A161&amp;" Corp",AJ$5))</f>
        <v>#NAME?</v>
      </c>
      <c r="AK161" s="11" t="e">
        <f ca="1">IF($B161="","",_xll.BDP($A161&amp;" Corp",AK$5))</f>
        <v>#NAME?</v>
      </c>
      <c r="AL161" s="11" t="e">
        <f ca="1">IF($B161="","",_xll.BDP($A161&amp;" Corp",AL$5))</f>
        <v>#NAME?</v>
      </c>
      <c r="AM161" s="11">
        <v>2</v>
      </c>
      <c r="AN161" s="57">
        <v>2</v>
      </c>
    </row>
    <row r="162" spans="1:40" x14ac:dyDescent="0.3">
      <c r="A162" s="67" t="s">
        <v>415</v>
      </c>
      <c r="B162" s="68" t="s">
        <v>415</v>
      </c>
      <c r="C162" s="75">
        <v>10189</v>
      </c>
      <c r="D162" s="75">
        <v>128</v>
      </c>
      <c r="E162" s="75">
        <v>300000</v>
      </c>
      <c r="F162" s="69">
        <v>0.24751635999999999</v>
      </c>
      <c r="G162" s="70">
        <v>296835</v>
      </c>
      <c r="H162" s="67">
        <v>300000</v>
      </c>
      <c r="I162" s="67">
        <v>0.24751635999999999</v>
      </c>
      <c r="J162" s="67">
        <v>296835</v>
      </c>
      <c r="K162" s="71">
        <v>98.944999999999993</v>
      </c>
      <c r="L162" s="29" t="e">
        <f ca="1">IF(B162="","",_xll.BDP(A162&amp;" Corp","INTERVAL_HIGH","START_DATE_OVERRIDE",TEXT($L$3,"AAAAMMDD"),"END_DATE_OVERRIDE",TEXT($L$4,"AAAAMMDD"),"MARKET_DATA_OVERRIDE",$L$5))</f>
        <v>#NAME?</v>
      </c>
      <c r="M162" s="30" t="e">
        <f ca="1">IF(B162="","",_xll.BDP($A162&amp;" Corp","INTERVAL_LOW","START_DATE_OVERRIDE",TEXT($L$3,"AAAAMMDD"),"END_DATE_OVERRIDE",TEXT($L$4,"AAAAMMDD"),"MARKET_DATA_OVERRIDE",$L$5))</f>
        <v>#NAME?</v>
      </c>
      <c r="N162" s="31" t="s">
        <v>925</v>
      </c>
      <c r="O162" s="32" t="e">
        <f ca="1">IF($B162="","",_xll.BDP($A162&amp;" Corp",O$6))</f>
        <v>#NAME?</v>
      </c>
      <c r="P162" s="32" t="e">
        <f ca="1">IF($B162="","",_xll.BDP($A162&amp;" Corp",P$6))</f>
        <v>#NAME?</v>
      </c>
      <c r="Q162" s="30" t="e">
        <f ca="1">IF($B162="","",_xll.BDP($A162&amp;" Corp",Q$5))</f>
        <v>#NAME?</v>
      </c>
      <c r="R162" s="30" t="e">
        <f ca="1">IF($B162="","",_xll.BDP($A162&amp;" Corp",R$5))</f>
        <v>#NAME?</v>
      </c>
      <c r="S162" s="50" t="e">
        <f ca="1">IF($B162="","",_xll.BDP($A162&amp;" Corp",S$5))</f>
        <v>#NAME?</v>
      </c>
      <c r="T162" s="30" t="e">
        <f ca="1">IF($B162="","",_xll.BDP($A162&amp;" Corp",T$5))</f>
        <v>#NAME?</v>
      </c>
      <c r="U162" s="30" t="e">
        <f ca="1">IF($B162="","",_xll.BDP($A162&amp;" Corp",U$5))</f>
        <v>#NAME?</v>
      </c>
      <c r="V162" s="51" t="e">
        <f ca="1">IF($B162="","",IF($T162="VARIABLE",_xll.BDP($A162&amp;" Corp",V$4),_xll.BDP($A162&amp;" Corp",V$5)))</f>
        <v>#NAME?</v>
      </c>
      <c r="W162" s="30" t="e">
        <f ca="1">IF($B162="","",IF($T162="VARIABLE",_xll.BDP($A162&amp;" Corp",W$4),_xll.BDP($A162&amp;" Corp",W$5)))</f>
        <v>#NAME?</v>
      </c>
      <c r="X162" s="30" t="e">
        <f ca="1">IF($B162="","",_xll.BDP($A162&amp;" Corp",X$5))</f>
        <v>#NAME?</v>
      </c>
      <c r="Y162" s="33" t="e">
        <f ca="1">IF($B162="","",_xll.BDP($A162&amp;" Corp",Y$5))</f>
        <v>#NAME?</v>
      </c>
      <c r="Z162" s="52" t="e">
        <f ca="1">IF($B162="","",_xll.BDP($A162&amp;" Corp",Z$5))</f>
        <v>#NAME?</v>
      </c>
      <c r="AA162" s="53" t="e">
        <f ca="1">IF($B162="","",_xll.BDP($A162&amp;" Corp",AA$5))</f>
        <v>#NAME?</v>
      </c>
      <c r="AB162" s="54" t="e">
        <f ca="1">IF($B162="","",_xll.BDP($A162&amp;" Corp",AB$5))</f>
        <v>#NAME?</v>
      </c>
      <c r="AC162" s="54" t="e">
        <f ca="1">IF($B162="","",_xll.BDP($A162&amp;" Corp",AC$5))</f>
        <v>#NAME?</v>
      </c>
      <c r="AD162" s="55" t="e">
        <f ca="1">IF($B162="","",_xll.BDP($A162&amp;" Corp",AD$5))</f>
        <v>#NAME?</v>
      </c>
      <c r="AE162" s="56" t="e">
        <f ca="1">IF($B162="","",_xll.BDP($A162&amp;" Corp",AE$5))</f>
        <v>#NAME?</v>
      </c>
      <c r="AF162" s="29" t="e">
        <f ca="1">IF($B162="","",_xll.BDP($A162&amp;" Corp",AF$5))</f>
        <v>#NAME?</v>
      </c>
      <c r="AG162" s="33" t="e">
        <f ca="1">IF($B162="","",_xll.BDP($A162&amp;" Corp",AG$5))</f>
        <v>#NAME?</v>
      </c>
      <c r="AH162" s="30" t="e">
        <f ca="1">IF($B162="","",_xll.BDP($A162&amp;" Corp",AH$5))</f>
        <v>#NAME?</v>
      </c>
      <c r="AI162" s="30" t="e">
        <f ca="1">IF($B162="","",_xll.BDP($A162&amp;" Corp",AI$5))</f>
        <v>#NAME?</v>
      </c>
      <c r="AJ162" s="30" t="e">
        <f ca="1">IF($B162="","",_xll.BDP($A162&amp;" Corp",AJ$5))</f>
        <v>#NAME?</v>
      </c>
      <c r="AK162" s="11" t="e">
        <f ca="1">IF($B162="","",_xll.BDP($A162&amp;" Corp",AK$5))</f>
        <v>#NAME?</v>
      </c>
      <c r="AL162" s="11" t="e">
        <f ca="1">IF($B162="","",_xll.BDP($A162&amp;" Corp",AL$5))</f>
        <v>#NAME?</v>
      </c>
      <c r="AM162" s="11">
        <v>2</v>
      </c>
      <c r="AN162" s="57">
        <v>2</v>
      </c>
    </row>
    <row r="163" spans="1:40" x14ac:dyDescent="0.3">
      <c r="A163" s="67" t="s">
        <v>417</v>
      </c>
      <c r="B163" s="68" t="s">
        <v>417</v>
      </c>
      <c r="C163" s="75">
        <v>10371</v>
      </c>
      <c r="D163" s="75">
        <v>128</v>
      </c>
      <c r="E163" s="75">
        <v>1000000</v>
      </c>
      <c r="F163" s="69">
        <v>0.81723597000000003</v>
      </c>
      <c r="G163" s="70">
        <v>998950</v>
      </c>
      <c r="H163" s="67">
        <v>1000000</v>
      </c>
      <c r="I163" s="67">
        <v>0.81723597000000003</v>
      </c>
      <c r="J163" s="67">
        <v>998950</v>
      </c>
      <c r="K163" s="71">
        <v>99.894999999999996</v>
      </c>
      <c r="L163" s="29" t="e">
        <f ca="1">IF(B163="","",_xll.BDP(A163&amp;" Corp","INTERVAL_HIGH","START_DATE_OVERRIDE",TEXT($L$3,"AAAAMMDD"),"END_DATE_OVERRIDE",TEXT($L$4,"AAAAMMDD"),"MARKET_DATA_OVERRIDE",$L$5))</f>
        <v>#NAME?</v>
      </c>
      <c r="M163" s="30" t="e">
        <f ca="1">IF(B163="","",_xll.BDP($A163&amp;" Corp","INTERVAL_LOW","START_DATE_OVERRIDE",TEXT($L$3,"AAAAMMDD"),"END_DATE_OVERRIDE",TEXT($L$4,"AAAAMMDD"),"MARKET_DATA_OVERRIDE",$L$5))</f>
        <v>#NAME?</v>
      </c>
      <c r="N163" s="31" t="s">
        <v>926</v>
      </c>
      <c r="O163" s="32" t="e">
        <f ca="1">IF($B163="","",_xll.BDP($A163&amp;" Corp",O$6))</f>
        <v>#NAME?</v>
      </c>
      <c r="P163" s="32" t="e">
        <f ca="1">IF($B163="","",_xll.BDP($A163&amp;" Corp",P$6))</f>
        <v>#NAME?</v>
      </c>
      <c r="Q163" s="30" t="e">
        <f ca="1">IF($B163="","",_xll.BDP($A163&amp;" Corp",Q$5))</f>
        <v>#NAME?</v>
      </c>
      <c r="R163" s="30" t="e">
        <f ca="1">IF($B163="","",_xll.BDP($A163&amp;" Corp",R$5))</f>
        <v>#NAME?</v>
      </c>
      <c r="S163" s="50" t="e">
        <f ca="1">IF($B163="","",_xll.BDP($A163&amp;" Corp",S$5))</f>
        <v>#NAME?</v>
      </c>
      <c r="T163" s="30" t="e">
        <f ca="1">IF($B163="","",_xll.BDP($A163&amp;" Corp",T$5))</f>
        <v>#NAME?</v>
      </c>
      <c r="U163" s="30" t="e">
        <f ca="1">IF($B163="","",_xll.BDP($A163&amp;" Corp",U$5))</f>
        <v>#NAME?</v>
      </c>
      <c r="V163" s="51" t="e">
        <f ca="1">IF($B163="","",IF($T163="VARIABLE",_xll.BDP($A163&amp;" Corp",V$4),_xll.BDP($A163&amp;" Corp",V$5)))</f>
        <v>#NAME?</v>
      </c>
      <c r="W163" s="30" t="e">
        <f ca="1">IF($B163="","",IF($T163="VARIABLE",_xll.BDP($A163&amp;" Corp",W$4),_xll.BDP($A163&amp;" Corp",W$5)))</f>
        <v>#NAME?</v>
      </c>
      <c r="X163" s="30" t="e">
        <f ca="1">IF($B163="","",_xll.BDP($A163&amp;" Corp",X$5))</f>
        <v>#NAME?</v>
      </c>
      <c r="Y163" s="33" t="e">
        <f ca="1">IF($B163="","",_xll.BDP($A163&amp;" Corp",Y$5))</f>
        <v>#NAME?</v>
      </c>
      <c r="Z163" s="52" t="e">
        <f ca="1">IF($B163="","",_xll.BDP($A163&amp;" Corp",Z$5))</f>
        <v>#NAME?</v>
      </c>
      <c r="AA163" s="53" t="e">
        <f ca="1">IF($B163="","",_xll.BDP($A163&amp;" Corp",AA$5))</f>
        <v>#NAME?</v>
      </c>
      <c r="AB163" s="54" t="e">
        <f ca="1">IF($B163="","",_xll.BDP($A163&amp;" Corp",AB$5))</f>
        <v>#NAME?</v>
      </c>
      <c r="AC163" s="54" t="e">
        <f ca="1">IF($B163="","",_xll.BDP($A163&amp;" Corp",AC$5))</f>
        <v>#NAME?</v>
      </c>
      <c r="AD163" s="55" t="e">
        <f ca="1">IF($B163="","",_xll.BDP($A163&amp;" Corp",AD$5))</f>
        <v>#NAME?</v>
      </c>
      <c r="AE163" s="56" t="e">
        <f ca="1">IF($B163="","",_xll.BDP($A163&amp;" Corp",AE$5))</f>
        <v>#NAME?</v>
      </c>
      <c r="AF163" s="29" t="e">
        <f ca="1">IF($B163="","",_xll.BDP($A163&amp;" Corp",AF$5))</f>
        <v>#NAME?</v>
      </c>
      <c r="AG163" s="33" t="e">
        <f ca="1">IF($B163="","",_xll.BDP($A163&amp;" Corp",AG$5))</f>
        <v>#NAME?</v>
      </c>
      <c r="AH163" s="30" t="e">
        <f ca="1">IF($B163="","",_xll.BDP($A163&amp;" Corp",AH$5))</f>
        <v>#NAME?</v>
      </c>
      <c r="AI163" s="30" t="e">
        <f ca="1">IF($B163="","",_xll.BDP($A163&amp;" Corp",AI$5))</f>
        <v>#NAME?</v>
      </c>
      <c r="AJ163" s="30" t="e">
        <f ca="1">IF($B163="","",_xll.BDP($A163&amp;" Corp",AJ$5))</f>
        <v>#NAME?</v>
      </c>
      <c r="AK163" s="11" t="e">
        <f ca="1">IF($B163="","",_xll.BDP($A163&amp;" Corp",AK$5))</f>
        <v>#NAME?</v>
      </c>
      <c r="AL163" s="11" t="e">
        <f ca="1">IF($B163="","",_xll.BDP($A163&amp;" Corp",AL$5))</f>
        <v>#NAME?</v>
      </c>
      <c r="AM163" s="11">
        <v>3</v>
      </c>
      <c r="AN163" s="57">
        <v>2</v>
      </c>
    </row>
    <row r="164" spans="1:40" x14ac:dyDescent="0.3">
      <c r="A164" s="67" t="s">
        <v>420</v>
      </c>
      <c r="B164" s="68" t="s">
        <v>420</v>
      </c>
      <c r="C164" s="75">
        <v>10368</v>
      </c>
      <c r="D164" s="75">
        <v>128</v>
      </c>
      <c r="E164" s="75">
        <v>300000</v>
      </c>
      <c r="F164" s="69">
        <v>0.24535649000000001</v>
      </c>
      <c r="G164" s="70">
        <v>299598</v>
      </c>
      <c r="H164" s="67">
        <v>300000</v>
      </c>
      <c r="I164" s="67">
        <v>0.24535649000000001</v>
      </c>
      <c r="J164" s="67">
        <v>299598</v>
      </c>
      <c r="K164" s="71">
        <v>99.866</v>
      </c>
      <c r="L164" s="29" t="e">
        <f ca="1">IF(B164="","",_xll.BDP(A164&amp;" Corp","INTERVAL_HIGH","START_DATE_OVERRIDE",TEXT($L$3,"AAAAMMDD"),"END_DATE_OVERRIDE",TEXT($L$4,"AAAAMMDD"),"MARKET_DATA_OVERRIDE",$L$5))</f>
        <v>#NAME?</v>
      </c>
      <c r="M164" s="30" t="e">
        <f ca="1">IF(B164="","",_xll.BDP($A164&amp;" Corp","INTERVAL_LOW","START_DATE_OVERRIDE",TEXT($L$3,"AAAAMMDD"),"END_DATE_OVERRIDE",TEXT($L$4,"AAAAMMDD"),"MARKET_DATA_OVERRIDE",$L$5))</f>
        <v>#NAME?</v>
      </c>
      <c r="N164" s="31" t="s">
        <v>960</v>
      </c>
      <c r="O164" s="32" t="e">
        <f ca="1">IF($B164="","",_xll.BDP($A164&amp;" Corp",O$6))</f>
        <v>#NAME?</v>
      </c>
      <c r="P164" s="32" t="e">
        <f ca="1">IF($B164="","",_xll.BDP($A164&amp;" Corp",P$6))</f>
        <v>#NAME?</v>
      </c>
      <c r="Q164" s="30" t="e">
        <f ca="1">IF($B164="","",_xll.BDP($A164&amp;" Corp",Q$5))</f>
        <v>#NAME?</v>
      </c>
      <c r="R164" s="30" t="e">
        <f ca="1">IF($B164="","",_xll.BDP($A164&amp;" Corp",R$5))</f>
        <v>#NAME?</v>
      </c>
      <c r="S164" s="50" t="e">
        <f ca="1">IF($B164="","",_xll.BDP($A164&amp;" Corp",S$5))</f>
        <v>#NAME?</v>
      </c>
      <c r="T164" s="30" t="e">
        <f ca="1">IF($B164="","",_xll.BDP($A164&amp;" Corp",T$5))</f>
        <v>#NAME?</v>
      </c>
      <c r="U164" s="30" t="e">
        <f ca="1">IF($B164="","",_xll.BDP($A164&amp;" Corp",U$5))</f>
        <v>#NAME?</v>
      </c>
      <c r="V164" s="51" t="e">
        <f ca="1">IF($B164="","",IF($T164="VARIABLE",_xll.BDP($A164&amp;" Corp",V$4),_xll.BDP($A164&amp;" Corp",V$5)))</f>
        <v>#NAME?</v>
      </c>
      <c r="W164" s="30" t="e">
        <f ca="1">IF($B164="","",IF($T164="VARIABLE",_xll.BDP($A164&amp;" Corp",W$4),_xll.BDP($A164&amp;" Corp",W$5)))</f>
        <v>#NAME?</v>
      </c>
      <c r="X164" s="30" t="e">
        <f ca="1">IF($B164="","",_xll.BDP($A164&amp;" Corp",X$5))</f>
        <v>#NAME?</v>
      </c>
      <c r="Y164" s="33" t="e">
        <f ca="1">IF($B164="","",_xll.BDP($A164&amp;" Corp",Y$5))</f>
        <v>#NAME?</v>
      </c>
      <c r="Z164" s="52" t="e">
        <f ca="1">IF($B164="","",_xll.BDP($A164&amp;" Corp",Z$5))</f>
        <v>#NAME?</v>
      </c>
      <c r="AA164" s="53" t="e">
        <f ca="1">IF($B164="","",_xll.BDP($A164&amp;" Corp",AA$5))</f>
        <v>#NAME?</v>
      </c>
      <c r="AB164" s="54" t="e">
        <f ca="1">IF($B164="","",_xll.BDP($A164&amp;" Corp",AB$5))</f>
        <v>#NAME?</v>
      </c>
      <c r="AC164" s="54" t="e">
        <f ca="1">IF($B164="","",_xll.BDP($A164&amp;" Corp",AC$5))</f>
        <v>#NAME?</v>
      </c>
      <c r="AD164" s="55" t="e">
        <f ca="1">IF($B164="","",_xll.BDP($A164&amp;" Corp",AD$5))</f>
        <v>#NAME?</v>
      </c>
      <c r="AE164" s="56" t="e">
        <f ca="1">IF($B164="","",_xll.BDP($A164&amp;" Corp",AE$5))</f>
        <v>#NAME?</v>
      </c>
      <c r="AF164" s="29" t="e">
        <f ca="1">IF($B164="","",_xll.BDP($A164&amp;" Corp",AF$5))</f>
        <v>#NAME?</v>
      </c>
      <c r="AG164" s="33" t="e">
        <f ca="1">IF($B164="","",_xll.BDP($A164&amp;" Corp",AG$5))</f>
        <v>#NAME?</v>
      </c>
      <c r="AH164" s="30" t="e">
        <f ca="1">IF($B164="","",_xll.BDP($A164&amp;" Corp",AH$5))</f>
        <v>#NAME?</v>
      </c>
      <c r="AI164" s="30" t="e">
        <f ca="1">IF($B164="","",_xll.BDP($A164&amp;" Corp",AI$5))</f>
        <v>#NAME?</v>
      </c>
      <c r="AJ164" s="30" t="e">
        <f ca="1">IF($B164="","",_xll.BDP($A164&amp;" Corp",AJ$5))</f>
        <v>#NAME?</v>
      </c>
      <c r="AK164" s="11" t="e">
        <f ca="1">IF($B164="","",_xll.BDP($A164&amp;" Corp",AK$5))</f>
        <v>#NAME?</v>
      </c>
      <c r="AL164" s="11" t="e">
        <f ca="1">IF($B164="","",_xll.BDP($A164&amp;" Corp",AL$5))</f>
        <v>#NAME?</v>
      </c>
      <c r="AM164" s="11">
        <v>2</v>
      </c>
      <c r="AN164" s="57">
        <v>1</v>
      </c>
    </row>
    <row r="165" spans="1:40" x14ac:dyDescent="0.3">
      <c r="A165" s="67" t="s">
        <v>422</v>
      </c>
      <c r="B165" s="68" t="s">
        <v>422</v>
      </c>
      <c r="C165" s="75">
        <v>10426</v>
      </c>
      <c r="D165" s="75">
        <v>128</v>
      </c>
      <c r="E165" s="75">
        <v>500000</v>
      </c>
      <c r="F165" s="69">
        <v>0.41483186999999999</v>
      </c>
      <c r="G165" s="70">
        <v>496630</v>
      </c>
      <c r="H165" s="67">
        <v>500000</v>
      </c>
      <c r="I165" s="67">
        <v>0.41483186999999999</v>
      </c>
      <c r="J165" s="67">
        <v>496630</v>
      </c>
      <c r="K165" s="71">
        <v>99.325999999999993</v>
      </c>
      <c r="L165" s="29" t="e">
        <f ca="1">IF(B165="","",_xll.BDP(A165&amp;" Corp","INTERVAL_HIGH","START_DATE_OVERRIDE",TEXT($L$3,"AAAAMMDD"),"END_DATE_OVERRIDE",TEXT($L$4,"AAAAMMDD"),"MARKET_DATA_OVERRIDE",$L$5))</f>
        <v>#NAME?</v>
      </c>
      <c r="M165" s="30" t="e">
        <f ca="1">IF(B165="","",_xll.BDP($A165&amp;" Corp","INTERVAL_LOW","START_DATE_OVERRIDE",TEXT($L$3,"AAAAMMDD"),"END_DATE_OVERRIDE",TEXT($L$4,"AAAAMMDD"),"MARKET_DATA_OVERRIDE",$L$5))</f>
        <v>#NAME?</v>
      </c>
      <c r="N165" s="31" t="s">
        <v>927</v>
      </c>
      <c r="O165" s="32" t="e">
        <f ca="1">IF($B165="","",_xll.BDP($A165&amp;" Corp",O$6))</f>
        <v>#NAME?</v>
      </c>
      <c r="P165" s="32" t="e">
        <f ca="1">IF($B165="","",_xll.BDP($A165&amp;" Corp",P$6))</f>
        <v>#NAME?</v>
      </c>
      <c r="Q165" s="30" t="e">
        <f ca="1">IF($B165="","",_xll.BDP($A165&amp;" Corp",Q$5))</f>
        <v>#NAME?</v>
      </c>
      <c r="R165" s="30" t="e">
        <f ca="1">IF($B165="","",_xll.BDP($A165&amp;" Corp",R$5))</f>
        <v>#NAME?</v>
      </c>
      <c r="S165" s="50" t="e">
        <f ca="1">IF($B165="","",_xll.BDP($A165&amp;" Corp",S$5))</f>
        <v>#NAME?</v>
      </c>
      <c r="T165" s="30" t="e">
        <f ca="1">IF($B165="","",_xll.BDP($A165&amp;" Corp",T$5))</f>
        <v>#NAME?</v>
      </c>
      <c r="U165" s="30" t="e">
        <f ca="1">IF($B165="","",_xll.BDP($A165&amp;" Corp",U$5))</f>
        <v>#NAME?</v>
      </c>
      <c r="V165" s="51" t="e">
        <f ca="1">IF($B165="","",IF($T165="VARIABLE",_xll.BDP($A165&amp;" Corp",V$4),_xll.BDP($A165&amp;" Corp",V$5)))</f>
        <v>#NAME?</v>
      </c>
      <c r="W165" s="30" t="e">
        <f ca="1">IF($B165="","",IF($T165="VARIABLE",_xll.BDP($A165&amp;" Corp",W$4),_xll.BDP($A165&amp;" Corp",W$5)))</f>
        <v>#NAME?</v>
      </c>
      <c r="X165" s="30" t="e">
        <f ca="1">IF($B165="","",_xll.BDP($A165&amp;" Corp",X$5))</f>
        <v>#NAME?</v>
      </c>
      <c r="Y165" s="33" t="e">
        <f ca="1">IF($B165="","",_xll.BDP($A165&amp;" Corp",Y$5))</f>
        <v>#NAME?</v>
      </c>
      <c r="Z165" s="52" t="e">
        <f ca="1">IF($B165="","",_xll.BDP($A165&amp;" Corp",Z$5))</f>
        <v>#NAME?</v>
      </c>
      <c r="AA165" s="53" t="e">
        <f ca="1">IF($B165="","",_xll.BDP($A165&amp;" Corp",AA$5))</f>
        <v>#NAME?</v>
      </c>
      <c r="AB165" s="54" t="e">
        <f ca="1">IF($B165="","",_xll.BDP($A165&amp;" Corp",AB$5))</f>
        <v>#NAME?</v>
      </c>
      <c r="AC165" s="54" t="e">
        <f ca="1">IF($B165="","",_xll.BDP($A165&amp;" Corp",AC$5))</f>
        <v>#NAME?</v>
      </c>
      <c r="AD165" s="55" t="e">
        <f ca="1">IF($B165="","",_xll.BDP($A165&amp;" Corp",AD$5))</f>
        <v>#NAME?</v>
      </c>
      <c r="AE165" s="56" t="e">
        <f ca="1">IF($B165="","",_xll.BDP($A165&amp;" Corp",AE$5))</f>
        <v>#NAME?</v>
      </c>
      <c r="AF165" s="29" t="e">
        <f ca="1">IF($B165="","",_xll.BDP($A165&amp;" Corp",AF$5))</f>
        <v>#NAME?</v>
      </c>
      <c r="AG165" s="33" t="e">
        <f ca="1">IF($B165="","",_xll.BDP($A165&amp;" Corp",AG$5))</f>
        <v>#NAME?</v>
      </c>
      <c r="AH165" s="30" t="e">
        <f ca="1">IF($B165="","",_xll.BDP($A165&amp;" Corp",AH$5))</f>
        <v>#NAME?</v>
      </c>
      <c r="AI165" s="30" t="e">
        <f ca="1">IF($B165="","",_xll.BDP($A165&amp;" Corp",AI$5))</f>
        <v>#NAME?</v>
      </c>
      <c r="AJ165" s="30" t="e">
        <f ca="1">IF($B165="","",_xll.BDP($A165&amp;" Corp",AJ$5))</f>
        <v>#NAME?</v>
      </c>
      <c r="AK165" s="11" t="e">
        <f ca="1">IF($B165="","",_xll.BDP($A165&amp;" Corp",AK$5))</f>
        <v>#NAME?</v>
      </c>
      <c r="AL165" s="11" t="e">
        <f ca="1">IF($B165="","",_xll.BDP($A165&amp;" Corp",AL$5))</f>
        <v>#NAME?</v>
      </c>
      <c r="AM165" s="11">
        <v>4</v>
      </c>
      <c r="AN165" s="57">
        <v>3</v>
      </c>
    </row>
    <row r="166" spans="1:40" x14ac:dyDescent="0.3">
      <c r="A166" s="67" t="s">
        <v>661</v>
      </c>
      <c r="B166" s="68" t="s">
        <v>661</v>
      </c>
      <c r="C166" s="75">
        <v>10477</v>
      </c>
      <c r="D166" s="75">
        <v>128</v>
      </c>
      <c r="E166" s="75">
        <v>1844167.82</v>
      </c>
      <c r="F166" s="69">
        <v>1.4233463900000001</v>
      </c>
      <c r="G166" s="70">
        <v>1988125</v>
      </c>
      <c r="H166" s="67">
        <v>1844167.82</v>
      </c>
      <c r="I166" s="67">
        <v>1.4233463900000001</v>
      </c>
      <c r="J166" s="67">
        <v>1988125</v>
      </c>
      <c r="K166" s="71">
        <v>107.80607808241659</v>
      </c>
      <c r="L166" s="29" t="e">
        <f ca="1">IF(B166="","",_xll.BDP(A166&amp;" Corp","INTERVAL_HIGH","START_DATE_OVERRIDE",TEXT($L$3,"AAAAMMDD"),"END_DATE_OVERRIDE",TEXT($L$4,"AAAAMMDD"),"MARKET_DATA_OVERRIDE",$L$5))</f>
        <v>#NAME?</v>
      </c>
      <c r="M166" s="30" t="e">
        <f ca="1">IF(B166="","",_xll.BDP($A166&amp;" Corp","INTERVAL_LOW","START_DATE_OVERRIDE",TEXT($L$3,"AAAAMMDD"),"END_DATE_OVERRIDE",TEXT($L$4,"AAAAMMDD"),"MARKET_DATA_OVERRIDE",$L$5))</f>
        <v>#NAME?</v>
      </c>
      <c r="N166" s="31" t="s">
        <v>928</v>
      </c>
      <c r="O166" s="32" t="e">
        <f ca="1">IF($B166="","",_xll.BDP($A166&amp;" Corp",O$6))</f>
        <v>#NAME?</v>
      </c>
      <c r="P166" s="32" t="e">
        <f ca="1">IF($B166="","",_xll.BDP($A166&amp;" Corp",P$6))</f>
        <v>#NAME?</v>
      </c>
      <c r="Q166" s="30" t="e">
        <f ca="1">IF($B166="","",_xll.BDP($A166&amp;" Corp",Q$5))</f>
        <v>#NAME?</v>
      </c>
      <c r="R166" s="30" t="e">
        <f ca="1">IF($B166="","",_xll.BDP($A166&amp;" Corp",R$5))</f>
        <v>#NAME?</v>
      </c>
      <c r="S166" s="50" t="e">
        <f ca="1">IF($B166="","",_xll.BDP($A166&amp;" Corp",S$5))</f>
        <v>#NAME?</v>
      </c>
      <c r="T166" s="30" t="e">
        <f ca="1">IF($B166="","",_xll.BDP($A166&amp;" Corp",T$5))</f>
        <v>#NAME?</v>
      </c>
      <c r="U166" s="30" t="e">
        <f ca="1">IF($B166="","",_xll.BDP($A166&amp;" Corp",U$5))</f>
        <v>#NAME?</v>
      </c>
      <c r="V166" s="51" t="e">
        <f ca="1">IF($B166="","",IF($T166="VARIABLE",_xll.BDP($A166&amp;" Corp",V$4),_xll.BDP($A166&amp;" Corp",V$5)))</f>
        <v>#NAME?</v>
      </c>
      <c r="W166" s="30" t="e">
        <f ca="1">IF($B166="","",IF($T166="VARIABLE",_xll.BDP($A166&amp;" Corp",W$4),_xll.BDP($A166&amp;" Corp",W$5)))</f>
        <v>#NAME?</v>
      </c>
      <c r="X166" s="30" t="e">
        <f ca="1">IF($B166="","",_xll.BDP($A166&amp;" Corp",X$5))</f>
        <v>#NAME?</v>
      </c>
      <c r="Y166" s="33" t="e">
        <f ca="1">IF($B166="","",_xll.BDP($A166&amp;" Corp",Y$5))</f>
        <v>#NAME?</v>
      </c>
      <c r="Z166" s="52" t="e">
        <f ca="1">IF($B166="","",_xll.BDP($A166&amp;" Corp",Z$5))</f>
        <v>#NAME?</v>
      </c>
      <c r="AA166" s="53" t="e">
        <f ca="1">IF($B166="","",_xll.BDP($A166&amp;" Corp",AA$5))</f>
        <v>#NAME?</v>
      </c>
      <c r="AB166" s="54" t="e">
        <f ca="1">IF($B166="","",_xll.BDP($A166&amp;" Corp",AB$5))</f>
        <v>#NAME?</v>
      </c>
      <c r="AC166" s="54" t="e">
        <f ca="1">IF($B166="","",_xll.BDP($A166&amp;" Corp",AC$5))</f>
        <v>#NAME?</v>
      </c>
      <c r="AD166" s="55" t="e">
        <f ca="1">IF($B166="","",_xll.BDP($A166&amp;" Corp",AD$5))</f>
        <v>#NAME?</v>
      </c>
      <c r="AE166" s="56" t="e">
        <f ca="1">IF($B166="","",_xll.BDP($A166&amp;" Corp",AE$5))</f>
        <v>#NAME?</v>
      </c>
      <c r="AF166" s="29" t="e">
        <f ca="1">IF($B166="","",_xll.BDP($A166&amp;" Corp",AF$5))</f>
        <v>#NAME?</v>
      </c>
      <c r="AG166" s="33" t="e">
        <f ca="1">IF($B166="","",_xll.BDP($A166&amp;" Corp",AG$5))</f>
        <v>#NAME?</v>
      </c>
      <c r="AH166" s="30" t="e">
        <f ca="1">IF($B166="","",_xll.BDP($A166&amp;" Corp",AH$5))</f>
        <v>#NAME?</v>
      </c>
      <c r="AI166" s="30" t="e">
        <f ca="1">IF($B166="","",_xll.BDP($A166&amp;" Corp",AI$5))</f>
        <v>#NAME?</v>
      </c>
      <c r="AJ166" s="30" t="e">
        <f ca="1">IF($B166="","",_xll.BDP($A166&amp;" Corp",AJ$5))</f>
        <v>#NAME?</v>
      </c>
      <c r="AK166" s="11" t="e">
        <f ca="1">IF($B166="","",_xll.BDP($A166&amp;" Corp",AK$5))</f>
        <v>#NAME?</v>
      </c>
      <c r="AL166" s="11" t="e">
        <f ca="1">IF($B166="","",_xll.BDP($A166&amp;" Corp",AL$5))</f>
        <v>#NAME?</v>
      </c>
      <c r="AM166" s="11">
        <v>10</v>
      </c>
      <c r="AN166" s="57">
        <v>9</v>
      </c>
    </row>
    <row r="167" spans="1:40" x14ac:dyDescent="0.3">
      <c r="A167" s="67" t="s">
        <v>663</v>
      </c>
      <c r="B167" s="68" t="s">
        <v>663</v>
      </c>
      <c r="C167" s="75">
        <v>10483</v>
      </c>
      <c r="D167" s="75">
        <v>128</v>
      </c>
      <c r="E167" s="75">
        <v>2000000</v>
      </c>
      <c r="F167" s="69">
        <v>1.2397690699999999</v>
      </c>
      <c r="G167" s="70">
        <v>1577200</v>
      </c>
      <c r="H167" s="67">
        <v>2000000</v>
      </c>
      <c r="I167" s="67">
        <v>1.2397690699999999</v>
      </c>
      <c r="J167" s="67">
        <v>1577200</v>
      </c>
      <c r="K167" s="71">
        <v>78.86</v>
      </c>
      <c r="L167" s="29" t="e">
        <f ca="1">IF(B167="","",_xll.BDP(A167&amp;" Corp","INTERVAL_HIGH","START_DATE_OVERRIDE",TEXT($L$3,"AAAAMMDD"),"END_DATE_OVERRIDE",TEXT($L$4,"AAAAMMDD"),"MARKET_DATA_OVERRIDE",$L$5))</f>
        <v>#NAME?</v>
      </c>
      <c r="M167" s="30" t="e">
        <f ca="1">IF(B167="","",_xll.BDP($A167&amp;" Corp","INTERVAL_LOW","START_DATE_OVERRIDE",TEXT($L$3,"AAAAMMDD"),"END_DATE_OVERRIDE",TEXT($L$4,"AAAAMMDD"),"MARKET_DATA_OVERRIDE",$L$5))</f>
        <v>#NAME?</v>
      </c>
      <c r="N167" s="31" t="s">
        <v>929</v>
      </c>
      <c r="O167" s="32" t="e">
        <f ca="1">IF($B167="","",_xll.BDP($A167&amp;" Corp",O$6))</f>
        <v>#NAME?</v>
      </c>
      <c r="P167" s="32" t="e">
        <f ca="1">IF($B167="","",_xll.BDP($A167&amp;" Corp",P$6))</f>
        <v>#NAME?</v>
      </c>
      <c r="Q167" s="30" t="e">
        <f ca="1">IF($B167="","",_xll.BDP($A167&amp;" Corp",Q$5))</f>
        <v>#NAME?</v>
      </c>
      <c r="R167" s="30" t="e">
        <f ca="1">IF($B167="","",_xll.BDP($A167&amp;" Corp",R$5))</f>
        <v>#NAME?</v>
      </c>
      <c r="S167" s="50" t="e">
        <f ca="1">IF($B167="","",_xll.BDP($A167&amp;" Corp",S$5))</f>
        <v>#NAME?</v>
      </c>
      <c r="T167" s="30" t="e">
        <f ca="1">IF($B167="","",_xll.BDP($A167&amp;" Corp",T$5))</f>
        <v>#NAME?</v>
      </c>
      <c r="U167" s="30" t="e">
        <f ca="1">IF($B167="","",_xll.BDP($A167&amp;" Corp",U$5))</f>
        <v>#NAME?</v>
      </c>
      <c r="V167" s="51" t="e">
        <f ca="1">IF($B167="","",IF($T167="VARIABLE",_xll.BDP($A167&amp;" Corp",V$4),_xll.BDP($A167&amp;" Corp",V$5)))</f>
        <v>#NAME?</v>
      </c>
      <c r="W167" s="30" t="e">
        <f ca="1">IF($B167="","",IF($T167="VARIABLE",_xll.BDP($A167&amp;" Corp",W$4),_xll.BDP($A167&amp;" Corp",W$5)))</f>
        <v>#NAME?</v>
      </c>
      <c r="X167" s="30" t="e">
        <f ca="1">IF($B167="","",_xll.BDP($A167&amp;" Corp",X$5))</f>
        <v>#NAME?</v>
      </c>
      <c r="Y167" s="33" t="e">
        <f ca="1">IF($B167="","",_xll.BDP($A167&amp;" Corp",Y$5))</f>
        <v>#NAME?</v>
      </c>
      <c r="Z167" s="52" t="e">
        <f ca="1">IF($B167="","",_xll.BDP($A167&amp;" Corp",Z$5))</f>
        <v>#NAME?</v>
      </c>
      <c r="AA167" s="53" t="e">
        <f ca="1">IF($B167="","",_xll.BDP($A167&amp;" Corp",AA$5))</f>
        <v>#NAME?</v>
      </c>
      <c r="AB167" s="54" t="e">
        <f ca="1">IF($B167="","",_xll.BDP($A167&amp;" Corp",AB$5))</f>
        <v>#NAME?</v>
      </c>
      <c r="AC167" s="54" t="e">
        <f ca="1">IF($B167="","",_xll.BDP($A167&amp;" Corp",AC$5))</f>
        <v>#NAME?</v>
      </c>
      <c r="AD167" s="55" t="e">
        <f ca="1">IF($B167="","",_xll.BDP($A167&amp;" Corp",AD$5))</f>
        <v>#NAME?</v>
      </c>
      <c r="AE167" s="56" t="e">
        <f ca="1">IF($B167="","",_xll.BDP($A167&amp;" Corp",AE$5))</f>
        <v>#NAME?</v>
      </c>
      <c r="AF167" s="29" t="e">
        <f ca="1">IF($B167="","",_xll.BDP($A167&amp;" Corp",AF$5))</f>
        <v>#NAME?</v>
      </c>
      <c r="AG167" s="33" t="e">
        <f ca="1">IF($B167="","",_xll.BDP($A167&amp;" Corp",AG$5))</f>
        <v>#NAME?</v>
      </c>
      <c r="AH167" s="30" t="e">
        <f ca="1">IF($B167="","",_xll.BDP($A167&amp;" Corp",AH$5))</f>
        <v>#NAME?</v>
      </c>
      <c r="AI167" s="30" t="e">
        <f ca="1">IF($B167="","",_xll.BDP($A167&amp;" Corp",AI$5))</f>
        <v>#NAME?</v>
      </c>
      <c r="AJ167" s="30" t="e">
        <f ca="1">IF($B167="","",_xll.BDP($A167&amp;" Corp",AJ$5))</f>
        <v>#NAME?</v>
      </c>
      <c r="AK167" s="11" t="e">
        <f ca="1">IF($B167="","",_xll.BDP($A167&amp;" Corp",AK$5))</f>
        <v>#NAME?</v>
      </c>
      <c r="AL167" s="11" t="e">
        <f ca="1">IF($B167="","",_xll.BDP($A167&amp;" Corp",AL$5))</f>
        <v>#NAME?</v>
      </c>
      <c r="AM167" s="11">
        <v>8</v>
      </c>
      <c r="AN167" s="57">
        <v>8</v>
      </c>
    </row>
    <row r="168" spans="1:40" x14ac:dyDescent="0.3">
      <c r="A168" s="67" t="s">
        <v>665</v>
      </c>
      <c r="B168" s="68" t="s">
        <v>665</v>
      </c>
      <c r="C168" s="75">
        <v>7614</v>
      </c>
      <c r="D168" s="75">
        <v>128</v>
      </c>
      <c r="E168" s="75">
        <v>1000000</v>
      </c>
      <c r="F168" s="69">
        <v>0.81408952999999995</v>
      </c>
      <c r="G168" s="70">
        <v>985830</v>
      </c>
      <c r="H168" s="67">
        <v>1000000</v>
      </c>
      <c r="I168" s="67">
        <v>0.81408952999999995</v>
      </c>
      <c r="J168" s="67">
        <v>985830</v>
      </c>
      <c r="K168" s="71">
        <v>98.582999999999998</v>
      </c>
      <c r="L168" s="29" t="e">
        <f ca="1">IF(B168="","",_xll.BDP(A168&amp;" Corp","INTERVAL_HIGH","START_DATE_OVERRIDE",TEXT($L$3,"AAAAMMDD"),"END_DATE_OVERRIDE",TEXT($L$4,"AAAAMMDD"),"MARKET_DATA_OVERRIDE",$L$5))</f>
        <v>#NAME?</v>
      </c>
      <c r="M168" s="30" t="e">
        <f ca="1">IF(B168="","",_xll.BDP($A168&amp;" Corp","INTERVAL_LOW","START_DATE_OVERRIDE",TEXT($L$3,"AAAAMMDD"),"END_DATE_OVERRIDE",TEXT($L$4,"AAAAMMDD"),"MARKET_DATA_OVERRIDE",$L$5))</f>
        <v>#NAME?</v>
      </c>
      <c r="N168" s="31" t="s">
        <v>930</v>
      </c>
      <c r="O168" s="32" t="e">
        <f ca="1">IF($B168="","",_xll.BDP($A168&amp;" Corp",O$6))</f>
        <v>#NAME?</v>
      </c>
      <c r="P168" s="32" t="e">
        <f ca="1">IF($B168="","",_xll.BDP($A168&amp;" Corp",P$6))</f>
        <v>#NAME?</v>
      </c>
      <c r="Q168" s="30" t="e">
        <f ca="1">IF($B168="","",_xll.BDP($A168&amp;" Corp",Q$5))</f>
        <v>#NAME?</v>
      </c>
      <c r="R168" s="30" t="e">
        <f ca="1">IF($B168="","",_xll.BDP($A168&amp;" Corp",R$5))</f>
        <v>#NAME?</v>
      </c>
      <c r="S168" s="50" t="e">
        <f ca="1">IF($B168="","",_xll.BDP($A168&amp;" Corp",S$5))</f>
        <v>#NAME?</v>
      </c>
      <c r="T168" s="30" t="e">
        <f ca="1">IF($B168="","",_xll.BDP($A168&amp;" Corp",T$5))</f>
        <v>#NAME?</v>
      </c>
      <c r="U168" s="30" t="e">
        <f ca="1">IF($B168="","",_xll.BDP($A168&amp;" Corp",U$5))</f>
        <v>#NAME?</v>
      </c>
      <c r="V168" s="51" t="e">
        <f ca="1">IF($B168="","",IF($T168="VARIABLE",_xll.BDP($A168&amp;" Corp",V$4),_xll.BDP($A168&amp;" Corp",V$5)))</f>
        <v>#NAME?</v>
      </c>
      <c r="W168" s="30" t="e">
        <f ca="1">IF($B168="","",IF($T168="VARIABLE",_xll.BDP($A168&amp;" Corp",W$4),_xll.BDP($A168&amp;" Corp",W$5)))</f>
        <v>#NAME?</v>
      </c>
      <c r="X168" s="30" t="e">
        <f ca="1">IF($B168="","",_xll.BDP($A168&amp;" Corp",X$5))</f>
        <v>#NAME?</v>
      </c>
      <c r="Y168" s="33" t="e">
        <f ca="1">IF($B168="","",_xll.BDP($A168&amp;" Corp",Y$5))</f>
        <v>#NAME?</v>
      </c>
      <c r="Z168" s="52" t="e">
        <f ca="1">IF($B168="","",_xll.BDP($A168&amp;" Corp",Z$5))</f>
        <v>#NAME?</v>
      </c>
      <c r="AA168" s="53" t="e">
        <f ca="1">IF($B168="","",_xll.BDP($A168&amp;" Corp",AA$5))</f>
        <v>#NAME?</v>
      </c>
      <c r="AB168" s="54" t="e">
        <f ca="1">IF($B168="","",_xll.BDP($A168&amp;" Corp",AB$5))</f>
        <v>#NAME?</v>
      </c>
      <c r="AC168" s="54" t="e">
        <f ca="1">IF($B168="","",_xll.BDP($A168&amp;" Corp",AC$5))</f>
        <v>#NAME?</v>
      </c>
      <c r="AD168" s="55" t="e">
        <f ca="1">IF($B168="","",_xll.BDP($A168&amp;" Corp",AD$5))</f>
        <v>#NAME?</v>
      </c>
      <c r="AE168" s="56" t="e">
        <f ca="1">IF($B168="","",_xll.BDP($A168&amp;" Corp",AE$5))</f>
        <v>#NAME?</v>
      </c>
      <c r="AF168" s="29" t="e">
        <f ca="1">IF($B168="","",_xll.BDP($A168&amp;" Corp",AF$5))</f>
        <v>#NAME?</v>
      </c>
      <c r="AG168" s="33" t="e">
        <f ca="1">IF($B168="","",_xll.BDP($A168&amp;" Corp",AG$5))</f>
        <v>#NAME?</v>
      </c>
      <c r="AH168" s="30" t="e">
        <f ca="1">IF($B168="","",_xll.BDP($A168&amp;" Corp",AH$5))</f>
        <v>#NAME?</v>
      </c>
      <c r="AI168" s="30" t="e">
        <f ca="1">IF($B168="","",_xll.BDP($A168&amp;" Corp",AI$5))</f>
        <v>#NAME?</v>
      </c>
      <c r="AJ168" s="30" t="e">
        <f ca="1">IF($B168="","",_xll.BDP($A168&amp;" Corp",AJ$5))</f>
        <v>#NAME?</v>
      </c>
      <c r="AK168" s="11" t="e">
        <f ca="1">IF($B168="","",_xll.BDP($A168&amp;" Corp",AK$5))</f>
        <v>#NAME?</v>
      </c>
      <c r="AL168" s="11" t="e">
        <f ca="1">IF($B168="","",_xll.BDP($A168&amp;" Corp",AL$5))</f>
        <v>#NAME?</v>
      </c>
      <c r="AM168" s="11">
        <v>1</v>
      </c>
      <c r="AN168" s="57">
        <v>0.3</v>
      </c>
    </row>
    <row r="169" spans="1:40" x14ac:dyDescent="0.3">
      <c r="A169" s="67" t="s">
        <v>668</v>
      </c>
      <c r="B169" s="68" t="s">
        <v>668</v>
      </c>
      <c r="C169" s="75">
        <v>10492</v>
      </c>
      <c r="D169" s="75">
        <v>128</v>
      </c>
      <c r="E169" s="75">
        <v>3000000</v>
      </c>
      <c r="F169" s="69">
        <v>2.3854466099999998</v>
      </c>
      <c r="G169" s="70">
        <v>2917650</v>
      </c>
      <c r="H169" s="67">
        <v>3000000</v>
      </c>
      <c r="I169" s="67">
        <v>2.3854466099999998</v>
      </c>
      <c r="J169" s="67">
        <v>2917650</v>
      </c>
      <c r="K169" s="71">
        <v>97.254999999999995</v>
      </c>
      <c r="L169" s="29" t="e">
        <f ca="1">IF(B169="","",_xll.BDP(A169&amp;" Corp","INTERVAL_HIGH","START_DATE_OVERRIDE",TEXT($L$3,"AAAAMMDD"),"END_DATE_OVERRIDE",TEXT($L$4,"AAAAMMDD"),"MARKET_DATA_OVERRIDE",$L$5))</f>
        <v>#NAME?</v>
      </c>
      <c r="M169" s="30" t="e">
        <f ca="1">IF(B169="","",_xll.BDP($A169&amp;" Corp","INTERVAL_LOW","START_DATE_OVERRIDE",TEXT($L$3,"AAAAMMDD"),"END_DATE_OVERRIDE",TEXT($L$4,"AAAAMMDD"),"MARKET_DATA_OVERRIDE",$L$5))</f>
        <v>#NAME?</v>
      </c>
      <c r="N169" s="31" t="s">
        <v>931</v>
      </c>
      <c r="O169" s="32" t="e">
        <f ca="1">IF($B169="","",_xll.BDP($A169&amp;" Corp",O$6))</f>
        <v>#NAME?</v>
      </c>
      <c r="P169" s="32" t="e">
        <f ca="1">IF($B169="","",_xll.BDP($A169&amp;" Corp",P$6))</f>
        <v>#NAME?</v>
      </c>
      <c r="Q169" s="30" t="e">
        <f ca="1">IF($B169="","",_xll.BDP($A169&amp;" Corp",Q$5))</f>
        <v>#NAME?</v>
      </c>
      <c r="R169" s="30" t="e">
        <f ca="1">IF($B169="","",_xll.BDP($A169&amp;" Corp",R$5))</f>
        <v>#NAME?</v>
      </c>
      <c r="S169" s="50" t="e">
        <f ca="1">IF($B169="","",_xll.BDP($A169&amp;" Corp",S$5))</f>
        <v>#NAME?</v>
      </c>
      <c r="T169" s="30" t="e">
        <f ca="1">IF($B169="","",_xll.BDP($A169&amp;" Corp",T$5))</f>
        <v>#NAME?</v>
      </c>
      <c r="U169" s="30" t="e">
        <f ca="1">IF($B169="","",_xll.BDP($A169&amp;" Corp",U$5))</f>
        <v>#NAME?</v>
      </c>
      <c r="V169" s="51" t="e">
        <f ca="1">IF($B169="","",IF($T169="VARIABLE",_xll.BDP($A169&amp;" Corp",V$4),_xll.BDP($A169&amp;" Corp",V$5)))</f>
        <v>#NAME?</v>
      </c>
      <c r="W169" s="30" t="e">
        <f ca="1">IF($B169="","",IF($T169="VARIABLE",_xll.BDP($A169&amp;" Corp",W$4),_xll.BDP($A169&amp;" Corp",W$5)))</f>
        <v>#NAME?</v>
      </c>
      <c r="X169" s="30" t="e">
        <f ca="1">IF($B169="","",_xll.BDP($A169&amp;" Corp",X$5))</f>
        <v>#NAME?</v>
      </c>
      <c r="Y169" s="33" t="e">
        <f ca="1">IF($B169="","",_xll.BDP($A169&amp;" Corp",Y$5))</f>
        <v>#NAME?</v>
      </c>
      <c r="Z169" s="52" t="e">
        <f ca="1">IF($B169="","",_xll.BDP($A169&amp;" Corp",Z$5))</f>
        <v>#NAME?</v>
      </c>
      <c r="AA169" s="53" t="e">
        <f ca="1">IF($B169="","",_xll.BDP($A169&amp;" Corp",AA$5))</f>
        <v>#NAME?</v>
      </c>
      <c r="AB169" s="54" t="e">
        <f ca="1">IF($B169="","",_xll.BDP($A169&amp;" Corp",AB$5))</f>
        <v>#NAME?</v>
      </c>
      <c r="AC169" s="54" t="e">
        <f ca="1">IF($B169="","",_xll.BDP($A169&amp;" Corp",AC$5))</f>
        <v>#NAME?</v>
      </c>
      <c r="AD169" s="55" t="e">
        <f ca="1">IF($B169="","",_xll.BDP($A169&amp;" Corp",AD$5))</f>
        <v>#NAME?</v>
      </c>
      <c r="AE169" s="56" t="e">
        <f ca="1">IF($B169="","",_xll.BDP($A169&amp;" Corp",AE$5))</f>
        <v>#NAME?</v>
      </c>
      <c r="AF169" s="29" t="e">
        <f ca="1">IF($B169="","",_xll.BDP($A169&amp;" Corp",AF$5))</f>
        <v>#NAME?</v>
      </c>
      <c r="AG169" s="33" t="e">
        <f ca="1">IF($B169="","",_xll.BDP($A169&amp;" Corp",AG$5))</f>
        <v>#NAME?</v>
      </c>
      <c r="AH169" s="30" t="e">
        <f ca="1">IF($B169="","",_xll.BDP($A169&amp;" Corp",AH$5))</f>
        <v>#NAME?</v>
      </c>
      <c r="AI169" s="30" t="e">
        <f ca="1">IF($B169="","",_xll.BDP($A169&amp;" Corp",AI$5))</f>
        <v>#NAME?</v>
      </c>
      <c r="AJ169" s="30" t="e">
        <f ca="1">IF($B169="","",_xll.BDP($A169&amp;" Corp",AJ$5))</f>
        <v>#NAME?</v>
      </c>
      <c r="AK169" s="11" t="e">
        <f ca="1">IF($B169="","",_xll.BDP($A169&amp;" Corp",AK$5))</f>
        <v>#NAME?</v>
      </c>
      <c r="AL169" s="11" t="e">
        <f ca="1">IF($B169="","",_xll.BDP($A169&amp;" Corp",AL$5))</f>
        <v>#NAME?</v>
      </c>
      <c r="AM169" s="11">
        <v>1</v>
      </c>
      <c r="AN169" s="57">
        <v>0.5</v>
      </c>
    </row>
    <row r="170" spans="1:40" x14ac:dyDescent="0.3">
      <c r="A170" s="67" t="s">
        <v>669</v>
      </c>
      <c r="B170" s="68" t="s">
        <v>669</v>
      </c>
      <c r="C170" s="75">
        <v>10493</v>
      </c>
      <c r="D170" s="75">
        <v>128</v>
      </c>
      <c r="E170" s="75">
        <v>200000</v>
      </c>
      <c r="F170" s="69">
        <v>0.15896425</v>
      </c>
      <c r="G170" s="70">
        <v>194246</v>
      </c>
      <c r="H170" s="67">
        <v>200000</v>
      </c>
      <c r="I170" s="67">
        <v>0.15896425</v>
      </c>
      <c r="J170" s="67">
        <v>194246</v>
      </c>
      <c r="K170" s="71">
        <v>97.123000000000005</v>
      </c>
      <c r="L170" s="29" t="e">
        <f ca="1">IF(B170="","",_xll.BDP(A170&amp;" Corp","INTERVAL_HIGH","START_DATE_OVERRIDE",TEXT($L$3,"AAAAMMDD"),"END_DATE_OVERRIDE",TEXT($L$4,"AAAAMMDD"),"MARKET_DATA_OVERRIDE",$L$5))</f>
        <v>#NAME?</v>
      </c>
      <c r="M170" s="30" t="e">
        <f ca="1">IF(B170="","",_xll.BDP($A170&amp;" Corp","INTERVAL_LOW","START_DATE_OVERRIDE",TEXT($L$3,"AAAAMMDD"),"END_DATE_OVERRIDE",TEXT($L$4,"AAAAMMDD"),"MARKET_DATA_OVERRIDE",$L$5))</f>
        <v>#NAME?</v>
      </c>
      <c r="N170" s="31" t="s">
        <v>932</v>
      </c>
      <c r="O170" s="32" t="e">
        <f ca="1">IF($B170="","",_xll.BDP($A170&amp;" Corp",O$6))</f>
        <v>#NAME?</v>
      </c>
      <c r="P170" s="32" t="e">
        <f ca="1">IF($B170="","",_xll.BDP($A170&amp;" Corp",P$6))</f>
        <v>#NAME?</v>
      </c>
      <c r="Q170" s="30" t="e">
        <f ca="1">IF($B170="","",_xll.BDP($A170&amp;" Corp",Q$5))</f>
        <v>#NAME?</v>
      </c>
      <c r="R170" s="30" t="e">
        <f ca="1">IF($B170="","",_xll.BDP($A170&amp;" Corp",R$5))</f>
        <v>#NAME?</v>
      </c>
      <c r="S170" s="50" t="e">
        <f ca="1">IF($B170="","",_xll.BDP($A170&amp;" Corp",S$5))</f>
        <v>#NAME?</v>
      </c>
      <c r="T170" s="30" t="e">
        <f ca="1">IF($B170="","",_xll.BDP($A170&amp;" Corp",T$5))</f>
        <v>#NAME?</v>
      </c>
      <c r="U170" s="30" t="e">
        <f ca="1">IF($B170="","",_xll.BDP($A170&amp;" Corp",U$5))</f>
        <v>#NAME?</v>
      </c>
      <c r="V170" s="51" t="e">
        <f ca="1">IF($B170="","",IF($T170="VARIABLE",_xll.BDP($A170&amp;" Corp",V$4),_xll.BDP($A170&amp;" Corp",V$5)))</f>
        <v>#NAME?</v>
      </c>
      <c r="W170" s="30" t="e">
        <f ca="1">IF($B170="","",IF($T170="VARIABLE",_xll.BDP($A170&amp;" Corp",W$4),_xll.BDP($A170&amp;" Corp",W$5)))</f>
        <v>#NAME?</v>
      </c>
      <c r="X170" s="30" t="e">
        <f ca="1">IF($B170="","",_xll.BDP($A170&amp;" Corp",X$5))</f>
        <v>#NAME?</v>
      </c>
      <c r="Y170" s="33" t="e">
        <f ca="1">IF($B170="","",_xll.BDP($A170&amp;" Corp",Y$5))</f>
        <v>#NAME?</v>
      </c>
      <c r="Z170" s="52" t="e">
        <f ca="1">IF($B170="","",_xll.BDP($A170&amp;" Corp",Z$5))</f>
        <v>#NAME?</v>
      </c>
      <c r="AA170" s="53" t="e">
        <f ca="1">IF($B170="","",_xll.BDP($A170&amp;" Corp",AA$5))</f>
        <v>#NAME?</v>
      </c>
      <c r="AB170" s="54" t="e">
        <f ca="1">IF($B170="","",_xll.BDP($A170&amp;" Corp",AB$5))</f>
        <v>#NAME?</v>
      </c>
      <c r="AC170" s="54" t="e">
        <f ca="1">IF($B170="","",_xll.BDP($A170&amp;" Corp",AC$5))</f>
        <v>#NAME?</v>
      </c>
      <c r="AD170" s="55" t="e">
        <f ca="1">IF($B170="","",_xll.BDP($A170&amp;" Corp",AD$5))</f>
        <v>#NAME?</v>
      </c>
      <c r="AE170" s="56" t="e">
        <f ca="1">IF($B170="","",_xll.BDP($A170&amp;" Corp",AE$5))</f>
        <v>#NAME?</v>
      </c>
      <c r="AF170" s="29" t="e">
        <f ca="1">IF($B170="","",_xll.BDP($A170&amp;" Corp",AF$5))</f>
        <v>#NAME?</v>
      </c>
      <c r="AG170" s="33" t="e">
        <f ca="1">IF($B170="","",_xll.BDP($A170&amp;" Corp",AG$5))</f>
        <v>#NAME?</v>
      </c>
      <c r="AH170" s="30" t="e">
        <f ca="1">IF($B170="","",_xll.BDP($A170&amp;" Corp",AH$5))</f>
        <v>#NAME?</v>
      </c>
      <c r="AI170" s="30" t="e">
        <f ca="1">IF($B170="","",_xll.BDP($A170&amp;" Corp",AI$5))</f>
        <v>#NAME?</v>
      </c>
      <c r="AJ170" s="30" t="e">
        <f ca="1">IF($B170="","",_xll.BDP($A170&amp;" Corp",AJ$5))</f>
        <v>#NAME?</v>
      </c>
      <c r="AK170" s="11" t="e">
        <f ca="1">IF($B170="","",_xll.BDP($A170&amp;" Corp",AK$5))</f>
        <v>#NAME?</v>
      </c>
      <c r="AL170" s="11" t="e">
        <f ca="1">IF($B170="","",_xll.BDP($A170&amp;" Corp",AL$5))</f>
        <v>#NAME?</v>
      </c>
      <c r="AM170" s="11">
        <v>1</v>
      </c>
      <c r="AN170" s="57">
        <v>0.5</v>
      </c>
    </row>
    <row r="171" spans="1:40" x14ac:dyDescent="0.3">
      <c r="A171" s="67" t="s">
        <v>672</v>
      </c>
      <c r="B171" s="68" t="s">
        <v>672</v>
      </c>
      <c r="C171" s="75">
        <v>10519</v>
      </c>
      <c r="D171" s="75">
        <v>128</v>
      </c>
      <c r="E171" s="75">
        <v>2500000</v>
      </c>
      <c r="F171" s="69">
        <v>2.0217059800000001</v>
      </c>
      <c r="G171" s="70">
        <v>2463625</v>
      </c>
      <c r="H171" s="67">
        <v>2500000</v>
      </c>
      <c r="I171" s="67">
        <v>2.0217059800000001</v>
      </c>
      <c r="J171" s="67">
        <v>2463625</v>
      </c>
      <c r="K171" s="71">
        <v>98.545000000000002</v>
      </c>
      <c r="L171" s="29" t="e">
        <f ca="1">IF(B171="","",_xll.BDP(A171&amp;" Corp","INTERVAL_HIGH","START_DATE_OVERRIDE",TEXT($L$3,"AAAAMMDD"),"END_DATE_OVERRIDE",TEXT($L$4,"AAAAMMDD"),"MARKET_DATA_OVERRIDE",$L$5))</f>
        <v>#NAME?</v>
      </c>
      <c r="M171" s="30" t="e">
        <f ca="1">IF(B171="","",_xll.BDP($A171&amp;" Corp","INTERVAL_LOW","START_DATE_OVERRIDE",TEXT($L$3,"AAAAMMDD"),"END_DATE_OVERRIDE",TEXT($L$4,"AAAAMMDD"),"MARKET_DATA_OVERRIDE",$L$5))</f>
        <v>#NAME?</v>
      </c>
      <c r="N171" s="31" t="s">
        <v>933</v>
      </c>
      <c r="O171" s="32" t="e">
        <f ca="1">IF($B171="","",_xll.BDP($A171&amp;" Corp",O$6))</f>
        <v>#NAME?</v>
      </c>
      <c r="P171" s="32" t="e">
        <f ca="1">IF($B171="","",_xll.BDP($A171&amp;" Corp",P$6))</f>
        <v>#NAME?</v>
      </c>
      <c r="Q171" s="30" t="e">
        <f ca="1">IF($B171="","",_xll.BDP($A171&amp;" Corp",Q$5))</f>
        <v>#NAME?</v>
      </c>
      <c r="R171" s="30" t="e">
        <f ca="1">IF($B171="","",_xll.BDP($A171&amp;" Corp",R$5))</f>
        <v>#NAME?</v>
      </c>
      <c r="S171" s="50" t="e">
        <f ca="1">IF($B171="","",_xll.BDP($A171&amp;" Corp",S$5))</f>
        <v>#NAME?</v>
      </c>
      <c r="T171" s="30" t="e">
        <f ca="1">IF($B171="","",_xll.BDP($A171&amp;" Corp",T$5))</f>
        <v>#NAME?</v>
      </c>
      <c r="U171" s="30" t="e">
        <f ca="1">IF($B171="","",_xll.BDP($A171&amp;" Corp",U$5))</f>
        <v>#NAME?</v>
      </c>
      <c r="V171" s="51" t="e">
        <f ca="1">IF($B171="","",IF($T171="VARIABLE",_xll.BDP($A171&amp;" Corp",V$4),_xll.BDP($A171&amp;" Corp",V$5)))</f>
        <v>#NAME?</v>
      </c>
      <c r="W171" s="30" t="e">
        <f ca="1">IF($B171="","",IF($T171="VARIABLE",_xll.BDP($A171&amp;" Corp",W$4),_xll.BDP($A171&amp;" Corp",W$5)))</f>
        <v>#NAME?</v>
      </c>
      <c r="X171" s="30" t="e">
        <f ca="1">IF($B171="","",_xll.BDP($A171&amp;" Corp",X$5))</f>
        <v>#NAME?</v>
      </c>
      <c r="Y171" s="33" t="e">
        <f ca="1">IF($B171="","",_xll.BDP($A171&amp;" Corp",Y$5))</f>
        <v>#NAME?</v>
      </c>
      <c r="Z171" s="52" t="e">
        <f ca="1">IF($B171="","",_xll.BDP($A171&amp;" Corp",Z$5))</f>
        <v>#NAME?</v>
      </c>
      <c r="AA171" s="53" t="e">
        <f ca="1">IF($B171="","",_xll.BDP($A171&amp;" Corp",AA$5))</f>
        <v>#NAME?</v>
      </c>
      <c r="AB171" s="54" t="e">
        <f ca="1">IF($B171="","",_xll.BDP($A171&amp;" Corp",AB$5))</f>
        <v>#NAME?</v>
      </c>
      <c r="AC171" s="54" t="e">
        <f ca="1">IF($B171="","",_xll.BDP($A171&amp;" Corp",AC$5))</f>
        <v>#NAME?</v>
      </c>
      <c r="AD171" s="55" t="e">
        <f ca="1">IF($B171="","",_xll.BDP($A171&amp;" Corp",AD$5))</f>
        <v>#NAME?</v>
      </c>
      <c r="AE171" s="56" t="e">
        <f ca="1">IF($B171="","",_xll.BDP($A171&amp;" Corp",AE$5))</f>
        <v>#NAME?</v>
      </c>
      <c r="AF171" s="29" t="e">
        <f ca="1">IF($B171="","",_xll.BDP($A171&amp;" Corp",AF$5))</f>
        <v>#NAME?</v>
      </c>
      <c r="AG171" s="33" t="e">
        <f ca="1">IF($B171="","",_xll.BDP($A171&amp;" Corp",AG$5))</f>
        <v>#NAME?</v>
      </c>
      <c r="AH171" s="30" t="e">
        <f ca="1">IF($B171="","",_xll.BDP($A171&amp;" Corp",AH$5))</f>
        <v>#NAME?</v>
      </c>
      <c r="AI171" s="30" t="e">
        <f ca="1">IF($B171="","",_xll.BDP($A171&amp;" Corp",AI$5))</f>
        <v>#NAME?</v>
      </c>
      <c r="AJ171" s="30" t="e">
        <f ca="1">IF($B171="","",_xll.BDP($A171&amp;" Corp",AJ$5))</f>
        <v>#NAME?</v>
      </c>
      <c r="AK171" s="11" t="e">
        <f ca="1">IF($B171="","",_xll.BDP($A171&amp;" Corp",AK$5))</f>
        <v>#NAME?</v>
      </c>
      <c r="AL171" s="11" t="e">
        <f ca="1">IF($B171="","",_xll.BDP($A171&amp;" Corp",AL$5))</f>
        <v>#NAME?</v>
      </c>
      <c r="AM171" s="11">
        <v>1</v>
      </c>
      <c r="AN171" s="57">
        <v>0</v>
      </c>
    </row>
    <row r="172" spans="1:40" x14ac:dyDescent="0.3">
      <c r="A172" s="67" t="s">
        <v>684</v>
      </c>
      <c r="B172" s="68" t="s">
        <v>684</v>
      </c>
      <c r="C172" s="75">
        <v>10558</v>
      </c>
      <c r="D172" s="75">
        <v>128</v>
      </c>
      <c r="E172" s="75">
        <v>600000</v>
      </c>
      <c r="F172" s="69">
        <v>0.49521892000000001</v>
      </c>
      <c r="G172" s="70">
        <v>598584</v>
      </c>
      <c r="H172" s="67">
        <v>600000</v>
      </c>
      <c r="I172" s="67">
        <v>0.49521892000000001</v>
      </c>
      <c r="J172" s="67">
        <v>598584</v>
      </c>
      <c r="K172" s="71">
        <v>99.763999999999996</v>
      </c>
      <c r="L172" s="29" t="e">
        <f ca="1">IF(B172="","",_xll.BDP(A172&amp;" Corp","INTERVAL_HIGH","START_DATE_OVERRIDE",TEXT($L$3,"AAAAMMDD"),"END_DATE_OVERRIDE",TEXT($L$4,"AAAAMMDD"),"MARKET_DATA_OVERRIDE",$L$5))</f>
        <v>#NAME?</v>
      </c>
      <c r="M172" s="30" t="e">
        <f ca="1">IF(B172="","",_xll.BDP($A172&amp;" Corp","INTERVAL_LOW","START_DATE_OVERRIDE",TEXT($L$3,"AAAAMMDD"),"END_DATE_OVERRIDE",TEXT($L$4,"AAAAMMDD"),"MARKET_DATA_OVERRIDE",$L$5))</f>
        <v>#NAME?</v>
      </c>
      <c r="N172" s="31" t="s">
        <v>934</v>
      </c>
      <c r="O172" s="32" t="e">
        <f ca="1">IF($B172="","",_xll.BDP($A172&amp;" Corp",O$6))</f>
        <v>#NAME?</v>
      </c>
      <c r="P172" s="32" t="e">
        <f ca="1">IF($B172="","",_xll.BDP($A172&amp;" Corp",P$6))</f>
        <v>#NAME?</v>
      </c>
      <c r="Q172" s="30" t="e">
        <f ca="1">IF($B172="","",_xll.BDP($A172&amp;" Corp",Q$5))</f>
        <v>#NAME?</v>
      </c>
      <c r="R172" s="30" t="e">
        <f ca="1">IF($B172="","",_xll.BDP($A172&amp;" Corp",R$5))</f>
        <v>#NAME?</v>
      </c>
      <c r="S172" s="50" t="e">
        <f ca="1">IF($B172="","",_xll.BDP($A172&amp;" Corp",S$5))</f>
        <v>#NAME?</v>
      </c>
      <c r="T172" s="30" t="e">
        <f ca="1">IF($B172="","",_xll.BDP($A172&amp;" Corp",T$5))</f>
        <v>#NAME?</v>
      </c>
      <c r="U172" s="30" t="e">
        <f ca="1">IF($B172="","",_xll.BDP($A172&amp;" Corp",U$5))</f>
        <v>#NAME?</v>
      </c>
      <c r="V172" s="51" t="e">
        <f ca="1">IF($B172="","",IF($T172="VARIABLE",_xll.BDP($A172&amp;" Corp",V$4),_xll.BDP($A172&amp;" Corp",V$5)))</f>
        <v>#NAME?</v>
      </c>
      <c r="W172" s="30" t="e">
        <f ca="1">IF($B172="","",IF($T172="VARIABLE",_xll.BDP($A172&amp;" Corp",W$4),_xll.BDP($A172&amp;" Corp",W$5)))</f>
        <v>#NAME?</v>
      </c>
      <c r="X172" s="30" t="e">
        <f ca="1">IF($B172="","",_xll.BDP($A172&amp;" Corp",X$5))</f>
        <v>#NAME?</v>
      </c>
      <c r="Y172" s="33" t="e">
        <f ca="1">IF($B172="","",_xll.BDP($A172&amp;" Corp",Y$5))</f>
        <v>#NAME?</v>
      </c>
      <c r="Z172" s="52" t="e">
        <f ca="1">IF($B172="","",_xll.BDP($A172&amp;" Corp",Z$5))</f>
        <v>#NAME?</v>
      </c>
      <c r="AA172" s="53" t="e">
        <f ca="1">IF($B172="","",_xll.BDP($A172&amp;" Corp",AA$5))</f>
        <v>#NAME?</v>
      </c>
      <c r="AB172" s="54" t="e">
        <f ca="1">IF($B172="","",_xll.BDP($A172&amp;" Corp",AB$5))</f>
        <v>#NAME?</v>
      </c>
      <c r="AC172" s="54" t="e">
        <f ca="1">IF($B172="","",_xll.BDP($A172&amp;" Corp",AC$5))</f>
        <v>#NAME?</v>
      </c>
      <c r="AD172" s="55" t="e">
        <f ca="1">IF($B172="","",_xll.BDP($A172&amp;" Corp",AD$5))</f>
        <v>#NAME?</v>
      </c>
      <c r="AE172" s="56" t="e">
        <f ca="1">IF($B172="","",_xll.BDP($A172&amp;" Corp",AE$5))</f>
        <v>#NAME?</v>
      </c>
      <c r="AF172" s="29" t="e">
        <f ca="1">IF($B172="","",_xll.BDP($A172&amp;" Corp",AF$5))</f>
        <v>#NAME?</v>
      </c>
      <c r="AG172" s="33" t="e">
        <f ca="1">IF($B172="","",_xll.BDP($A172&amp;" Corp",AG$5))</f>
        <v>#NAME?</v>
      </c>
      <c r="AH172" s="30" t="e">
        <f ca="1">IF($B172="","",_xll.BDP($A172&amp;" Corp",AH$5))</f>
        <v>#NAME?</v>
      </c>
      <c r="AI172" s="30" t="e">
        <f ca="1">IF($B172="","",_xll.BDP($A172&amp;" Corp",AI$5))</f>
        <v>#NAME?</v>
      </c>
      <c r="AJ172" s="30" t="e">
        <f ca="1">IF($B172="","",_xll.BDP($A172&amp;" Corp",AJ$5))</f>
        <v>#NAME?</v>
      </c>
      <c r="AK172" s="11" t="e">
        <f ca="1">IF($B172="","",_xll.BDP($A172&amp;" Corp",AK$5))</f>
        <v>#NAME?</v>
      </c>
      <c r="AL172" s="11" t="e">
        <f ca="1">IF($B172="","",_xll.BDP($A172&amp;" Corp",AL$5))</f>
        <v>#NAME?</v>
      </c>
      <c r="AM172" s="11">
        <v>2</v>
      </c>
      <c r="AN172" s="57">
        <v>2</v>
      </c>
    </row>
    <row r="173" spans="1:40" x14ac:dyDescent="0.3">
      <c r="A173" s="67" t="s">
        <v>686</v>
      </c>
      <c r="B173" s="68" t="s">
        <v>686</v>
      </c>
      <c r="C173" s="75">
        <v>10554</v>
      </c>
      <c r="D173" s="75">
        <v>128</v>
      </c>
      <c r="E173" s="75">
        <v>600000</v>
      </c>
      <c r="F173" s="69">
        <v>0.49109990999999997</v>
      </c>
      <c r="G173" s="70">
        <v>601272</v>
      </c>
      <c r="H173" s="67">
        <v>600000</v>
      </c>
      <c r="I173" s="67">
        <v>0.49109990999999997</v>
      </c>
      <c r="J173" s="67">
        <v>601272</v>
      </c>
      <c r="K173" s="71">
        <v>100.212</v>
      </c>
      <c r="L173" s="29" t="e">
        <f ca="1">IF(B173="","",_xll.BDP(A173&amp;" Corp","INTERVAL_HIGH","START_DATE_OVERRIDE",TEXT($L$3,"AAAAMMDD"),"END_DATE_OVERRIDE",TEXT($L$4,"AAAAMMDD"),"MARKET_DATA_OVERRIDE",$L$5))</f>
        <v>#NAME?</v>
      </c>
      <c r="M173" s="30" t="e">
        <f ca="1">IF(B173="","",_xll.BDP($A173&amp;" Corp","INTERVAL_LOW","START_DATE_OVERRIDE",TEXT($L$3,"AAAAMMDD"),"END_DATE_OVERRIDE",TEXT($L$4,"AAAAMMDD"),"MARKET_DATA_OVERRIDE",$L$5))</f>
        <v>#NAME?</v>
      </c>
      <c r="N173" s="31" t="s">
        <v>935</v>
      </c>
      <c r="O173" s="32" t="e">
        <f ca="1">IF($B173="","",_xll.BDP($A173&amp;" Corp",O$6))</f>
        <v>#NAME?</v>
      </c>
      <c r="P173" s="32" t="e">
        <f ca="1">IF($B173="","",_xll.BDP($A173&amp;" Corp",P$6))</f>
        <v>#NAME?</v>
      </c>
      <c r="Q173" s="30" t="e">
        <f ca="1">IF($B173="","",_xll.BDP($A173&amp;" Corp",Q$5))</f>
        <v>#NAME?</v>
      </c>
      <c r="R173" s="30" t="e">
        <f ca="1">IF($B173="","",_xll.BDP($A173&amp;" Corp",R$5))</f>
        <v>#NAME?</v>
      </c>
      <c r="S173" s="50" t="e">
        <f ca="1">IF($B173="","",_xll.BDP($A173&amp;" Corp",S$5))</f>
        <v>#NAME?</v>
      </c>
      <c r="T173" s="30" t="e">
        <f ca="1">IF($B173="","",_xll.BDP($A173&amp;" Corp",T$5))</f>
        <v>#NAME?</v>
      </c>
      <c r="U173" s="30" t="e">
        <f ca="1">IF($B173="","",_xll.BDP($A173&amp;" Corp",U$5))</f>
        <v>#NAME?</v>
      </c>
      <c r="V173" s="51" t="e">
        <f ca="1">IF($B173="","",IF($T173="VARIABLE",_xll.BDP($A173&amp;" Corp",V$4),_xll.BDP($A173&amp;" Corp",V$5)))</f>
        <v>#NAME?</v>
      </c>
      <c r="W173" s="30" t="e">
        <f ca="1">IF($B173="","",IF($T173="VARIABLE",_xll.BDP($A173&amp;" Corp",W$4),_xll.BDP($A173&amp;" Corp",W$5)))</f>
        <v>#NAME?</v>
      </c>
      <c r="X173" s="30" t="e">
        <f ca="1">IF($B173="","",_xll.BDP($A173&amp;" Corp",X$5))</f>
        <v>#NAME?</v>
      </c>
      <c r="Y173" s="33" t="e">
        <f ca="1">IF($B173="","",_xll.BDP($A173&amp;" Corp",Y$5))</f>
        <v>#NAME?</v>
      </c>
      <c r="Z173" s="52" t="e">
        <f ca="1">IF($B173="","",_xll.BDP($A173&amp;" Corp",Z$5))</f>
        <v>#NAME?</v>
      </c>
      <c r="AA173" s="53" t="e">
        <f ca="1">IF($B173="","",_xll.BDP($A173&amp;" Corp",AA$5))</f>
        <v>#NAME?</v>
      </c>
      <c r="AB173" s="54" t="e">
        <f ca="1">IF($B173="","",_xll.BDP($A173&amp;" Corp",AB$5))</f>
        <v>#NAME?</v>
      </c>
      <c r="AC173" s="54" t="e">
        <f ca="1">IF($B173="","",_xll.BDP($A173&amp;" Corp",AC$5))</f>
        <v>#NAME?</v>
      </c>
      <c r="AD173" s="55" t="e">
        <f ca="1">IF($B173="","",_xll.BDP($A173&amp;" Corp",AD$5))</f>
        <v>#NAME?</v>
      </c>
      <c r="AE173" s="56" t="e">
        <f ca="1">IF($B173="","",_xll.BDP($A173&amp;" Corp",AE$5))</f>
        <v>#NAME?</v>
      </c>
      <c r="AF173" s="29" t="e">
        <f ca="1">IF($B173="","",_xll.BDP($A173&amp;" Corp",AF$5))</f>
        <v>#NAME?</v>
      </c>
      <c r="AG173" s="33" t="e">
        <f ca="1">IF($B173="","",_xll.BDP($A173&amp;" Corp",AG$5))</f>
        <v>#NAME?</v>
      </c>
      <c r="AH173" s="30" t="e">
        <f ca="1">IF($B173="","",_xll.BDP($A173&amp;" Corp",AH$5))</f>
        <v>#NAME?</v>
      </c>
      <c r="AI173" s="30" t="e">
        <f ca="1">IF($B173="","",_xll.BDP($A173&amp;" Corp",AI$5))</f>
        <v>#NAME?</v>
      </c>
      <c r="AJ173" s="30" t="e">
        <f ca="1">IF($B173="","",_xll.BDP($A173&amp;" Corp",AJ$5))</f>
        <v>#NAME?</v>
      </c>
      <c r="AK173" s="11" t="e">
        <f ca="1">IF($B173="","",_xll.BDP($A173&amp;" Corp",AK$5))</f>
        <v>#NAME?</v>
      </c>
      <c r="AL173" s="11" t="e">
        <f ca="1">IF($B173="","",_xll.BDP($A173&amp;" Corp",AL$5))</f>
        <v>#NAME?</v>
      </c>
      <c r="AM173" s="11">
        <v>3</v>
      </c>
      <c r="AN173" s="57">
        <v>3</v>
      </c>
    </row>
    <row r="174" spans="1:40" x14ac:dyDescent="0.3">
      <c r="A174" s="67" t="s">
        <v>688</v>
      </c>
      <c r="B174" s="68" t="s">
        <v>688</v>
      </c>
      <c r="C174" s="75">
        <v>10577</v>
      </c>
      <c r="D174" s="75">
        <v>128</v>
      </c>
      <c r="E174" s="75">
        <v>2000000</v>
      </c>
      <c r="F174" s="69">
        <v>1.64370722</v>
      </c>
      <c r="G174" s="70">
        <v>1997710</v>
      </c>
      <c r="H174" s="67">
        <v>2000000</v>
      </c>
      <c r="I174" s="67">
        <v>1.64370722</v>
      </c>
      <c r="J174" s="67">
        <v>1997710</v>
      </c>
      <c r="K174" s="71">
        <v>99.885499999999993</v>
      </c>
      <c r="L174" s="29" t="e">
        <f ca="1">IF(B174="","",_xll.BDP(A174&amp;" Corp","INTERVAL_HIGH","START_DATE_OVERRIDE",TEXT($L$3,"AAAAMMDD"),"END_DATE_OVERRIDE",TEXT($L$4,"AAAAMMDD"),"MARKET_DATA_OVERRIDE",$L$5))</f>
        <v>#NAME?</v>
      </c>
      <c r="M174" s="30" t="e">
        <f ca="1">IF(B174="","",_xll.BDP($A174&amp;" Corp","INTERVAL_LOW","START_DATE_OVERRIDE",TEXT($L$3,"AAAAMMDD"),"END_DATE_OVERRIDE",TEXT($L$4,"AAAAMMDD"),"MARKET_DATA_OVERRIDE",$L$5))</f>
        <v>#NAME?</v>
      </c>
      <c r="N174" s="31" t="s">
        <v>936</v>
      </c>
      <c r="O174" s="32" t="e">
        <f ca="1">IF($B174="","",_xll.BDP($A174&amp;" Corp",O$6))</f>
        <v>#NAME?</v>
      </c>
      <c r="P174" s="32" t="e">
        <f ca="1">IF($B174="","",_xll.BDP($A174&amp;" Corp",P$6))</f>
        <v>#NAME?</v>
      </c>
      <c r="Q174" s="30" t="e">
        <f ca="1">IF($B174="","",_xll.BDP($A174&amp;" Corp",Q$5))</f>
        <v>#NAME?</v>
      </c>
      <c r="R174" s="30" t="e">
        <f ca="1">IF($B174="","",_xll.BDP($A174&amp;" Corp",R$5))</f>
        <v>#NAME?</v>
      </c>
      <c r="S174" s="50" t="e">
        <f ca="1">IF($B174="","",_xll.BDP($A174&amp;" Corp",S$5))</f>
        <v>#NAME?</v>
      </c>
      <c r="T174" s="30" t="e">
        <f ca="1">IF($B174="","",_xll.BDP($A174&amp;" Corp",T$5))</f>
        <v>#NAME?</v>
      </c>
      <c r="U174" s="30" t="e">
        <f ca="1">IF($B174="","",_xll.BDP($A174&amp;" Corp",U$5))</f>
        <v>#NAME?</v>
      </c>
      <c r="V174" s="51" t="e">
        <f ca="1">IF($B174="","",IF($T174="VARIABLE",_xll.BDP($A174&amp;" Corp",V$4),_xll.BDP($A174&amp;" Corp",V$5)))</f>
        <v>#NAME?</v>
      </c>
      <c r="W174" s="30" t="e">
        <f ca="1">IF($B174="","",IF($T174="VARIABLE",_xll.BDP($A174&amp;" Corp",W$4),_xll.BDP($A174&amp;" Corp",W$5)))</f>
        <v>#NAME?</v>
      </c>
      <c r="X174" s="30" t="e">
        <f ca="1">IF($B174="","",_xll.BDP($A174&amp;" Corp",X$5))</f>
        <v>#NAME?</v>
      </c>
      <c r="Y174" s="33" t="e">
        <f ca="1">IF($B174="","",_xll.BDP($A174&amp;" Corp",Y$5))</f>
        <v>#NAME?</v>
      </c>
      <c r="Z174" s="52" t="e">
        <f ca="1">IF($B174="","",_xll.BDP($A174&amp;" Corp",Z$5))</f>
        <v>#NAME?</v>
      </c>
      <c r="AA174" s="53" t="e">
        <f ca="1">IF($B174="","",_xll.BDP($A174&amp;" Corp",AA$5))</f>
        <v>#NAME?</v>
      </c>
      <c r="AB174" s="54" t="e">
        <f ca="1">IF($B174="","",_xll.BDP($A174&amp;" Corp",AB$5))</f>
        <v>#NAME?</v>
      </c>
      <c r="AC174" s="54" t="e">
        <f ca="1">IF($B174="","",_xll.BDP($A174&amp;" Corp",AC$5))</f>
        <v>#NAME?</v>
      </c>
      <c r="AD174" s="55" t="e">
        <f ca="1">IF($B174="","",_xll.BDP($A174&amp;" Corp",AD$5))</f>
        <v>#NAME?</v>
      </c>
      <c r="AE174" s="56" t="e">
        <f ca="1">IF($B174="","",_xll.BDP($A174&amp;" Corp",AE$5))</f>
        <v>#NAME?</v>
      </c>
      <c r="AF174" s="29" t="e">
        <f ca="1">IF($B174="","",_xll.BDP($A174&amp;" Corp",AF$5))</f>
        <v>#NAME?</v>
      </c>
      <c r="AG174" s="33" t="e">
        <f ca="1">IF($B174="","",_xll.BDP($A174&amp;" Corp",AG$5))</f>
        <v>#NAME?</v>
      </c>
      <c r="AH174" s="30" t="e">
        <f ca="1">IF($B174="","",_xll.BDP($A174&amp;" Corp",AH$5))</f>
        <v>#NAME?</v>
      </c>
      <c r="AI174" s="30" t="e">
        <f ca="1">IF($B174="","",_xll.BDP($A174&amp;" Corp",AI$5))</f>
        <v>#NAME?</v>
      </c>
      <c r="AJ174" s="30" t="e">
        <f ca="1">IF($B174="","",_xll.BDP($A174&amp;" Corp",AJ$5))</f>
        <v>#NAME?</v>
      </c>
      <c r="AK174" s="11" t="e">
        <f ca="1">IF($B174="","",_xll.BDP($A174&amp;" Corp",AK$5))</f>
        <v>#NAME?</v>
      </c>
      <c r="AL174" s="11" t="e">
        <f ca="1">IF($B174="","",_xll.BDP($A174&amp;" Corp",AL$5))</f>
        <v>#NAME?</v>
      </c>
      <c r="AM174" s="11">
        <v>2</v>
      </c>
      <c r="AN174" s="57">
        <v>2</v>
      </c>
    </row>
    <row r="175" spans="1:40" x14ac:dyDescent="0.3">
      <c r="A175" s="67" t="s">
        <v>690</v>
      </c>
      <c r="B175" s="68" t="s">
        <v>690</v>
      </c>
      <c r="C175" s="75">
        <v>10612</v>
      </c>
      <c r="D175" s="75">
        <v>128</v>
      </c>
      <c r="E175" s="75">
        <v>800000</v>
      </c>
      <c r="F175" s="69">
        <v>0.65614912999999997</v>
      </c>
      <c r="G175" s="70">
        <v>798432</v>
      </c>
      <c r="H175" s="67">
        <v>800000</v>
      </c>
      <c r="I175" s="67">
        <v>0.65614912999999997</v>
      </c>
      <c r="J175" s="67">
        <v>798432</v>
      </c>
      <c r="K175" s="71">
        <v>99.804000000000002</v>
      </c>
      <c r="L175" s="29" t="e">
        <f ca="1">IF(B175="","",_xll.BDP(A175&amp;" Corp","INTERVAL_HIGH","START_DATE_OVERRIDE",TEXT($L$3,"AAAAMMDD"),"END_DATE_OVERRIDE",TEXT($L$4,"AAAAMMDD"),"MARKET_DATA_OVERRIDE",$L$5))</f>
        <v>#NAME?</v>
      </c>
      <c r="M175" s="30" t="e">
        <f ca="1">IF(B175="","",_xll.BDP($A175&amp;" Corp","INTERVAL_LOW","START_DATE_OVERRIDE",TEXT($L$3,"AAAAMMDD"),"END_DATE_OVERRIDE",TEXT($L$4,"AAAAMMDD"),"MARKET_DATA_OVERRIDE",$L$5))</f>
        <v>#NAME?</v>
      </c>
      <c r="N175" s="31" t="s">
        <v>937</v>
      </c>
      <c r="O175" s="32" t="e">
        <f ca="1">IF($B175="","",_xll.BDP($A175&amp;" Corp",O$6))</f>
        <v>#NAME?</v>
      </c>
      <c r="P175" s="32" t="e">
        <f ca="1">IF($B175="","",_xll.BDP($A175&amp;" Corp",P$6))</f>
        <v>#NAME?</v>
      </c>
      <c r="Q175" s="30" t="e">
        <f ca="1">IF($B175="","",_xll.BDP($A175&amp;" Corp",Q$5))</f>
        <v>#NAME?</v>
      </c>
      <c r="R175" s="30" t="e">
        <f ca="1">IF($B175="","",_xll.BDP($A175&amp;" Corp",R$5))</f>
        <v>#NAME?</v>
      </c>
      <c r="S175" s="50" t="e">
        <f ca="1">IF($B175="","",_xll.BDP($A175&amp;" Corp",S$5))</f>
        <v>#NAME?</v>
      </c>
      <c r="T175" s="30" t="e">
        <f ca="1">IF($B175="","",_xll.BDP($A175&amp;" Corp",T$5))</f>
        <v>#NAME?</v>
      </c>
      <c r="U175" s="30" t="e">
        <f ca="1">IF($B175="","",_xll.BDP($A175&amp;" Corp",U$5))</f>
        <v>#NAME?</v>
      </c>
      <c r="V175" s="51" t="e">
        <f ca="1">IF($B175="","",IF($T175="VARIABLE",_xll.BDP($A175&amp;" Corp",V$4),_xll.BDP($A175&amp;" Corp",V$5)))</f>
        <v>#NAME?</v>
      </c>
      <c r="W175" s="30" t="e">
        <f ca="1">IF($B175="","",IF($T175="VARIABLE",_xll.BDP($A175&amp;" Corp",W$4),_xll.BDP($A175&amp;" Corp",W$5)))</f>
        <v>#NAME?</v>
      </c>
      <c r="X175" s="30" t="e">
        <f ca="1">IF($B175="","",_xll.BDP($A175&amp;" Corp",X$5))</f>
        <v>#NAME?</v>
      </c>
      <c r="Y175" s="33" t="e">
        <f ca="1">IF($B175="","",_xll.BDP($A175&amp;" Corp",Y$5))</f>
        <v>#NAME?</v>
      </c>
      <c r="Z175" s="52" t="e">
        <f ca="1">IF($B175="","",_xll.BDP($A175&amp;" Corp",Z$5))</f>
        <v>#NAME?</v>
      </c>
      <c r="AA175" s="53" t="e">
        <f ca="1">IF($B175="","",_xll.BDP($A175&amp;" Corp",AA$5))</f>
        <v>#NAME?</v>
      </c>
      <c r="AB175" s="54" t="e">
        <f ca="1">IF($B175="","",_xll.BDP($A175&amp;" Corp",AB$5))</f>
        <v>#NAME?</v>
      </c>
      <c r="AC175" s="54" t="e">
        <f ca="1">IF($B175="","",_xll.BDP($A175&amp;" Corp",AC$5))</f>
        <v>#NAME?</v>
      </c>
      <c r="AD175" s="55" t="e">
        <f ca="1">IF($B175="","",_xll.BDP($A175&amp;" Corp",AD$5))</f>
        <v>#NAME?</v>
      </c>
      <c r="AE175" s="56" t="e">
        <f ca="1">IF($B175="","",_xll.BDP($A175&amp;" Corp",AE$5))</f>
        <v>#NAME?</v>
      </c>
      <c r="AF175" s="29" t="e">
        <f ca="1">IF($B175="","",_xll.BDP($A175&amp;" Corp",AF$5))</f>
        <v>#NAME?</v>
      </c>
      <c r="AG175" s="33" t="e">
        <f ca="1">IF($B175="","",_xll.BDP($A175&amp;" Corp",AG$5))</f>
        <v>#NAME?</v>
      </c>
      <c r="AH175" s="30" t="e">
        <f ca="1">IF($B175="","",_xll.BDP($A175&amp;" Corp",AH$5))</f>
        <v>#NAME?</v>
      </c>
      <c r="AI175" s="30" t="e">
        <f ca="1">IF($B175="","",_xll.BDP($A175&amp;" Corp",AI$5))</f>
        <v>#NAME?</v>
      </c>
      <c r="AJ175" s="30" t="e">
        <f ca="1">IF($B175="","",_xll.BDP($A175&amp;" Corp",AJ$5))</f>
        <v>#NAME?</v>
      </c>
      <c r="AK175" s="11" t="e">
        <f ca="1">IF($B175="","",_xll.BDP($A175&amp;" Corp",AK$5))</f>
        <v>#NAME?</v>
      </c>
      <c r="AL175" s="11" t="e">
        <f ca="1">IF($B175="","",_xll.BDP($A175&amp;" Corp",AL$5))</f>
        <v>#NAME?</v>
      </c>
      <c r="AM175" s="11">
        <v>2</v>
      </c>
      <c r="AN175" s="57">
        <v>2</v>
      </c>
    </row>
    <row r="176" spans="1:40" x14ac:dyDescent="0.3">
      <c r="A176" s="67" t="s">
        <v>692</v>
      </c>
      <c r="B176" s="68" t="s">
        <v>692</v>
      </c>
      <c r="C176" s="75">
        <v>10614</v>
      </c>
      <c r="D176" s="75">
        <v>128</v>
      </c>
      <c r="E176" s="75">
        <v>800000</v>
      </c>
      <c r="F176" s="69">
        <v>0.66163636999999997</v>
      </c>
      <c r="G176" s="70">
        <v>797496</v>
      </c>
      <c r="H176" s="67">
        <v>800000</v>
      </c>
      <c r="I176" s="67">
        <v>0.66163636999999997</v>
      </c>
      <c r="J176" s="67">
        <v>797496</v>
      </c>
      <c r="K176" s="71">
        <v>99.686999999999998</v>
      </c>
      <c r="L176" s="29" t="e">
        <f ca="1">IF(B176="","",_xll.BDP(A176&amp;" Corp","INTERVAL_HIGH","START_DATE_OVERRIDE",TEXT($L$3,"AAAAMMDD"),"END_DATE_OVERRIDE",TEXT($L$4,"AAAAMMDD"),"MARKET_DATA_OVERRIDE",$L$5))</f>
        <v>#NAME?</v>
      </c>
      <c r="M176" s="30" t="e">
        <f ca="1">IF(B176="","",_xll.BDP($A176&amp;" Corp","INTERVAL_LOW","START_DATE_OVERRIDE",TEXT($L$3,"AAAAMMDD"),"END_DATE_OVERRIDE",TEXT($L$4,"AAAAMMDD"),"MARKET_DATA_OVERRIDE",$L$5))</f>
        <v>#NAME?</v>
      </c>
      <c r="N176" s="31" t="s">
        <v>938</v>
      </c>
      <c r="O176" s="32" t="e">
        <f ca="1">IF($B176="","",_xll.BDP($A176&amp;" Corp",O$6))</f>
        <v>#NAME?</v>
      </c>
      <c r="P176" s="32" t="e">
        <f ca="1">IF($B176="","",_xll.BDP($A176&amp;" Corp",P$6))</f>
        <v>#NAME?</v>
      </c>
      <c r="Q176" s="30" t="e">
        <f ca="1">IF($B176="","",_xll.BDP($A176&amp;" Corp",Q$5))</f>
        <v>#NAME?</v>
      </c>
      <c r="R176" s="30" t="e">
        <f ca="1">IF($B176="","",_xll.BDP($A176&amp;" Corp",R$5))</f>
        <v>#NAME?</v>
      </c>
      <c r="S176" s="50" t="e">
        <f ca="1">IF($B176="","",_xll.BDP($A176&amp;" Corp",S$5))</f>
        <v>#NAME?</v>
      </c>
      <c r="T176" s="30" t="e">
        <f ca="1">IF($B176="","",_xll.BDP($A176&amp;" Corp",T$5))</f>
        <v>#NAME?</v>
      </c>
      <c r="U176" s="30" t="e">
        <f ca="1">IF($B176="","",_xll.BDP($A176&amp;" Corp",U$5))</f>
        <v>#NAME?</v>
      </c>
      <c r="V176" s="51" t="e">
        <f ca="1">IF($B176="","",IF($T176="VARIABLE",_xll.BDP($A176&amp;" Corp",V$4),_xll.BDP($A176&amp;" Corp",V$5)))</f>
        <v>#NAME?</v>
      </c>
      <c r="W176" s="30" t="e">
        <f ca="1">IF($B176="","",IF($T176="VARIABLE",_xll.BDP($A176&amp;" Corp",W$4),_xll.BDP($A176&amp;" Corp",W$5)))</f>
        <v>#NAME?</v>
      </c>
      <c r="X176" s="30" t="e">
        <f ca="1">IF($B176="","",_xll.BDP($A176&amp;" Corp",X$5))</f>
        <v>#NAME?</v>
      </c>
      <c r="Y176" s="33" t="e">
        <f ca="1">IF($B176="","",_xll.BDP($A176&amp;" Corp",Y$5))</f>
        <v>#NAME?</v>
      </c>
      <c r="Z176" s="52" t="e">
        <f ca="1">IF($B176="","",_xll.BDP($A176&amp;" Corp",Z$5))</f>
        <v>#NAME?</v>
      </c>
      <c r="AA176" s="53" t="e">
        <f ca="1">IF($B176="","",_xll.BDP($A176&amp;" Corp",AA$5))</f>
        <v>#NAME?</v>
      </c>
      <c r="AB176" s="54" t="e">
        <f ca="1">IF($B176="","",_xll.BDP($A176&amp;" Corp",AB$5))</f>
        <v>#NAME?</v>
      </c>
      <c r="AC176" s="54" t="e">
        <f ca="1">IF($B176="","",_xll.BDP($A176&amp;" Corp",AC$5))</f>
        <v>#NAME?</v>
      </c>
      <c r="AD176" s="55" t="e">
        <f ca="1">IF($B176="","",_xll.BDP($A176&amp;" Corp",AD$5))</f>
        <v>#NAME?</v>
      </c>
      <c r="AE176" s="56" t="e">
        <f ca="1">IF($B176="","",_xll.BDP($A176&amp;" Corp",AE$5))</f>
        <v>#NAME?</v>
      </c>
      <c r="AF176" s="29" t="e">
        <f ca="1">IF($B176="","",_xll.BDP($A176&amp;" Corp",AF$5))</f>
        <v>#NAME?</v>
      </c>
      <c r="AG176" s="33" t="e">
        <f ca="1">IF($B176="","",_xll.BDP($A176&amp;" Corp",AG$5))</f>
        <v>#NAME?</v>
      </c>
      <c r="AH176" s="30" t="e">
        <f ca="1">IF($B176="","",_xll.BDP($A176&amp;" Corp",AH$5))</f>
        <v>#NAME?</v>
      </c>
      <c r="AI176" s="30" t="e">
        <f ca="1">IF($B176="","",_xll.BDP($A176&amp;" Corp",AI$5))</f>
        <v>#NAME?</v>
      </c>
      <c r="AJ176" s="30" t="e">
        <f ca="1">IF($B176="","",_xll.BDP($A176&amp;" Corp",AJ$5))</f>
        <v>#NAME?</v>
      </c>
      <c r="AK176" s="11" t="e">
        <f ca="1">IF($B176="","",_xll.BDP($A176&amp;" Corp",AK$5))</f>
        <v>#NAME?</v>
      </c>
      <c r="AL176" s="11" t="e">
        <f ca="1">IF($B176="","",_xll.BDP($A176&amp;" Corp",AL$5))</f>
        <v>#NAME?</v>
      </c>
      <c r="AM176" s="11">
        <v>3</v>
      </c>
      <c r="AN176" s="57">
        <v>3</v>
      </c>
    </row>
    <row r="177" spans="1:40" x14ac:dyDescent="0.3">
      <c r="A177" s="67" t="s">
        <v>694</v>
      </c>
      <c r="B177" s="68" t="s">
        <v>694</v>
      </c>
      <c r="C177" s="75">
        <v>10613</v>
      </c>
      <c r="D177" s="75">
        <v>128</v>
      </c>
      <c r="E177" s="75">
        <v>500000</v>
      </c>
      <c r="F177" s="69">
        <v>0.40949624000000001</v>
      </c>
      <c r="G177" s="70">
        <v>499180</v>
      </c>
      <c r="H177" s="67">
        <v>500000</v>
      </c>
      <c r="I177" s="67">
        <v>0.40949624000000001</v>
      </c>
      <c r="J177" s="67">
        <v>499180</v>
      </c>
      <c r="K177" s="71">
        <v>99.835999999999999</v>
      </c>
      <c r="L177" s="29" t="e">
        <f ca="1">IF(B177="","",_xll.BDP(A177&amp;" Corp","INTERVAL_HIGH","START_DATE_OVERRIDE",TEXT($L$3,"AAAAMMDD"),"END_DATE_OVERRIDE",TEXT($L$4,"AAAAMMDD"),"MARKET_DATA_OVERRIDE",$L$5))</f>
        <v>#NAME?</v>
      </c>
      <c r="M177" s="30" t="e">
        <f ca="1">IF(B177="","",_xll.BDP($A177&amp;" Corp","INTERVAL_LOW","START_DATE_OVERRIDE",TEXT($L$3,"AAAAMMDD"),"END_DATE_OVERRIDE",TEXT($L$4,"AAAAMMDD"),"MARKET_DATA_OVERRIDE",$L$5))</f>
        <v>#NAME?</v>
      </c>
      <c r="N177" s="31" t="s">
        <v>939</v>
      </c>
      <c r="O177" s="32" t="e">
        <f ca="1">IF($B177="","",_xll.BDP($A177&amp;" Corp",O$6))</f>
        <v>#NAME?</v>
      </c>
      <c r="P177" s="32" t="e">
        <f ca="1">IF($B177="","",_xll.BDP($A177&amp;" Corp",P$6))</f>
        <v>#NAME?</v>
      </c>
      <c r="Q177" s="30" t="e">
        <f ca="1">IF($B177="","",_xll.BDP($A177&amp;" Corp",Q$5))</f>
        <v>#NAME?</v>
      </c>
      <c r="R177" s="30" t="e">
        <f ca="1">IF($B177="","",_xll.BDP($A177&amp;" Corp",R$5))</f>
        <v>#NAME?</v>
      </c>
      <c r="S177" s="50" t="e">
        <f ca="1">IF($B177="","",_xll.BDP($A177&amp;" Corp",S$5))</f>
        <v>#NAME?</v>
      </c>
      <c r="T177" s="30" t="e">
        <f ca="1">IF($B177="","",_xll.BDP($A177&amp;" Corp",T$5))</f>
        <v>#NAME?</v>
      </c>
      <c r="U177" s="30" t="e">
        <f ca="1">IF($B177="","",_xll.BDP($A177&amp;" Corp",U$5))</f>
        <v>#NAME?</v>
      </c>
      <c r="V177" s="51" t="e">
        <f ca="1">IF($B177="","",IF($T177="VARIABLE",_xll.BDP($A177&amp;" Corp",V$4),_xll.BDP($A177&amp;" Corp",V$5)))</f>
        <v>#NAME?</v>
      </c>
      <c r="W177" s="30" t="e">
        <f ca="1">IF($B177="","",IF($T177="VARIABLE",_xll.BDP($A177&amp;" Corp",W$4),_xll.BDP($A177&amp;" Corp",W$5)))</f>
        <v>#NAME?</v>
      </c>
      <c r="X177" s="30" t="e">
        <f ca="1">IF($B177="","",_xll.BDP($A177&amp;" Corp",X$5))</f>
        <v>#NAME?</v>
      </c>
      <c r="Y177" s="33" t="e">
        <f ca="1">IF($B177="","",_xll.BDP($A177&amp;" Corp",Y$5))</f>
        <v>#NAME?</v>
      </c>
      <c r="Z177" s="52" t="e">
        <f ca="1">IF($B177="","",_xll.BDP($A177&amp;" Corp",Z$5))</f>
        <v>#NAME?</v>
      </c>
      <c r="AA177" s="53" t="e">
        <f ca="1">IF($B177="","",_xll.BDP($A177&amp;" Corp",AA$5))</f>
        <v>#NAME?</v>
      </c>
      <c r="AB177" s="54" t="e">
        <f ca="1">IF($B177="","",_xll.BDP($A177&amp;" Corp",AB$5))</f>
        <v>#NAME?</v>
      </c>
      <c r="AC177" s="54" t="e">
        <f ca="1">IF($B177="","",_xll.BDP($A177&amp;" Corp",AC$5))</f>
        <v>#NAME?</v>
      </c>
      <c r="AD177" s="55" t="e">
        <f ca="1">IF($B177="","",_xll.BDP($A177&amp;" Corp",AD$5))</f>
        <v>#NAME?</v>
      </c>
      <c r="AE177" s="56" t="e">
        <f ca="1">IF($B177="","",_xll.BDP($A177&amp;" Corp",AE$5))</f>
        <v>#NAME?</v>
      </c>
      <c r="AF177" s="29" t="e">
        <f ca="1">IF($B177="","",_xll.BDP($A177&amp;" Corp",AF$5))</f>
        <v>#NAME?</v>
      </c>
      <c r="AG177" s="33" t="e">
        <f ca="1">IF($B177="","",_xll.BDP($A177&amp;" Corp",AG$5))</f>
        <v>#NAME?</v>
      </c>
      <c r="AH177" s="30" t="e">
        <f ca="1">IF($B177="","",_xll.BDP($A177&amp;" Corp",AH$5))</f>
        <v>#NAME?</v>
      </c>
      <c r="AI177" s="30" t="e">
        <f ca="1">IF($B177="","",_xll.BDP($A177&amp;" Corp",AI$5))</f>
        <v>#NAME?</v>
      </c>
      <c r="AJ177" s="30" t="e">
        <f ca="1">IF($B177="","",_xll.BDP($A177&amp;" Corp",AJ$5))</f>
        <v>#NAME?</v>
      </c>
      <c r="AK177" s="11" t="e">
        <f ca="1">IF($B177="","",_xll.BDP($A177&amp;" Corp",AK$5))</f>
        <v>#NAME?</v>
      </c>
      <c r="AL177" s="11" t="e">
        <f ca="1">IF($B177="","",_xll.BDP($A177&amp;" Corp",AL$5))</f>
        <v>#NAME?</v>
      </c>
      <c r="AM177" s="11">
        <v>5</v>
      </c>
      <c r="AN177" s="57">
        <v>5</v>
      </c>
    </row>
    <row r="178" spans="1:40" x14ac:dyDescent="0.3">
      <c r="A178" s="67" t="s">
        <v>696</v>
      </c>
      <c r="B178" s="68" t="s">
        <v>696</v>
      </c>
      <c r="C178" s="75">
        <v>10620</v>
      </c>
      <c r="D178" s="75">
        <v>128</v>
      </c>
      <c r="E178" s="75">
        <v>1200000</v>
      </c>
      <c r="F178" s="69">
        <v>0.97574908000000005</v>
      </c>
      <c r="G178" s="70">
        <v>1193916</v>
      </c>
      <c r="H178" s="67">
        <v>1200000</v>
      </c>
      <c r="I178" s="67">
        <v>0.97574908000000005</v>
      </c>
      <c r="J178" s="67">
        <v>1193916</v>
      </c>
      <c r="K178" s="71">
        <v>99.492999999999995</v>
      </c>
      <c r="L178" s="29" t="e">
        <f ca="1">IF(B178="","",_xll.BDP(A178&amp;" Corp","INTERVAL_HIGH","START_DATE_OVERRIDE",TEXT($L$3,"AAAAMMDD"),"END_DATE_OVERRIDE",TEXT($L$4,"AAAAMMDD"),"MARKET_DATA_OVERRIDE",$L$5))</f>
        <v>#NAME?</v>
      </c>
      <c r="M178" s="30" t="e">
        <f ca="1">IF(B178="","",_xll.BDP($A178&amp;" Corp","INTERVAL_LOW","START_DATE_OVERRIDE",TEXT($L$3,"AAAAMMDD"),"END_DATE_OVERRIDE",TEXT($L$4,"AAAAMMDD"),"MARKET_DATA_OVERRIDE",$L$5))</f>
        <v>#NAME?</v>
      </c>
      <c r="N178" s="31" t="s">
        <v>940</v>
      </c>
      <c r="O178" s="32" t="e">
        <f ca="1">IF($B178="","",_xll.BDP($A178&amp;" Corp",O$6))</f>
        <v>#NAME?</v>
      </c>
      <c r="P178" s="32" t="e">
        <f ca="1">IF($B178="","",_xll.BDP($A178&amp;" Corp",P$6))</f>
        <v>#NAME?</v>
      </c>
      <c r="Q178" s="30" t="e">
        <f ca="1">IF($B178="","",_xll.BDP($A178&amp;" Corp",Q$5))</f>
        <v>#NAME?</v>
      </c>
      <c r="R178" s="30" t="e">
        <f ca="1">IF($B178="","",_xll.BDP($A178&amp;" Corp",R$5))</f>
        <v>#NAME?</v>
      </c>
      <c r="S178" s="50" t="e">
        <f ca="1">IF($B178="","",_xll.BDP($A178&amp;" Corp",S$5))</f>
        <v>#NAME?</v>
      </c>
      <c r="T178" s="30" t="e">
        <f ca="1">IF($B178="","",_xll.BDP($A178&amp;" Corp",T$5))</f>
        <v>#NAME?</v>
      </c>
      <c r="U178" s="30" t="e">
        <f ca="1">IF($B178="","",_xll.BDP($A178&amp;" Corp",U$5))</f>
        <v>#NAME?</v>
      </c>
      <c r="V178" s="51" t="e">
        <f ca="1">IF($B178="","",IF($T178="VARIABLE",_xll.BDP($A178&amp;" Corp",V$4),_xll.BDP($A178&amp;" Corp",V$5)))</f>
        <v>#NAME?</v>
      </c>
      <c r="W178" s="30" t="e">
        <f ca="1">IF($B178="","",IF($T178="VARIABLE",_xll.BDP($A178&amp;" Corp",W$4),_xll.BDP($A178&amp;" Corp",W$5)))</f>
        <v>#NAME?</v>
      </c>
      <c r="X178" s="30" t="e">
        <f ca="1">IF($B178="","",_xll.BDP($A178&amp;" Corp",X$5))</f>
        <v>#NAME?</v>
      </c>
      <c r="Y178" s="33" t="e">
        <f ca="1">IF($B178="","",_xll.BDP($A178&amp;" Corp",Y$5))</f>
        <v>#NAME?</v>
      </c>
      <c r="Z178" s="52" t="e">
        <f ca="1">IF($B178="","",_xll.BDP($A178&amp;" Corp",Z$5))</f>
        <v>#NAME?</v>
      </c>
      <c r="AA178" s="53" t="e">
        <f ca="1">IF($B178="","",_xll.BDP($A178&amp;" Corp",AA$5))</f>
        <v>#NAME?</v>
      </c>
      <c r="AB178" s="54" t="e">
        <f ca="1">IF($B178="","",_xll.BDP($A178&amp;" Corp",AB$5))</f>
        <v>#NAME?</v>
      </c>
      <c r="AC178" s="54" t="e">
        <f ca="1">IF($B178="","",_xll.BDP($A178&amp;" Corp",AC$5))</f>
        <v>#NAME?</v>
      </c>
      <c r="AD178" s="55" t="e">
        <f ca="1">IF($B178="","",_xll.BDP($A178&amp;" Corp",AD$5))</f>
        <v>#NAME?</v>
      </c>
      <c r="AE178" s="56" t="e">
        <f ca="1">IF($B178="","",_xll.BDP($A178&amp;" Corp",AE$5))</f>
        <v>#NAME?</v>
      </c>
      <c r="AF178" s="29" t="e">
        <f ca="1">IF($B178="","",_xll.BDP($A178&amp;" Corp",AF$5))</f>
        <v>#NAME?</v>
      </c>
      <c r="AG178" s="33" t="e">
        <f ca="1">IF($B178="","",_xll.BDP($A178&amp;" Corp",AG$5))</f>
        <v>#NAME?</v>
      </c>
      <c r="AH178" s="30" t="e">
        <f ca="1">IF($B178="","",_xll.BDP($A178&amp;" Corp",AH$5))</f>
        <v>#NAME?</v>
      </c>
      <c r="AI178" s="30" t="e">
        <f ca="1">IF($B178="","",_xll.BDP($A178&amp;" Corp",AI$5))</f>
        <v>#NAME?</v>
      </c>
      <c r="AJ178" s="30" t="e">
        <f ca="1">IF($B178="","",_xll.BDP($A178&amp;" Corp",AJ$5))</f>
        <v>#NAME?</v>
      </c>
      <c r="AK178" s="11" t="e">
        <f ca="1">IF($B178="","",_xll.BDP($A178&amp;" Corp",AK$5))</f>
        <v>#NAME?</v>
      </c>
      <c r="AL178" s="11" t="e">
        <f ca="1">IF($B178="","",_xll.BDP($A178&amp;" Corp",AL$5))</f>
        <v>#NAME?</v>
      </c>
      <c r="AM178" s="11">
        <v>3</v>
      </c>
      <c r="AN178" s="57">
        <v>3</v>
      </c>
    </row>
    <row r="179" spans="1:40" x14ac:dyDescent="0.3">
      <c r="A179" s="67" t="s">
        <v>698</v>
      </c>
      <c r="B179" s="68" t="s">
        <v>698</v>
      </c>
      <c r="C179" s="75">
        <v>9971</v>
      </c>
      <c r="D179" s="75">
        <v>128</v>
      </c>
      <c r="E179" s="75">
        <v>1000000</v>
      </c>
      <c r="F179" s="69">
        <v>0.69253580999999997</v>
      </c>
      <c r="G179" s="70">
        <v>868380</v>
      </c>
      <c r="H179" s="67">
        <v>1000000</v>
      </c>
      <c r="I179" s="67">
        <v>0.69253580999999997</v>
      </c>
      <c r="J179" s="67">
        <v>868380</v>
      </c>
      <c r="K179" s="71">
        <v>86.837999999999994</v>
      </c>
      <c r="L179" s="29" t="e">
        <f ca="1">IF(B179="","",_xll.BDP(A179&amp;" Corp","INTERVAL_HIGH","START_DATE_OVERRIDE",TEXT($L$3,"AAAAMMDD"),"END_DATE_OVERRIDE",TEXT($L$4,"AAAAMMDD"),"MARKET_DATA_OVERRIDE",$L$5))</f>
        <v>#NAME?</v>
      </c>
      <c r="M179" s="30" t="e">
        <f ca="1">IF(B179="","",_xll.BDP($A179&amp;" Corp","INTERVAL_LOW","START_DATE_OVERRIDE",TEXT($L$3,"AAAAMMDD"),"END_DATE_OVERRIDE",TEXT($L$4,"AAAAMMDD"),"MARKET_DATA_OVERRIDE",$L$5))</f>
        <v>#NAME?</v>
      </c>
      <c r="N179" s="31" t="s">
        <v>941</v>
      </c>
      <c r="O179" s="32" t="e">
        <f ca="1">IF($B179="","",_xll.BDP($A179&amp;" Corp",O$6))</f>
        <v>#NAME?</v>
      </c>
      <c r="P179" s="32" t="e">
        <f ca="1">IF($B179="","",_xll.BDP($A179&amp;" Corp",P$6))</f>
        <v>#NAME?</v>
      </c>
      <c r="Q179" s="30" t="e">
        <f ca="1">IF($B179="","",_xll.BDP($A179&amp;" Corp",Q$5))</f>
        <v>#NAME?</v>
      </c>
      <c r="R179" s="30" t="e">
        <f ca="1">IF($B179="","",_xll.BDP($A179&amp;" Corp",R$5))</f>
        <v>#NAME?</v>
      </c>
      <c r="S179" s="50" t="e">
        <f ca="1">IF($B179="","",_xll.BDP($A179&amp;" Corp",S$5))</f>
        <v>#NAME?</v>
      </c>
      <c r="T179" s="30" t="e">
        <f ca="1">IF($B179="","",_xll.BDP($A179&amp;" Corp",T$5))</f>
        <v>#NAME?</v>
      </c>
      <c r="U179" s="30" t="e">
        <f ca="1">IF($B179="","",_xll.BDP($A179&amp;" Corp",U$5))</f>
        <v>#NAME?</v>
      </c>
      <c r="V179" s="51" t="e">
        <f ca="1">IF($B179="","",IF($T179="VARIABLE",_xll.BDP($A179&amp;" Corp",V$4),_xll.BDP($A179&amp;" Corp",V$5)))</f>
        <v>#NAME?</v>
      </c>
      <c r="W179" s="30" t="e">
        <f ca="1">IF($B179="","",IF($T179="VARIABLE",_xll.BDP($A179&amp;" Corp",W$4),_xll.BDP($A179&amp;" Corp",W$5)))</f>
        <v>#NAME?</v>
      </c>
      <c r="X179" s="30" t="e">
        <f ca="1">IF($B179="","",_xll.BDP($A179&amp;" Corp",X$5))</f>
        <v>#NAME?</v>
      </c>
      <c r="Y179" s="33" t="e">
        <f ca="1">IF($B179="","",_xll.BDP($A179&amp;" Corp",Y$5))</f>
        <v>#NAME?</v>
      </c>
      <c r="Z179" s="52" t="e">
        <f ca="1">IF($B179="","",_xll.BDP($A179&amp;" Corp",Z$5))</f>
        <v>#NAME?</v>
      </c>
      <c r="AA179" s="53" t="e">
        <f ca="1">IF($B179="","",_xll.BDP($A179&amp;" Corp",AA$5))</f>
        <v>#NAME?</v>
      </c>
      <c r="AB179" s="54" t="e">
        <f ca="1">IF($B179="","",_xll.BDP($A179&amp;" Corp",AB$5))</f>
        <v>#NAME?</v>
      </c>
      <c r="AC179" s="54" t="e">
        <f ca="1">IF($B179="","",_xll.BDP($A179&amp;" Corp",AC$5))</f>
        <v>#NAME?</v>
      </c>
      <c r="AD179" s="55" t="e">
        <f ca="1">IF($B179="","",_xll.BDP($A179&amp;" Corp",AD$5))</f>
        <v>#NAME?</v>
      </c>
      <c r="AE179" s="56" t="e">
        <f ca="1">IF($B179="","",_xll.BDP($A179&amp;" Corp",AE$5))</f>
        <v>#NAME?</v>
      </c>
      <c r="AF179" s="29" t="e">
        <f ca="1">IF($B179="","",_xll.BDP($A179&amp;" Corp",AF$5))</f>
        <v>#NAME?</v>
      </c>
      <c r="AG179" s="33" t="e">
        <f ca="1">IF($B179="","",_xll.BDP($A179&amp;" Corp",AG$5))</f>
        <v>#NAME?</v>
      </c>
      <c r="AH179" s="30" t="e">
        <f ca="1">IF($B179="","",_xll.BDP($A179&amp;" Corp",AH$5))</f>
        <v>#NAME?</v>
      </c>
      <c r="AI179" s="30" t="e">
        <f ca="1">IF($B179="","",_xll.BDP($A179&amp;" Corp",AI$5))</f>
        <v>#NAME?</v>
      </c>
      <c r="AJ179" s="30" t="e">
        <f ca="1">IF($B179="","",_xll.BDP($A179&amp;" Corp",AJ$5))</f>
        <v>#NAME?</v>
      </c>
      <c r="AK179" s="11" t="e">
        <f ca="1">IF($B179="","",_xll.BDP($A179&amp;" Corp",AK$5))</f>
        <v>#NAME?</v>
      </c>
      <c r="AL179" s="11" t="e">
        <f ca="1">IF($B179="","",_xll.BDP($A179&amp;" Corp",AL$5))</f>
        <v>#NAME?</v>
      </c>
      <c r="AM179" s="11">
        <v>6</v>
      </c>
      <c r="AN179" s="57">
        <v>6</v>
      </c>
    </row>
    <row r="180" spans="1:40" x14ac:dyDescent="0.3">
      <c r="A180" s="67" t="s">
        <v>700</v>
      </c>
      <c r="B180" s="68" t="s">
        <v>700</v>
      </c>
      <c r="C180" s="75">
        <v>10668</v>
      </c>
      <c r="D180" s="75">
        <v>128</v>
      </c>
      <c r="E180" s="75">
        <v>600000</v>
      </c>
      <c r="F180" s="69">
        <v>0.48638114999999998</v>
      </c>
      <c r="G180" s="70">
        <v>600408</v>
      </c>
      <c r="H180" s="67">
        <v>600000</v>
      </c>
      <c r="I180" s="67">
        <v>0.48638114999999998</v>
      </c>
      <c r="J180" s="67">
        <v>600408</v>
      </c>
      <c r="K180" s="71">
        <v>100.068</v>
      </c>
      <c r="L180" s="29" t="e">
        <f ca="1">IF(B180="","",_xll.BDP(A180&amp;" Corp","INTERVAL_HIGH","START_DATE_OVERRIDE",TEXT($L$3,"AAAAMMDD"),"END_DATE_OVERRIDE",TEXT($L$4,"AAAAMMDD"),"MARKET_DATA_OVERRIDE",$L$5))</f>
        <v>#NAME?</v>
      </c>
      <c r="M180" s="30" t="e">
        <f ca="1">IF(B180="","",_xll.BDP($A180&amp;" Corp","INTERVAL_LOW","START_DATE_OVERRIDE",TEXT($L$3,"AAAAMMDD"),"END_DATE_OVERRIDE",TEXT($L$4,"AAAAMMDD"),"MARKET_DATA_OVERRIDE",$L$5))</f>
        <v>#NAME?</v>
      </c>
      <c r="N180" s="31" t="s">
        <v>942</v>
      </c>
      <c r="O180" s="32" t="e">
        <f ca="1">IF($B180="","",_xll.BDP($A180&amp;" Corp",O$6))</f>
        <v>#NAME?</v>
      </c>
      <c r="P180" s="32" t="e">
        <f ca="1">IF($B180="","",_xll.BDP($A180&amp;" Corp",P$6))</f>
        <v>#NAME?</v>
      </c>
      <c r="Q180" s="30" t="e">
        <f ca="1">IF($B180="","",_xll.BDP($A180&amp;" Corp",Q$5))</f>
        <v>#NAME?</v>
      </c>
      <c r="R180" s="30" t="e">
        <f ca="1">IF($B180="","",_xll.BDP($A180&amp;" Corp",R$5))</f>
        <v>#NAME?</v>
      </c>
      <c r="S180" s="50" t="e">
        <f ca="1">IF($B180="","",_xll.BDP($A180&amp;" Corp",S$5))</f>
        <v>#NAME?</v>
      </c>
      <c r="T180" s="30" t="e">
        <f ca="1">IF($B180="","",_xll.BDP($A180&amp;" Corp",T$5))</f>
        <v>#NAME?</v>
      </c>
      <c r="U180" s="30" t="e">
        <f ca="1">IF($B180="","",_xll.BDP($A180&amp;" Corp",U$5))</f>
        <v>#NAME?</v>
      </c>
      <c r="V180" s="51" t="e">
        <f ca="1">IF($B180="","",IF($T180="VARIABLE",_xll.BDP($A180&amp;" Corp",V$4),_xll.BDP($A180&amp;" Corp",V$5)))</f>
        <v>#NAME?</v>
      </c>
      <c r="W180" s="30" t="e">
        <f ca="1">IF($B180="","",IF($T180="VARIABLE",_xll.BDP($A180&amp;" Corp",W$4),_xll.BDP($A180&amp;" Corp",W$5)))</f>
        <v>#NAME?</v>
      </c>
      <c r="X180" s="30" t="e">
        <f ca="1">IF($B180="","",_xll.BDP($A180&amp;" Corp",X$5))</f>
        <v>#NAME?</v>
      </c>
      <c r="Y180" s="33" t="e">
        <f ca="1">IF($B180="","",_xll.BDP($A180&amp;" Corp",Y$5))</f>
        <v>#NAME?</v>
      </c>
      <c r="Z180" s="52" t="e">
        <f ca="1">IF($B180="","",_xll.BDP($A180&amp;" Corp",Z$5))</f>
        <v>#NAME?</v>
      </c>
      <c r="AA180" s="53" t="e">
        <f ca="1">IF($B180="","",_xll.BDP($A180&amp;" Corp",AA$5))</f>
        <v>#NAME?</v>
      </c>
      <c r="AB180" s="54" t="e">
        <f ca="1">IF($B180="","",_xll.BDP($A180&amp;" Corp",AB$5))</f>
        <v>#NAME?</v>
      </c>
      <c r="AC180" s="54" t="e">
        <f ca="1">IF($B180="","",_xll.BDP($A180&amp;" Corp",AC$5))</f>
        <v>#NAME?</v>
      </c>
      <c r="AD180" s="55" t="e">
        <f ca="1">IF($B180="","",_xll.BDP($A180&amp;" Corp",AD$5))</f>
        <v>#NAME?</v>
      </c>
      <c r="AE180" s="56" t="e">
        <f ca="1">IF($B180="","",_xll.BDP($A180&amp;" Corp",AE$5))</f>
        <v>#NAME?</v>
      </c>
      <c r="AF180" s="29" t="e">
        <f ca="1">IF($B180="","",_xll.BDP($A180&amp;" Corp",AF$5))</f>
        <v>#NAME?</v>
      </c>
      <c r="AG180" s="33" t="e">
        <f ca="1">IF($B180="","",_xll.BDP($A180&amp;" Corp",AG$5))</f>
        <v>#NAME?</v>
      </c>
      <c r="AH180" s="30" t="e">
        <f ca="1">IF($B180="","",_xll.BDP($A180&amp;" Corp",AH$5))</f>
        <v>#NAME?</v>
      </c>
      <c r="AI180" s="30" t="e">
        <f ca="1">IF($B180="","",_xll.BDP($A180&amp;" Corp",AI$5))</f>
        <v>#NAME?</v>
      </c>
      <c r="AJ180" s="30" t="e">
        <f ca="1">IF($B180="","",_xll.BDP($A180&amp;" Corp",AJ$5))</f>
        <v>#NAME?</v>
      </c>
      <c r="AK180" s="11" t="e">
        <f ca="1">IF($B180="","",_xll.BDP($A180&amp;" Corp",AK$5))</f>
        <v>#NAME?</v>
      </c>
      <c r="AL180" s="11" t="e">
        <f ca="1">IF($B180="","",_xll.BDP($A180&amp;" Corp",AL$5))</f>
        <v>#NAME?</v>
      </c>
      <c r="AM180" s="11">
        <v>5</v>
      </c>
      <c r="AN180" s="57">
        <v>5</v>
      </c>
    </row>
    <row r="181" spans="1:40" x14ac:dyDescent="0.3">
      <c r="A181" s="67" t="s">
        <v>702</v>
      </c>
      <c r="B181" s="68" t="s">
        <v>702</v>
      </c>
      <c r="C181" s="75">
        <v>7525</v>
      </c>
      <c r="D181" s="75">
        <v>128</v>
      </c>
      <c r="E181" s="75">
        <v>300000</v>
      </c>
      <c r="F181" s="69">
        <v>0.24214933999999999</v>
      </c>
      <c r="G181" s="70">
        <v>294750</v>
      </c>
      <c r="H181" s="67">
        <v>300000</v>
      </c>
      <c r="I181" s="67">
        <v>0.24214933999999999</v>
      </c>
      <c r="J181" s="67">
        <v>294750</v>
      </c>
      <c r="K181" s="71">
        <v>98.25</v>
      </c>
      <c r="L181" s="29" t="e">
        <f ca="1">IF(B181="","",_xll.BDP(A181&amp;" Corp","INTERVAL_HIGH","START_DATE_OVERRIDE",TEXT($L$3,"AAAAMMDD"),"END_DATE_OVERRIDE",TEXT($L$4,"AAAAMMDD"),"MARKET_DATA_OVERRIDE",$L$5))</f>
        <v>#NAME?</v>
      </c>
      <c r="M181" s="30" t="e">
        <f ca="1">IF(B181="","",_xll.BDP($A181&amp;" Corp","INTERVAL_LOW","START_DATE_OVERRIDE",TEXT($L$3,"AAAAMMDD"),"END_DATE_OVERRIDE",TEXT($L$4,"AAAAMMDD"),"MARKET_DATA_OVERRIDE",$L$5))</f>
        <v>#NAME?</v>
      </c>
      <c r="N181" s="31" t="s">
        <v>943</v>
      </c>
      <c r="O181" s="32" t="e">
        <f ca="1">IF($B181="","",_xll.BDP($A181&amp;" Corp",O$6))</f>
        <v>#NAME?</v>
      </c>
      <c r="P181" s="32" t="e">
        <f ca="1">IF($B181="","",_xll.BDP($A181&amp;" Corp",P$6))</f>
        <v>#NAME?</v>
      </c>
      <c r="Q181" s="30" t="e">
        <f ca="1">IF($B181="","",_xll.BDP($A181&amp;" Corp",Q$5))</f>
        <v>#NAME?</v>
      </c>
      <c r="R181" s="30" t="e">
        <f ca="1">IF($B181="","",_xll.BDP($A181&amp;" Corp",R$5))</f>
        <v>#NAME?</v>
      </c>
      <c r="S181" s="50" t="e">
        <f ca="1">IF($B181="","",_xll.BDP($A181&amp;" Corp",S$5))</f>
        <v>#NAME?</v>
      </c>
      <c r="T181" s="30" t="e">
        <f ca="1">IF($B181="","",_xll.BDP($A181&amp;" Corp",T$5))</f>
        <v>#NAME?</v>
      </c>
      <c r="U181" s="30" t="e">
        <f ca="1">IF($B181="","",_xll.BDP($A181&amp;" Corp",U$5))</f>
        <v>#NAME?</v>
      </c>
      <c r="V181" s="51" t="e">
        <f ca="1">IF($B181="","",IF($T181="VARIABLE",_xll.BDP($A181&amp;" Corp",V$4),_xll.BDP($A181&amp;" Corp",V$5)))</f>
        <v>#NAME?</v>
      </c>
      <c r="W181" s="30" t="e">
        <f ca="1">IF($B181="","",IF($T181="VARIABLE",_xll.BDP($A181&amp;" Corp",W$4),_xll.BDP($A181&amp;" Corp",W$5)))</f>
        <v>#NAME?</v>
      </c>
      <c r="X181" s="30" t="e">
        <f ca="1">IF($B181="","",_xll.BDP($A181&amp;" Corp",X$5))</f>
        <v>#NAME?</v>
      </c>
      <c r="Y181" s="33" t="e">
        <f ca="1">IF($B181="","",_xll.BDP($A181&amp;" Corp",Y$5))</f>
        <v>#NAME?</v>
      </c>
      <c r="Z181" s="52" t="e">
        <f ca="1">IF($B181="","",_xll.BDP($A181&amp;" Corp",Z$5))</f>
        <v>#NAME?</v>
      </c>
      <c r="AA181" s="53" t="e">
        <f ca="1">IF($B181="","",_xll.BDP($A181&amp;" Corp",AA$5))</f>
        <v>#NAME?</v>
      </c>
      <c r="AB181" s="54" t="e">
        <f ca="1">IF($B181="","",_xll.BDP($A181&amp;" Corp",AB$5))</f>
        <v>#NAME?</v>
      </c>
      <c r="AC181" s="54" t="e">
        <f ca="1">IF($B181="","",_xll.BDP($A181&amp;" Corp",AC$5))</f>
        <v>#NAME?</v>
      </c>
      <c r="AD181" s="55" t="e">
        <f ca="1">IF($B181="","",_xll.BDP($A181&amp;" Corp",AD$5))</f>
        <v>#NAME?</v>
      </c>
      <c r="AE181" s="56" t="e">
        <f ca="1">IF($B181="","",_xll.BDP($A181&amp;" Corp",AE$5))</f>
        <v>#NAME?</v>
      </c>
      <c r="AF181" s="29" t="e">
        <f ca="1">IF($B181="","",_xll.BDP($A181&amp;" Corp",AF$5))</f>
        <v>#NAME?</v>
      </c>
      <c r="AG181" s="33" t="e">
        <f ca="1">IF($B181="","",_xll.BDP($A181&amp;" Corp",AG$5))</f>
        <v>#NAME?</v>
      </c>
      <c r="AH181" s="30" t="e">
        <f ca="1">IF($B181="","",_xll.BDP($A181&amp;" Corp",AH$5))</f>
        <v>#NAME?</v>
      </c>
      <c r="AI181" s="30" t="e">
        <f ca="1">IF($B181="","",_xll.BDP($A181&amp;" Corp",AI$5))</f>
        <v>#NAME?</v>
      </c>
      <c r="AJ181" s="30" t="e">
        <f ca="1">IF($B181="","",_xll.BDP($A181&amp;" Corp",AJ$5))</f>
        <v>#NAME?</v>
      </c>
      <c r="AK181" s="11" t="e">
        <f ca="1">IF($B181="","",_xll.BDP($A181&amp;" Corp",AK$5))</f>
        <v>#NAME?</v>
      </c>
      <c r="AL181" s="11" t="e">
        <f ca="1">IF($B181="","",_xll.BDP($A181&amp;" Corp",AL$5))</f>
        <v>#NAME?</v>
      </c>
      <c r="AM181" s="11">
        <v>1</v>
      </c>
      <c r="AN181" s="57">
        <v>0.5</v>
      </c>
    </row>
    <row r="182" spans="1:40" x14ac:dyDescent="0.3">
      <c r="A182" s="67" t="s">
        <v>704</v>
      </c>
      <c r="B182" s="68" t="s">
        <v>704</v>
      </c>
      <c r="C182" s="75">
        <v>10666</v>
      </c>
      <c r="D182" s="75">
        <v>128</v>
      </c>
      <c r="E182" s="75">
        <v>1000000</v>
      </c>
      <c r="F182" s="69">
        <v>0.79052984000000004</v>
      </c>
      <c r="G182" s="70">
        <v>969170</v>
      </c>
      <c r="H182" s="67">
        <v>1000000</v>
      </c>
      <c r="I182" s="67">
        <v>0.79052984000000004</v>
      </c>
      <c r="J182" s="67">
        <v>969170</v>
      </c>
      <c r="K182" s="71">
        <v>96.917000000000002</v>
      </c>
      <c r="L182" s="29" t="e">
        <f ca="1">IF(B182="","",_xll.BDP(A182&amp;" Corp","INTERVAL_HIGH","START_DATE_OVERRIDE",TEXT($L$3,"AAAAMMDD"),"END_DATE_OVERRIDE",TEXT($L$4,"AAAAMMDD"),"MARKET_DATA_OVERRIDE",$L$5))</f>
        <v>#NAME?</v>
      </c>
      <c r="M182" s="30" t="e">
        <f ca="1">IF(B182="","",_xll.BDP($A182&amp;" Corp","INTERVAL_LOW","START_DATE_OVERRIDE",TEXT($L$3,"AAAAMMDD"),"END_DATE_OVERRIDE",TEXT($L$4,"AAAAMMDD"),"MARKET_DATA_OVERRIDE",$L$5))</f>
        <v>#NAME?</v>
      </c>
      <c r="N182" s="31" t="s">
        <v>944</v>
      </c>
      <c r="O182" s="32" t="e">
        <f ca="1">IF($B182="","",_xll.BDP($A182&amp;" Corp",O$6))</f>
        <v>#NAME?</v>
      </c>
      <c r="P182" s="32" t="e">
        <f ca="1">IF($B182="","",_xll.BDP($A182&amp;" Corp",P$6))</f>
        <v>#NAME?</v>
      </c>
      <c r="Q182" s="30" t="e">
        <f ca="1">IF($B182="","",_xll.BDP($A182&amp;" Corp",Q$5))</f>
        <v>#NAME?</v>
      </c>
      <c r="R182" s="30" t="e">
        <f ca="1">IF($B182="","",_xll.BDP($A182&amp;" Corp",R$5))</f>
        <v>#NAME?</v>
      </c>
      <c r="S182" s="50" t="e">
        <f ca="1">IF($B182="","",_xll.BDP($A182&amp;" Corp",S$5))</f>
        <v>#NAME?</v>
      </c>
      <c r="T182" s="30" t="e">
        <f ca="1">IF($B182="","",_xll.BDP($A182&amp;" Corp",T$5))</f>
        <v>#NAME?</v>
      </c>
      <c r="U182" s="30" t="e">
        <f ca="1">IF($B182="","",_xll.BDP($A182&amp;" Corp",U$5))</f>
        <v>#NAME?</v>
      </c>
      <c r="V182" s="51" t="e">
        <f ca="1">IF($B182="","",IF($T182="VARIABLE",_xll.BDP($A182&amp;" Corp",V$4),_xll.BDP($A182&amp;" Corp",V$5)))</f>
        <v>#NAME?</v>
      </c>
      <c r="W182" s="30" t="e">
        <f ca="1">IF($B182="","",IF($T182="VARIABLE",_xll.BDP($A182&amp;" Corp",W$4),_xll.BDP($A182&amp;" Corp",W$5)))</f>
        <v>#NAME?</v>
      </c>
      <c r="X182" s="30" t="e">
        <f ca="1">IF($B182="","",_xll.BDP($A182&amp;" Corp",X$5))</f>
        <v>#NAME?</v>
      </c>
      <c r="Y182" s="33" t="e">
        <f ca="1">IF($B182="","",_xll.BDP($A182&amp;" Corp",Y$5))</f>
        <v>#NAME?</v>
      </c>
      <c r="Z182" s="52" t="e">
        <f ca="1">IF($B182="","",_xll.BDP($A182&amp;" Corp",Z$5))</f>
        <v>#NAME?</v>
      </c>
      <c r="AA182" s="53" t="e">
        <f ca="1">IF($B182="","",_xll.BDP($A182&amp;" Corp",AA$5))</f>
        <v>#NAME?</v>
      </c>
      <c r="AB182" s="54" t="e">
        <f ca="1">IF($B182="","",_xll.BDP($A182&amp;" Corp",AB$5))</f>
        <v>#NAME?</v>
      </c>
      <c r="AC182" s="54" t="e">
        <f ca="1">IF($B182="","",_xll.BDP($A182&amp;" Corp",AC$5))</f>
        <v>#NAME?</v>
      </c>
      <c r="AD182" s="55" t="e">
        <f ca="1">IF($B182="","",_xll.BDP($A182&amp;" Corp",AD$5))</f>
        <v>#NAME?</v>
      </c>
      <c r="AE182" s="56" t="e">
        <f ca="1">IF($B182="","",_xll.BDP($A182&amp;" Corp",AE$5))</f>
        <v>#NAME?</v>
      </c>
      <c r="AF182" s="29" t="e">
        <f ca="1">IF($B182="","",_xll.BDP($A182&amp;" Corp",AF$5))</f>
        <v>#NAME?</v>
      </c>
      <c r="AG182" s="33" t="e">
        <f ca="1">IF($B182="","",_xll.BDP($A182&amp;" Corp",AG$5))</f>
        <v>#NAME?</v>
      </c>
      <c r="AH182" s="30" t="e">
        <f ca="1">IF($B182="","",_xll.BDP($A182&amp;" Corp",AH$5))</f>
        <v>#NAME?</v>
      </c>
      <c r="AI182" s="30" t="e">
        <f ca="1">IF($B182="","",_xll.BDP($A182&amp;" Corp",AI$5))</f>
        <v>#NAME?</v>
      </c>
      <c r="AJ182" s="30" t="e">
        <f ca="1">IF($B182="","",_xll.BDP($A182&amp;" Corp",AJ$5))</f>
        <v>#NAME?</v>
      </c>
      <c r="AK182" s="11" t="e">
        <f ca="1">IF($B182="","",_xll.BDP($A182&amp;" Corp",AK$5))</f>
        <v>#NAME?</v>
      </c>
      <c r="AL182" s="11" t="e">
        <f ca="1">IF($B182="","",_xll.BDP($A182&amp;" Corp",AL$5))</f>
        <v>#NAME?</v>
      </c>
      <c r="AM182" s="11">
        <v>1</v>
      </c>
      <c r="AN182" s="57">
        <v>1</v>
      </c>
    </row>
    <row r="183" spans="1:40" x14ac:dyDescent="0.3">
      <c r="A183" s="67" t="s">
        <v>764</v>
      </c>
      <c r="B183" s="68" t="s">
        <v>764</v>
      </c>
      <c r="C183" s="75">
        <v>10488</v>
      </c>
      <c r="D183" s="75">
        <v>128</v>
      </c>
      <c r="E183" s="75">
        <v>1000000</v>
      </c>
      <c r="F183" s="69">
        <v>0.77741779</v>
      </c>
      <c r="G183" s="70">
        <v>944800</v>
      </c>
      <c r="H183" s="67">
        <v>1000000</v>
      </c>
      <c r="I183" s="67">
        <v>0.77741779</v>
      </c>
      <c r="J183" s="67">
        <v>944800</v>
      </c>
      <c r="K183" s="71">
        <v>94.48</v>
      </c>
      <c r="L183" s="29" t="e">
        <f ca="1">IF(B183="","",_xll.BDP(A183&amp;" Corp","INTERVAL_HIGH","START_DATE_OVERRIDE",TEXT($L$3,"AAAAMMDD"),"END_DATE_OVERRIDE",TEXT($L$4,"AAAAMMDD"),"MARKET_DATA_OVERRIDE",$L$5))</f>
        <v>#NAME?</v>
      </c>
      <c r="M183" s="30" t="e">
        <f ca="1">IF(B183="","",_xll.BDP($A183&amp;" Corp","INTERVAL_LOW","START_DATE_OVERRIDE",TEXT($L$3,"AAAAMMDD"),"END_DATE_OVERRIDE",TEXT($L$4,"AAAAMMDD"),"MARKET_DATA_OVERRIDE",$L$5))</f>
        <v>#NAME?</v>
      </c>
      <c r="N183" s="31" t="s">
        <v>945</v>
      </c>
      <c r="O183" s="32" t="e">
        <f ca="1">IF($B183="","",_xll.BDP($A183&amp;" Corp",O$6))</f>
        <v>#NAME?</v>
      </c>
      <c r="P183" s="32" t="e">
        <f ca="1">IF($B183="","",_xll.BDP($A183&amp;" Corp",P$6))</f>
        <v>#NAME?</v>
      </c>
      <c r="Q183" s="30" t="e">
        <f ca="1">IF($B183="","",_xll.BDP($A183&amp;" Corp",Q$5))</f>
        <v>#NAME?</v>
      </c>
      <c r="R183" s="30" t="e">
        <f ca="1">IF($B183="","",_xll.BDP($A183&amp;" Corp",R$5))</f>
        <v>#NAME?</v>
      </c>
      <c r="S183" s="50" t="e">
        <f ca="1">IF($B183="","",_xll.BDP($A183&amp;" Corp",S$5))</f>
        <v>#NAME?</v>
      </c>
      <c r="T183" s="30" t="e">
        <f ca="1">IF($B183="","",_xll.BDP($A183&amp;" Corp",T$5))</f>
        <v>#NAME?</v>
      </c>
      <c r="U183" s="30" t="e">
        <f ca="1">IF($B183="","",_xll.BDP($A183&amp;" Corp",U$5))</f>
        <v>#NAME?</v>
      </c>
      <c r="V183" s="51" t="e">
        <f ca="1">IF($B183="","",IF($T183="VARIABLE",_xll.BDP($A183&amp;" Corp",V$4),_xll.BDP($A183&amp;" Corp",V$5)))</f>
        <v>#NAME?</v>
      </c>
      <c r="W183" s="30" t="e">
        <f ca="1">IF($B183="","",IF($T183="VARIABLE",_xll.BDP($A183&amp;" Corp",W$4),_xll.BDP($A183&amp;" Corp",W$5)))</f>
        <v>#NAME?</v>
      </c>
      <c r="X183" s="30" t="e">
        <f ca="1">IF($B183="","",_xll.BDP($A183&amp;" Corp",X$5))</f>
        <v>#NAME?</v>
      </c>
      <c r="Y183" s="33" t="e">
        <f ca="1">IF($B183="","",_xll.BDP($A183&amp;" Corp",Y$5))</f>
        <v>#NAME?</v>
      </c>
      <c r="Z183" s="52" t="e">
        <f ca="1">IF($B183="","",_xll.BDP($A183&amp;" Corp",Z$5))</f>
        <v>#NAME?</v>
      </c>
      <c r="AA183" s="53" t="e">
        <f ca="1">IF($B183="","",_xll.BDP($A183&amp;" Corp",AA$5))</f>
        <v>#NAME?</v>
      </c>
      <c r="AB183" s="54" t="e">
        <f ca="1">IF($B183="","",_xll.BDP($A183&amp;" Corp",AB$5))</f>
        <v>#NAME?</v>
      </c>
      <c r="AC183" s="54" t="e">
        <f ca="1">IF($B183="","",_xll.BDP($A183&amp;" Corp",AC$5))</f>
        <v>#NAME?</v>
      </c>
      <c r="AD183" s="55" t="e">
        <f ca="1">IF($B183="","",_xll.BDP($A183&amp;" Corp",AD$5))</f>
        <v>#NAME?</v>
      </c>
      <c r="AE183" s="56" t="e">
        <f ca="1">IF($B183="","",_xll.BDP($A183&amp;" Corp",AE$5))</f>
        <v>#NAME?</v>
      </c>
      <c r="AF183" s="29" t="e">
        <f ca="1">IF($B183="","",_xll.BDP($A183&amp;" Corp",AF$5))</f>
        <v>#NAME?</v>
      </c>
      <c r="AG183" s="33" t="e">
        <f ca="1">IF($B183="","",_xll.BDP($A183&amp;" Corp",AG$5))</f>
        <v>#NAME?</v>
      </c>
      <c r="AH183" s="30" t="e">
        <f ca="1">IF($B183="","",_xll.BDP($A183&amp;" Corp",AH$5))</f>
        <v>#NAME?</v>
      </c>
      <c r="AI183" s="30" t="e">
        <f ca="1">IF($B183="","",_xll.BDP($A183&amp;" Corp",AI$5))</f>
        <v>#NAME?</v>
      </c>
      <c r="AJ183" s="30" t="e">
        <f ca="1">IF($B183="","",_xll.BDP($A183&amp;" Corp",AJ$5))</f>
        <v>#NAME?</v>
      </c>
      <c r="AK183" s="11" t="e">
        <f ca="1">IF($B183="","",_xll.BDP($A183&amp;" Corp",AK$5))</f>
        <v>#NAME?</v>
      </c>
      <c r="AL183" s="11" t="e">
        <f ca="1">IF($B183="","",_xll.BDP($A183&amp;" Corp",AL$5))</f>
        <v>#NAME?</v>
      </c>
      <c r="AM183" s="11">
        <v>2</v>
      </c>
      <c r="AN183" s="57">
        <v>2</v>
      </c>
    </row>
    <row r="184" spans="1:40" x14ac:dyDescent="0.3">
      <c r="A184" s="67" t="s">
        <v>766</v>
      </c>
      <c r="B184" s="68" t="s">
        <v>766</v>
      </c>
      <c r="C184" s="75">
        <v>10699</v>
      </c>
      <c r="D184" s="75">
        <v>128</v>
      </c>
      <c r="E184" s="75">
        <v>100000</v>
      </c>
      <c r="F184" s="69">
        <v>7.4287149999999996E-2</v>
      </c>
      <c r="G184" s="70">
        <v>98120.33</v>
      </c>
      <c r="H184" s="67">
        <v>100000</v>
      </c>
      <c r="I184" s="67">
        <v>7.4287149999999996E-2</v>
      </c>
      <c r="J184" s="67">
        <v>98120.33</v>
      </c>
      <c r="K184" s="71">
        <v>98.120329999999996</v>
      </c>
      <c r="L184" s="29" t="e">
        <f ca="1">IF(B184="","",_xll.BDP(A184&amp;" Corp","INTERVAL_HIGH","START_DATE_OVERRIDE",TEXT($L$3,"AAAAMMDD"),"END_DATE_OVERRIDE",TEXT($L$4,"AAAAMMDD"),"MARKET_DATA_OVERRIDE",$L$5))</f>
        <v>#NAME?</v>
      </c>
      <c r="M184" s="30" t="e">
        <f ca="1">IF(B184="","",_xll.BDP($A184&amp;" Corp","INTERVAL_LOW","START_DATE_OVERRIDE",TEXT($L$3,"AAAAMMDD"),"END_DATE_OVERRIDE",TEXT($L$4,"AAAAMMDD"),"MARKET_DATA_OVERRIDE",$L$5))</f>
        <v>#NAME?</v>
      </c>
      <c r="N184" s="31" t="s">
        <v>946</v>
      </c>
      <c r="O184" s="32" t="e">
        <f ca="1">IF($B184="","",_xll.BDP($A184&amp;" Corp",O$6))</f>
        <v>#NAME?</v>
      </c>
      <c r="P184" s="32" t="e">
        <f ca="1">IF($B184="","",_xll.BDP($A184&amp;" Corp",P$6))</f>
        <v>#NAME?</v>
      </c>
      <c r="Q184" s="30" t="e">
        <f ca="1">IF($B184="","",_xll.BDP($A184&amp;" Corp",Q$5))</f>
        <v>#NAME?</v>
      </c>
      <c r="R184" s="30" t="e">
        <f ca="1">IF($B184="","",_xll.BDP($A184&amp;" Corp",R$5))</f>
        <v>#NAME?</v>
      </c>
      <c r="S184" s="50" t="e">
        <f ca="1">IF($B184="","",_xll.BDP($A184&amp;" Corp",S$5))</f>
        <v>#NAME?</v>
      </c>
      <c r="T184" s="30" t="e">
        <f ca="1">IF($B184="","",_xll.BDP($A184&amp;" Corp",T$5))</f>
        <v>#NAME?</v>
      </c>
      <c r="U184" s="30" t="e">
        <f ca="1">IF($B184="","",_xll.BDP($A184&amp;" Corp",U$5))</f>
        <v>#NAME?</v>
      </c>
      <c r="V184" s="51" t="e">
        <f ca="1">IF($B184="","",IF($T184="VARIABLE",_xll.BDP($A184&amp;" Corp",V$4),_xll.BDP($A184&amp;" Corp",V$5)))</f>
        <v>#NAME?</v>
      </c>
      <c r="W184" s="30" t="e">
        <f ca="1">IF($B184="","",IF($T184="VARIABLE",_xll.BDP($A184&amp;" Corp",W$4),_xll.BDP($A184&amp;" Corp",W$5)))</f>
        <v>#NAME?</v>
      </c>
      <c r="X184" s="30" t="e">
        <f ca="1">IF($B184="","",_xll.BDP($A184&amp;" Corp",X$5))</f>
        <v>#NAME?</v>
      </c>
      <c r="Y184" s="33" t="e">
        <f ca="1">IF($B184="","",_xll.BDP($A184&amp;" Corp",Y$5))</f>
        <v>#NAME?</v>
      </c>
      <c r="Z184" s="52" t="e">
        <f ca="1">IF($B184="","",_xll.BDP($A184&amp;" Corp",Z$5))</f>
        <v>#NAME?</v>
      </c>
      <c r="AA184" s="53" t="e">
        <f ca="1">IF($B184="","",_xll.BDP($A184&amp;" Corp",AA$5))</f>
        <v>#NAME?</v>
      </c>
      <c r="AB184" s="54" t="e">
        <f ca="1">IF($B184="","",_xll.BDP($A184&amp;" Corp",AB$5))</f>
        <v>#NAME?</v>
      </c>
      <c r="AC184" s="54" t="e">
        <f ca="1">IF($B184="","",_xll.BDP($A184&amp;" Corp",AC$5))</f>
        <v>#NAME?</v>
      </c>
      <c r="AD184" s="55" t="e">
        <f ca="1">IF($B184="","",_xll.BDP($A184&amp;" Corp",AD$5))</f>
        <v>#NAME?</v>
      </c>
      <c r="AE184" s="56" t="e">
        <f ca="1">IF($B184="","",_xll.BDP($A184&amp;" Corp",AE$5))</f>
        <v>#NAME?</v>
      </c>
      <c r="AF184" s="29" t="e">
        <f ca="1">IF($B184="","",_xll.BDP($A184&amp;" Corp",AF$5))</f>
        <v>#NAME?</v>
      </c>
      <c r="AG184" s="33" t="e">
        <f ca="1">IF($B184="","",_xll.BDP($A184&amp;" Corp",AG$5))</f>
        <v>#NAME?</v>
      </c>
      <c r="AH184" s="30" t="e">
        <f ca="1">IF($B184="","",_xll.BDP($A184&amp;" Corp",AH$5))</f>
        <v>#NAME?</v>
      </c>
      <c r="AI184" s="30" t="e">
        <f ca="1">IF($B184="","",_xll.BDP($A184&amp;" Corp",AI$5))</f>
        <v>#NAME?</v>
      </c>
      <c r="AJ184" s="30" t="e">
        <f ca="1">IF($B184="","",_xll.BDP($A184&amp;" Corp",AJ$5))</f>
        <v>#NAME?</v>
      </c>
      <c r="AK184" s="11" t="e">
        <f ca="1">IF($B184="","",_xll.BDP($A184&amp;" Corp",AK$5))</f>
        <v>#NAME?</v>
      </c>
      <c r="AL184" s="11" t="e">
        <f ca="1">IF($B184="","",_xll.BDP($A184&amp;" Corp",AL$5))</f>
        <v>#NAME?</v>
      </c>
      <c r="AM184" s="11">
        <v>5</v>
      </c>
      <c r="AN184" s="57">
        <v>5</v>
      </c>
    </row>
    <row r="185" spans="1:40" x14ac:dyDescent="0.3">
      <c r="A185" s="67" t="s">
        <v>769</v>
      </c>
      <c r="B185" s="68" t="s">
        <v>769</v>
      </c>
      <c r="C185" s="75">
        <v>10634</v>
      </c>
      <c r="D185" s="75">
        <v>128</v>
      </c>
      <c r="E185" s="75">
        <v>3000000</v>
      </c>
      <c r="F185" s="69">
        <v>2.36540331</v>
      </c>
      <c r="G185" s="70">
        <v>3027870</v>
      </c>
      <c r="H185" s="67">
        <v>3000000</v>
      </c>
      <c r="I185" s="67">
        <v>2.36540331</v>
      </c>
      <c r="J185" s="67">
        <v>3027870</v>
      </c>
      <c r="K185" s="71">
        <v>100.929</v>
      </c>
      <c r="L185" s="29" t="e">
        <f ca="1">IF(B185="","",_xll.BDP(A185&amp;" Corp","INTERVAL_HIGH","START_DATE_OVERRIDE",TEXT($L$3,"AAAAMMDD"),"END_DATE_OVERRIDE",TEXT($L$4,"AAAAMMDD"),"MARKET_DATA_OVERRIDE",$L$5))</f>
        <v>#NAME?</v>
      </c>
      <c r="M185" s="30" t="e">
        <f ca="1">IF(B185="","",_xll.BDP($A185&amp;" Corp","INTERVAL_LOW","START_DATE_OVERRIDE",TEXT($L$3,"AAAAMMDD"),"END_DATE_OVERRIDE",TEXT($L$4,"AAAAMMDD"),"MARKET_DATA_OVERRIDE",$L$5))</f>
        <v>#NAME?</v>
      </c>
      <c r="N185" s="31" t="s">
        <v>947</v>
      </c>
      <c r="O185" s="32" t="e">
        <f ca="1">IF($B185="","",_xll.BDP($A185&amp;" Corp",O$6))</f>
        <v>#NAME?</v>
      </c>
      <c r="P185" s="32" t="e">
        <f ca="1">IF($B185="","",_xll.BDP($A185&amp;" Corp",P$6))</f>
        <v>#NAME?</v>
      </c>
      <c r="Q185" s="30" t="e">
        <f ca="1">IF($B185="","",_xll.BDP($A185&amp;" Corp",Q$5))</f>
        <v>#NAME?</v>
      </c>
      <c r="R185" s="30" t="e">
        <f ca="1">IF($B185="","",_xll.BDP($A185&amp;" Corp",R$5))</f>
        <v>#NAME?</v>
      </c>
      <c r="S185" s="50" t="e">
        <f ca="1">IF($B185="","",_xll.BDP($A185&amp;" Corp",S$5))</f>
        <v>#NAME?</v>
      </c>
      <c r="T185" s="30" t="e">
        <f ca="1">IF($B185="","",_xll.BDP($A185&amp;" Corp",T$5))</f>
        <v>#NAME?</v>
      </c>
      <c r="U185" s="30" t="e">
        <f ca="1">IF($B185="","",_xll.BDP($A185&amp;" Corp",U$5))</f>
        <v>#NAME?</v>
      </c>
      <c r="V185" s="51" t="e">
        <f ca="1">IF($B185="","",IF($T185="VARIABLE",_xll.BDP($A185&amp;" Corp",V$4),_xll.BDP($A185&amp;" Corp",V$5)))</f>
        <v>#NAME?</v>
      </c>
      <c r="W185" s="30" t="e">
        <f ca="1">IF($B185="","",IF($T185="VARIABLE",_xll.BDP($A185&amp;" Corp",W$4),_xll.BDP($A185&amp;" Corp",W$5)))</f>
        <v>#NAME?</v>
      </c>
      <c r="X185" s="30" t="e">
        <f ca="1">IF($B185="","",_xll.BDP($A185&amp;" Corp",X$5))</f>
        <v>#NAME?</v>
      </c>
      <c r="Y185" s="33" t="e">
        <f ca="1">IF($B185="","",_xll.BDP($A185&amp;" Corp",Y$5))</f>
        <v>#NAME?</v>
      </c>
      <c r="Z185" s="52" t="e">
        <f ca="1">IF($B185="","",_xll.BDP($A185&amp;" Corp",Z$5))</f>
        <v>#NAME?</v>
      </c>
      <c r="AA185" s="53" t="e">
        <f ca="1">IF($B185="","",_xll.BDP($A185&amp;" Corp",AA$5))</f>
        <v>#NAME?</v>
      </c>
      <c r="AB185" s="54" t="e">
        <f ca="1">IF($B185="","",_xll.BDP($A185&amp;" Corp",AB$5))</f>
        <v>#NAME?</v>
      </c>
      <c r="AC185" s="54" t="e">
        <f ca="1">IF($B185="","",_xll.BDP($A185&amp;" Corp",AC$5))</f>
        <v>#NAME?</v>
      </c>
      <c r="AD185" s="55" t="e">
        <f ca="1">IF($B185="","",_xll.BDP($A185&amp;" Corp",AD$5))</f>
        <v>#NAME?</v>
      </c>
      <c r="AE185" s="56" t="e">
        <f ca="1">IF($B185="","",_xll.BDP($A185&amp;" Corp",AE$5))</f>
        <v>#NAME?</v>
      </c>
      <c r="AF185" s="29" t="e">
        <f ca="1">IF($B185="","",_xll.BDP($A185&amp;" Corp",AF$5))</f>
        <v>#NAME?</v>
      </c>
      <c r="AG185" s="33" t="e">
        <f ca="1">IF($B185="","",_xll.BDP($A185&amp;" Corp",AG$5))</f>
        <v>#NAME?</v>
      </c>
      <c r="AH185" s="30" t="e">
        <f ca="1">IF($B185="","",_xll.BDP($A185&amp;" Corp",AH$5))</f>
        <v>#NAME?</v>
      </c>
      <c r="AI185" s="30" t="e">
        <f ca="1">IF($B185="","",_xll.BDP($A185&amp;" Corp",AI$5))</f>
        <v>#NAME?</v>
      </c>
      <c r="AJ185" s="30" t="e">
        <f ca="1">IF($B185="","",_xll.BDP($A185&amp;" Corp",AJ$5))</f>
        <v>#NAME?</v>
      </c>
      <c r="AK185" s="11" t="e">
        <f ca="1">IF($B185="","",_xll.BDP($A185&amp;" Corp",AK$5))</f>
        <v>#NAME?</v>
      </c>
      <c r="AL185" s="11" t="e">
        <f ca="1">IF($B185="","",_xll.BDP($A185&amp;" Corp",AL$5))</f>
        <v>#NAME?</v>
      </c>
      <c r="AM185" s="11">
        <v>11</v>
      </c>
      <c r="AN185" s="57">
        <v>10</v>
      </c>
    </row>
    <row r="186" spans="1:40" x14ac:dyDescent="0.3">
      <c r="A186" s="67" t="s">
        <v>771</v>
      </c>
      <c r="B186" s="68" t="s">
        <v>771</v>
      </c>
      <c r="C186" s="75">
        <v>3626</v>
      </c>
      <c r="D186" s="75">
        <v>128</v>
      </c>
      <c r="E186" s="75">
        <v>1781261.13</v>
      </c>
      <c r="F186" s="69">
        <v>1.5545917499999999</v>
      </c>
      <c r="G186" s="70">
        <v>1983476.56</v>
      </c>
      <c r="H186" s="67">
        <v>1781261.13</v>
      </c>
      <c r="I186" s="67">
        <v>1.5545917499999999</v>
      </c>
      <c r="J186" s="67">
        <v>1983476.56</v>
      </c>
      <c r="K186" s="71">
        <v>111.35237425856815</v>
      </c>
      <c r="L186" s="29" t="e">
        <f ca="1">IF(B186="","",_xll.BDP(A186&amp;" Corp","INTERVAL_HIGH","START_DATE_OVERRIDE",TEXT($L$3,"AAAAMMDD"),"END_DATE_OVERRIDE",TEXT($L$4,"AAAAMMDD"),"MARKET_DATA_OVERRIDE",$L$5))</f>
        <v>#NAME?</v>
      </c>
      <c r="M186" s="30" t="e">
        <f ca="1">IF(B186="","",_xll.BDP($A186&amp;" Corp","INTERVAL_LOW","START_DATE_OVERRIDE",TEXT($L$3,"AAAAMMDD"),"END_DATE_OVERRIDE",TEXT($L$4,"AAAAMMDD"),"MARKET_DATA_OVERRIDE",$L$5))</f>
        <v>#NAME?</v>
      </c>
      <c r="N186" s="31" t="s">
        <v>948</v>
      </c>
      <c r="O186" s="32" t="e">
        <f ca="1">IF($B186="","",_xll.BDP($A186&amp;" Corp",O$6))</f>
        <v>#NAME?</v>
      </c>
      <c r="P186" s="32" t="e">
        <f ca="1">IF($B186="","",_xll.BDP($A186&amp;" Corp",P$6))</f>
        <v>#NAME?</v>
      </c>
      <c r="Q186" s="30" t="e">
        <f ca="1">IF($B186="","",_xll.BDP($A186&amp;" Corp",Q$5))</f>
        <v>#NAME?</v>
      </c>
      <c r="R186" s="30" t="e">
        <f ca="1">IF($B186="","",_xll.BDP($A186&amp;" Corp",R$5))</f>
        <v>#NAME?</v>
      </c>
      <c r="S186" s="50" t="e">
        <f ca="1">IF($B186="","",_xll.BDP($A186&amp;" Corp",S$5))</f>
        <v>#NAME?</v>
      </c>
      <c r="T186" s="30" t="e">
        <f ca="1">IF($B186="","",_xll.BDP($A186&amp;" Corp",T$5))</f>
        <v>#NAME?</v>
      </c>
      <c r="U186" s="30" t="e">
        <f ca="1">IF($B186="","",_xll.BDP($A186&amp;" Corp",U$5))</f>
        <v>#NAME?</v>
      </c>
      <c r="V186" s="51" t="e">
        <f ca="1">IF($B186="","",IF($T186="VARIABLE",_xll.BDP($A186&amp;" Corp",V$4),_xll.BDP($A186&amp;" Corp",V$5)))</f>
        <v>#NAME?</v>
      </c>
      <c r="W186" s="30" t="e">
        <f ca="1">IF($B186="","",IF($T186="VARIABLE",_xll.BDP($A186&amp;" Corp",W$4),_xll.BDP($A186&amp;" Corp",W$5)))</f>
        <v>#NAME?</v>
      </c>
      <c r="X186" s="30" t="e">
        <f ca="1">IF($B186="","",_xll.BDP($A186&amp;" Corp",X$5))</f>
        <v>#NAME?</v>
      </c>
      <c r="Y186" s="33" t="e">
        <f ca="1">IF($B186="","",_xll.BDP($A186&amp;" Corp",Y$5))</f>
        <v>#NAME?</v>
      </c>
      <c r="Z186" s="52" t="e">
        <f ca="1">IF($B186="","",_xll.BDP($A186&amp;" Corp",Z$5))</f>
        <v>#NAME?</v>
      </c>
      <c r="AA186" s="53" t="e">
        <f ca="1">IF($B186="","",_xll.BDP($A186&amp;" Corp",AA$5))</f>
        <v>#NAME?</v>
      </c>
      <c r="AB186" s="54" t="e">
        <f ca="1">IF($B186="","",_xll.BDP($A186&amp;" Corp",AB$5))</f>
        <v>#NAME?</v>
      </c>
      <c r="AC186" s="54" t="e">
        <f ca="1">IF($B186="","",_xll.BDP($A186&amp;" Corp",AC$5))</f>
        <v>#NAME?</v>
      </c>
      <c r="AD186" s="55" t="e">
        <f ca="1">IF($B186="","",_xll.BDP($A186&amp;" Corp",AD$5))</f>
        <v>#NAME?</v>
      </c>
      <c r="AE186" s="56" t="e">
        <f ca="1">IF($B186="","",_xll.BDP($A186&amp;" Corp",AE$5))</f>
        <v>#NAME?</v>
      </c>
      <c r="AF186" s="29" t="e">
        <f ca="1">IF($B186="","",_xll.BDP($A186&amp;" Corp",AF$5))</f>
        <v>#NAME?</v>
      </c>
      <c r="AG186" s="33" t="e">
        <f ca="1">IF($B186="","",_xll.BDP($A186&amp;" Corp",AG$5))</f>
        <v>#NAME?</v>
      </c>
      <c r="AH186" s="30" t="e">
        <f ca="1">IF($B186="","",_xll.BDP($A186&amp;" Corp",AH$5))</f>
        <v>#NAME?</v>
      </c>
      <c r="AI186" s="30" t="e">
        <f ca="1">IF($B186="","",_xll.BDP($A186&amp;" Corp",AI$5))</f>
        <v>#NAME?</v>
      </c>
      <c r="AJ186" s="30" t="e">
        <f ca="1">IF($B186="","",_xll.BDP($A186&amp;" Corp",AJ$5))</f>
        <v>#NAME?</v>
      </c>
      <c r="AK186" s="11" t="e">
        <f ca="1">IF($B186="","",_xll.BDP($A186&amp;" Corp",AK$5))</f>
        <v>#NAME?</v>
      </c>
      <c r="AL186" s="11" t="e">
        <f ca="1">IF($B186="","",_xll.BDP($A186&amp;" Corp",AL$5))</f>
        <v>#NAME?</v>
      </c>
      <c r="AM186" s="11">
        <v>1</v>
      </c>
      <c r="AN186" s="57">
        <v>0.1</v>
      </c>
    </row>
    <row r="187" spans="1:40" x14ac:dyDescent="0.3">
      <c r="A187" s="67" t="s">
        <v>773</v>
      </c>
      <c r="B187" s="68" t="s">
        <v>773</v>
      </c>
      <c r="C187" s="75">
        <v>10735</v>
      </c>
      <c r="D187" s="75">
        <v>128</v>
      </c>
      <c r="E187" s="75">
        <v>1287593.1200000001</v>
      </c>
      <c r="F187" s="69">
        <v>1.0415807399999999</v>
      </c>
      <c r="G187" s="70">
        <v>1371125</v>
      </c>
      <c r="H187" s="67">
        <v>1287593.1200000001</v>
      </c>
      <c r="I187" s="67">
        <v>1.0415807399999999</v>
      </c>
      <c r="J187" s="67">
        <v>1371125</v>
      </c>
      <c r="K187" s="71">
        <v>106.48744379746296</v>
      </c>
      <c r="L187" s="29" t="e">
        <f ca="1">IF(B187="","",_xll.BDP(A187&amp;" Corp","INTERVAL_HIGH","START_DATE_OVERRIDE",TEXT($L$3,"AAAAMMDD"),"END_DATE_OVERRIDE",TEXT($L$4,"AAAAMMDD"),"MARKET_DATA_OVERRIDE",$L$5))</f>
        <v>#NAME?</v>
      </c>
      <c r="M187" s="30" t="e">
        <f ca="1">IF(B187="","",_xll.BDP($A187&amp;" Corp","INTERVAL_LOW","START_DATE_OVERRIDE",TEXT($L$3,"AAAAMMDD"),"END_DATE_OVERRIDE",TEXT($L$4,"AAAAMMDD"),"MARKET_DATA_OVERRIDE",$L$5))</f>
        <v>#NAME?</v>
      </c>
      <c r="N187" s="31" t="s">
        <v>949</v>
      </c>
      <c r="O187" s="32" t="e">
        <f ca="1">IF($B187="","",_xll.BDP($A187&amp;" Corp",O$6))</f>
        <v>#NAME?</v>
      </c>
      <c r="P187" s="32" t="e">
        <f ca="1">IF($B187="","",_xll.BDP($A187&amp;" Corp",P$6))</f>
        <v>#NAME?</v>
      </c>
      <c r="Q187" s="30" t="e">
        <f ca="1">IF($B187="","",_xll.BDP($A187&amp;" Corp",Q$5))</f>
        <v>#NAME?</v>
      </c>
      <c r="R187" s="30" t="e">
        <f ca="1">IF($B187="","",_xll.BDP($A187&amp;" Corp",R$5))</f>
        <v>#NAME?</v>
      </c>
      <c r="S187" s="50" t="e">
        <f ca="1">IF($B187="","",_xll.BDP($A187&amp;" Corp",S$5))</f>
        <v>#NAME?</v>
      </c>
      <c r="T187" s="30" t="e">
        <f ca="1">IF($B187="","",_xll.BDP($A187&amp;" Corp",T$5))</f>
        <v>#NAME?</v>
      </c>
      <c r="U187" s="30" t="e">
        <f ca="1">IF($B187="","",_xll.BDP($A187&amp;" Corp",U$5))</f>
        <v>#NAME?</v>
      </c>
      <c r="V187" s="51" t="e">
        <f ca="1">IF($B187="","",IF($T187="VARIABLE",_xll.BDP($A187&amp;" Corp",V$4),_xll.BDP($A187&amp;" Corp",V$5)))</f>
        <v>#NAME?</v>
      </c>
      <c r="W187" s="30" t="e">
        <f ca="1">IF($B187="","",IF($T187="VARIABLE",_xll.BDP($A187&amp;" Corp",W$4),_xll.BDP($A187&amp;" Corp",W$5)))</f>
        <v>#NAME?</v>
      </c>
      <c r="X187" s="30" t="e">
        <f ca="1">IF($B187="","",_xll.BDP($A187&amp;" Corp",X$5))</f>
        <v>#NAME?</v>
      </c>
      <c r="Y187" s="33" t="e">
        <f ca="1">IF($B187="","",_xll.BDP($A187&amp;" Corp",Y$5))</f>
        <v>#NAME?</v>
      </c>
      <c r="Z187" s="52" t="e">
        <f ca="1">IF($B187="","",_xll.BDP($A187&amp;" Corp",Z$5))</f>
        <v>#NAME?</v>
      </c>
      <c r="AA187" s="53" t="e">
        <f ca="1">IF($B187="","",_xll.BDP($A187&amp;" Corp",AA$5))</f>
        <v>#NAME?</v>
      </c>
      <c r="AB187" s="54" t="e">
        <f ca="1">IF($B187="","",_xll.BDP($A187&amp;" Corp",AB$5))</f>
        <v>#NAME?</v>
      </c>
      <c r="AC187" s="54" t="e">
        <f ca="1">IF($B187="","",_xll.BDP($A187&amp;" Corp",AC$5))</f>
        <v>#NAME?</v>
      </c>
      <c r="AD187" s="55" t="e">
        <f ca="1">IF($B187="","",_xll.BDP($A187&amp;" Corp",AD$5))</f>
        <v>#NAME?</v>
      </c>
      <c r="AE187" s="56" t="e">
        <f ca="1">IF($B187="","",_xll.BDP($A187&amp;" Corp",AE$5))</f>
        <v>#NAME?</v>
      </c>
      <c r="AF187" s="29" t="e">
        <f ca="1">IF($B187="","",_xll.BDP($A187&amp;" Corp",AF$5))</f>
        <v>#NAME?</v>
      </c>
      <c r="AG187" s="33" t="e">
        <f ca="1">IF($B187="","",_xll.BDP($A187&amp;" Corp",AG$5))</f>
        <v>#NAME?</v>
      </c>
      <c r="AH187" s="30" t="e">
        <f ca="1">IF($B187="","",_xll.BDP($A187&amp;" Corp",AH$5))</f>
        <v>#NAME?</v>
      </c>
      <c r="AI187" s="30" t="e">
        <f ca="1">IF($B187="","",_xll.BDP($A187&amp;" Corp",AI$5))</f>
        <v>#NAME?</v>
      </c>
      <c r="AJ187" s="30" t="e">
        <f ca="1">IF($B187="","",_xll.BDP($A187&amp;" Corp",AJ$5))</f>
        <v>#NAME?</v>
      </c>
      <c r="AK187" s="11" t="e">
        <f ca="1">IF($B187="","",_xll.BDP($A187&amp;" Corp",AK$5))</f>
        <v>#NAME?</v>
      </c>
      <c r="AL187" s="11" t="e">
        <f ca="1">IF($B187="","",_xll.BDP($A187&amp;" Corp",AL$5))</f>
        <v>#NAME?</v>
      </c>
      <c r="AM187" s="11">
        <v>7</v>
      </c>
      <c r="AN187" s="57">
        <v>7</v>
      </c>
    </row>
    <row r="188" spans="1:40" x14ac:dyDescent="0.3">
      <c r="A188" s="67" t="s">
        <v>956</v>
      </c>
      <c r="B188" s="68" t="s">
        <v>956</v>
      </c>
      <c r="C188" s="75">
        <v>10772</v>
      </c>
      <c r="D188" s="75">
        <v>128</v>
      </c>
      <c r="E188" s="75">
        <v>1000000</v>
      </c>
      <c r="F188" s="69">
        <v>0.79150461000000005</v>
      </c>
      <c r="G188" s="70">
        <v>978390</v>
      </c>
      <c r="H188" s="67">
        <v>1000000</v>
      </c>
      <c r="I188" s="67">
        <v>0.79150461000000005</v>
      </c>
      <c r="J188" s="67">
        <v>978390</v>
      </c>
      <c r="K188" s="71">
        <v>97.838999999999999</v>
      </c>
      <c r="L188" s="29" t="e">
        <f ca="1">IF(B188="","",_xll.BDP(A188&amp;" Corp","INTERVAL_HIGH","START_DATE_OVERRIDE",TEXT($L$3,"AAAAMMDD"),"END_DATE_OVERRIDE",TEXT($L$4,"AAAAMMDD"),"MARKET_DATA_OVERRIDE",$L$5))</f>
        <v>#NAME?</v>
      </c>
      <c r="M188" s="30" t="e">
        <f ca="1">IF(B188="","",_xll.BDP($A188&amp;" Corp","INTERVAL_LOW","START_DATE_OVERRIDE",TEXT($L$3,"AAAAMMDD"),"END_DATE_OVERRIDE",TEXT($L$4,"AAAAMMDD"),"MARKET_DATA_OVERRIDE",$L$5))</f>
        <v>#NAME?</v>
      </c>
      <c r="N188" s="31" t="s">
        <v>961</v>
      </c>
      <c r="O188" s="32" t="e">
        <f ca="1">IF($B188="","",_xll.BDP($A188&amp;" Corp",O$6))</f>
        <v>#NAME?</v>
      </c>
      <c r="P188" s="32" t="e">
        <f ca="1">IF($B188="","",_xll.BDP($A188&amp;" Corp",P$6))</f>
        <v>#NAME?</v>
      </c>
      <c r="Q188" s="30" t="e">
        <f ca="1">IF($B188="","",_xll.BDP($A188&amp;" Corp",Q$5))</f>
        <v>#NAME?</v>
      </c>
      <c r="R188" s="30" t="e">
        <f ca="1">IF($B188="","",_xll.BDP($A188&amp;" Corp",R$5))</f>
        <v>#NAME?</v>
      </c>
      <c r="S188" s="50" t="e">
        <f ca="1">IF($B188="","",_xll.BDP($A188&amp;" Corp",S$5))</f>
        <v>#NAME?</v>
      </c>
      <c r="T188" s="30" t="e">
        <f ca="1">IF($B188="","",_xll.BDP($A188&amp;" Corp",T$5))</f>
        <v>#NAME?</v>
      </c>
      <c r="U188" s="30" t="e">
        <f ca="1">IF($B188="","",_xll.BDP($A188&amp;" Corp",U$5))</f>
        <v>#NAME?</v>
      </c>
      <c r="V188" s="51" t="e">
        <f ca="1">IF($B188="","",IF($T188="VARIABLE",_xll.BDP($A188&amp;" Corp",V$4),_xll.BDP($A188&amp;" Corp",V$5)))</f>
        <v>#NAME?</v>
      </c>
      <c r="W188" s="30" t="e">
        <f ca="1">IF($B188="","",IF($T188="VARIABLE",_xll.BDP($A188&amp;" Corp",W$4),_xll.BDP($A188&amp;" Corp",W$5)))</f>
        <v>#NAME?</v>
      </c>
      <c r="X188" s="30" t="e">
        <f ca="1">IF($B188="","",_xll.BDP($A188&amp;" Corp",X$5))</f>
        <v>#NAME?</v>
      </c>
      <c r="Y188" s="33" t="e">
        <f ca="1">IF($B188="","",_xll.BDP($A188&amp;" Corp",Y$5))</f>
        <v>#NAME?</v>
      </c>
      <c r="Z188" s="52" t="e">
        <f ca="1">IF($B188="","",_xll.BDP($A188&amp;" Corp",Z$5))</f>
        <v>#NAME?</v>
      </c>
      <c r="AA188" s="53" t="e">
        <f ca="1">IF($B188="","",_xll.BDP($A188&amp;" Corp",AA$5))</f>
        <v>#NAME?</v>
      </c>
      <c r="AB188" s="54" t="e">
        <f ca="1">IF($B188="","",_xll.BDP($A188&amp;" Corp",AB$5))</f>
        <v>#NAME?</v>
      </c>
      <c r="AC188" s="54" t="e">
        <f ca="1">IF($B188="","",_xll.BDP($A188&amp;" Corp",AC$5))</f>
        <v>#NAME?</v>
      </c>
      <c r="AD188" s="55" t="e">
        <f ca="1">IF($B188="","",_xll.BDP($A188&amp;" Corp",AD$5))</f>
        <v>#NAME?</v>
      </c>
      <c r="AE188" s="56" t="e">
        <f ca="1">IF($B188="","",_xll.BDP($A188&amp;" Corp",AE$5))</f>
        <v>#NAME?</v>
      </c>
      <c r="AF188" s="29" t="e">
        <f ca="1">IF($B188="","",_xll.BDP($A188&amp;" Corp",AF$5))</f>
        <v>#NAME?</v>
      </c>
      <c r="AG188" s="33" t="e">
        <f ca="1">IF($B188="","",_xll.BDP($A188&amp;" Corp",AG$5))</f>
        <v>#NAME?</v>
      </c>
      <c r="AH188" s="30" t="e">
        <f ca="1">IF($B188="","",_xll.BDP($A188&amp;" Corp",AH$5))</f>
        <v>#NAME?</v>
      </c>
      <c r="AI188" s="30" t="e">
        <f ca="1">IF($B188="","",_xll.BDP($A188&amp;" Corp",AI$5))</f>
        <v>#NAME?</v>
      </c>
      <c r="AJ188" s="30" t="e">
        <f ca="1">IF($B188="","",_xll.BDP($A188&amp;" Corp",AJ$5))</f>
        <v>#NAME?</v>
      </c>
      <c r="AK188" s="11" t="e">
        <f ca="1">IF($B188="","",_xll.BDP($A188&amp;" Corp",AK$5))</f>
        <v>#NAME?</v>
      </c>
      <c r="AL188" s="11" t="e">
        <f ca="1">IF($B188="","",_xll.BDP($A188&amp;" Corp",AL$5))</f>
        <v>#NAME?</v>
      </c>
      <c r="AM188" s="11">
        <v>1</v>
      </c>
      <c r="AN188" s="57">
        <v>1</v>
      </c>
    </row>
    <row r="189" spans="1:40" x14ac:dyDescent="0.3">
      <c r="A189" s="67" t="s">
        <v>958</v>
      </c>
      <c r="B189" s="68" t="s">
        <v>958</v>
      </c>
      <c r="C189" s="75">
        <v>10724</v>
      </c>
      <c r="D189" s="75">
        <v>128</v>
      </c>
      <c r="E189" s="75">
        <v>934579.44</v>
      </c>
      <c r="F189" s="69">
        <v>0.76563300999999995</v>
      </c>
      <c r="G189" s="70">
        <v>984062.5</v>
      </c>
      <c r="H189" s="67">
        <v>934579.44</v>
      </c>
      <c r="I189" s="67">
        <v>0.76563300999999995</v>
      </c>
      <c r="J189" s="67">
        <v>984062.5</v>
      </c>
      <c r="K189" s="71">
        <v>105.29468741576426</v>
      </c>
      <c r="L189" s="29" t="e">
        <f ca="1">IF(B189="","",_xll.BDP(A189&amp;" Corp","INTERVAL_HIGH","START_DATE_OVERRIDE",TEXT($L$3,"AAAAMMDD"),"END_DATE_OVERRIDE",TEXT($L$4,"AAAAMMDD"),"MARKET_DATA_OVERRIDE",$L$5))</f>
        <v>#NAME?</v>
      </c>
      <c r="M189" s="30" t="e">
        <f ca="1">IF(B189="","",_xll.BDP($A189&amp;" Corp","INTERVAL_LOW","START_DATE_OVERRIDE",TEXT($L$3,"AAAAMMDD"),"END_DATE_OVERRIDE",TEXT($L$4,"AAAAMMDD"),"MARKET_DATA_OVERRIDE",$L$5))</f>
        <v>#NAME?</v>
      </c>
      <c r="N189" s="31" t="s">
        <v>962</v>
      </c>
      <c r="O189" s="32" t="e">
        <f ca="1">IF($B189="","",_xll.BDP($A189&amp;" Corp",O$6))</f>
        <v>#NAME?</v>
      </c>
      <c r="P189" s="32" t="e">
        <f ca="1">IF($B189="","",_xll.BDP($A189&amp;" Corp",P$6))</f>
        <v>#NAME?</v>
      </c>
      <c r="Q189" s="30" t="e">
        <f ca="1">IF($B189="","",_xll.BDP($A189&amp;" Corp",Q$5))</f>
        <v>#NAME?</v>
      </c>
      <c r="R189" s="30" t="e">
        <f ca="1">IF($B189="","",_xll.BDP($A189&amp;" Corp",R$5))</f>
        <v>#NAME?</v>
      </c>
      <c r="S189" s="50" t="e">
        <f ca="1">IF($B189="","",_xll.BDP($A189&amp;" Corp",S$5))</f>
        <v>#NAME?</v>
      </c>
      <c r="T189" s="30" t="e">
        <f ca="1">IF($B189="","",_xll.BDP($A189&amp;" Corp",T$5))</f>
        <v>#NAME?</v>
      </c>
      <c r="U189" s="30" t="e">
        <f ca="1">IF($B189="","",_xll.BDP($A189&amp;" Corp",U$5))</f>
        <v>#NAME?</v>
      </c>
      <c r="V189" s="51" t="e">
        <f ca="1">IF($B189="","",IF($T189="VARIABLE",_xll.BDP($A189&amp;" Corp",V$4),_xll.BDP($A189&amp;" Corp",V$5)))</f>
        <v>#NAME?</v>
      </c>
      <c r="W189" s="30" t="e">
        <f ca="1">IF($B189="","",IF($T189="VARIABLE",_xll.BDP($A189&amp;" Corp",W$4),_xll.BDP($A189&amp;" Corp",W$5)))</f>
        <v>#NAME?</v>
      </c>
      <c r="X189" s="30" t="e">
        <f ca="1">IF($B189="","",_xll.BDP($A189&amp;" Corp",X$5))</f>
        <v>#NAME?</v>
      </c>
      <c r="Y189" s="33" t="e">
        <f ca="1">IF($B189="","",_xll.BDP($A189&amp;" Corp",Y$5))</f>
        <v>#NAME?</v>
      </c>
      <c r="Z189" s="52" t="e">
        <f ca="1">IF($B189="","",_xll.BDP($A189&amp;" Corp",Z$5))</f>
        <v>#NAME?</v>
      </c>
      <c r="AA189" s="53" t="e">
        <f ca="1">IF($B189="","",_xll.BDP($A189&amp;" Corp",AA$5))</f>
        <v>#NAME?</v>
      </c>
      <c r="AB189" s="54" t="e">
        <f ca="1">IF($B189="","",_xll.BDP($A189&amp;" Corp",AB$5))</f>
        <v>#NAME?</v>
      </c>
      <c r="AC189" s="54" t="e">
        <f ca="1">IF($B189="","",_xll.BDP($A189&amp;" Corp",AC$5))</f>
        <v>#NAME?</v>
      </c>
      <c r="AD189" s="55" t="e">
        <f ca="1">IF($B189="","",_xll.BDP($A189&amp;" Corp",AD$5))</f>
        <v>#NAME?</v>
      </c>
      <c r="AE189" s="56" t="e">
        <f ca="1">IF($B189="","",_xll.BDP($A189&amp;" Corp",AE$5))</f>
        <v>#NAME?</v>
      </c>
      <c r="AF189" s="29" t="e">
        <f ca="1">IF($B189="","",_xll.BDP($A189&amp;" Corp",AF$5))</f>
        <v>#NAME?</v>
      </c>
      <c r="AG189" s="33" t="e">
        <f ca="1">IF($B189="","",_xll.BDP($A189&amp;" Corp",AG$5))</f>
        <v>#NAME?</v>
      </c>
      <c r="AH189" s="30" t="e">
        <f ca="1">IF($B189="","",_xll.BDP($A189&amp;" Corp",AH$5))</f>
        <v>#NAME?</v>
      </c>
      <c r="AI189" s="30" t="e">
        <f ca="1">IF($B189="","",_xll.BDP($A189&amp;" Corp",AI$5))</f>
        <v>#NAME?</v>
      </c>
      <c r="AJ189" s="30" t="e">
        <f ca="1">IF($B189="","",_xll.BDP($A189&amp;" Corp",AJ$5))</f>
        <v>#NAME?</v>
      </c>
      <c r="AK189" s="11" t="e">
        <f ca="1">IF($B189="","",_xll.BDP($A189&amp;" Corp",AK$5))</f>
        <v>#NAME?</v>
      </c>
      <c r="AL189" s="11" t="e">
        <f ca="1">IF($B189="","",_xll.BDP($A189&amp;" Corp",AL$5))</f>
        <v>#NAME?</v>
      </c>
      <c r="AM189" s="11">
        <v>1</v>
      </c>
      <c r="AN189" s="57">
        <v>1</v>
      </c>
    </row>
    <row r="190" spans="1:40" x14ac:dyDescent="0.3">
      <c r="A190" s="67" t="s">
        <v>964</v>
      </c>
      <c r="B190" s="68" t="s">
        <v>964</v>
      </c>
      <c r="C190" s="75">
        <v>10788</v>
      </c>
      <c r="D190" s="75">
        <v>128</v>
      </c>
      <c r="E190" s="75">
        <v>299475</v>
      </c>
      <c r="F190" s="69">
        <v>0</v>
      </c>
      <c r="G190" s="70">
        <v>299475</v>
      </c>
      <c r="H190" s="67">
        <v>299475</v>
      </c>
      <c r="I190" s="67">
        <v>0</v>
      </c>
      <c r="J190" s="67">
        <v>299475</v>
      </c>
      <c r="K190" s="71">
        <v>100</v>
      </c>
      <c r="L190" s="29" t="e">
        <f ca="1">IF(B190="","",_xll.BDP(A190&amp;" Corp","INTERVAL_HIGH","START_DATE_OVERRIDE",TEXT($L$3,"AAAAMMDD"),"END_DATE_OVERRIDE",TEXT($L$4,"AAAAMMDD"),"MARKET_DATA_OVERRIDE",$L$5))</f>
        <v>#NAME?</v>
      </c>
      <c r="M190" s="30" t="e">
        <f ca="1">IF(B190="","",_xll.BDP($A190&amp;" Corp","INTERVAL_LOW","START_DATE_OVERRIDE",TEXT($L$3,"AAAAMMDD"),"END_DATE_OVERRIDE",TEXT($L$4,"AAAAMMDD"),"MARKET_DATA_OVERRIDE",$L$5))</f>
        <v>#NAME?</v>
      </c>
      <c r="N190" s="31" t="s">
        <v>968</v>
      </c>
      <c r="O190" s="32" t="e">
        <f ca="1">IF($B190="","",_xll.BDP($A190&amp;" Corp",O$6))</f>
        <v>#NAME?</v>
      </c>
      <c r="P190" s="32" t="e">
        <f ca="1">IF($B190="","",_xll.BDP($A190&amp;" Corp",P$6))</f>
        <v>#NAME?</v>
      </c>
      <c r="Q190" s="30" t="e">
        <f ca="1">IF($B190="","",_xll.BDP($A190&amp;" Corp",Q$5))</f>
        <v>#NAME?</v>
      </c>
      <c r="R190" s="30" t="e">
        <f ca="1">IF($B190="","",_xll.BDP($A190&amp;" Corp",R$5))</f>
        <v>#NAME?</v>
      </c>
      <c r="S190" s="50" t="e">
        <f ca="1">IF($B190="","",_xll.BDP($A190&amp;" Corp",S$5))</f>
        <v>#NAME?</v>
      </c>
      <c r="T190" s="30" t="e">
        <f ca="1">IF($B190="","",_xll.BDP($A190&amp;" Corp",T$5))</f>
        <v>#NAME?</v>
      </c>
      <c r="U190" s="30" t="e">
        <f ca="1">IF($B190="","",_xll.BDP($A190&amp;" Corp",U$5))</f>
        <v>#NAME?</v>
      </c>
      <c r="V190" s="51" t="e">
        <f ca="1">IF($B190="","",IF($T190="VARIABLE",_xll.BDP($A190&amp;" Corp",V$4),_xll.BDP($A190&amp;" Corp",V$5)))</f>
        <v>#NAME?</v>
      </c>
      <c r="W190" s="30" t="e">
        <f ca="1">IF($B190="","",IF($T190="VARIABLE",_xll.BDP($A190&amp;" Corp",W$4),_xll.BDP($A190&amp;" Corp",W$5)))</f>
        <v>#NAME?</v>
      </c>
      <c r="X190" s="30" t="e">
        <f ca="1">IF($B190="","",_xll.BDP($A190&amp;" Corp",X$5))</f>
        <v>#NAME?</v>
      </c>
      <c r="Y190" s="33" t="e">
        <f ca="1">IF($B190="","",_xll.BDP($A190&amp;" Corp",Y$5))</f>
        <v>#NAME?</v>
      </c>
      <c r="Z190" s="52" t="e">
        <f ca="1">IF($B190="","",_xll.BDP($A190&amp;" Corp",Z$5))</f>
        <v>#NAME?</v>
      </c>
      <c r="AA190" s="53" t="e">
        <f ca="1">IF($B190="","",_xll.BDP($A190&amp;" Corp",AA$5))</f>
        <v>#NAME?</v>
      </c>
      <c r="AB190" s="54" t="e">
        <f ca="1">IF($B190="","",_xll.BDP($A190&amp;" Corp",AB$5))</f>
        <v>#NAME?</v>
      </c>
      <c r="AC190" s="54" t="e">
        <f ca="1">IF($B190="","",_xll.BDP($A190&amp;" Corp",AC$5))</f>
        <v>#NAME?</v>
      </c>
      <c r="AD190" s="55" t="e">
        <f ca="1">IF($B190="","",_xll.BDP($A190&amp;" Corp",AD$5))</f>
        <v>#NAME?</v>
      </c>
      <c r="AE190" s="56" t="e">
        <f ca="1">IF($B190="","",_xll.BDP($A190&amp;" Corp",AE$5))</f>
        <v>#NAME?</v>
      </c>
      <c r="AF190" s="29" t="e">
        <f ca="1">IF($B190="","",_xll.BDP($A190&amp;" Corp",AF$5))</f>
        <v>#NAME?</v>
      </c>
      <c r="AG190" s="33" t="e">
        <f ca="1">IF($B190="","",_xll.BDP($A190&amp;" Corp",AG$5))</f>
        <v>#NAME?</v>
      </c>
      <c r="AH190" s="30" t="e">
        <f ca="1">IF($B190="","",_xll.BDP($A190&amp;" Corp",AH$5))</f>
        <v>#NAME?</v>
      </c>
      <c r="AI190" s="30" t="e">
        <f ca="1">IF($B190="","",_xll.BDP($A190&amp;" Corp",AI$5))</f>
        <v>#NAME?</v>
      </c>
      <c r="AJ190" s="30" t="e">
        <f ca="1">IF($B190="","",_xll.BDP($A190&amp;" Corp",AJ$5))</f>
        <v>#NAME?</v>
      </c>
      <c r="AK190" s="11" t="e">
        <f ca="1">IF($B190="","",_xll.BDP($A190&amp;" Corp",AK$5))</f>
        <v>#NAME?</v>
      </c>
      <c r="AL190" s="11" t="e">
        <f ca="1">IF($B190="","",_xll.BDP($A190&amp;" Corp",AL$5))</f>
        <v>#NAME?</v>
      </c>
      <c r="AM190" s="11">
        <v>3</v>
      </c>
      <c r="AN190" s="57">
        <v>2</v>
      </c>
    </row>
    <row r="191" spans="1:40" x14ac:dyDescent="0.3">
      <c r="A191" s="67" t="s">
        <v>973</v>
      </c>
      <c r="B191" s="68" t="s">
        <v>973</v>
      </c>
      <c r="C191" s="75">
        <v>10632</v>
      </c>
      <c r="D191" s="75">
        <v>128</v>
      </c>
      <c r="E191" s="75">
        <v>1000000</v>
      </c>
      <c r="F191" s="69">
        <v>0</v>
      </c>
      <c r="G191" s="70">
        <v>0</v>
      </c>
      <c r="H191" s="67">
        <v>1000000</v>
      </c>
      <c r="I191" s="67">
        <v>0</v>
      </c>
      <c r="J191" s="67">
        <v>0</v>
      </c>
      <c r="K191" s="71">
        <v>0</v>
      </c>
      <c r="L191" s="29" t="e">
        <f ca="1">IF(B191="","",_xll.BDP(A191&amp;" Corp","INTERVAL_HIGH","START_DATE_OVERRIDE",TEXT($L$3,"AAAAMMDD"),"END_DATE_OVERRIDE",TEXT($L$4,"AAAAMMDD"),"MARKET_DATA_OVERRIDE",$L$5))</f>
        <v>#NAME?</v>
      </c>
      <c r="M191" s="30" t="e">
        <f ca="1">IF(B191="","",_xll.BDP($A191&amp;" Corp","INTERVAL_LOW","START_DATE_OVERRIDE",TEXT($L$3,"AAAAMMDD"),"END_DATE_OVERRIDE",TEXT($L$4,"AAAAMMDD"),"MARKET_DATA_OVERRIDE",$L$5))</f>
        <v>#NAME?</v>
      </c>
      <c r="N191" s="31" t="s">
        <v>978</v>
      </c>
      <c r="O191" s="32" t="e">
        <f ca="1">IF($B191="","",_xll.BDP($A191&amp;" Corp",O$6))</f>
        <v>#NAME?</v>
      </c>
      <c r="P191" s="32" t="e">
        <f ca="1">IF($B191="","",_xll.BDP($A191&amp;" Corp",P$6))</f>
        <v>#NAME?</v>
      </c>
      <c r="Q191" s="30" t="e">
        <f ca="1">IF($B191="","",_xll.BDP($A191&amp;" Corp",Q$5))</f>
        <v>#NAME?</v>
      </c>
      <c r="R191" s="30" t="e">
        <f ca="1">IF($B191="","",_xll.BDP($A191&amp;" Corp",R$5))</f>
        <v>#NAME?</v>
      </c>
      <c r="S191" s="50" t="e">
        <f ca="1">IF($B191="","",_xll.BDP($A191&amp;" Corp",S$5))</f>
        <v>#NAME?</v>
      </c>
      <c r="T191" s="30" t="e">
        <f ca="1">IF($B191="","",_xll.BDP($A191&amp;" Corp",T$5))</f>
        <v>#NAME?</v>
      </c>
      <c r="U191" s="30" t="e">
        <f ca="1">IF($B191="","",_xll.BDP($A191&amp;" Corp",U$5))</f>
        <v>#NAME?</v>
      </c>
      <c r="V191" s="51" t="e">
        <f ca="1">IF($B191="","",IF($T191="VARIABLE",_xll.BDP($A191&amp;" Corp",V$4),_xll.BDP($A191&amp;" Corp",V$5)))</f>
        <v>#NAME?</v>
      </c>
      <c r="W191" s="30" t="e">
        <f ca="1">IF($B191="","",IF($T191="VARIABLE",_xll.BDP($A191&amp;" Corp",W$4),_xll.BDP($A191&amp;" Corp",W$5)))</f>
        <v>#NAME?</v>
      </c>
      <c r="X191" s="30" t="e">
        <f ca="1">IF($B191="","",_xll.BDP($A191&amp;" Corp",X$5))</f>
        <v>#NAME?</v>
      </c>
      <c r="Y191" s="33" t="e">
        <f ca="1">IF($B191="","",_xll.BDP($A191&amp;" Corp",Y$5))</f>
        <v>#NAME?</v>
      </c>
      <c r="Z191" s="52" t="e">
        <f ca="1">IF($B191="","",_xll.BDP($A191&amp;" Corp",Z$5))</f>
        <v>#NAME?</v>
      </c>
      <c r="AA191" s="53" t="e">
        <f ca="1">IF($B191="","",_xll.BDP($A191&amp;" Corp",AA$5))</f>
        <v>#NAME?</v>
      </c>
      <c r="AB191" s="54" t="e">
        <f ca="1">IF($B191="","",_xll.BDP($A191&amp;" Corp",AB$5))</f>
        <v>#NAME?</v>
      </c>
      <c r="AC191" s="54" t="e">
        <f ca="1">IF($B191="","",_xll.BDP($A191&amp;" Corp",AC$5))</f>
        <v>#NAME?</v>
      </c>
      <c r="AD191" s="55" t="e">
        <f ca="1">IF($B191="","",_xll.BDP($A191&amp;" Corp",AD$5))</f>
        <v>#NAME?</v>
      </c>
      <c r="AE191" s="56" t="e">
        <f ca="1">IF($B191="","",_xll.BDP($A191&amp;" Corp",AE$5))</f>
        <v>#NAME?</v>
      </c>
      <c r="AF191" s="29" t="e">
        <f ca="1">IF($B191="","",_xll.BDP($A191&amp;" Corp",AF$5))</f>
        <v>#NAME?</v>
      </c>
      <c r="AG191" s="33" t="e">
        <f ca="1">IF($B191="","",_xll.BDP($A191&amp;" Corp",AG$5))</f>
        <v>#NAME?</v>
      </c>
      <c r="AH191" s="30" t="e">
        <f ca="1">IF($B191="","",_xll.BDP($A191&amp;" Corp",AH$5))</f>
        <v>#NAME?</v>
      </c>
      <c r="AI191" s="30" t="e">
        <f ca="1">IF($B191="","",_xll.BDP($A191&amp;" Corp",AI$5))</f>
        <v>#NAME?</v>
      </c>
      <c r="AJ191" s="30" t="e">
        <f ca="1">IF($B191="","",_xll.BDP($A191&amp;" Corp",AJ$5))</f>
        <v>#NAME?</v>
      </c>
      <c r="AK191" s="11" t="e">
        <f ca="1">IF($B191="","",_xll.BDP($A191&amp;" Corp",AK$5))</f>
        <v>#NAME?</v>
      </c>
      <c r="AL191" s="11" t="e">
        <f ca="1">IF($B191="","",_xll.BDP($A191&amp;" Corp",AL$5))</f>
        <v>#NAME?</v>
      </c>
      <c r="AM191" s="11">
        <v>4</v>
      </c>
      <c r="AN191" s="57">
        <v>3</v>
      </c>
    </row>
    <row r="192" spans="1:40" x14ac:dyDescent="0.3">
      <c r="A192" s="67" t="s">
        <v>977</v>
      </c>
      <c r="B192" s="68" t="s">
        <v>977</v>
      </c>
      <c r="C192" s="75">
        <v>8771</v>
      </c>
      <c r="D192" s="75">
        <v>128</v>
      </c>
      <c r="E192" s="75">
        <v>1000000</v>
      </c>
      <c r="F192" s="69">
        <v>0</v>
      </c>
      <c r="G192" s="70">
        <v>0</v>
      </c>
      <c r="H192" s="67">
        <v>1000000</v>
      </c>
      <c r="I192" s="67">
        <v>0</v>
      </c>
      <c r="J192" s="67">
        <v>0</v>
      </c>
      <c r="K192" s="71">
        <v>0</v>
      </c>
      <c r="L192" s="29" t="e">
        <f ca="1">IF(B192="","",_xll.BDP(A192&amp;" Corp","INTERVAL_HIGH","START_DATE_OVERRIDE",TEXT($L$3,"AAAAMMDD"),"END_DATE_OVERRIDE",TEXT($L$4,"AAAAMMDD"),"MARKET_DATA_OVERRIDE",$L$5))</f>
        <v>#NAME?</v>
      </c>
      <c r="M192" s="30" t="e">
        <f ca="1">IF(B192="","",_xll.BDP($A192&amp;" Corp","INTERVAL_LOW","START_DATE_OVERRIDE",TEXT($L$3,"AAAAMMDD"),"END_DATE_OVERRIDE",TEXT($L$4,"AAAAMMDD"),"MARKET_DATA_OVERRIDE",$L$5))</f>
        <v>#NAME?</v>
      </c>
      <c r="N192" s="31" t="s">
        <v>979</v>
      </c>
      <c r="O192" s="32" t="e">
        <f ca="1">IF($B192="","",_xll.BDP($A192&amp;" Corp",O$6))</f>
        <v>#NAME?</v>
      </c>
      <c r="P192" s="32" t="e">
        <f ca="1">IF($B192="","",_xll.BDP($A192&amp;" Corp",P$6))</f>
        <v>#NAME?</v>
      </c>
      <c r="Q192" s="30" t="e">
        <f ca="1">IF($B192="","",_xll.BDP($A192&amp;" Corp",Q$5))</f>
        <v>#NAME?</v>
      </c>
      <c r="R192" s="30" t="e">
        <f ca="1">IF($B192="","",_xll.BDP($A192&amp;" Corp",R$5))</f>
        <v>#NAME?</v>
      </c>
      <c r="S192" s="50" t="e">
        <f ca="1">IF($B192="","",_xll.BDP($A192&amp;" Corp",S$5))</f>
        <v>#NAME?</v>
      </c>
      <c r="T192" s="30" t="e">
        <f ca="1">IF($B192="","",_xll.BDP($A192&amp;" Corp",T$5))</f>
        <v>#NAME?</v>
      </c>
      <c r="U192" s="30" t="e">
        <f ca="1">IF($B192="","",_xll.BDP($A192&amp;" Corp",U$5))</f>
        <v>#NAME?</v>
      </c>
      <c r="V192" s="51" t="e">
        <f ca="1">IF($B192="","",IF($T192="VARIABLE",_xll.BDP($A192&amp;" Corp",V$4),_xll.BDP($A192&amp;" Corp",V$5)))</f>
        <v>#NAME?</v>
      </c>
      <c r="W192" s="30" t="e">
        <f ca="1">IF($B192="","",IF($T192="VARIABLE",_xll.BDP($A192&amp;" Corp",W$4),_xll.BDP($A192&amp;" Corp",W$5)))</f>
        <v>#NAME?</v>
      </c>
      <c r="X192" s="30" t="e">
        <f ca="1">IF($B192="","",_xll.BDP($A192&amp;" Corp",X$5))</f>
        <v>#NAME?</v>
      </c>
      <c r="Y192" s="33" t="e">
        <f ca="1">IF($B192="","",_xll.BDP($A192&amp;" Corp",Y$5))</f>
        <v>#NAME?</v>
      </c>
      <c r="Z192" s="52" t="e">
        <f ca="1">IF($B192="","",_xll.BDP($A192&amp;" Corp",Z$5))</f>
        <v>#NAME?</v>
      </c>
      <c r="AA192" s="53" t="e">
        <f ca="1">IF($B192="","",_xll.BDP($A192&amp;" Corp",AA$5))</f>
        <v>#NAME?</v>
      </c>
      <c r="AB192" s="54" t="e">
        <f ca="1">IF($B192="","",_xll.BDP($A192&amp;" Corp",AB$5))</f>
        <v>#NAME?</v>
      </c>
      <c r="AC192" s="54" t="e">
        <f ca="1">IF($B192="","",_xll.BDP($A192&amp;" Corp",AC$5))</f>
        <v>#NAME?</v>
      </c>
      <c r="AD192" s="55" t="e">
        <f ca="1">IF($B192="","",_xll.BDP($A192&amp;" Corp",AD$5))</f>
        <v>#NAME?</v>
      </c>
      <c r="AE192" s="56" t="e">
        <f ca="1">IF($B192="","",_xll.BDP($A192&amp;" Corp",AE$5))</f>
        <v>#NAME?</v>
      </c>
      <c r="AF192" s="29" t="e">
        <f ca="1">IF($B192="","",_xll.BDP($A192&amp;" Corp",AF$5))</f>
        <v>#NAME?</v>
      </c>
      <c r="AG192" s="33" t="e">
        <f ca="1">IF($B192="","",_xll.BDP($A192&amp;" Corp",AG$5))</f>
        <v>#NAME?</v>
      </c>
      <c r="AH192" s="30" t="e">
        <f ca="1">IF($B192="","",_xll.BDP($A192&amp;" Corp",AH$5))</f>
        <v>#NAME?</v>
      </c>
      <c r="AI192" s="30" t="e">
        <f ca="1">IF($B192="","",_xll.BDP($A192&amp;" Corp",AI$5))</f>
        <v>#NAME?</v>
      </c>
      <c r="AJ192" s="30" t="e">
        <f ca="1">IF($B192="","",_xll.BDP($A192&amp;" Corp",AJ$5))</f>
        <v>#NAME?</v>
      </c>
      <c r="AK192" s="11" t="e">
        <f ca="1">IF($B192="","",_xll.BDP($A192&amp;" Corp",AK$5))</f>
        <v>#NAME?</v>
      </c>
      <c r="AL192" s="11" t="e">
        <f ca="1">IF($B192="","",_xll.BDP($A192&amp;" Corp",AL$5))</f>
        <v>#NAME?</v>
      </c>
      <c r="AM192" s="11">
        <v>5</v>
      </c>
      <c r="AN192" s="57">
        <v>4</v>
      </c>
    </row>
    <row r="201" spans="2:7" x14ac:dyDescent="0.3">
      <c r="B201" s="13"/>
      <c r="F201" s="57"/>
      <c r="G201" s="58"/>
    </row>
    <row r="202" spans="2:7" x14ac:dyDescent="0.3">
      <c r="B202" s="13"/>
      <c r="F202" s="57"/>
      <c r="G202" s="58"/>
    </row>
    <row r="203" spans="2:7" x14ac:dyDescent="0.3">
      <c r="B203" s="13"/>
      <c r="F203" s="57"/>
      <c r="G203" s="58"/>
    </row>
    <row r="204" spans="2:7" x14ac:dyDescent="0.3">
      <c r="B204" s="13"/>
      <c r="F204" s="57"/>
      <c r="G204" s="58"/>
    </row>
    <row r="205" spans="2:7" x14ac:dyDescent="0.3">
      <c r="B205" s="13"/>
      <c r="F205" s="57"/>
      <c r="G205" s="58"/>
    </row>
    <row r="206" spans="2:7" x14ac:dyDescent="0.3">
      <c r="B206" s="13"/>
      <c r="F206" s="57"/>
      <c r="G206" s="58"/>
    </row>
    <row r="207" spans="2:7" x14ac:dyDescent="0.3">
      <c r="B207" s="13"/>
      <c r="F207" s="57"/>
      <c r="G207" s="58"/>
    </row>
  </sheetData>
  <autoFilter ref="A6:AN197" xr:uid="{D22CD5B8-3591-44F2-938E-92B88F1EA519}"/>
  <phoneticPr fontId="25" type="noConversion"/>
  <conditionalFormatting sqref="W7:W192">
    <cfRule type="colorScale" priority="150">
      <colorScale>
        <cfvo type="min"/>
        <cfvo type="max"/>
        <color rgb="FFFCFCFF"/>
        <color rgb="FF63BE7B"/>
      </colorScale>
    </cfRule>
  </conditionalFormatting>
  <conditionalFormatting sqref="Y7:Y192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57067E3-2A1A-4A4C-86EA-44847057BF6C}">
            <x14:iconSet iconSet="3Arrows" custom="1">
              <x14:cfvo type="percent">
                <xm:f>0</xm:f>
              </x14:cfvo>
              <x14:cfvo type="num">
                <xm:f>$P$10</xm:f>
              </x14:cfvo>
              <x14:cfvo type="num">
                <xm:f>$P$10</xm:f>
              </x14:cfvo>
              <x14:cfIcon iconSet="3Arrows" iconId="0"/>
              <x14:cfIcon iconSet="3Arrows" iconId="0"/>
              <x14:cfIcon iconSet="3Arrows" iconId="2"/>
            </x14:iconSet>
          </x14:cfRule>
          <xm:sqref>O10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A5F2-0F4A-4720-950F-6F1B8598808E}">
  <sheetPr codeName="Hoja4"/>
  <dimension ref="A3:C25"/>
  <sheetViews>
    <sheetView zoomScale="85" zoomScaleNormal="85" workbookViewId="0">
      <selection activeCell="B35" sqref="B35"/>
    </sheetView>
  </sheetViews>
  <sheetFormatPr baseColWidth="10" defaultRowHeight="16.5" x14ac:dyDescent="0.3"/>
  <cols>
    <col min="1" max="1" width="27.6640625" bestFit="1" customWidth="1"/>
    <col min="2" max="2" width="26.44140625" bestFit="1" customWidth="1"/>
    <col min="3" max="3" width="28.5546875" hidden="1" customWidth="1"/>
  </cols>
  <sheetData>
    <row r="3" spans="1:2" x14ac:dyDescent="0.3">
      <c r="A3" s="12" t="s">
        <v>951</v>
      </c>
      <c r="B3" t="s">
        <v>666</v>
      </c>
    </row>
    <row r="4" spans="1:2" x14ac:dyDescent="0.3">
      <c r="A4">
        <v>0</v>
      </c>
      <c r="B4" s="59">
        <v>3962396.04</v>
      </c>
    </row>
    <row r="5" spans="1:2" x14ac:dyDescent="0.3">
      <c r="A5">
        <v>0.1</v>
      </c>
      <c r="B5" s="59">
        <v>2081261.13</v>
      </c>
    </row>
    <row r="6" spans="1:2" x14ac:dyDescent="0.3">
      <c r="A6">
        <v>0.2</v>
      </c>
      <c r="B6" s="59">
        <v>1116000</v>
      </c>
    </row>
    <row r="7" spans="1:2" x14ac:dyDescent="0.3">
      <c r="A7">
        <v>0.4</v>
      </c>
      <c r="B7" s="59">
        <v>3000000</v>
      </c>
    </row>
    <row r="8" spans="1:2" x14ac:dyDescent="0.3">
      <c r="A8">
        <v>0.5</v>
      </c>
      <c r="B8" s="59">
        <v>3800000</v>
      </c>
    </row>
    <row r="9" spans="1:2" x14ac:dyDescent="0.3">
      <c r="A9">
        <v>1</v>
      </c>
      <c r="B9" s="59">
        <v>17454797.870000001</v>
      </c>
    </row>
    <row r="10" spans="1:2" x14ac:dyDescent="0.3">
      <c r="A10">
        <v>2</v>
      </c>
      <c r="B10" s="59">
        <v>17999135.640000001</v>
      </c>
    </row>
    <row r="11" spans="1:2" x14ac:dyDescent="0.3">
      <c r="A11">
        <v>3</v>
      </c>
      <c r="B11" s="59">
        <v>12679366.219999999</v>
      </c>
    </row>
    <row r="12" spans="1:2" x14ac:dyDescent="0.3">
      <c r="A12">
        <v>4</v>
      </c>
      <c r="B12" s="59">
        <v>3999801.99</v>
      </c>
    </row>
    <row r="13" spans="1:2" x14ac:dyDescent="0.3">
      <c r="A13">
        <v>5</v>
      </c>
      <c r="B13" s="59">
        <v>4690085.25</v>
      </c>
    </row>
    <row r="14" spans="1:2" x14ac:dyDescent="0.3">
      <c r="A14">
        <v>6</v>
      </c>
      <c r="B14" s="59">
        <v>3177433.95</v>
      </c>
    </row>
    <row r="15" spans="1:2" x14ac:dyDescent="0.3">
      <c r="A15">
        <v>7</v>
      </c>
      <c r="B15" s="59">
        <v>4769742.4800000004</v>
      </c>
    </row>
    <row r="16" spans="1:2" x14ac:dyDescent="0.3">
      <c r="A16">
        <v>8</v>
      </c>
      <c r="B16" s="59">
        <v>3600000</v>
      </c>
    </row>
    <row r="17" spans="1:2" x14ac:dyDescent="0.3">
      <c r="A17">
        <v>9</v>
      </c>
      <c r="B17" s="59">
        <v>2644167.8200000003</v>
      </c>
    </row>
    <row r="18" spans="1:2" x14ac:dyDescent="0.3">
      <c r="A18">
        <v>10</v>
      </c>
      <c r="B18" s="59">
        <v>3000000</v>
      </c>
    </row>
    <row r="19" spans="1:2" x14ac:dyDescent="0.3">
      <c r="A19">
        <v>11</v>
      </c>
      <c r="B19" s="59">
        <v>300000</v>
      </c>
    </row>
    <row r="20" spans="1:2" x14ac:dyDescent="0.3">
      <c r="A20">
        <v>13</v>
      </c>
      <c r="B20" s="59">
        <v>438802.64</v>
      </c>
    </row>
    <row r="21" spans="1:2" x14ac:dyDescent="0.3">
      <c r="A21">
        <v>16</v>
      </c>
      <c r="B21" s="59">
        <v>82898.12</v>
      </c>
    </row>
    <row r="22" spans="1:2" x14ac:dyDescent="0.3">
      <c r="A22">
        <v>19</v>
      </c>
      <c r="B22" s="59">
        <v>1846947.1</v>
      </c>
    </row>
    <row r="23" spans="1:2" x14ac:dyDescent="0.3">
      <c r="A23" t="s">
        <v>950</v>
      </c>
      <c r="B23" s="59"/>
    </row>
    <row r="24" spans="1:2" x14ac:dyDescent="0.3">
      <c r="A24" t="s">
        <v>969</v>
      </c>
      <c r="B24" s="59">
        <v>1600000</v>
      </c>
    </row>
    <row r="25" spans="1:2" x14ac:dyDescent="0.3">
      <c r="A25">
        <v>0.3</v>
      </c>
      <c r="B25" s="59">
        <v>1715000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Cartera Med pensiones II</vt:lpstr>
      <vt:lpstr>TEMPLATE RF</vt:lpstr>
      <vt:lpstr>TRABAJO</vt:lpstr>
      <vt:lpstr>Nominales por Vencimientos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Battaner | Trea Am</dc:creator>
  <cp:lastModifiedBy>Javier Gil | Trea AM</cp:lastModifiedBy>
  <dcterms:created xsi:type="dcterms:W3CDTF">2023-03-28T10:37:39Z</dcterms:created>
  <dcterms:modified xsi:type="dcterms:W3CDTF">2023-10-04T09:32:19Z</dcterms:modified>
</cp:coreProperties>
</file>